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9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0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1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2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5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6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7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8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1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2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3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4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7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8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9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70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3040" windowHeight="9375" tabRatio="695" activeTab="7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O84" i="1" l="1"/>
  <c r="N84" i="1"/>
  <c r="M84" i="1"/>
  <c r="L84" i="1"/>
  <c r="K84" i="1"/>
  <c r="J84" i="1"/>
  <c r="I84" i="1"/>
  <c r="H84" i="1"/>
  <c r="G84" i="1"/>
  <c r="F84" i="1"/>
  <c r="E84" i="1"/>
  <c r="D84" i="1"/>
  <c r="C84" i="1"/>
  <c r="C91" i="45"/>
  <c r="D91" i="45" s="1"/>
  <c r="E91" i="45" s="1"/>
  <c r="F91" i="45" s="1"/>
  <c r="G91" i="45" s="1"/>
  <c r="H91" i="45" s="1"/>
  <c r="I91" i="45" s="1"/>
  <c r="J91" i="45" s="1"/>
  <c r="K91" i="45" s="1"/>
  <c r="L91" i="45" s="1"/>
  <c r="M91" i="45" s="1"/>
  <c r="N91" i="45" s="1"/>
  <c r="O91" i="45" s="1"/>
  <c r="P91" i="45" s="1"/>
  <c r="Q91" i="45" s="1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D90" i="45"/>
  <c r="C90" i="45"/>
  <c r="C89" i="45"/>
  <c r="C86" i="45"/>
  <c r="D89" i="45" l="1"/>
  <c r="E89" i="45" s="1"/>
  <c r="F89" i="45" s="1"/>
  <c r="G89" i="45" s="1"/>
  <c r="H89" i="45" s="1"/>
  <c r="I89" i="45" s="1"/>
  <c r="J89" i="45" s="1"/>
  <c r="K89" i="45" s="1"/>
  <c r="L89" i="45" s="1"/>
  <c r="M89" i="45" s="1"/>
  <c r="N89" i="45" s="1"/>
  <c r="O89" i="45" s="1"/>
  <c r="P89" i="45" s="1"/>
  <c r="E10" i="43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E11" i="1"/>
  <c r="E17" i="1"/>
  <c r="E23" i="1"/>
  <c r="E81" i="1"/>
  <c r="F11" i="1"/>
  <c r="F17" i="1"/>
  <c r="F23" i="1"/>
  <c r="F81" i="1"/>
  <c r="G11" i="1"/>
  <c r="G17" i="1"/>
  <c r="G23" i="1"/>
  <c r="G81" i="1"/>
  <c r="C81" i="1"/>
  <c r="E79" i="1"/>
  <c r="Y82" i="1" s="1"/>
  <c r="Y83" i="1" s="1"/>
  <c r="M82" i="1"/>
  <c r="M83" i="1" s="1"/>
  <c r="X82" i="1"/>
  <c r="X83" i="1" s="1"/>
  <c r="V82" i="1"/>
  <c r="V83" i="1" s="1"/>
  <c r="T82" i="1"/>
  <c r="T83" i="1" s="1"/>
  <c r="R82" i="1"/>
  <c r="R83" i="1" s="1"/>
  <c r="P82" i="1"/>
  <c r="P83" i="1" s="1"/>
  <c r="N82" i="1"/>
  <c r="N83" i="1" s="1"/>
  <c r="K82" i="1"/>
  <c r="K83" i="1" s="1"/>
  <c r="I82" i="1"/>
  <c r="I83" i="1" s="1"/>
  <c r="G82" i="1"/>
  <c r="G83" i="1" s="1"/>
  <c r="E82" i="1"/>
  <c r="E83" i="1" s="1"/>
  <c r="C82" i="1"/>
  <c r="C83" i="1" s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 s="1"/>
  <c r="F82" i="1"/>
  <c r="F83" i="1" s="1"/>
  <c r="H82" i="1"/>
  <c r="H83" i="1" s="1"/>
  <c r="J82" i="1"/>
  <c r="J83" i="1" s="1"/>
  <c r="L82" i="1"/>
  <c r="L83" i="1" s="1"/>
  <c r="O82" i="1"/>
  <c r="O83" i="1" s="1"/>
  <c r="Q82" i="1"/>
  <c r="Q83" i="1" s="1"/>
  <c r="S82" i="1"/>
  <c r="S83" i="1" s="1"/>
  <c r="U82" i="1"/>
  <c r="U83" i="1" s="1"/>
  <c r="W82" i="1"/>
  <c r="W83" i="1" s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P11" i="1" s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9" i="1" s="1"/>
  <c r="N10" i="1"/>
  <c r="N11" i="1" s="1"/>
  <c r="N23" i="1" s="1"/>
  <c r="N81" i="1" s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/>
  <c r="F14" i="47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 s="1"/>
  <c r="B39" i="46"/>
  <c r="C38" i="46"/>
  <c r="D44" i="46" s="1"/>
  <c r="B38" i="46"/>
  <c r="B37" i="46"/>
  <c r="C15" i="46"/>
  <c r="C27" i="46"/>
  <c r="C33" i="46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D15" i="46"/>
  <c r="B15" i="46"/>
  <c r="E14" i="46"/>
  <c r="F14" i="46" s="1"/>
  <c r="B14" i="46"/>
  <c r="D13" i="46"/>
  <c r="D31" i="46"/>
  <c r="B13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 s="1"/>
  <c r="B43" i="45"/>
  <c r="D37" i="45"/>
  <c r="D38" i="45"/>
  <c r="D39" i="45"/>
  <c r="D40" i="45"/>
  <c r="D41" i="45" s="1"/>
  <c r="C40" i="45"/>
  <c r="B40" i="45"/>
  <c r="C39" i="45"/>
  <c r="D45" i="45" s="1"/>
  <c r="B39" i="45"/>
  <c r="C38" i="45"/>
  <c r="D44" i="45" s="1"/>
  <c r="B38" i="45"/>
  <c r="B37" i="45"/>
  <c r="C15" i="45"/>
  <c r="D15" i="45" s="1"/>
  <c r="C27" i="45"/>
  <c r="C33" i="45"/>
  <c r="C34" i="45" s="1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D45" i="44"/>
  <c r="B39" i="44"/>
  <c r="D38" i="44"/>
  <c r="C38" i="44"/>
  <c r="D44" i="44"/>
  <c r="B38" i="44"/>
  <c r="D37" i="44"/>
  <c r="D41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E41" i="44"/>
  <c r="K20" i="1"/>
  <c r="L20" i="1"/>
  <c r="M20" i="1"/>
  <c r="N20" i="1"/>
  <c r="K21" i="1"/>
  <c r="L21" i="1"/>
  <c r="M21" i="1"/>
  <c r="N21" i="1"/>
  <c r="O21" i="1" s="1"/>
  <c r="D44" i="43"/>
  <c r="D45" i="43"/>
  <c r="D46" i="43"/>
  <c r="K22" i="1"/>
  <c r="L22" i="1"/>
  <c r="M22" i="1"/>
  <c r="C33" i="43"/>
  <c r="C34" i="43"/>
  <c r="C16" i="43"/>
  <c r="K19" i="1"/>
  <c r="L19" i="1"/>
  <c r="M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L11" i="1"/>
  <c r="S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24" i="47"/>
  <c r="D30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16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15" i="46"/>
  <c r="D33" i="46"/>
  <c r="E26" i="46"/>
  <c r="E32" i="46"/>
  <c r="E34" i="46" s="1"/>
  <c r="D12" i="46"/>
  <c r="E13" i="46"/>
  <c r="C45" i="46"/>
  <c r="E37" i="46"/>
  <c r="E39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D24" i="46"/>
  <c r="C31" i="46"/>
  <c r="C34" i="46"/>
  <c r="D46" i="46"/>
  <c r="D43" i="46"/>
  <c r="C44" i="45"/>
  <c r="C45" i="45"/>
  <c r="D32" i="45"/>
  <c r="E14" i="45"/>
  <c r="D12" i="45"/>
  <c r="D30" i="45" s="1"/>
  <c r="E13" i="45"/>
  <c r="F13" i="45" s="1"/>
  <c r="D24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E31" i="47"/>
  <c r="E32" i="47"/>
  <c r="E34" i="47"/>
  <c r="D28" i="47"/>
  <c r="H14" i="47"/>
  <c r="G32" i="47"/>
  <c r="E31" i="46"/>
  <c r="F13" i="46"/>
  <c r="E24" i="46"/>
  <c r="D28" i="46"/>
  <c r="D30" i="46"/>
  <c r="D34" i="46"/>
  <c r="D16" i="46"/>
  <c r="E12" i="46"/>
  <c r="E33" i="46"/>
  <c r="F15" i="46"/>
  <c r="E32" i="45"/>
  <c r="F14" i="45"/>
  <c r="E24" i="45"/>
  <c r="D28" i="45"/>
  <c r="E31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F33" i="46"/>
  <c r="G15" i="46"/>
  <c r="E30" i="46"/>
  <c r="F12" i="46"/>
  <c r="F24" i="45"/>
  <c r="E28" i="45"/>
  <c r="F32" i="45"/>
  <c r="G1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31" i="48"/>
  <c r="G34" i="48"/>
  <c r="G16" i="48"/>
  <c r="H12" i="48"/>
  <c r="F34" i="48"/>
  <c r="H13" i="48"/>
  <c r="F28" i="47"/>
  <c r="G24" i="47"/>
  <c r="I32" i="47"/>
  <c r="J14" i="47"/>
  <c r="I13" i="47"/>
  <c r="H31" i="47"/>
  <c r="G33" i="47"/>
  <c r="H15" i="47"/>
  <c r="F30" i="47"/>
  <c r="F34" i="47"/>
  <c r="G16" i="47"/>
  <c r="H12" i="47"/>
  <c r="G30" i="47"/>
  <c r="G34" i="47"/>
  <c r="G33" i="46"/>
  <c r="H15" i="46"/>
  <c r="H13" i="46"/>
  <c r="I13" i="46" s="1"/>
  <c r="G31" i="46"/>
  <c r="G12" i="46"/>
  <c r="F30" i="46"/>
  <c r="F28" i="46"/>
  <c r="G24" i="46"/>
  <c r="G32" i="45"/>
  <c r="H14" i="45"/>
  <c r="H32" i="45" s="1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H12" i="46"/>
  <c r="G30" i="46"/>
  <c r="H31" i="46"/>
  <c r="G28" i="46"/>
  <c r="H24" i="46"/>
  <c r="H33" i="46"/>
  <c r="I15" i="46"/>
  <c r="I14" i="45"/>
  <c r="I32" i="45" s="1"/>
  <c r="G28" i="45"/>
  <c r="H24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I12" i="46"/>
  <c r="J15" i="46"/>
  <c r="I33" i="46"/>
  <c r="H28" i="46"/>
  <c r="I24" i="46"/>
  <c r="J14" i="45"/>
  <c r="K14" i="45" s="1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/>
  <c r="M14" i="47"/>
  <c r="L32" i="47"/>
  <c r="K12" i="47"/>
  <c r="J30" i="47"/>
  <c r="J34" i="47"/>
  <c r="J16" i="47"/>
  <c r="K15" i="46"/>
  <c r="J33" i="46"/>
  <c r="J12" i="46"/>
  <c r="I30" i="46"/>
  <c r="I28" i="46"/>
  <c r="J24" i="46"/>
  <c r="I28" i="45"/>
  <c r="J2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J30" i="46"/>
  <c r="K12" i="46"/>
  <c r="J28" i="46"/>
  <c r="K24" i="46"/>
  <c r="K33" i="46"/>
  <c r="L15" i="46"/>
  <c r="J28" i="45"/>
  <c r="K24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L12" i="46"/>
  <c r="M15" i="46"/>
  <c r="L33" i="46"/>
  <c r="K28" i="45"/>
  <c r="L2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L30" i="46"/>
  <c r="M12" i="46"/>
  <c r="M24" i="46"/>
  <c r="L28" i="46"/>
  <c r="M24" i="45"/>
  <c r="L28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L23" i="1"/>
  <c r="K81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N33" i="47"/>
  <c r="N34" i="47"/>
  <c r="M28" i="47"/>
  <c r="M30" i="47"/>
  <c r="M34" i="47"/>
  <c r="O15" i="47"/>
  <c r="P13" i="47"/>
  <c r="P31" i="47"/>
  <c r="O31" i="47"/>
  <c r="N24" i="46"/>
  <c r="M28" i="46"/>
  <c r="N33" i="46"/>
  <c r="O15" i="46"/>
  <c r="M30" i="46"/>
  <c r="N12" i="46"/>
  <c r="N24" i="45"/>
  <c r="M28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M23" i="1"/>
  <c r="L81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O12" i="46"/>
  <c r="N30" i="46"/>
  <c r="N28" i="45"/>
  <c r="O24" i="45"/>
  <c r="O25" i="44"/>
  <c r="N28" i="44"/>
  <c r="O33" i="44"/>
  <c r="P15" i="44"/>
  <c r="P33" i="44"/>
  <c r="M34" i="44"/>
  <c r="N31" i="44"/>
  <c r="P13" i="44"/>
  <c r="O31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M81" i="1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P12" i="46"/>
  <c r="O30" i="46"/>
  <c r="O28" i="46"/>
  <c r="P24" i="46"/>
  <c r="P28" i="46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P16" i="15"/>
  <c r="O16" i="15"/>
  <c r="O15" i="2"/>
  <c r="O33" i="2"/>
  <c r="O13" i="2"/>
  <c r="O31" i="2"/>
  <c r="O12" i="2"/>
  <c r="O30" i="2"/>
  <c r="N16" i="2"/>
  <c r="O14" i="2"/>
  <c r="O32" i="2"/>
  <c r="M29" i="1"/>
  <c r="M25" i="1"/>
  <c r="N34" i="2"/>
  <c r="O28" i="2"/>
  <c r="O34" i="2"/>
  <c r="P13" i="2"/>
  <c r="P31" i="2"/>
  <c r="P14" i="2"/>
  <c r="P32" i="2"/>
  <c r="P12" i="2"/>
  <c r="P30" i="2"/>
  <c r="O16" i="2"/>
  <c r="P15" i="2"/>
  <c r="P33" i="2"/>
  <c r="Q14" i="2"/>
  <c r="Q32" i="2"/>
  <c r="Q12" i="2"/>
  <c r="Q30" i="2"/>
  <c r="P16" i="2"/>
  <c r="Q13" i="2"/>
  <c r="Q31" i="2"/>
  <c r="P28" i="2"/>
  <c r="Q15" i="2"/>
  <c r="Q33" i="2"/>
  <c r="R15" i="2"/>
  <c r="R33" i="2"/>
  <c r="Q28" i="2"/>
  <c r="R12" i="2"/>
  <c r="R30" i="2"/>
  <c r="Q16" i="2"/>
  <c r="R28" i="2"/>
  <c r="R13" i="2"/>
  <c r="R31" i="2"/>
  <c r="P34" i="2"/>
  <c r="R14" i="2"/>
  <c r="R32" i="2"/>
  <c r="S12" i="2"/>
  <c r="S30" i="2"/>
  <c r="R16" i="2"/>
  <c r="Q34" i="2"/>
  <c r="S14" i="2"/>
  <c r="S32" i="2"/>
  <c r="S13" i="2"/>
  <c r="S31" i="2"/>
  <c r="R34" i="2"/>
  <c r="S15" i="2"/>
  <c r="S33" i="2"/>
  <c r="T14" i="2"/>
  <c r="T32" i="2"/>
  <c r="T15" i="2"/>
  <c r="T33" i="2"/>
  <c r="T12" i="2"/>
  <c r="T30" i="2"/>
  <c r="S16" i="2"/>
  <c r="S34" i="2"/>
  <c r="T13" i="2"/>
  <c r="T31" i="2"/>
  <c r="S28" i="2"/>
  <c r="U13" i="2"/>
  <c r="U31" i="2"/>
  <c r="T34" i="2"/>
  <c r="U15" i="2"/>
  <c r="U33" i="2"/>
  <c r="T28" i="2"/>
  <c r="U12" i="2"/>
  <c r="U30" i="2"/>
  <c r="T16" i="2"/>
  <c r="U14" i="2"/>
  <c r="U32" i="2"/>
  <c r="V15" i="2"/>
  <c r="V33" i="2"/>
  <c r="V12" i="2"/>
  <c r="V30" i="2"/>
  <c r="U16" i="2"/>
  <c r="V13" i="2"/>
  <c r="V31" i="2"/>
  <c r="V14" i="2"/>
  <c r="V32" i="2"/>
  <c r="U28" i="2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W16" i="2"/>
  <c r="W34" i="2"/>
  <c r="B2" i="50"/>
  <c r="B2" i="49"/>
  <c r="B2" i="44"/>
  <c r="B2" i="42"/>
  <c r="B2" i="47"/>
  <c r="B2" i="15"/>
  <c r="B2" i="2"/>
  <c r="B2" i="46"/>
  <c r="B2" i="45"/>
  <c r="B2" i="48"/>
  <c r="B2" i="43"/>
  <c r="I31" i="46" l="1"/>
  <c r="J13" i="46"/>
  <c r="D47" i="46"/>
  <c r="E38" i="46"/>
  <c r="C44" i="46"/>
  <c r="C47" i="46" s="1"/>
  <c r="F32" i="46"/>
  <c r="F34" i="46" s="1"/>
  <c r="F16" i="46"/>
  <c r="G14" i="46"/>
  <c r="E16" i="46"/>
  <c r="C41" i="46"/>
  <c r="E41" i="46" s="1"/>
  <c r="O11" i="1"/>
  <c r="O23" i="1" s="1"/>
  <c r="D46" i="45"/>
  <c r="N22" i="1"/>
  <c r="O22" i="1" s="1"/>
  <c r="O28" i="1" s="1"/>
  <c r="C46" i="45"/>
  <c r="C47" i="45" s="1"/>
  <c r="D33" i="45"/>
  <c r="E15" i="45"/>
  <c r="P22" i="1"/>
  <c r="E40" i="45"/>
  <c r="D16" i="45"/>
  <c r="E38" i="45"/>
  <c r="O20" i="1"/>
  <c r="P20" i="1" s="1"/>
  <c r="K32" i="45"/>
  <c r="L14" i="45"/>
  <c r="O27" i="1"/>
  <c r="P21" i="1"/>
  <c r="E39" i="45"/>
  <c r="G13" i="45"/>
  <c r="H13" i="45" s="1"/>
  <c r="F31" i="45"/>
  <c r="D34" i="45"/>
  <c r="G31" i="45"/>
  <c r="O26" i="1"/>
  <c r="N26" i="1"/>
  <c r="O19" i="1"/>
  <c r="P19" i="1" s="1"/>
  <c r="N25" i="1"/>
  <c r="D43" i="45"/>
  <c r="E37" i="45"/>
  <c r="O25" i="1"/>
  <c r="N29" i="1"/>
  <c r="E12" i="45"/>
  <c r="C41" i="45"/>
  <c r="E41" i="45" s="1"/>
  <c r="J31" i="46" l="1"/>
  <c r="K13" i="46"/>
  <c r="G32" i="46"/>
  <c r="G34" i="46" s="1"/>
  <c r="G16" i="46"/>
  <c r="H14" i="46"/>
  <c r="N28" i="1"/>
  <c r="D47" i="45"/>
  <c r="Q22" i="1"/>
  <c r="P28" i="1"/>
  <c r="F15" i="45"/>
  <c r="E33" i="45"/>
  <c r="L32" i="45"/>
  <c r="M14" i="45"/>
  <c r="Q21" i="1"/>
  <c r="P27" i="1"/>
  <c r="H31" i="45"/>
  <c r="I13" i="45"/>
  <c r="Q20" i="1"/>
  <c r="P26" i="1"/>
  <c r="Q19" i="1"/>
  <c r="P25" i="1"/>
  <c r="E16" i="45"/>
  <c r="E30" i="45"/>
  <c r="E34" i="45" s="1"/>
  <c r="F12" i="45"/>
  <c r="P23" i="1"/>
  <c r="O81" i="1"/>
  <c r="O29" i="1"/>
  <c r="L13" i="46" l="1"/>
  <c r="K31" i="46"/>
  <c r="H32" i="46"/>
  <c r="H34" i="46" s="1"/>
  <c r="H16" i="46"/>
  <c r="I14" i="46"/>
  <c r="G15" i="45"/>
  <c r="F33" i="45"/>
  <c r="R22" i="1"/>
  <c r="Q28" i="1"/>
  <c r="N14" i="45"/>
  <c r="M32" i="45"/>
  <c r="Q27" i="1"/>
  <c r="R21" i="1"/>
  <c r="I31" i="45"/>
  <c r="J13" i="45"/>
  <c r="R20" i="1"/>
  <c r="Q26" i="1"/>
  <c r="F16" i="45"/>
  <c r="F30" i="45"/>
  <c r="F34" i="45" s="1"/>
  <c r="G12" i="45"/>
  <c r="R19" i="1"/>
  <c r="Q25" i="1"/>
  <c r="Q23" i="1"/>
  <c r="P29" i="1"/>
  <c r="P81" i="1"/>
  <c r="P84" i="1" s="1"/>
  <c r="M13" i="46" l="1"/>
  <c r="L31" i="46"/>
  <c r="J14" i="46"/>
  <c r="I32" i="46"/>
  <c r="I34" i="46" s="1"/>
  <c r="I16" i="46"/>
  <c r="S22" i="1"/>
  <c r="R28" i="1"/>
  <c r="G33" i="45"/>
  <c r="H15" i="45"/>
  <c r="N32" i="45"/>
  <c r="O14" i="45"/>
  <c r="S21" i="1"/>
  <c r="R27" i="1"/>
  <c r="S20" i="1"/>
  <c r="R26" i="1"/>
  <c r="K13" i="45"/>
  <c r="J31" i="45"/>
  <c r="R23" i="1"/>
  <c r="Q29" i="1"/>
  <c r="Q81" i="1"/>
  <c r="Q84" i="1" s="1"/>
  <c r="S19" i="1"/>
  <c r="R25" i="1"/>
  <c r="H12" i="45"/>
  <c r="G16" i="45"/>
  <c r="G30" i="45"/>
  <c r="N13" i="46" l="1"/>
  <c r="M31" i="46"/>
  <c r="K14" i="46"/>
  <c r="J32" i="46"/>
  <c r="J34" i="46" s="1"/>
  <c r="J16" i="46"/>
  <c r="T22" i="1"/>
  <c r="S28" i="1"/>
  <c r="G34" i="45"/>
  <c r="I15" i="45"/>
  <c r="H33" i="45"/>
  <c r="O32" i="45"/>
  <c r="P14" i="45"/>
  <c r="P32" i="45" s="1"/>
  <c r="T21" i="1"/>
  <c r="S27" i="1"/>
  <c r="K31" i="45"/>
  <c r="L13" i="45"/>
  <c r="T20" i="1"/>
  <c r="S26" i="1"/>
  <c r="R81" i="1"/>
  <c r="R84" i="1" s="1"/>
  <c r="R29" i="1"/>
  <c r="S23" i="1"/>
  <c r="H30" i="45"/>
  <c r="H34" i="45" s="1"/>
  <c r="H16" i="45"/>
  <c r="I12" i="45"/>
  <c r="T19" i="1"/>
  <c r="S25" i="1"/>
  <c r="N31" i="46" l="1"/>
  <c r="O13" i="46"/>
  <c r="L14" i="46"/>
  <c r="K16" i="46"/>
  <c r="K32" i="46"/>
  <c r="K34" i="46" s="1"/>
  <c r="U22" i="1"/>
  <c r="T28" i="1"/>
  <c r="I33" i="45"/>
  <c r="J15" i="45"/>
  <c r="U21" i="1"/>
  <c r="T27" i="1"/>
  <c r="U20" i="1"/>
  <c r="T26" i="1"/>
  <c r="M13" i="45"/>
  <c r="L31" i="45"/>
  <c r="J12" i="45"/>
  <c r="I30" i="45"/>
  <c r="I16" i="45"/>
  <c r="U19" i="1"/>
  <c r="T25" i="1"/>
  <c r="S81" i="1"/>
  <c r="S84" i="1" s="1"/>
  <c r="S29" i="1"/>
  <c r="T23" i="1"/>
  <c r="P13" i="46" l="1"/>
  <c r="P31" i="46" s="1"/>
  <c r="O31" i="46"/>
  <c r="L32" i="46"/>
  <c r="L34" i="46" s="1"/>
  <c r="M14" i="46"/>
  <c r="L16" i="46"/>
  <c r="U28" i="1"/>
  <c r="V22" i="1"/>
  <c r="I34" i="45"/>
  <c r="K15" i="45"/>
  <c r="J33" i="45"/>
  <c r="V21" i="1"/>
  <c r="U27" i="1"/>
  <c r="M31" i="45"/>
  <c r="N13" i="45"/>
  <c r="V20" i="1"/>
  <c r="U26" i="1"/>
  <c r="J30" i="45"/>
  <c r="J16" i="45"/>
  <c r="K12" i="45"/>
  <c r="T81" i="1"/>
  <c r="T84" i="1" s="1"/>
  <c r="T29" i="1"/>
  <c r="U23" i="1"/>
  <c r="V19" i="1"/>
  <c r="U25" i="1"/>
  <c r="M32" i="46" l="1"/>
  <c r="M34" i="46" s="1"/>
  <c r="M16" i="46"/>
  <c r="N14" i="46"/>
  <c r="J34" i="45"/>
  <c r="L15" i="45"/>
  <c r="K33" i="45"/>
  <c r="W22" i="1"/>
  <c r="V28" i="1"/>
  <c r="W21" i="1"/>
  <c r="V27" i="1"/>
  <c r="W20" i="1"/>
  <c r="V26" i="1"/>
  <c r="O13" i="45"/>
  <c r="N31" i="45"/>
  <c r="U81" i="1"/>
  <c r="U84" i="1" s="1"/>
  <c r="U29" i="1"/>
  <c r="V23" i="1"/>
  <c r="W19" i="1"/>
  <c r="V25" i="1"/>
  <c r="K30" i="45"/>
  <c r="K34" i="45" s="1"/>
  <c r="L12" i="45"/>
  <c r="K16" i="45"/>
  <c r="N32" i="46" l="1"/>
  <c r="N34" i="46" s="1"/>
  <c r="N16" i="46"/>
  <c r="O14" i="46"/>
  <c r="X22" i="1"/>
  <c r="W28" i="1"/>
  <c r="M15" i="45"/>
  <c r="L33" i="45"/>
  <c r="W27" i="1"/>
  <c r="X21" i="1"/>
  <c r="P13" i="45"/>
  <c r="P31" i="45" s="1"/>
  <c r="O31" i="45"/>
  <c r="X20" i="1"/>
  <c r="W26" i="1"/>
  <c r="L30" i="45"/>
  <c r="L16" i="45"/>
  <c r="M12" i="45"/>
  <c r="W23" i="1"/>
  <c r="V29" i="1"/>
  <c r="V81" i="1"/>
  <c r="V84" i="1" s="1"/>
  <c r="W25" i="1"/>
  <c r="X19" i="1"/>
  <c r="P14" i="46" l="1"/>
  <c r="O16" i="46"/>
  <c r="O32" i="46"/>
  <c r="O34" i="46" s="1"/>
  <c r="L34" i="45"/>
  <c r="N15" i="45"/>
  <c r="M33" i="45"/>
  <c r="Y22" i="1"/>
  <c r="Y28" i="1" s="1"/>
  <c r="X28" i="1"/>
  <c r="Y21" i="1"/>
  <c r="Y27" i="1" s="1"/>
  <c r="X27" i="1"/>
  <c r="Y20" i="1"/>
  <c r="Y26" i="1" s="1"/>
  <c r="X26" i="1"/>
  <c r="Y19" i="1"/>
  <c r="Y25" i="1" s="1"/>
  <c r="X25" i="1"/>
  <c r="W81" i="1"/>
  <c r="W84" i="1" s="1"/>
  <c r="X23" i="1"/>
  <c r="W29" i="1"/>
  <c r="M30" i="45"/>
  <c r="M34" i="45" s="1"/>
  <c r="N12" i="45"/>
  <c r="M16" i="45"/>
  <c r="P16" i="46" l="1"/>
  <c r="P32" i="46"/>
  <c r="P34" i="46" s="1"/>
  <c r="N33" i="45"/>
  <c r="O15" i="45"/>
  <c r="O12" i="45"/>
  <c r="N30" i="45"/>
  <c r="N16" i="45"/>
  <c r="Y23" i="1"/>
  <c r="X81" i="1"/>
  <c r="X84" i="1" s="1"/>
  <c r="D79" i="1"/>
  <c r="X29" i="1"/>
  <c r="N34" i="45" l="1"/>
  <c r="O33" i="45"/>
  <c r="P15" i="45"/>
  <c r="P33" i="45" s="1"/>
  <c r="Y29" i="1"/>
  <c r="Y81" i="1"/>
  <c r="Y84" i="1" s="1"/>
  <c r="P12" i="45"/>
  <c r="O16" i="45"/>
  <c r="O30" i="45"/>
  <c r="O34" i="45" s="1"/>
  <c r="P30" i="45" l="1"/>
  <c r="P34" i="45" s="1"/>
  <c r="P16" i="45"/>
</calcChain>
</file>

<file path=xl/sharedStrings.xml><?xml version="1.0" encoding="utf-8"?>
<sst xmlns="http://schemas.openxmlformats.org/spreadsheetml/2006/main" count="334" uniqueCount="73">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</sst>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19</c:v>
                </c:pt>
                <c:pt idx="10">
                  <c:v>16</c:v>
                </c:pt>
                <c:pt idx="11">
                  <c:v>26</c:v>
                </c:pt>
                <c:pt idx="12">
                  <c:v>37</c:v>
                </c:pt>
                <c:pt idx="13">
                  <c:v>14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258848"/>
        <c:axId val="17156692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25.324999999999999</c:v>
                </c:pt>
                <c:pt idx="10">
                  <c:v>24.477272727272727</c:v>
                </c:pt>
                <c:pt idx="11">
                  <c:v>24.604166666666668</c:v>
                </c:pt>
                <c:pt idx="12">
                  <c:v>25.557692307692307</c:v>
                </c:pt>
                <c:pt idx="13">
                  <c:v>24.732142857142858</c:v>
                </c:pt>
                <c:pt idx="14">
                  <c:v>23.083333333333332</c:v>
                </c:pt>
                <c:pt idx="15">
                  <c:v>21.640625</c:v>
                </c:pt>
                <c:pt idx="16">
                  <c:v>20.367647058823529</c:v>
                </c:pt>
                <c:pt idx="17">
                  <c:v>19.236111111111111</c:v>
                </c:pt>
                <c:pt idx="18">
                  <c:v>18.223684210526315</c:v>
                </c:pt>
                <c:pt idx="19">
                  <c:v>17.3125</c:v>
                </c:pt>
                <c:pt idx="20">
                  <c:v>16.488095238095237</c:v>
                </c:pt>
                <c:pt idx="21">
                  <c:v>15.738636363636363</c:v>
                </c:pt>
                <c:pt idx="22">
                  <c:v>15.054347826086957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58848"/>
        <c:axId val="171566928"/>
      </c:lineChart>
      <c:catAx>
        <c:axId val="174258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66928"/>
        <c:crosses val="autoZero"/>
        <c:auto val="0"/>
        <c:lblAlgn val="ctr"/>
        <c:lblOffset val="100"/>
        <c:noMultiLvlLbl val="0"/>
      </c:catAx>
      <c:valAx>
        <c:axId val="17156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6</c:v>
                </c:pt>
                <c:pt idx="12">
                  <c:v>11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027728"/>
        <c:axId val="17602828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6.833333333333333</c:v>
                </c:pt>
                <c:pt idx="12">
                  <c:v>7.1538461538461542</c:v>
                </c:pt>
                <c:pt idx="13">
                  <c:v>6.6428571428571432</c:v>
                </c:pt>
                <c:pt idx="14">
                  <c:v>6.2</c:v>
                </c:pt>
                <c:pt idx="15">
                  <c:v>5.8125</c:v>
                </c:pt>
                <c:pt idx="16">
                  <c:v>5.4705882352941178</c:v>
                </c:pt>
                <c:pt idx="17">
                  <c:v>5.166666666666667</c:v>
                </c:pt>
                <c:pt idx="18">
                  <c:v>4.8947368421052628</c:v>
                </c:pt>
                <c:pt idx="19">
                  <c:v>4.6500000000000004</c:v>
                </c:pt>
                <c:pt idx="20">
                  <c:v>4.4285714285714288</c:v>
                </c:pt>
                <c:pt idx="21">
                  <c:v>4.2272727272727275</c:v>
                </c:pt>
                <c:pt idx="22">
                  <c:v>4.0434782608695654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27728"/>
        <c:axId val="176028288"/>
      </c:lineChart>
      <c:catAx>
        <c:axId val="17602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28288"/>
        <c:crosses val="autoZero"/>
        <c:auto val="0"/>
        <c:lblAlgn val="ctr"/>
        <c:lblOffset val="100"/>
        <c:noMultiLvlLbl val="0"/>
      </c:catAx>
      <c:valAx>
        <c:axId val="176028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27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934928"/>
        <c:axId val="17693548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5.291666666666667</c:v>
                </c:pt>
                <c:pt idx="12">
                  <c:v>5.6538461538461542</c:v>
                </c:pt>
                <c:pt idx="13">
                  <c:v>5.75</c:v>
                </c:pt>
                <c:pt idx="14">
                  <c:v>5.3666666666666663</c:v>
                </c:pt>
                <c:pt idx="15">
                  <c:v>5.03125</c:v>
                </c:pt>
                <c:pt idx="16">
                  <c:v>4.7352941176470589</c:v>
                </c:pt>
                <c:pt idx="17">
                  <c:v>4.4722222222222223</c:v>
                </c:pt>
                <c:pt idx="18">
                  <c:v>4.2368421052631575</c:v>
                </c:pt>
                <c:pt idx="19">
                  <c:v>4.0250000000000004</c:v>
                </c:pt>
                <c:pt idx="20">
                  <c:v>3.8333333333333335</c:v>
                </c:pt>
                <c:pt idx="21">
                  <c:v>3.6590909090909092</c:v>
                </c:pt>
                <c:pt idx="22">
                  <c:v>3.5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34928"/>
        <c:axId val="176935488"/>
      </c:lineChart>
      <c:catAx>
        <c:axId val="17693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35488"/>
        <c:crosses val="autoZero"/>
        <c:auto val="0"/>
        <c:lblAlgn val="ctr"/>
        <c:lblOffset val="100"/>
        <c:noMultiLvlLbl val="0"/>
      </c:catAx>
      <c:valAx>
        <c:axId val="17693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34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940528"/>
        <c:axId val="17694108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6.5</c:v>
                </c:pt>
                <c:pt idx="10">
                  <c:v>5.9090909090909092</c:v>
                </c:pt>
                <c:pt idx="11">
                  <c:v>6.083333333333333</c:v>
                </c:pt>
                <c:pt idx="12">
                  <c:v>6.2307692307692308</c:v>
                </c:pt>
                <c:pt idx="13">
                  <c:v>6.2857142857142856</c:v>
                </c:pt>
                <c:pt idx="14">
                  <c:v>5.8666666666666663</c:v>
                </c:pt>
                <c:pt idx="15">
                  <c:v>5.5</c:v>
                </c:pt>
                <c:pt idx="16">
                  <c:v>5.1764705882352944</c:v>
                </c:pt>
                <c:pt idx="17">
                  <c:v>4.8888888888888893</c:v>
                </c:pt>
                <c:pt idx="18">
                  <c:v>4.6315789473684212</c:v>
                </c:pt>
                <c:pt idx="19">
                  <c:v>4.4000000000000004</c:v>
                </c:pt>
                <c:pt idx="20">
                  <c:v>4.1904761904761907</c:v>
                </c:pt>
                <c:pt idx="21">
                  <c:v>4</c:v>
                </c:pt>
                <c:pt idx="22">
                  <c:v>3.8260869565217392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40528"/>
        <c:axId val="176941088"/>
      </c:lineChart>
      <c:catAx>
        <c:axId val="17694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41088"/>
        <c:crosses val="autoZero"/>
        <c:auto val="0"/>
        <c:lblAlgn val="ctr"/>
        <c:lblOffset val="100"/>
        <c:noMultiLvlLbl val="0"/>
      </c:catAx>
      <c:valAx>
        <c:axId val="176941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40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6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14368"/>
        <c:axId val="17711492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6.395833333333333</c:v>
                </c:pt>
                <c:pt idx="12">
                  <c:v>6.5192307692307692</c:v>
                </c:pt>
                <c:pt idx="13">
                  <c:v>6.0535714285714288</c:v>
                </c:pt>
                <c:pt idx="14">
                  <c:v>5.65</c:v>
                </c:pt>
                <c:pt idx="15">
                  <c:v>5.296875</c:v>
                </c:pt>
                <c:pt idx="16">
                  <c:v>4.9852941176470589</c:v>
                </c:pt>
                <c:pt idx="17">
                  <c:v>4.708333333333333</c:v>
                </c:pt>
                <c:pt idx="18">
                  <c:v>4.4605263157894735</c:v>
                </c:pt>
                <c:pt idx="19">
                  <c:v>4.2374999999999998</c:v>
                </c:pt>
                <c:pt idx="20">
                  <c:v>4.0357142857142856</c:v>
                </c:pt>
                <c:pt idx="21">
                  <c:v>3.8522727272727271</c:v>
                </c:pt>
                <c:pt idx="22">
                  <c:v>3.6847826086956523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14368"/>
        <c:axId val="177114928"/>
      </c:lineChart>
      <c:catAx>
        <c:axId val="177114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14928"/>
        <c:crosses val="autoZero"/>
        <c:auto val="0"/>
        <c:lblAlgn val="ctr"/>
        <c:lblOffset val="100"/>
        <c:noMultiLvlLbl val="0"/>
      </c:catAx>
      <c:valAx>
        <c:axId val="17711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143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554.78260869565213</c:v>
                </c:pt>
                <c:pt idx="1">
                  <c:v>529.56521739130437</c:v>
                </c:pt>
                <c:pt idx="2">
                  <c:v>504.3478260869565</c:v>
                </c:pt>
                <c:pt idx="3">
                  <c:v>479.13043478260869</c:v>
                </c:pt>
                <c:pt idx="4">
                  <c:v>453.91304347826087</c:v>
                </c:pt>
                <c:pt idx="5">
                  <c:v>428.69565217391306</c:v>
                </c:pt>
                <c:pt idx="6">
                  <c:v>403.47826086956525</c:v>
                </c:pt>
                <c:pt idx="7">
                  <c:v>378.26086956521738</c:v>
                </c:pt>
                <c:pt idx="8">
                  <c:v>353.04347826086962</c:v>
                </c:pt>
                <c:pt idx="9">
                  <c:v>327.82608695652175</c:v>
                </c:pt>
                <c:pt idx="10">
                  <c:v>302.60869565217394</c:v>
                </c:pt>
                <c:pt idx="11">
                  <c:v>277.39130434782612</c:v>
                </c:pt>
                <c:pt idx="12">
                  <c:v>252.17391304347831</c:v>
                </c:pt>
                <c:pt idx="13">
                  <c:v>226.95652173913044</c:v>
                </c:pt>
                <c:pt idx="14">
                  <c:v>201.73913043478262</c:v>
                </c:pt>
                <c:pt idx="15">
                  <c:v>176.52173913043481</c:v>
                </c:pt>
                <c:pt idx="16">
                  <c:v>151.304347826087</c:v>
                </c:pt>
                <c:pt idx="17">
                  <c:v>126.08695652173918</c:v>
                </c:pt>
                <c:pt idx="18">
                  <c:v>100.86956521739131</c:v>
                </c:pt>
                <c:pt idx="19">
                  <c:v>75.652173913043498</c:v>
                </c:pt>
                <c:pt idx="20">
                  <c:v>50.434782608695741</c:v>
                </c:pt>
                <c:pt idx="21">
                  <c:v>25.217391304347871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Product!$C$84:$O$84</c:f>
              <c:numCache>
                <c:formatCode>0.00</c:formatCode>
                <c:ptCount val="13"/>
                <c:pt idx="0">
                  <c:v>562.75</c:v>
                </c:pt>
                <c:pt idx="1">
                  <c:v>542.75</c:v>
                </c:pt>
                <c:pt idx="2">
                  <c:v>518.25</c:v>
                </c:pt>
                <c:pt idx="3">
                  <c:v>493.25</c:v>
                </c:pt>
                <c:pt idx="4">
                  <c:v>484</c:v>
                </c:pt>
                <c:pt idx="5">
                  <c:v>458</c:v>
                </c:pt>
                <c:pt idx="6">
                  <c:v>423.5</c:v>
                </c:pt>
                <c:pt idx="7">
                  <c:v>387.75</c:v>
                </c:pt>
                <c:pt idx="8">
                  <c:v>345.75</c:v>
                </c:pt>
                <c:pt idx="9">
                  <c:v>326.75</c:v>
                </c:pt>
                <c:pt idx="10">
                  <c:v>310.75</c:v>
                </c:pt>
                <c:pt idx="11">
                  <c:v>284.75</c:v>
                </c:pt>
                <c:pt idx="12">
                  <c:v>247.75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18288"/>
        <c:axId val="176936608"/>
      </c:lineChart>
      <c:catAx>
        <c:axId val="17711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36608"/>
        <c:crosses val="autoZero"/>
        <c:auto val="1"/>
        <c:lblAlgn val="ctr"/>
        <c:lblOffset val="100"/>
        <c:noMultiLvlLbl val="0"/>
      </c:catAx>
      <c:valAx>
        <c:axId val="17693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1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42272"/>
        <c:axId val="1767428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42272"/>
        <c:axId val="176742832"/>
      </c:lineChart>
      <c:catAx>
        <c:axId val="17674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42832"/>
        <c:crosses val="autoZero"/>
        <c:auto val="1"/>
        <c:lblAlgn val="ctr"/>
        <c:lblOffset val="100"/>
        <c:noMultiLvlLbl val="1"/>
      </c:catAx>
      <c:valAx>
        <c:axId val="17674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4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47312"/>
        <c:axId val="17674787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47312"/>
        <c:axId val="176747872"/>
      </c:lineChart>
      <c:catAx>
        <c:axId val="17674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47872"/>
        <c:crosses val="autoZero"/>
        <c:auto val="1"/>
        <c:lblAlgn val="ctr"/>
        <c:lblOffset val="100"/>
        <c:noMultiLvlLbl val="1"/>
      </c:catAx>
      <c:valAx>
        <c:axId val="17674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47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730000"/>
        <c:axId val="1777305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730000"/>
        <c:axId val="177730560"/>
      </c:lineChart>
      <c:catAx>
        <c:axId val="177730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30560"/>
        <c:crosses val="autoZero"/>
        <c:auto val="1"/>
        <c:lblAlgn val="ctr"/>
        <c:lblOffset val="100"/>
        <c:noMultiLvlLbl val="1"/>
      </c:catAx>
      <c:valAx>
        <c:axId val="177730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30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847600"/>
        <c:axId val="1778481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47600"/>
        <c:axId val="177848160"/>
      </c:lineChart>
      <c:catAx>
        <c:axId val="177847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48160"/>
        <c:crosses val="autoZero"/>
        <c:auto val="1"/>
        <c:lblAlgn val="ctr"/>
        <c:lblOffset val="100"/>
        <c:noMultiLvlLbl val="1"/>
      </c:catAx>
      <c:valAx>
        <c:axId val="1778481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476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054864"/>
        <c:axId val="1780554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054864"/>
        <c:axId val="178055424"/>
      </c:lineChart>
      <c:catAx>
        <c:axId val="178054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55424"/>
        <c:crosses val="autoZero"/>
        <c:auto val="1"/>
        <c:lblAlgn val="ctr"/>
        <c:lblOffset val="100"/>
        <c:noMultiLvlLbl val="1"/>
      </c:catAx>
      <c:valAx>
        <c:axId val="1780554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54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27440"/>
        <c:axId val="177528000"/>
      </c:lineChart>
      <c:catAx>
        <c:axId val="17752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28000"/>
        <c:crosses val="autoZero"/>
        <c:auto val="1"/>
        <c:lblAlgn val="ctr"/>
        <c:lblOffset val="100"/>
        <c:noMultiLvlLbl val="0"/>
      </c:catAx>
      <c:valAx>
        <c:axId val="17752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27440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529120"/>
        <c:axId val="177529680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529120"/>
        <c:axId val="177529680"/>
      </c:lineChart>
      <c:catAx>
        <c:axId val="17752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29680"/>
        <c:crosses val="autoZero"/>
        <c:auto val="0"/>
        <c:lblAlgn val="ctr"/>
        <c:lblOffset val="100"/>
        <c:noMultiLvlLbl val="1"/>
      </c:catAx>
      <c:valAx>
        <c:axId val="17752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2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340384"/>
        <c:axId val="17734094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40384"/>
        <c:axId val="177340944"/>
      </c:lineChart>
      <c:catAx>
        <c:axId val="177340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0944"/>
        <c:crosses val="autoZero"/>
        <c:auto val="1"/>
        <c:lblAlgn val="ctr"/>
        <c:lblOffset val="100"/>
        <c:noMultiLvlLbl val="1"/>
      </c:catAx>
      <c:valAx>
        <c:axId val="177340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03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345984"/>
        <c:axId val="17734654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45984"/>
        <c:axId val="177346544"/>
      </c:lineChart>
      <c:catAx>
        <c:axId val="17734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6544"/>
        <c:crosses val="autoZero"/>
        <c:auto val="1"/>
        <c:lblAlgn val="ctr"/>
        <c:lblOffset val="100"/>
        <c:noMultiLvlLbl val="1"/>
      </c:catAx>
      <c:valAx>
        <c:axId val="177346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5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442736"/>
        <c:axId val="17844329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42736"/>
        <c:axId val="178443296"/>
      </c:lineChart>
      <c:catAx>
        <c:axId val="178442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43296"/>
        <c:crosses val="autoZero"/>
        <c:auto val="1"/>
        <c:lblAlgn val="ctr"/>
        <c:lblOffset val="100"/>
        <c:noMultiLvlLbl val="1"/>
      </c:catAx>
      <c:valAx>
        <c:axId val="178443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427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448336"/>
        <c:axId val="17844889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48336"/>
        <c:axId val="178448896"/>
      </c:lineChart>
      <c:catAx>
        <c:axId val="178448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48896"/>
        <c:crosses val="autoZero"/>
        <c:auto val="1"/>
        <c:lblAlgn val="ctr"/>
        <c:lblOffset val="100"/>
        <c:noMultiLvlLbl val="1"/>
      </c:catAx>
      <c:valAx>
        <c:axId val="178448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483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453936"/>
        <c:axId val="178454496"/>
      </c:lineChart>
      <c:catAx>
        <c:axId val="17845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54496"/>
        <c:crosses val="autoZero"/>
        <c:auto val="1"/>
        <c:lblAlgn val="ctr"/>
        <c:lblOffset val="100"/>
        <c:noMultiLvlLbl val="0"/>
      </c:catAx>
      <c:valAx>
        <c:axId val="1784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5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760656"/>
        <c:axId val="178761216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60656"/>
        <c:axId val="178761216"/>
      </c:lineChart>
      <c:catAx>
        <c:axId val="178760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61216"/>
        <c:crosses val="autoZero"/>
        <c:auto val="0"/>
        <c:lblAlgn val="ctr"/>
        <c:lblOffset val="100"/>
        <c:noMultiLvlLbl val="1"/>
      </c:catAx>
      <c:valAx>
        <c:axId val="17876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6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766256"/>
        <c:axId val="17876681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66256"/>
        <c:axId val="178766816"/>
      </c:lineChart>
      <c:catAx>
        <c:axId val="178766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66816"/>
        <c:crosses val="autoZero"/>
        <c:auto val="1"/>
        <c:lblAlgn val="ctr"/>
        <c:lblOffset val="100"/>
        <c:noMultiLvlLbl val="1"/>
      </c:catAx>
      <c:valAx>
        <c:axId val="178766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66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771856"/>
        <c:axId val="17877241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71856"/>
        <c:axId val="178772416"/>
      </c:lineChart>
      <c:catAx>
        <c:axId val="178771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72416"/>
        <c:crosses val="autoZero"/>
        <c:auto val="1"/>
        <c:lblAlgn val="ctr"/>
        <c:lblOffset val="100"/>
        <c:noMultiLvlLbl val="1"/>
      </c:catAx>
      <c:valAx>
        <c:axId val="178772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718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306112"/>
        <c:axId val="2023066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306112"/>
        <c:axId val="202306672"/>
      </c:lineChart>
      <c:catAx>
        <c:axId val="20230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06672"/>
        <c:crosses val="autoZero"/>
        <c:auto val="1"/>
        <c:lblAlgn val="ctr"/>
        <c:lblOffset val="100"/>
        <c:noMultiLvlLbl val="1"/>
      </c:catAx>
      <c:valAx>
        <c:axId val="202306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0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311712"/>
        <c:axId val="2023122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311712"/>
        <c:axId val="202312272"/>
      </c:lineChart>
      <c:catAx>
        <c:axId val="20231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12272"/>
        <c:crosses val="autoZero"/>
        <c:auto val="1"/>
        <c:lblAlgn val="ctr"/>
        <c:lblOffset val="100"/>
        <c:noMultiLvlLbl val="1"/>
      </c:catAx>
      <c:valAx>
        <c:axId val="2023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11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007824"/>
        <c:axId val="20200838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202007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08384"/>
        <c:crosses val="autoZero"/>
        <c:auto val="1"/>
        <c:lblAlgn val="ctr"/>
        <c:lblOffset val="100"/>
        <c:noMultiLvlLbl val="0"/>
      </c:catAx>
      <c:valAx>
        <c:axId val="20200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07824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012304"/>
        <c:axId val="202012864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12304"/>
        <c:axId val="202012864"/>
      </c:lineChart>
      <c:catAx>
        <c:axId val="202012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2864"/>
        <c:crosses val="autoZero"/>
        <c:auto val="0"/>
        <c:lblAlgn val="ctr"/>
        <c:lblOffset val="100"/>
        <c:noMultiLvlLbl val="1"/>
      </c:catAx>
      <c:valAx>
        <c:axId val="2020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017904"/>
        <c:axId val="20201846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17904"/>
        <c:axId val="202018464"/>
      </c:lineChart>
      <c:catAx>
        <c:axId val="20201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8464"/>
        <c:crosses val="autoZero"/>
        <c:auto val="1"/>
        <c:lblAlgn val="ctr"/>
        <c:lblOffset val="100"/>
        <c:noMultiLvlLbl val="1"/>
      </c:catAx>
      <c:valAx>
        <c:axId val="2020184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7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739952"/>
        <c:axId val="20274051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39952"/>
        <c:axId val="202740512"/>
      </c:lineChart>
      <c:catAx>
        <c:axId val="202739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40512"/>
        <c:crosses val="autoZero"/>
        <c:auto val="1"/>
        <c:lblAlgn val="ctr"/>
        <c:lblOffset val="100"/>
        <c:noMultiLvlLbl val="1"/>
      </c:catAx>
      <c:valAx>
        <c:axId val="202740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39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746112"/>
        <c:axId val="2027466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46112"/>
        <c:axId val="202746672"/>
      </c:lineChart>
      <c:catAx>
        <c:axId val="20274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46672"/>
        <c:crosses val="autoZero"/>
        <c:auto val="1"/>
        <c:lblAlgn val="ctr"/>
        <c:lblOffset val="100"/>
        <c:noMultiLvlLbl val="1"/>
      </c:catAx>
      <c:valAx>
        <c:axId val="202746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4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751712"/>
        <c:axId val="2027522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51712"/>
        <c:axId val="202752272"/>
      </c:lineChart>
      <c:catAx>
        <c:axId val="20275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52272"/>
        <c:crosses val="autoZero"/>
        <c:auto val="1"/>
        <c:lblAlgn val="ctr"/>
        <c:lblOffset val="100"/>
        <c:noMultiLvlLbl val="1"/>
      </c:catAx>
      <c:valAx>
        <c:axId val="20275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51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030064"/>
        <c:axId val="20303062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203030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30624"/>
        <c:crosses val="autoZero"/>
        <c:auto val="1"/>
        <c:lblAlgn val="ctr"/>
        <c:lblOffset val="100"/>
        <c:noMultiLvlLbl val="0"/>
      </c:catAx>
      <c:valAx>
        <c:axId val="20303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5.75</c:v>
                </c:pt>
                <c:pt idx="1">
                  <c:v>2.75</c:v>
                </c:pt>
                <c:pt idx="2">
                  <c:v>0</c:v>
                </c:pt>
                <c:pt idx="3">
                  <c:v>2.5</c:v>
                </c:pt>
                <c:pt idx="4">
                  <c:v>1.5</c:v>
                </c:pt>
                <c:pt idx="5">
                  <c:v>1</c:v>
                </c:pt>
                <c:pt idx="6">
                  <c:v>5.5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034544"/>
        <c:axId val="203035104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5.75</c:v>
                </c:pt>
                <c:pt idx="1">
                  <c:v>4.25</c:v>
                </c:pt>
                <c:pt idx="2">
                  <c:v>2.833333333333333</c:v>
                </c:pt>
                <c:pt idx="3">
                  <c:v>2.75</c:v>
                </c:pt>
                <c:pt idx="4">
                  <c:v>2.5</c:v>
                </c:pt>
                <c:pt idx="5">
                  <c:v>2.25</c:v>
                </c:pt>
                <c:pt idx="6">
                  <c:v>2.7142857142857144</c:v>
                </c:pt>
                <c:pt idx="7">
                  <c:v>2.75</c:v>
                </c:pt>
                <c:pt idx="8">
                  <c:v>3.2222222222222223</c:v>
                </c:pt>
                <c:pt idx="9">
                  <c:v>3.2</c:v>
                </c:pt>
                <c:pt idx="10">
                  <c:v>3</c:v>
                </c:pt>
                <c:pt idx="11">
                  <c:v>2.833333333333333</c:v>
                </c:pt>
                <c:pt idx="12">
                  <c:v>2.6923076923076925</c:v>
                </c:pt>
                <c:pt idx="13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034544"/>
        <c:axId val="203035104"/>
      </c:lineChart>
      <c:catAx>
        <c:axId val="203034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35104"/>
        <c:crosses val="autoZero"/>
        <c:auto val="0"/>
        <c:lblAlgn val="ctr"/>
        <c:lblOffset val="100"/>
        <c:noMultiLvlLbl val="1"/>
      </c:catAx>
      <c:valAx>
        <c:axId val="2030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040144"/>
        <c:axId val="20304070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040144"/>
        <c:axId val="203040704"/>
      </c:lineChart>
      <c:catAx>
        <c:axId val="203040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40704"/>
        <c:crosses val="autoZero"/>
        <c:auto val="1"/>
        <c:lblAlgn val="ctr"/>
        <c:lblOffset val="100"/>
        <c:noMultiLvlLbl val="1"/>
      </c:catAx>
      <c:valAx>
        <c:axId val="20304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40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848768"/>
        <c:axId val="20384932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848768"/>
        <c:axId val="203849328"/>
      </c:lineChart>
      <c:catAx>
        <c:axId val="203848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9328"/>
        <c:crosses val="autoZero"/>
        <c:auto val="1"/>
        <c:lblAlgn val="ctr"/>
        <c:lblOffset val="100"/>
        <c:noMultiLvlLbl val="1"/>
      </c:catAx>
      <c:valAx>
        <c:axId val="203849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87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854928"/>
        <c:axId val="20385548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854928"/>
        <c:axId val="203855488"/>
      </c:lineChart>
      <c:catAx>
        <c:axId val="20385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55488"/>
        <c:crosses val="autoZero"/>
        <c:auto val="1"/>
        <c:lblAlgn val="ctr"/>
        <c:lblOffset val="100"/>
        <c:noMultiLvlLbl val="1"/>
      </c:catAx>
      <c:valAx>
        <c:axId val="203855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54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860528"/>
        <c:axId val="20386108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860528"/>
        <c:axId val="203861088"/>
      </c:lineChart>
      <c:catAx>
        <c:axId val="20386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61088"/>
        <c:crosses val="autoZero"/>
        <c:auto val="1"/>
        <c:lblAlgn val="ctr"/>
        <c:lblOffset val="100"/>
        <c:noMultiLvlLbl val="1"/>
      </c:catAx>
      <c:valAx>
        <c:axId val="203861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60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17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633328"/>
        <c:axId val="203633888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3.333333333333333</c:v>
                </c:pt>
                <c:pt idx="3">
                  <c:v>3</c:v>
                </c:pt>
                <c:pt idx="4">
                  <c:v>3.4000000000000004</c:v>
                </c:pt>
                <c:pt idx="5">
                  <c:v>3.6666666666666665</c:v>
                </c:pt>
                <c:pt idx="6">
                  <c:v>3.714285714285714</c:v>
                </c:pt>
                <c:pt idx="7">
                  <c:v>3.5</c:v>
                </c:pt>
                <c:pt idx="8">
                  <c:v>3.333333333333333</c:v>
                </c:pt>
                <c:pt idx="9">
                  <c:v>3.5</c:v>
                </c:pt>
                <c:pt idx="10">
                  <c:v>3.3636363636363638</c:v>
                </c:pt>
                <c:pt idx="11">
                  <c:v>4.5</c:v>
                </c:pt>
                <c:pt idx="12">
                  <c:v>4.615384615384615</c:v>
                </c:pt>
                <c:pt idx="13">
                  <c:v>4.5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633328"/>
        <c:axId val="203633888"/>
      </c:lineChart>
      <c:catAx>
        <c:axId val="203633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33888"/>
        <c:crosses val="autoZero"/>
        <c:auto val="0"/>
        <c:lblAlgn val="ctr"/>
        <c:lblOffset val="100"/>
        <c:noMultiLvlLbl val="1"/>
      </c:catAx>
      <c:valAx>
        <c:axId val="20363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3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638928"/>
        <c:axId val="20363948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1.0833333333333333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638928"/>
        <c:axId val="203639488"/>
      </c:lineChart>
      <c:catAx>
        <c:axId val="20363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39488"/>
        <c:crosses val="autoZero"/>
        <c:auto val="1"/>
        <c:lblAlgn val="ctr"/>
        <c:lblOffset val="100"/>
        <c:noMultiLvlLbl val="1"/>
      </c:catAx>
      <c:valAx>
        <c:axId val="203639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38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92768"/>
        <c:axId val="20469332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0.77777777777777779</c:v>
                </c:pt>
                <c:pt idx="9">
                  <c:v>1.1000000000000001</c:v>
                </c:pt>
                <c:pt idx="10">
                  <c:v>1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92768"/>
        <c:axId val="204693328"/>
      </c:lineChart>
      <c:catAx>
        <c:axId val="20469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93328"/>
        <c:crosses val="autoZero"/>
        <c:auto val="1"/>
        <c:lblAlgn val="ctr"/>
        <c:lblOffset val="100"/>
        <c:noMultiLvlLbl val="1"/>
      </c:catAx>
      <c:valAx>
        <c:axId val="204693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927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98928"/>
        <c:axId val="20469948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0.66666666666666663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1.0833333333333333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98928"/>
        <c:axId val="204699488"/>
      </c:lineChart>
      <c:catAx>
        <c:axId val="20469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99488"/>
        <c:crosses val="autoZero"/>
        <c:auto val="1"/>
        <c:lblAlgn val="ctr"/>
        <c:lblOffset val="100"/>
        <c:noMultiLvlLbl val="1"/>
      </c:catAx>
      <c:valAx>
        <c:axId val="204699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98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704528"/>
        <c:axId val="20470508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1</c:v>
                </c:pt>
                <c:pt idx="8">
                  <c:v>1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04528"/>
        <c:axId val="204705088"/>
      </c:lineChart>
      <c:catAx>
        <c:axId val="20470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05088"/>
        <c:crosses val="autoZero"/>
        <c:auto val="1"/>
        <c:lblAlgn val="ctr"/>
        <c:lblOffset val="100"/>
        <c:noMultiLvlLbl val="1"/>
      </c:catAx>
      <c:valAx>
        <c:axId val="204705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04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5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5'!$B$89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'Sprint 5'!$B$91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5'!$C$91:$Q$91</c:f>
              <c:numCache>
                <c:formatCode>0.00</c:formatCode>
                <c:ptCount val="15"/>
                <c:pt idx="0">
                  <c:v>63</c:v>
                </c:pt>
                <c:pt idx="1">
                  <c:v>62</c:v>
                </c:pt>
                <c:pt idx="2">
                  <c:v>57</c:v>
                </c:pt>
                <c:pt idx="3">
                  <c:v>53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37</c:v>
                </c:pt>
                <c:pt idx="8">
                  <c:v>35</c:v>
                </c:pt>
                <c:pt idx="9">
                  <c:v>33</c:v>
                </c:pt>
                <c:pt idx="10">
                  <c:v>28</c:v>
                </c:pt>
                <c:pt idx="11">
                  <c:v>26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079504"/>
        <c:axId val="20508006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5'!$C$88:$Q$88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5'!$C$90:$Q$90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63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4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5</c:v>
                      </c:pt>
                      <c:pt idx="11">
                        <c:v>2</c:v>
                      </c:pt>
                      <c:pt idx="12">
                        <c:v>17</c:v>
                      </c:pt>
                      <c:pt idx="13">
                        <c:v>6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05079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80064"/>
        <c:crosses val="autoZero"/>
        <c:auto val="1"/>
        <c:lblAlgn val="ctr"/>
        <c:lblOffset val="100"/>
        <c:noMultiLvlLbl val="0"/>
      </c:catAx>
      <c:valAx>
        <c:axId val="20508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7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083984"/>
        <c:axId val="205084544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1.5</c:v>
                </c:pt>
                <c:pt idx="6">
                  <c:v>2</c:v>
                </c:pt>
                <c:pt idx="7">
                  <c:v>1.75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83984"/>
        <c:axId val="205084544"/>
      </c:lineChart>
      <c:catAx>
        <c:axId val="20508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84544"/>
        <c:crosses val="autoZero"/>
        <c:auto val="0"/>
        <c:lblAlgn val="ctr"/>
        <c:lblOffset val="100"/>
        <c:noMultiLvlLbl val="1"/>
      </c:catAx>
      <c:valAx>
        <c:axId val="20508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8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089584"/>
        <c:axId val="20509014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89584"/>
        <c:axId val="205090144"/>
      </c:lineChart>
      <c:catAx>
        <c:axId val="205089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90144"/>
        <c:crosses val="autoZero"/>
        <c:auto val="1"/>
        <c:lblAlgn val="ctr"/>
        <c:lblOffset val="100"/>
        <c:noMultiLvlLbl val="1"/>
      </c:catAx>
      <c:valAx>
        <c:axId val="205090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89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095184"/>
        <c:axId val="20509574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95184"/>
        <c:axId val="205095744"/>
      </c:lineChart>
      <c:catAx>
        <c:axId val="20509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95744"/>
        <c:crosses val="autoZero"/>
        <c:auto val="1"/>
        <c:lblAlgn val="ctr"/>
        <c:lblOffset val="100"/>
        <c:noMultiLvlLbl val="1"/>
      </c:catAx>
      <c:valAx>
        <c:axId val="205095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95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101344"/>
        <c:axId val="20510190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0.83333333333333337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01344"/>
        <c:axId val="205101904"/>
      </c:lineChart>
      <c:catAx>
        <c:axId val="20510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01904"/>
        <c:crosses val="autoZero"/>
        <c:auto val="1"/>
        <c:lblAlgn val="ctr"/>
        <c:lblOffset val="100"/>
        <c:noMultiLvlLbl val="1"/>
      </c:catAx>
      <c:valAx>
        <c:axId val="2051019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01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106944"/>
        <c:axId val="20510750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06944"/>
        <c:axId val="205107504"/>
      </c:lineChart>
      <c:catAx>
        <c:axId val="20510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07504"/>
        <c:crosses val="autoZero"/>
        <c:auto val="1"/>
        <c:lblAlgn val="ctr"/>
        <c:lblOffset val="100"/>
        <c:noMultiLvlLbl val="1"/>
      </c:catAx>
      <c:valAx>
        <c:axId val="205107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06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801280"/>
        <c:axId val="20580184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01280"/>
        <c:axId val="205801840"/>
      </c:lineChart>
      <c:catAx>
        <c:axId val="205801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01840"/>
        <c:crosses val="autoZero"/>
        <c:auto val="0"/>
        <c:lblAlgn val="ctr"/>
        <c:lblOffset val="100"/>
        <c:noMultiLvlLbl val="1"/>
      </c:catAx>
      <c:valAx>
        <c:axId val="20580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0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806880"/>
        <c:axId val="20580744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06880"/>
        <c:axId val="205807440"/>
      </c:lineChart>
      <c:catAx>
        <c:axId val="20580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07440"/>
        <c:crosses val="autoZero"/>
        <c:auto val="1"/>
        <c:lblAlgn val="ctr"/>
        <c:lblOffset val="100"/>
        <c:noMultiLvlLbl val="1"/>
      </c:catAx>
      <c:valAx>
        <c:axId val="205807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06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812480"/>
        <c:axId val="20581304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12480"/>
        <c:axId val="205813040"/>
      </c:lineChart>
      <c:catAx>
        <c:axId val="20581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13040"/>
        <c:crosses val="autoZero"/>
        <c:auto val="1"/>
        <c:lblAlgn val="ctr"/>
        <c:lblOffset val="100"/>
        <c:noMultiLvlLbl val="1"/>
      </c:catAx>
      <c:valAx>
        <c:axId val="205813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124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818640"/>
        <c:axId val="20581920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18640"/>
        <c:axId val="205819200"/>
      </c:lineChart>
      <c:catAx>
        <c:axId val="205818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19200"/>
        <c:crosses val="autoZero"/>
        <c:auto val="1"/>
        <c:lblAlgn val="ctr"/>
        <c:lblOffset val="100"/>
        <c:noMultiLvlLbl val="1"/>
      </c:catAx>
      <c:valAx>
        <c:axId val="205819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18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824240"/>
        <c:axId val="20582480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24240"/>
        <c:axId val="205824800"/>
      </c:lineChart>
      <c:catAx>
        <c:axId val="205824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24800"/>
        <c:crosses val="autoZero"/>
        <c:auto val="1"/>
        <c:lblAlgn val="ctr"/>
        <c:lblOffset val="100"/>
        <c:noMultiLvlLbl val="1"/>
      </c:catAx>
      <c:valAx>
        <c:axId val="205824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24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830400"/>
        <c:axId val="206560384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30400"/>
        <c:axId val="206560384"/>
      </c:lineChart>
      <c:catAx>
        <c:axId val="205830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60384"/>
        <c:crosses val="autoZero"/>
        <c:auto val="0"/>
        <c:lblAlgn val="ctr"/>
        <c:lblOffset val="100"/>
        <c:noMultiLvlLbl val="1"/>
      </c:catAx>
      <c:valAx>
        <c:axId val="20656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3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65424"/>
        <c:axId val="2065659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65424"/>
        <c:axId val="206565984"/>
      </c:lineChart>
      <c:catAx>
        <c:axId val="206565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65984"/>
        <c:crosses val="autoZero"/>
        <c:auto val="1"/>
        <c:lblAlgn val="ctr"/>
        <c:lblOffset val="100"/>
        <c:noMultiLvlLbl val="1"/>
      </c:catAx>
      <c:valAx>
        <c:axId val="206565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654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71024"/>
        <c:axId val="2065715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71024"/>
        <c:axId val="206571584"/>
      </c:lineChart>
      <c:catAx>
        <c:axId val="206571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71584"/>
        <c:crosses val="autoZero"/>
        <c:auto val="1"/>
        <c:lblAlgn val="ctr"/>
        <c:lblOffset val="100"/>
        <c:noMultiLvlLbl val="1"/>
      </c:catAx>
      <c:valAx>
        <c:axId val="206571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710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77184"/>
        <c:axId val="20657774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77184"/>
        <c:axId val="206577744"/>
      </c:lineChart>
      <c:catAx>
        <c:axId val="206577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77744"/>
        <c:crosses val="autoZero"/>
        <c:auto val="1"/>
        <c:lblAlgn val="ctr"/>
        <c:lblOffset val="100"/>
        <c:noMultiLvlLbl val="1"/>
      </c:catAx>
      <c:valAx>
        <c:axId val="206577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77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82784"/>
        <c:axId val="20658334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82784"/>
        <c:axId val="206583344"/>
      </c:lineChart>
      <c:catAx>
        <c:axId val="206582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83344"/>
        <c:crosses val="autoZero"/>
        <c:auto val="1"/>
        <c:lblAlgn val="ctr"/>
        <c:lblOffset val="100"/>
        <c:noMultiLvlLbl val="1"/>
      </c:catAx>
      <c:valAx>
        <c:axId val="2065833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82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88944"/>
        <c:axId val="206589504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88944"/>
        <c:axId val="206589504"/>
      </c:lineChart>
      <c:catAx>
        <c:axId val="20658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89504"/>
        <c:crosses val="autoZero"/>
        <c:auto val="0"/>
        <c:lblAlgn val="ctr"/>
        <c:lblOffset val="100"/>
        <c:noMultiLvlLbl val="1"/>
      </c:catAx>
      <c:valAx>
        <c:axId val="206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8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90944"/>
        <c:axId val="2077915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90944"/>
        <c:axId val="207791504"/>
      </c:lineChart>
      <c:catAx>
        <c:axId val="207790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91504"/>
        <c:crosses val="autoZero"/>
        <c:auto val="1"/>
        <c:lblAlgn val="ctr"/>
        <c:lblOffset val="100"/>
        <c:noMultiLvlLbl val="1"/>
      </c:catAx>
      <c:valAx>
        <c:axId val="207791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90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96544"/>
        <c:axId val="2077971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96544"/>
        <c:axId val="207797104"/>
      </c:lineChart>
      <c:catAx>
        <c:axId val="207796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97104"/>
        <c:crosses val="autoZero"/>
        <c:auto val="1"/>
        <c:lblAlgn val="ctr"/>
        <c:lblOffset val="100"/>
        <c:noMultiLvlLbl val="1"/>
      </c:catAx>
      <c:valAx>
        <c:axId val="207797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96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802704"/>
        <c:axId val="2078032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02704"/>
        <c:axId val="207803264"/>
      </c:lineChart>
      <c:catAx>
        <c:axId val="20780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03264"/>
        <c:crosses val="autoZero"/>
        <c:auto val="1"/>
        <c:lblAlgn val="ctr"/>
        <c:lblOffset val="100"/>
        <c:noMultiLvlLbl val="1"/>
      </c:catAx>
      <c:valAx>
        <c:axId val="207803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02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808304"/>
        <c:axId val="2078088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08304"/>
        <c:axId val="207808864"/>
      </c:lineChart>
      <c:catAx>
        <c:axId val="207808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08864"/>
        <c:crosses val="autoZero"/>
        <c:auto val="1"/>
        <c:lblAlgn val="ctr"/>
        <c:lblOffset val="100"/>
        <c:noMultiLvlLbl val="1"/>
      </c:catAx>
      <c:valAx>
        <c:axId val="2078088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083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814464"/>
        <c:axId val="20781502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14464"/>
        <c:axId val="207815024"/>
      </c:lineChart>
      <c:catAx>
        <c:axId val="20781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15024"/>
        <c:crosses val="autoZero"/>
        <c:auto val="0"/>
        <c:lblAlgn val="ctr"/>
        <c:lblOffset val="100"/>
        <c:noMultiLvlLbl val="1"/>
      </c:catAx>
      <c:valAx>
        <c:axId val="20781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1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820064"/>
        <c:axId val="20782062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20064"/>
        <c:axId val="207820624"/>
      </c:lineChart>
      <c:catAx>
        <c:axId val="207820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20624"/>
        <c:crosses val="autoZero"/>
        <c:auto val="1"/>
        <c:lblAlgn val="ctr"/>
        <c:lblOffset val="100"/>
        <c:noMultiLvlLbl val="1"/>
      </c:catAx>
      <c:valAx>
        <c:axId val="207820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200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306272"/>
        <c:axId val="20830683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06272"/>
        <c:axId val="208306832"/>
      </c:lineChart>
      <c:catAx>
        <c:axId val="208306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06832"/>
        <c:crosses val="autoZero"/>
        <c:auto val="1"/>
        <c:lblAlgn val="ctr"/>
        <c:lblOffset val="100"/>
        <c:noMultiLvlLbl val="1"/>
      </c:catAx>
      <c:valAx>
        <c:axId val="208306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06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312432"/>
        <c:axId val="20831299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12432"/>
        <c:axId val="208312992"/>
      </c:lineChart>
      <c:catAx>
        <c:axId val="208312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12992"/>
        <c:crosses val="autoZero"/>
        <c:auto val="1"/>
        <c:lblAlgn val="ctr"/>
        <c:lblOffset val="100"/>
        <c:noMultiLvlLbl val="1"/>
      </c:catAx>
      <c:valAx>
        <c:axId val="2083129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12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318032"/>
        <c:axId val="20831859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18032"/>
        <c:axId val="208318592"/>
      </c:lineChart>
      <c:catAx>
        <c:axId val="208318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18592"/>
        <c:crosses val="autoZero"/>
        <c:auto val="1"/>
        <c:lblAlgn val="ctr"/>
        <c:lblOffset val="100"/>
        <c:noMultiLvlLbl val="1"/>
      </c:catAx>
      <c:valAx>
        <c:axId val="2083185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18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5" Type="http://schemas.openxmlformats.org/officeDocument/2006/relationships/chart" Target="../charts/chart61.xml"/><Relationship Id="rId4" Type="http://schemas.openxmlformats.org/officeDocument/2006/relationships/chart" Target="../charts/chart6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5" Type="http://schemas.openxmlformats.org/officeDocument/2006/relationships/chart" Target="../charts/chart66.xml"/><Relationship Id="rId4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966787</xdr:colOff>
      <xdr:row>84</xdr:row>
      <xdr:rowOff>100012</xdr:rowOff>
    </xdr:from>
    <xdr:to>
      <xdr:col>17</xdr:col>
      <xdr:colOff>523875</xdr:colOff>
      <xdr:row>112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24850</xdr:colOff>
      <xdr:row>91</xdr:row>
      <xdr:rowOff>15737</xdr:rowOff>
    </xdr:from>
    <xdr:to>
      <xdr:col>14</xdr:col>
      <xdr:colOff>1</xdr:colOff>
      <xdr:row>106</xdr:row>
      <xdr:rowOff>115957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B28" workbookViewId="0">
      <selection activeCell="O43" sqref="O43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4" t="s">
        <v>0</v>
      </c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1" t="s">
        <v>3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 t="s">
        <v>4</v>
      </c>
      <c r="O3" s="72"/>
      <c r="P3" s="72"/>
      <c r="Q3" s="72"/>
      <c r="R3" s="72"/>
      <c r="S3" s="72"/>
      <c r="T3" s="72"/>
      <c r="U3" s="72"/>
      <c r="V3" s="72"/>
      <c r="W3" s="72"/>
      <c r="X3" s="72"/>
      <c r="Y3" s="73"/>
    </row>
    <row r="4" spans="1:25" ht="15.75" x14ac:dyDescent="0.25">
      <c r="C4" s="70" t="s">
        <v>5</v>
      </c>
      <c r="D4" s="70"/>
      <c r="E4" s="70"/>
      <c r="F4" s="70" t="s">
        <v>6</v>
      </c>
      <c r="G4" s="70"/>
      <c r="H4" s="70" t="s">
        <v>7</v>
      </c>
      <c r="I4" s="70"/>
      <c r="J4" s="70" t="s">
        <v>8</v>
      </c>
      <c r="K4" s="70"/>
      <c r="L4" s="76" t="s">
        <v>9</v>
      </c>
      <c r="M4" s="77"/>
      <c r="N4" s="77" t="s">
        <v>10</v>
      </c>
      <c r="O4" s="78"/>
      <c r="P4" s="70" t="s">
        <v>11</v>
      </c>
      <c r="Q4" s="70"/>
      <c r="R4" s="70" t="s">
        <v>12</v>
      </c>
      <c r="S4" s="70"/>
      <c r="T4" s="70" t="s">
        <v>13</v>
      </c>
      <c r="U4" s="70"/>
      <c r="V4" s="70" t="s">
        <v>14</v>
      </c>
      <c r="W4" s="70"/>
      <c r="X4" s="70" t="s">
        <v>15</v>
      </c>
      <c r="Y4" s="70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68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6</v>
      </c>
      <c r="O7" s="22">
        <f>SUM('Sprint 5'!J6:P6)</f>
        <v>11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68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6</v>
      </c>
      <c r="O8" s="22">
        <f>SUM('Sprint 5'!J7:P7)</f>
        <v>10</v>
      </c>
      <c r="P8" s="22">
        <f>SUM('Sprint 6'!C7:I7)</f>
        <v>7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68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0</v>
      </c>
      <c r="M9" s="24">
        <f>SUM('Sprint 4'!J8:P8)</f>
        <v>0</v>
      </c>
      <c r="N9" s="44">
        <f>SUM('Sprint 5'!C8:I8)</f>
        <v>8</v>
      </c>
      <c r="O9" s="22">
        <f>SUM('Sprint 5'!J8:P8)</f>
        <v>8</v>
      </c>
      <c r="P9" s="22">
        <f>SUM('Sprint 6'!C8:I8)</f>
        <v>7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68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6</v>
      </c>
      <c r="O10" s="22">
        <f>SUM('Sprint 5'!J9:P9)</f>
        <v>8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68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19</v>
      </c>
      <c r="M11" s="21">
        <f t="shared" si="2"/>
        <v>16</v>
      </c>
      <c r="N11" s="46">
        <f>SUM(N7:N10)</f>
        <v>26</v>
      </c>
      <c r="O11" s="64">
        <f t="shared" ref="O11:Y11" si="3">SUM(O7:O10)</f>
        <v>37</v>
      </c>
      <c r="P11" s="64">
        <f t="shared" si="3"/>
        <v>14</v>
      </c>
      <c r="Q11" s="64">
        <f t="shared" si="3"/>
        <v>0</v>
      </c>
      <c r="R11" s="64">
        <f t="shared" si="3"/>
        <v>0</v>
      </c>
      <c r="S11" s="64">
        <f t="shared" si="3"/>
        <v>0</v>
      </c>
      <c r="T11" s="64">
        <f t="shared" si="3"/>
        <v>0</v>
      </c>
      <c r="U11" s="64">
        <f t="shared" si="3"/>
        <v>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 x14ac:dyDescent="0.25">
      <c r="A12" s="6"/>
      <c r="M12" s="47"/>
      <c r="N12" s="48"/>
    </row>
    <row r="13" spans="1:25" x14ac:dyDescent="0.25">
      <c r="A13" s="68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68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68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68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68"/>
      <c r="B17" s="9" t="s">
        <v>19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4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6">
        <f>SUM(N13:N16)</f>
        <v>0</v>
      </c>
      <c r="O17" s="64">
        <f t="shared" ref="O17" si="14">SUM(O13:O16)</f>
        <v>0</v>
      </c>
      <c r="P17" s="64">
        <f t="shared" ref="P17" si="15">SUM(P13:P16)</f>
        <v>0</v>
      </c>
      <c r="Q17" s="64">
        <f t="shared" ref="Q17" si="16">SUM(Q13:Q16)</f>
        <v>0</v>
      </c>
      <c r="R17" s="64">
        <f t="shared" ref="R17" si="17">SUM(R13:R16)</f>
        <v>0</v>
      </c>
      <c r="S17" s="64">
        <f t="shared" ref="S17" si="18">SUM(S13:S16)</f>
        <v>0</v>
      </c>
      <c r="T17" s="64">
        <f t="shared" ref="T17" si="19">SUM(T13:T16)</f>
        <v>0</v>
      </c>
      <c r="U17" s="64">
        <f t="shared" ref="U17" si="20">SUM(U13:U16)</f>
        <v>0</v>
      </c>
      <c r="V17" s="64">
        <f t="shared" ref="V17" si="21">SUM(V13:V16)</f>
        <v>0</v>
      </c>
      <c r="W17" s="64">
        <f t="shared" ref="W17" si="22">SUM(W13:W16)</f>
        <v>0</v>
      </c>
      <c r="X17" s="64">
        <f t="shared" ref="X17" si="23">SUM(X13:X16)</f>
        <v>0</v>
      </c>
      <c r="Y17" s="64">
        <f t="shared" ref="Y17" si="24">SUM(Y13:Y16)</f>
        <v>0</v>
      </c>
    </row>
    <row r="18" spans="1:25" x14ac:dyDescent="0.25">
      <c r="M18" s="47"/>
      <c r="N18" s="48"/>
    </row>
    <row r="19" spans="1:25" x14ac:dyDescent="0.25">
      <c r="A19" s="69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25" xml:space="preserve"> D19 + E7 + E13</f>
        <v>16.25</v>
      </c>
      <c r="F19" s="24">
        <f t="shared" si="25"/>
        <v>22.75</v>
      </c>
      <c r="G19" s="24">
        <f t="shared" si="25"/>
        <v>24.75</v>
      </c>
      <c r="H19" s="24">
        <f t="shared" si="25"/>
        <v>30.75</v>
      </c>
      <c r="I19" s="24">
        <f t="shared" si="25"/>
        <v>38.75</v>
      </c>
      <c r="J19" s="24">
        <f t="shared" si="25"/>
        <v>51</v>
      </c>
      <c r="K19" s="24">
        <f t="shared" si="25"/>
        <v>61.5</v>
      </c>
      <c r="L19" s="24">
        <f t="shared" si="25"/>
        <v>72</v>
      </c>
      <c r="M19" s="24">
        <f t="shared" si="25"/>
        <v>76</v>
      </c>
      <c r="N19" s="24">
        <f t="shared" si="25"/>
        <v>82</v>
      </c>
      <c r="O19" s="24">
        <f t="shared" si="25"/>
        <v>93</v>
      </c>
      <c r="P19" s="24">
        <f t="shared" si="25"/>
        <v>93</v>
      </c>
      <c r="Q19" s="24">
        <f t="shared" si="25"/>
        <v>93</v>
      </c>
      <c r="R19" s="24">
        <f t="shared" si="25"/>
        <v>93</v>
      </c>
      <c r="S19" s="24">
        <f t="shared" si="25"/>
        <v>93</v>
      </c>
      <c r="T19" s="24">
        <f t="shared" si="25"/>
        <v>93</v>
      </c>
      <c r="U19" s="24">
        <f t="shared" si="25"/>
        <v>93</v>
      </c>
      <c r="V19" s="24">
        <f t="shared" si="25"/>
        <v>93</v>
      </c>
      <c r="W19" s="24">
        <f t="shared" si="25"/>
        <v>93</v>
      </c>
      <c r="X19" s="24">
        <f t="shared" si="25"/>
        <v>93</v>
      </c>
      <c r="Y19" s="24">
        <f t="shared" si="25"/>
        <v>93</v>
      </c>
    </row>
    <row r="20" spans="1:25" x14ac:dyDescent="0.25">
      <c r="A20" s="69"/>
      <c r="B20" s="8" t="str">
        <f xml:space="preserve"> CONCATENATE(Setup!$B$8, ", ", LEFT(Setup!$C$8,2))</f>
        <v>Schroeder, RS</v>
      </c>
      <c r="C20" s="24">
        <f t="shared" ref="C20:C22" si="26" xml:space="preserve"> C8 + C14</f>
        <v>4.25</v>
      </c>
      <c r="D20" s="24">
        <f t="shared" ref="D20:S22" si="27" xml:space="preserve"> C20 + D8 + D14</f>
        <v>8.75</v>
      </c>
      <c r="E20" s="24">
        <f t="shared" si="27"/>
        <v>14.75</v>
      </c>
      <c r="F20" s="24">
        <f t="shared" si="27"/>
        <v>21.25</v>
      </c>
      <c r="G20" s="24">
        <f t="shared" si="27"/>
        <v>24</v>
      </c>
      <c r="H20" s="24">
        <f t="shared" si="27"/>
        <v>30</v>
      </c>
      <c r="I20" s="24">
        <f t="shared" si="27"/>
        <v>38</v>
      </c>
      <c r="J20" s="24">
        <f t="shared" si="27"/>
        <v>43.5</v>
      </c>
      <c r="K20" s="24">
        <f t="shared" si="27"/>
        <v>57.5</v>
      </c>
      <c r="L20" s="24">
        <f t="shared" si="27"/>
        <v>57.5</v>
      </c>
      <c r="M20" s="24">
        <f t="shared" si="27"/>
        <v>57.5</v>
      </c>
      <c r="N20" s="24">
        <f t="shared" si="27"/>
        <v>63.5</v>
      </c>
      <c r="O20" s="24">
        <f t="shared" si="27"/>
        <v>73.5</v>
      </c>
      <c r="P20" s="24">
        <f t="shared" si="27"/>
        <v>80.5</v>
      </c>
      <c r="Q20" s="24">
        <f t="shared" si="27"/>
        <v>80.5</v>
      </c>
      <c r="R20" s="24">
        <f t="shared" si="27"/>
        <v>80.5</v>
      </c>
      <c r="S20" s="24">
        <f t="shared" si="27"/>
        <v>80.5</v>
      </c>
      <c r="T20" s="24">
        <f t="shared" si="25"/>
        <v>80.5</v>
      </c>
      <c r="U20" s="24">
        <f t="shared" si="25"/>
        <v>80.5</v>
      </c>
      <c r="V20" s="24">
        <f t="shared" si="25"/>
        <v>80.5</v>
      </c>
      <c r="W20" s="24">
        <f t="shared" si="25"/>
        <v>80.5</v>
      </c>
      <c r="X20" s="24">
        <f t="shared" si="25"/>
        <v>80.5</v>
      </c>
      <c r="Y20" s="24">
        <f t="shared" si="25"/>
        <v>80.5</v>
      </c>
    </row>
    <row r="21" spans="1:25" x14ac:dyDescent="0.25">
      <c r="A21" s="69"/>
      <c r="B21" s="8" t="str">
        <f xml:space="preserve"> CONCATENATE(Setup!$B$9, ", ", LEFT(Setup!$C$9,2))</f>
        <v>Martz, NM</v>
      </c>
      <c r="C21" s="24">
        <f t="shared" si="26"/>
        <v>5.25</v>
      </c>
      <c r="D21" s="24">
        <f t="shared" si="27"/>
        <v>10.75</v>
      </c>
      <c r="E21" s="24">
        <f t="shared" si="25"/>
        <v>17.25</v>
      </c>
      <c r="F21" s="24">
        <f t="shared" si="25"/>
        <v>24.25</v>
      </c>
      <c r="G21" s="24">
        <f t="shared" si="25"/>
        <v>26.75</v>
      </c>
      <c r="H21" s="24">
        <f t="shared" si="25"/>
        <v>37.75</v>
      </c>
      <c r="I21" s="24">
        <f t="shared" si="25"/>
        <v>47</v>
      </c>
      <c r="J21" s="24">
        <f t="shared" si="25"/>
        <v>57</v>
      </c>
      <c r="K21" s="24">
        <f t="shared" si="25"/>
        <v>65</v>
      </c>
      <c r="L21" s="24">
        <f t="shared" si="25"/>
        <v>65</v>
      </c>
      <c r="M21" s="24">
        <f t="shared" si="25"/>
        <v>65</v>
      </c>
      <c r="N21" s="24">
        <f t="shared" si="25"/>
        <v>73</v>
      </c>
      <c r="O21" s="24">
        <f t="shared" si="25"/>
        <v>81</v>
      </c>
      <c r="P21" s="24">
        <f t="shared" si="25"/>
        <v>88</v>
      </c>
      <c r="Q21" s="24">
        <f t="shared" si="25"/>
        <v>88</v>
      </c>
      <c r="R21" s="24">
        <f t="shared" si="25"/>
        <v>88</v>
      </c>
      <c r="S21" s="24">
        <f t="shared" si="25"/>
        <v>88</v>
      </c>
      <c r="T21" s="24">
        <f t="shared" si="25"/>
        <v>88</v>
      </c>
      <c r="U21" s="24">
        <f t="shared" si="25"/>
        <v>88</v>
      </c>
      <c r="V21" s="24">
        <f t="shared" si="25"/>
        <v>88</v>
      </c>
      <c r="W21" s="24">
        <f t="shared" si="25"/>
        <v>88</v>
      </c>
      <c r="X21" s="24">
        <f t="shared" si="25"/>
        <v>88</v>
      </c>
      <c r="Y21" s="24">
        <f t="shared" si="25"/>
        <v>88</v>
      </c>
    </row>
    <row r="22" spans="1:25" x14ac:dyDescent="0.25">
      <c r="A22" s="69"/>
      <c r="B22" s="8" t="str">
        <f xml:space="preserve"> CONCATENATE(Setup!$B$10, ", ", LEFT(Setup!$C$10,2))</f>
        <v>Glosecki, MG</v>
      </c>
      <c r="C22" s="24">
        <f t="shared" si="26"/>
        <v>3</v>
      </c>
      <c r="D22" s="24">
        <f t="shared" si="27"/>
        <v>8</v>
      </c>
      <c r="E22" s="24">
        <f t="shared" si="25"/>
        <v>13.5</v>
      </c>
      <c r="F22" s="24">
        <f t="shared" si="25"/>
        <v>18.5</v>
      </c>
      <c r="G22" s="24">
        <f t="shared" si="25"/>
        <v>20.5</v>
      </c>
      <c r="H22" s="24">
        <f t="shared" si="25"/>
        <v>23.5</v>
      </c>
      <c r="I22" s="24">
        <f t="shared" si="25"/>
        <v>32.75</v>
      </c>
      <c r="J22" s="24">
        <f t="shared" si="25"/>
        <v>40.75</v>
      </c>
      <c r="K22" s="24">
        <f t="shared" si="25"/>
        <v>50.25</v>
      </c>
      <c r="L22" s="24">
        <f t="shared" si="25"/>
        <v>58.75</v>
      </c>
      <c r="M22" s="24">
        <f t="shared" si="25"/>
        <v>70.75</v>
      </c>
      <c r="N22" s="24">
        <f t="shared" si="25"/>
        <v>76.75</v>
      </c>
      <c r="O22" s="24">
        <f t="shared" si="25"/>
        <v>84.75</v>
      </c>
      <c r="P22" s="24">
        <f t="shared" si="25"/>
        <v>84.75</v>
      </c>
      <c r="Q22" s="24">
        <f t="shared" si="25"/>
        <v>84.75</v>
      </c>
      <c r="R22" s="24">
        <f t="shared" si="25"/>
        <v>84.75</v>
      </c>
      <c r="S22" s="24">
        <f t="shared" si="25"/>
        <v>84.75</v>
      </c>
      <c r="T22" s="24">
        <f t="shared" si="25"/>
        <v>84.75</v>
      </c>
      <c r="U22" s="24">
        <f t="shared" si="25"/>
        <v>84.75</v>
      </c>
      <c r="V22" s="24">
        <f t="shared" si="25"/>
        <v>84.75</v>
      </c>
      <c r="W22" s="24">
        <f t="shared" si="25"/>
        <v>84.75</v>
      </c>
      <c r="X22" s="24">
        <f t="shared" si="25"/>
        <v>84.75</v>
      </c>
      <c r="Y22" s="24">
        <f t="shared" si="25"/>
        <v>84.75</v>
      </c>
    </row>
    <row r="23" spans="1:25" ht="15.75" x14ac:dyDescent="0.25">
      <c r="A23" s="69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28" xml:space="preserve"> D23 + E11 + E17</f>
        <v>61.75</v>
      </c>
      <c r="F23" s="21">
        <f t="shared" si="28"/>
        <v>86.75</v>
      </c>
      <c r="G23" s="21">
        <f t="shared" si="28"/>
        <v>96</v>
      </c>
      <c r="H23" s="21">
        <f t="shared" si="28"/>
        <v>122</v>
      </c>
      <c r="I23" s="21">
        <f t="shared" si="28"/>
        <v>156.5</v>
      </c>
      <c r="J23" s="21">
        <f t="shared" si="28"/>
        <v>192.25</v>
      </c>
      <c r="K23" s="21">
        <f t="shared" si="28"/>
        <v>234.25</v>
      </c>
      <c r="L23" s="21">
        <f t="shared" si="28"/>
        <v>253.25</v>
      </c>
      <c r="M23" s="45">
        <f t="shared" si="28"/>
        <v>269.25</v>
      </c>
      <c r="N23" s="46">
        <f t="shared" si="28"/>
        <v>295.25</v>
      </c>
      <c r="O23" s="21">
        <f t="shared" si="28"/>
        <v>332.25</v>
      </c>
      <c r="P23" s="21">
        <f t="shared" si="28"/>
        <v>346.25</v>
      </c>
      <c r="Q23" s="21">
        <f t="shared" si="28"/>
        <v>346.25</v>
      </c>
      <c r="R23" s="21">
        <f t="shared" si="28"/>
        <v>346.25</v>
      </c>
      <c r="S23" s="21">
        <f t="shared" si="28"/>
        <v>346.25</v>
      </c>
      <c r="T23" s="21">
        <f t="shared" si="28"/>
        <v>346.25</v>
      </c>
      <c r="U23" s="21">
        <f t="shared" si="28"/>
        <v>346.25</v>
      </c>
      <c r="V23" s="21">
        <f t="shared" si="28"/>
        <v>346.25</v>
      </c>
      <c r="W23" s="21">
        <f t="shared" si="28"/>
        <v>346.25</v>
      </c>
      <c r="X23" s="21">
        <f t="shared" si="28"/>
        <v>346.25</v>
      </c>
      <c r="Y23" s="21">
        <f t="shared" si="28"/>
        <v>346.25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69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t="shared" ref="D25:E25" si="29" xml:space="preserve"> D19 / D$6</f>
        <v>4.875</v>
      </c>
      <c r="E25" s="28">
        <f t="shared" si="29"/>
        <v>5.416666666666667</v>
      </c>
      <c r="F25" s="28">
        <f t="shared" ref="F25:Y25" si="30" xml:space="preserve"> F19 / F$6</f>
        <v>5.6875</v>
      </c>
      <c r="G25" s="28">
        <f t="shared" si="30"/>
        <v>4.95</v>
      </c>
      <c r="H25" s="28">
        <f t="shared" si="30"/>
        <v>5.125</v>
      </c>
      <c r="I25" s="28">
        <f t="shared" si="30"/>
        <v>5.5357142857142856</v>
      </c>
      <c r="J25" s="28">
        <f t="shared" si="30"/>
        <v>6.375</v>
      </c>
      <c r="K25" s="28">
        <f t="shared" si="30"/>
        <v>6.833333333333333</v>
      </c>
      <c r="L25" s="28">
        <f t="shared" si="30"/>
        <v>7.2</v>
      </c>
      <c r="M25" s="49">
        <f t="shared" si="30"/>
        <v>6.9090909090909092</v>
      </c>
      <c r="N25" s="50">
        <f t="shared" si="30"/>
        <v>6.833333333333333</v>
      </c>
      <c r="O25" s="28">
        <f t="shared" si="30"/>
        <v>7.1538461538461542</v>
      </c>
      <c r="P25" s="28">
        <f t="shared" si="30"/>
        <v>6.6428571428571432</v>
      </c>
      <c r="Q25" s="28">
        <f t="shared" si="30"/>
        <v>6.2</v>
      </c>
      <c r="R25" s="28">
        <f t="shared" si="30"/>
        <v>5.8125</v>
      </c>
      <c r="S25" s="28">
        <f t="shared" si="30"/>
        <v>5.4705882352941178</v>
      </c>
      <c r="T25" s="28">
        <f t="shared" si="30"/>
        <v>5.166666666666667</v>
      </c>
      <c r="U25" s="28">
        <f t="shared" si="30"/>
        <v>4.8947368421052628</v>
      </c>
      <c r="V25" s="28">
        <f t="shared" si="30"/>
        <v>4.6500000000000004</v>
      </c>
      <c r="W25" s="28">
        <f t="shared" si="30"/>
        <v>4.4285714285714288</v>
      </c>
      <c r="X25" s="28">
        <f t="shared" si="30"/>
        <v>4.2272727272727275</v>
      </c>
      <c r="Y25" s="28">
        <f t="shared" si="30"/>
        <v>4.0434782608695654</v>
      </c>
    </row>
    <row r="26" spans="1:25" x14ac:dyDescent="0.25">
      <c r="A26" s="69"/>
      <c r="B26" s="8" t="str">
        <f xml:space="preserve"> CONCATENATE(Setup!$B$8, ", ", LEFT(Setup!$C$8,2))</f>
        <v>Schroeder, RS</v>
      </c>
      <c r="C26" s="28">
        <f t="shared" ref="C26:E29" si="31" xml:space="preserve"> C20 / C$6</f>
        <v>4.25</v>
      </c>
      <c r="D26" s="28">
        <f t="shared" si="31"/>
        <v>4.375</v>
      </c>
      <c r="E26" s="28">
        <f t="shared" si="31"/>
        <v>4.916666666666667</v>
      </c>
      <c r="F26" s="28">
        <f t="shared" ref="F26:Y26" si="32" xml:space="preserve"> F20 / F$6</f>
        <v>5.3125</v>
      </c>
      <c r="G26" s="28">
        <f t="shared" si="32"/>
        <v>4.8</v>
      </c>
      <c r="H26" s="28">
        <f t="shared" si="32"/>
        <v>5</v>
      </c>
      <c r="I26" s="28">
        <f t="shared" si="32"/>
        <v>5.4285714285714288</v>
      </c>
      <c r="J26" s="28">
        <f t="shared" si="32"/>
        <v>5.4375</v>
      </c>
      <c r="K26" s="28">
        <f t="shared" si="32"/>
        <v>6.3888888888888893</v>
      </c>
      <c r="L26" s="28">
        <f t="shared" si="32"/>
        <v>5.75</v>
      </c>
      <c r="M26" s="49">
        <f t="shared" si="32"/>
        <v>5.2272727272727275</v>
      </c>
      <c r="N26" s="50">
        <f t="shared" si="32"/>
        <v>5.291666666666667</v>
      </c>
      <c r="O26" s="28">
        <f t="shared" si="32"/>
        <v>5.6538461538461542</v>
      </c>
      <c r="P26" s="28">
        <f t="shared" si="32"/>
        <v>5.75</v>
      </c>
      <c r="Q26" s="28">
        <f t="shared" si="32"/>
        <v>5.3666666666666663</v>
      </c>
      <c r="R26" s="28">
        <f t="shared" si="32"/>
        <v>5.03125</v>
      </c>
      <c r="S26" s="28">
        <f t="shared" si="32"/>
        <v>4.7352941176470589</v>
      </c>
      <c r="T26" s="28">
        <f t="shared" si="32"/>
        <v>4.4722222222222223</v>
      </c>
      <c r="U26" s="28">
        <f t="shared" si="32"/>
        <v>4.2368421052631575</v>
      </c>
      <c r="V26" s="28">
        <f t="shared" si="32"/>
        <v>4.0250000000000004</v>
      </c>
      <c r="W26" s="28">
        <f t="shared" si="32"/>
        <v>3.8333333333333335</v>
      </c>
      <c r="X26" s="28">
        <f t="shared" si="32"/>
        <v>3.6590909090909092</v>
      </c>
      <c r="Y26" s="28">
        <f t="shared" si="32"/>
        <v>3.5</v>
      </c>
    </row>
    <row r="27" spans="1:25" x14ac:dyDescent="0.25">
      <c r="A27" s="69"/>
      <c r="B27" s="8" t="str">
        <f xml:space="preserve"> CONCATENATE(Setup!$B$9, ", ", LEFT(Setup!$C$9,2))</f>
        <v>Martz, NM</v>
      </c>
      <c r="C27" s="28">
        <f t="shared" si="31"/>
        <v>5.25</v>
      </c>
      <c r="D27" s="28">
        <f t="shared" si="31"/>
        <v>5.375</v>
      </c>
      <c r="E27" s="28">
        <f t="shared" si="31"/>
        <v>5.75</v>
      </c>
      <c r="F27" s="28">
        <f t="shared" ref="F27:Y27" si="33" xml:space="preserve"> F21 / F$6</f>
        <v>6.0625</v>
      </c>
      <c r="G27" s="28">
        <f t="shared" si="33"/>
        <v>5.35</v>
      </c>
      <c r="H27" s="28">
        <f t="shared" si="33"/>
        <v>6.291666666666667</v>
      </c>
      <c r="I27" s="28">
        <f t="shared" si="33"/>
        <v>6.7142857142857144</v>
      </c>
      <c r="J27" s="28">
        <f t="shared" si="33"/>
        <v>7.125</v>
      </c>
      <c r="K27" s="28">
        <f t="shared" si="33"/>
        <v>7.2222222222222223</v>
      </c>
      <c r="L27" s="28">
        <f t="shared" si="33"/>
        <v>6.5</v>
      </c>
      <c r="M27" s="49">
        <f t="shared" si="33"/>
        <v>5.9090909090909092</v>
      </c>
      <c r="N27" s="50">
        <f t="shared" si="33"/>
        <v>6.083333333333333</v>
      </c>
      <c r="O27" s="28">
        <f t="shared" si="33"/>
        <v>6.2307692307692308</v>
      </c>
      <c r="P27" s="28">
        <f t="shared" si="33"/>
        <v>6.2857142857142856</v>
      </c>
      <c r="Q27" s="28">
        <f t="shared" si="33"/>
        <v>5.8666666666666663</v>
      </c>
      <c r="R27" s="28">
        <f t="shared" si="33"/>
        <v>5.5</v>
      </c>
      <c r="S27" s="28">
        <f t="shared" si="33"/>
        <v>5.1764705882352944</v>
      </c>
      <c r="T27" s="28">
        <f t="shared" si="33"/>
        <v>4.8888888888888893</v>
      </c>
      <c r="U27" s="28">
        <f t="shared" si="33"/>
        <v>4.6315789473684212</v>
      </c>
      <c r="V27" s="28">
        <f t="shared" si="33"/>
        <v>4.4000000000000004</v>
      </c>
      <c r="W27" s="28">
        <f t="shared" si="33"/>
        <v>4.1904761904761907</v>
      </c>
      <c r="X27" s="28">
        <f t="shared" si="33"/>
        <v>4</v>
      </c>
      <c r="Y27" s="28">
        <f t="shared" si="33"/>
        <v>3.8260869565217392</v>
      </c>
    </row>
    <row r="28" spans="1:25" x14ac:dyDescent="0.25">
      <c r="A28" s="69"/>
      <c r="B28" s="8" t="str">
        <f xml:space="preserve"> CONCATENATE(Setup!$B$10, ", ", LEFT(Setup!$C$10,2))</f>
        <v>Glosecki, MG</v>
      </c>
      <c r="C28" s="28">
        <f t="shared" si="31"/>
        <v>3</v>
      </c>
      <c r="D28" s="28">
        <f t="shared" si="31"/>
        <v>4</v>
      </c>
      <c r="E28" s="28">
        <f t="shared" si="31"/>
        <v>4.5</v>
      </c>
      <c r="F28" s="28">
        <f t="shared" ref="F28:Y28" si="34" xml:space="preserve"> F22 / F$6</f>
        <v>4.625</v>
      </c>
      <c r="G28" s="28">
        <f t="shared" si="34"/>
        <v>4.0999999999999996</v>
      </c>
      <c r="H28" s="28">
        <f t="shared" si="34"/>
        <v>3.9166666666666665</v>
      </c>
      <c r="I28" s="28">
        <f t="shared" si="34"/>
        <v>4.6785714285714288</v>
      </c>
      <c r="J28" s="28">
        <f t="shared" si="34"/>
        <v>5.09375</v>
      </c>
      <c r="K28" s="28">
        <f t="shared" si="34"/>
        <v>5.583333333333333</v>
      </c>
      <c r="L28" s="28">
        <f t="shared" si="34"/>
        <v>5.875</v>
      </c>
      <c r="M28" s="49">
        <f t="shared" si="34"/>
        <v>6.4318181818181817</v>
      </c>
      <c r="N28" s="50">
        <f t="shared" si="34"/>
        <v>6.395833333333333</v>
      </c>
      <c r="O28" s="28">
        <f t="shared" si="34"/>
        <v>6.5192307692307692</v>
      </c>
      <c r="P28" s="28">
        <f t="shared" si="34"/>
        <v>6.0535714285714288</v>
      </c>
      <c r="Q28" s="28">
        <f t="shared" si="34"/>
        <v>5.65</v>
      </c>
      <c r="R28" s="28">
        <f t="shared" si="34"/>
        <v>5.296875</v>
      </c>
      <c r="S28" s="28">
        <f t="shared" si="34"/>
        <v>4.9852941176470589</v>
      </c>
      <c r="T28" s="28">
        <f t="shared" si="34"/>
        <v>4.708333333333333</v>
      </c>
      <c r="U28" s="28">
        <f t="shared" si="34"/>
        <v>4.4605263157894735</v>
      </c>
      <c r="V28" s="28">
        <f t="shared" si="34"/>
        <v>4.2374999999999998</v>
      </c>
      <c r="W28" s="28">
        <f t="shared" si="34"/>
        <v>4.0357142857142856</v>
      </c>
      <c r="X28" s="28">
        <f t="shared" si="34"/>
        <v>3.8522727272727271</v>
      </c>
      <c r="Y28" s="28">
        <f t="shared" si="34"/>
        <v>3.6847826086956523</v>
      </c>
    </row>
    <row r="29" spans="1:25" ht="15.75" x14ac:dyDescent="0.25">
      <c r="A29" s="69"/>
      <c r="B29" s="9" t="s">
        <v>19</v>
      </c>
      <c r="C29" s="29">
        <f t="shared" si="31"/>
        <v>17.25</v>
      </c>
      <c r="D29" s="29">
        <f t="shared" si="31"/>
        <v>18.625</v>
      </c>
      <c r="E29" s="29">
        <f t="shared" si="31"/>
        <v>20.583333333333332</v>
      </c>
      <c r="F29" s="29">
        <f t="shared" ref="F29:Y29" si="35" xml:space="preserve"> F23 / F$6</f>
        <v>21.6875</v>
      </c>
      <c r="G29" s="29">
        <f t="shared" si="35"/>
        <v>19.2</v>
      </c>
      <c r="H29" s="29">
        <f t="shared" si="35"/>
        <v>20.333333333333332</v>
      </c>
      <c r="I29" s="29">
        <f t="shared" si="35"/>
        <v>22.357142857142858</v>
      </c>
      <c r="J29" s="29">
        <f t="shared" si="35"/>
        <v>24.03125</v>
      </c>
      <c r="K29" s="29">
        <f t="shared" si="35"/>
        <v>26.027777777777779</v>
      </c>
      <c r="L29" s="29">
        <f t="shared" si="35"/>
        <v>25.324999999999999</v>
      </c>
      <c r="M29" s="51">
        <f t="shared" si="35"/>
        <v>24.477272727272727</v>
      </c>
      <c r="N29" s="52">
        <f t="shared" si="35"/>
        <v>24.604166666666668</v>
      </c>
      <c r="O29" s="29">
        <f t="shared" si="35"/>
        <v>25.557692307692307</v>
      </c>
      <c r="P29" s="29">
        <f t="shared" si="35"/>
        <v>24.732142857142858</v>
      </c>
      <c r="Q29" s="29">
        <f t="shared" si="35"/>
        <v>23.083333333333332</v>
      </c>
      <c r="R29" s="29">
        <f t="shared" si="35"/>
        <v>21.640625</v>
      </c>
      <c r="S29" s="29">
        <f t="shared" si="35"/>
        <v>20.367647058823529</v>
      </c>
      <c r="T29" s="29">
        <f t="shared" si="35"/>
        <v>19.236111111111111</v>
      </c>
      <c r="U29" s="29">
        <f t="shared" si="35"/>
        <v>18.223684210526315</v>
      </c>
      <c r="V29" s="29">
        <f t="shared" si="35"/>
        <v>17.3125</v>
      </c>
      <c r="W29" s="29">
        <f t="shared" si="35"/>
        <v>16.488095238095237</v>
      </c>
      <c r="X29" s="29">
        <f t="shared" si="35"/>
        <v>15.738636363636363</v>
      </c>
      <c r="Y29" s="29">
        <f t="shared" si="35"/>
        <v>15.054347826086957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580</v>
      </c>
      <c r="D79" s="24">
        <f>X23</f>
        <v>346.25</v>
      </c>
      <c r="E79">
        <f>C79/Y80</f>
        <v>25.217391304347824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36">F23</f>
        <v>86.75</v>
      </c>
      <c r="G81" s="24">
        <f t="shared" si="36"/>
        <v>96</v>
      </c>
      <c r="H81" s="24">
        <f t="shared" si="36"/>
        <v>122</v>
      </c>
      <c r="I81" s="24">
        <f t="shared" si="36"/>
        <v>156.5</v>
      </c>
      <c r="J81" s="24">
        <f t="shared" si="36"/>
        <v>192.25</v>
      </c>
      <c r="K81" s="24">
        <f t="shared" si="36"/>
        <v>234.25</v>
      </c>
      <c r="L81" s="24">
        <f t="shared" si="36"/>
        <v>253.25</v>
      </c>
      <c r="M81" s="24">
        <f t="shared" si="36"/>
        <v>269.25</v>
      </c>
      <c r="N81" s="24">
        <f t="shared" si="36"/>
        <v>295.25</v>
      </c>
      <c r="O81" s="24">
        <f t="shared" si="36"/>
        <v>332.25</v>
      </c>
      <c r="P81" s="24">
        <f t="shared" si="36"/>
        <v>346.25</v>
      </c>
      <c r="Q81" s="24">
        <f t="shared" si="36"/>
        <v>346.25</v>
      </c>
      <c r="R81" s="24">
        <f t="shared" si="36"/>
        <v>346.25</v>
      </c>
      <c r="S81" s="24">
        <f t="shared" si="36"/>
        <v>346.25</v>
      </c>
      <c r="T81" s="24">
        <f t="shared" si="36"/>
        <v>346.25</v>
      </c>
      <c r="U81" s="24">
        <f t="shared" si="36"/>
        <v>346.25</v>
      </c>
      <c r="V81" s="24">
        <f t="shared" si="36"/>
        <v>346.25</v>
      </c>
      <c r="W81" s="24">
        <f t="shared" si="36"/>
        <v>346.25</v>
      </c>
      <c r="X81" s="24">
        <f t="shared" si="36"/>
        <v>346.25</v>
      </c>
      <c r="Y81" s="24">
        <f>Y23</f>
        <v>346.25</v>
      </c>
    </row>
    <row r="82" spans="2:25" x14ac:dyDescent="0.25">
      <c r="B82" t="s">
        <v>29</v>
      </c>
      <c r="C82">
        <f>E79*C80</f>
        <v>25.217391304347824</v>
      </c>
      <c r="D82">
        <f>E79*D80</f>
        <v>50.434782608695649</v>
      </c>
      <c r="E82">
        <f>E79*E80</f>
        <v>75.65217391304347</v>
      </c>
      <c r="F82">
        <f>E79*F80</f>
        <v>100.8695652173913</v>
      </c>
      <c r="G82">
        <f>E79*G80</f>
        <v>126.08695652173913</v>
      </c>
      <c r="H82">
        <f>E79*H80</f>
        <v>151.30434782608694</v>
      </c>
      <c r="I82">
        <f>E79*I80</f>
        <v>176.52173913043478</v>
      </c>
      <c r="J82">
        <f>E79*J80</f>
        <v>201.7391304347826</v>
      </c>
      <c r="K82">
        <f>E79*K80</f>
        <v>226.95652173913041</v>
      </c>
      <c r="L82">
        <f>E79*L80</f>
        <v>252.17391304347825</v>
      </c>
      <c r="M82">
        <f>E79*M80</f>
        <v>277.39130434782606</v>
      </c>
      <c r="N82">
        <f>N80*E79</f>
        <v>302.60869565217388</v>
      </c>
      <c r="O82">
        <f>E79*O80</f>
        <v>327.82608695652169</v>
      </c>
      <c r="P82">
        <f>E79*P80</f>
        <v>353.04347826086956</v>
      </c>
      <c r="Q82">
        <f>E79*Q80</f>
        <v>378.26086956521738</v>
      </c>
      <c r="R82">
        <f>E79*R80</f>
        <v>403.47826086956519</v>
      </c>
      <c r="S82">
        <f>E79*S80</f>
        <v>428.695652173913</v>
      </c>
      <c r="T82">
        <f>E79*T80</f>
        <v>453.91304347826082</v>
      </c>
      <c r="U82">
        <f>E79*U80</f>
        <v>479.13043478260869</v>
      </c>
      <c r="V82">
        <f>E79*V80</f>
        <v>504.3478260869565</v>
      </c>
      <c r="W82">
        <f>E79*W80</f>
        <v>529.56521739130426</v>
      </c>
      <c r="X82">
        <f>E79*X80</f>
        <v>554.78260869565213</v>
      </c>
      <c r="Y82">
        <f>E79*Y80</f>
        <v>580</v>
      </c>
    </row>
    <row r="83" spans="2:25" x14ac:dyDescent="0.25">
      <c r="B83" t="s">
        <v>30</v>
      </c>
      <c r="C83">
        <f>C79-C82</f>
        <v>554.78260869565213</v>
      </c>
      <c r="D83">
        <f>C79-D82</f>
        <v>529.56521739130437</v>
      </c>
      <c r="E83">
        <f>C79-E82</f>
        <v>504.3478260869565</v>
      </c>
      <c r="F83">
        <f>C79-F82</f>
        <v>479.13043478260869</v>
      </c>
      <c r="G83">
        <f>C79-G82</f>
        <v>453.91304347826087</v>
      </c>
      <c r="H83">
        <f>C79-H82</f>
        <v>428.69565217391306</v>
      </c>
      <c r="I83">
        <f>C79-I82</f>
        <v>403.47826086956525</v>
      </c>
      <c r="J83">
        <f>C79-J82</f>
        <v>378.26086956521738</v>
      </c>
      <c r="K83">
        <f>C79-K82</f>
        <v>353.04347826086962</v>
      </c>
      <c r="L83">
        <f>C79-L82</f>
        <v>327.82608695652175</v>
      </c>
      <c r="M83">
        <f>C79-M82</f>
        <v>302.60869565217394</v>
      </c>
      <c r="N83">
        <f>C79-N82</f>
        <v>277.39130434782612</v>
      </c>
      <c r="O83">
        <f>C79-O82</f>
        <v>252.17391304347831</v>
      </c>
      <c r="P83">
        <f>C79-P82</f>
        <v>226.95652173913044</v>
      </c>
      <c r="Q83">
        <f>C79-Q82</f>
        <v>201.73913043478262</v>
      </c>
      <c r="R83">
        <f>C79-R82</f>
        <v>176.52173913043481</v>
      </c>
      <c r="S83">
        <f>C79-S82</f>
        <v>151.304347826087</v>
      </c>
      <c r="T83">
        <f>C79-T82</f>
        <v>126.08695652173918</v>
      </c>
      <c r="U83">
        <f>C79-U82</f>
        <v>100.86956521739131</v>
      </c>
      <c r="V83">
        <f>C79-V82</f>
        <v>75.652173913043498</v>
      </c>
      <c r="W83">
        <f>C79-W82</f>
        <v>50.434782608695741</v>
      </c>
      <c r="X83">
        <f>C79-X82</f>
        <v>25.217391304347871</v>
      </c>
      <c r="Y83">
        <f>C79-Y82</f>
        <v>0</v>
      </c>
    </row>
    <row r="84" spans="2:25" x14ac:dyDescent="0.25">
      <c r="B84" t="s">
        <v>31</v>
      </c>
      <c r="C84" s="24">
        <f>C79-C81</f>
        <v>562.75</v>
      </c>
      <c r="D84" s="24">
        <f>C79-D81</f>
        <v>542.75</v>
      </c>
      <c r="E84" s="24">
        <f>C79-E81</f>
        <v>518.25</v>
      </c>
      <c r="F84" s="24">
        <f>C79-F81</f>
        <v>493.25</v>
      </c>
      <c r="G84" s="24">
        <f>C79-G81</f>
        <v>484</v>
      </c>
      <c r="H84" s="24">
        <f>C79-H81</f>
        <v>458</v>
      </c>
      <c r="I84" s="24">
        <f>C79-I81</f>
        <v>423.5</v>
      </c>
      <c r="J84" s="24">
        <f>C79-J81</f>
        <v>387.75</v>
      </c>
      <c r="K84" s="24">
        <f>C79-K81</f>
        <v>345.75</v>
      </c>
      <c r="L84" s="24">
        <f>C79-L81</f>
        <v>326.75</v>
      </c>
      <c r="M84" s="24">
        <f>C79-M81</f>
        <v>310.75</v>
      </c>
      <c r="N84" s="24">
        <f>C79-N81</f>
        <v>284.75</v>
      </c>
      <c r="O84" s="24">
        <f>C79-O81</f>
        <v>247.75</v>
      </c>
      <c r="P84" s="24">
        <f>C79-P81</f>
        <v>233.75</v>
      </c>
      <c r="Q84" s="24">
        <f>C79-Q81</f>
        <v>233.75</v>
      </c>
      <c r="R84" s="24">
        <f>C79-R81</f>
        <v>233.75</v>
      </c>
      <c r="S84" s="24">
        <f>C79-S81</f>
        <v>233.75</v>
      </c>
      <c r="T84" s="24">
        <f>C79-T81</f>
        <v>233.75</v>
      </c>
      <c r="U84" s="24">
        <f>C79-U81</f>
        <v>233.75</v>
      </c>
      <c r="V84" s="24">
        <f>C79-V81</f>
        <v>233.75</v>
      </c>
      <c r="W84" s="24">
        <f>C79-W81</f>
        <v>233.75</v>
      </c>
      <c r="X84" s="24">
        <f>C79-X81</f>
        <v>233.75</v>
      </c>
      <c r="Y84" s="24">
        <f>C79-Y81</f>
        <v>233.75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str">
        <f>SheetName</f>
        <v>Sprint 0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22" xml:space="preserve"> SUM(C7:I7) + SUM(C19:I19)</f>
        <v>4.25</v>
      </c>
      <c r="D38" s="24">
        <f t="shared" ref="D38:D40" si="23" xml:space="preserve"> SUM(J7:P7) + SUM(J19:P19)</f>
        <v>4.5</v>
      </c>
      <c r="E38" s="24">
        <f t="shared" ref="E38:E40" si="24" xml:space="preserve"> SUM(Q7:W7) + SUM(Q19:W19)</f>
        <v>6</v>
      </c>
      <c r="F38" s="24">
        <f t="shared" ref="F38:F41" si="25"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22"/>
        <v>5.25</v>
      </c>
      <c r="D39" s="24">
        <f t="shared" si="23"/>
        <v>5.5</v>
      </c>
      <c r="E39" s="24">
        <f t="shared" si="24"/>
        <v>6.5</v>
      </c>
      <c r="F39" s="24">
        <f t="shared" si="25"/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22"/>
        <v>3</v>
      </c>
      <c r="D40" s="24">
        <f t="shared" si="23"/>
        <v>5</v>
      </c>
      <c r="E40" s="24">
        <f t="shared" si="24"/>
        <v>5.5</v>
      </c>
      <c r="F40" s="24">
        <f t="shared" si="25"/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t="shared" ref="D41:E41" si="26" xml:space="preserve"> SUM(D37:D40)</f>
        <v>20</v>
      </c>
      <c r="E41" s="21">
        <f t="shared" si="26"/>
        <v>24.5</v>
      </c>
      <c r="F41" s="21">
        <f t="shared" si="25"/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t="shared" ref="D44:D46" si="27" xml:space="preserve"> SUM(C38:D38) / D$36</f>
        <v>4.375</v>
      </c>
      <c r="E44" s="24">
        <f t="shared" ref="E44:E46" si="28"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t="shared" si="27"/>
        <v>5.375</v>
      </c>
      <c r="E45" s="24">
        <f t="shared" si="28"/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t="shared" si="27"/>
        <v>4</v>
      </c>
      <c r="E46" s="24">
        <f t="shared" si="28"/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t="shared" ref="D47:E47" si="29" xml:space="preserve"> SUM(D43:D46)</f>
        <v>18.625</v>
      </c>
      <c r="E47" s="21">
        <f t="shared" si="29"/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30">D87-D10-D22</f>
        <v>57.75</v>
      </c>
      <c r="F87" s="24">
        <f t="shared" si="30"/>
        <v>53.75</v>
      </c>
      <c r="G87" s="24">
        <f t="shared" si="30"/>
        <v>53.75</v>
      </c>
      <c r="H87" s="24">
        <f t="shared" si="30"/>
        <v>53.25</v>
      </c>
      <c r="I87" s="24">
        <f t="shared" si="30"/>
        <v>50.75</v>
      </c>
      <c r="J87" s="24">
        <f t="shared" si="30"/>
        <v>44.5</v>
      </c>
      <c r="K87" s="24">
        <f t="shared" si="30"/>
        <v>44.5</v>
      </c>
      <c r="L87" s="24">
        <f t="shared" si="30"/>
        <v>41.5</v>
      </c>
      <c r="M87" s="24">
        <f t="shared" si="30"/>
        <v>41.5</v>
      </c>
      <c r="N87" s="24">
        <f t="shared" si="30"/>
        <v>28.5</v>
      </c>
      <c r="O87" s="24">
        <f t="shared" si="30"/>
        <v>28.5</v>
      </c>
      <c r="P87" s="24">
        <f t="shared" si="30"/>
        <v>26</v>
      </c>
      <c r="Q87" s="24">
        <f t="shared" si="30"/>
        <v>24.5</v>
      </c>
      <c r="R87" s="24">
        <f t="shared" si="30"/>
        <v>11.5</v>
      </c>
      <c r="S87" s="24">
        <f t="shared" si="30"/>
        <v>11.5</v>
      </c>
      <c r="T87" s="24">
        <f t="shared" si="30"/>
        <v>11.5</v>
      </c>
      <c r="U87" s="24">
        <f t="shared" si="30"/>
        <v>6.5</v>
      </c>
      <c r="V87" s="24">
        <f t="shared" si="30"/>
        <v>4.5</v>
      </c>
      <c r="W87" s="24">
        <f t="shared" si="30"/>
        <v>2</v>
      </c>
      <c r="X87" s="24">
        <f t="shared" si="30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6.5</v>
      </c>
      <c r="D38" s="24">
        <f t="shared" ref="D38:D40" si="19"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5</v>
      </c>
      <c r="D40" s="24">
        <f t="shared" si="19"/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6.5</v>
      </c>
      <c r="D44" s="24">
        <f t="shared" ref="D44:D46" si="22"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5</v>
      </c>
      <c r="D46" s="24">
        <f t="shared" si="22"/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24">C88-C10-C22</f>
        <v>21.25</v>
      </c>
      <c r="E88" s="24">
        <f t="shared" si="24"/>
        <v>19.25</v>
      </c>
      <c r="F88" s="24">
        <f t="shared" si="24"/>
        <v>19.25</v>
      </c>
      <c r="G88" s="24">
        <f t="shared" si="24"/>
        <v>12.75</v>
      </c>
      <c r="H88" s="24">
        <f t="shared" si="24"/>
        <v>10.75</v>
      </c>
      <c r="I88" s="24">
        <f t="shared" si="24"/>
        <v>10.75</v>
      </c>
      <c r="J88" s="24">
        <f t="shared" si="24"/>
        <v>9.25</v>
      </c>
      <c r="K88" s="24">
        <f t="shared" si="24"/>
        <v>8.75</v>
      </c>
      <c r="L88" s="24">
        <f t="shared" si="24"/>
        <v>0</v>
      </c>
      <c r="M88" s="24">
        <f t="shared" si="24"/>
        <v>0</v>
      </c>
      <c r="N88" s="24">
        <f t="shared" si="24"/>
        <v>0</v>
      </c>
      <c r="O88" s="24">
        <f t="shared" si="24"/>
        <v>0</v>
      </c>
      <c r="P88" s="24">
        <f t="shared" si="24"/>
        <v>0</v>
      </c>
      <c r="Q88" s="24">
        <f t="shared" si="24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2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11</v>
      </c>
      <c r="D39" s="24">
        <f t="shared" si="19"/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3</v>
      </c>
      <c r="D40" s="24">
        <f t="shared" si="19"/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11</v>
      </c>
      <c r="D45" s="24">
        <f t="shared" si="22"/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3</v>
      </c>
      <c r="D46" s="24">
        <f t="shared" si="22"/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24">E91-F90</f>
        <v>48.5</v>
      </c>
      <c r="G91" s="24">
        <f t="shared" si="24"/>
        <v>45.5</v>
      </c>
      <c r="H91" s="24">
        <f t="shared" si="24"/>
        <v>42.5</v>
      </c>
      <c r="I91" s="24">
        <f t="shared" si="24"/>
        <v>37.5</v>
      </c>
      <c r="J91" s="24">
        <f t="shared" si="24"/>
        <v>34.5</v>
      </c>
      <c r="K91" s="24">
        <f t="shared" si="24"/>
        <v>31</v>
      </c>
      <c r="L91" s="24">
        <f t="shared" si="24"/>
        <v>19</v>
      </c>
      <c r="M91" s="24">
        <f t="shared" si="24"/>
        <v>19</v>
      </c>
      <c r="N91" s="24">
        <f t="shared" si="24"/>
        <v>6</v>
      </c>
      <c r="O91" s="24">
        <f t="shared" si="24"/>
        <v>6</v>
      </c>
      <c r="P91" s="24">
        <f t="shared" si="24"/>
        <v>3</v>
      </c>
      <c r="Q91" s="24">
        <f t="shared" si="24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68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3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5.5</v>
      </c>
      <c r="D38" s="24">
        <f t="shared" ref="D38:D40" si="19"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10</v>
      </c>
      <c r="D39" s="24">
        <f t="shared" si="19"/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t="shared" ref="D41" si="20"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5.5</v>
      </c>
      <c r="D44" s="24">
        <f t="shared" ref="D44:D46" si="22"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10</v>
      </c>
      <c r="D45" s="24">
        <f t="shared" si="22"/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t="shared" ref="D47" si="23"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24">E10</f>
        <v>2.5</v>
      </c>
      <c r="G90" s="24">
        <f t="shared" si="24"/>
        <v>3</v>
      </c>
      <c r="H90" s="24">
        <f t="shared" si="24"/>
        <v>5</v>
      </c>
      <c r="I90" s="24">
        <f t="shared" si="24"/>
        <v>7</v>
      </c>
      <c r="J90" s="24">
        <f t="shared" si="24"/>
        <v>7.5</v>
      </c>
      <c r="K90" s="24">
        <f t="shared" si="24"/>
        <v>2.5</v>
      </c>
      <c r="L90" s="24">
        <f t="shared" si="24"/>
        <v>9.5</v>
      </c>
      <c r="M90" s="24">
        <f t="shared" si="24"/>
        <v>8.5</v>
      </c>
      <c r="N90" s="24">
        <f t="shared" si="24"/>
        <v>6.5</v>
      </c>
      <c r="O90" s="24">
        <f t="shared" si="24"/>
        <v>6</v>
      </c>
      <c r="P90" s="24">
        <f t="shared" si="24"/>
        <v>5</v>
      </c>
      <c r="Q90" s="24">
        <f t="shared" si="24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25">E91-F90</f>
        <v>64.5</v>
      </c>
      <c r="G91" s="24">
        <f t="shared" si="25"/>
        <v>61.5</v>
      </c>
      <c r="H91" s="24">
        <f t="shared" si="25"/>
        <v>56.5</v>
      </c>
      <c r="I91" s="24">
        <f t="shared" si="25"/>
        <v>49.5</v>
      </c>
      <c r="J91" s="24">
        <f t="shared" si="25"/>
        <v>42</v>
      </c>
      <c r="K91" s="24">
        <f t="shared" si="25"/>
        <v>39.5</v>
      </c>
      <c r="L91" s="24">
        <f t="shared" si="25"/>
        <v>30</v>
      </c>
      <c r="M91" s="24">
        <f t="shared" si="25"/>
        <v>21.5</v>
      </c>
      <c r="N91" s="24">
        <f t="shared" si="25"/>
        <v>15</v>
      </c>
      <c r="O91" s="24">
        <f t="shared" si="25"/>
        <v>9</v>
      </c>
      <c r="P91" s="24">
        <f t="shared" si="25"/>
        <v>4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B45" zoomScale="115" zoomScaleNormal="115" workbookViewId="0">
      <selection activeCell="G11" sqref="G1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4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5.75</v>
      </c>
      <c r="D10" s="21">
        <f t="shared" ref="D10:P10" si="1" xml:space="preserve"> SUM(D6:D9)</f>
        <v>2.75</v>
      </c>
      <c r="E10" s="21">
        <f t="shared" si="1"/>
        <v>0</v>
      </c>
      <c r="F10" s="21">
        <f t="shared" si="1"/>
        <v>2.5</v>
      </c>
      <c r="G10" s="21">
        <f t="shared" si="1"/>
        <v>1.5</v>
      </c>
      <c r="H10" s="21">
        <f t="shared" si="1"/>
        <v>1</v>
      </c>
      <c r="I10" s="60">
        <f t="shared" si="1"/>
        <v>5.5</v>
      </c>
      <c r="J10" s="61">
        <f t="shared" si="1"/>
        <v>3</v>
      </c>
      <c r="K10" s="21">
        <f t="shared" si="1"/>
        <v>7</v>
      </c>
      <c r="L10" s="21">
        <f t="shared" si="1"/>
        <v>3</v>
      </c>
      <c r="M10" s="21">
        <f t="shared" si="1"/>
        <v>1</v>
      </c>
      <c r="N10" s="21">
        <f t="shared" si="1"/>
        <v>1</v>
      </c>
      <c r="O10" s="21">
        <f t="shared" si="1"/>
        <v>1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5" thickBot="1" x14ac:dyDescent="0.3">
      <c r="A16" s="85"/>
      <c r="B16" s="18" t="s">
        <v>19</v>
      </c>
      <c r="C16" s="21">
        <f xml:space="preserve"> SUM(C12:C15)</f>
        <v>5.75</v>
      </c>
      <c r="D16" s="21">
        <f t="shared" ref="D16:P16" si="6" xml:space="preserve"> SUM(D12:D15)</f>
        <v>8.5</v>
      </c>
      <c r="E16" s="21">
        <f t="shared" si="6"/>
        <v>8.5</v>
      </c>
      <c r="F16" s="21">
        <f t="shared" si="6"/>
        <v>11</v>
      </c>
      <c r="G16" s="21">
        <f t="shared" si="6"/>
        <v>12.5</v>
      </c>
      <c r="H16" s="21">
        <f t="shared" si="6"/>
        <v>13.5</v>
      </c>
      <c r="I16" s="60">
        <f t="shared" si="6"/>
        <v>19</v>
      </c>
      <c r="J16" s="61">
        <f t="shared" si="6"/>
        <v>22</v>
      </c>
      <c r="K16" s="21">
        <f t="shared" si="6"/>
        <v>29</v>
      </c>
      <c r="L16" s="21">
        <f t="shared" si="6"/>
        <v>32</v>
      </c>
      <c r="M16" s="21">
        <f t="shared" si="6"/>
        <v>33</v>
      </c>
      <c r="N16" s="21">
        <f t="shared" si="6"/>
        <v>34</v>
      </c>
      <c r="O16" s="21">
        <f t="shared" si="6"/>
        <v>35</v>
      </c>
      <c r="P16" s="60">
        <f t="shared" si="6"/>
        <v>35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5.75</v>
      </c>
      <c r="D34" s="21">
        <f t="shared" ref="D34:P34" si="17" xml:space="preserve"> SUM(D30:D33)</f>
        <v>4.25</v>
      </c>
      <c r="E34" s="21">
        <f t="shared" si="17"/>
        <v>2.833333333333333</v>
      </c>
      <c r="F34" s="21">
        <f t="shared" si="17"/>
        <v>2.75</v>
      </c>
      <c r="G34" s="21">
        <f t="shared" si="17"/>
        <v>2.5</v>
      </c>
      <c r="H34" s="21">
        <f t="shared" si="17"/>
        <v>2.25</v>
      </c>
      <c r="I34" s="60">
        <f t="shared" si="17"/>
        <v>2.7142857142857144</v>
      </c>
      <c r="J34" s="61">
        <f t="shared" si="17"/>
        <v>2.75</v>
      </c>
      <c r="K34" s="21">
        <f t="shared" si="17"/>
        <v>3.2222222222222223</v>
      </c>
      <c r="L34" s="21">
        <f t="shared" si="17"/>
        <v>3.2</v>
      </c>
      <c r="M34" s="21">
        <f t="shared" si="17"/>
        <v>3</v>
      </c>
      <c r="N34" s="21">
        <f t="shared" si="17"/>
        <v>2.833333333333333</v>
      </c>
      <c r="O34" s="21">
        <f t="shared" si="17"/>
        <v>2.6923076923076925</v>
      </c>
      <c r="P34" s="60">
        <f t="shared" si="17"/>
        <v>2.5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8.5</v>
      </c>
      <c r="D40" s="24">
        <f t="shared" si="19"/>
        <v>12</v>
      </c>
      <c r="E40" s="24">
        <f xml:space="preserve"> SUM(C40:D40)</f>
        <v>20.5</v>
      </c>
    </row>
    <row r="41" spans="1:16" ht="16.5" thickBot="1" x14ac:dyDescent="0.3">
      <c r="A41" s="79"/>
      <c r="B41" s="18" t="s">
        <v>19</v>
      </c>
      <c r="C41" s="21">
        <f xml:space="preserve"> SUM(C37:C40)</f>
        <v>19</v>
      </c>
      <c r="D41" s="21">
        <f t="shared" ref="D41" si="20" xml:space="preserve"> SUM(D37:D40)</f>
        <v>16</v>
      </c>
      <c r="E41" s="21">
        <f xml:space="preserve"> SUM(C41:D41)</f>
        <v>35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8.5</v>
      </c>
      <c r="D46" s="24">
        <f t="shared" si="22"/>
        <v>10.25</v>
      </c>
    </row>
    <row r="47" spans="1:16" ht="16.5" thickBot="1" x14ac:dyDescent="0.3">
      <c r="A47" s="79"/>
      <c r="B47" s="18" t="s">
        <v>19</v>
      </c>
      <c r="C47" s="21">
        <f xml:space="preserve"> SUM(C43:C46)</f>
        <v>19</v>
      </c>
      <c r="D47" s="21">
        <f t="shared" ref="D47" si="23" xml:space="preserve"> SUM(D43:D46)</f>
        <v>17.5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zoomScale="115" zoomScaleNormal="115" workbookViewId="0">
      <selection activeCell="Q97" sqref="Q97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5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2</v>
      </c>
      <c r="E6" s="33">
        <v>1</v>
      </c>
      <c r="F6" s="33">
        <v>0</v>
      </c>
      <c r="G6" s="33">
        <v>3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7</v>
      </c>
      <c r="O6" s="32">
        <v>3</v>
      </c>
      <c r="P6" s="58">
        <v>1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1</v>
      </c>
      <c r="E7" s="33">
        <v>3</v>
      </c>
      <c r="F7" s="33">
        <v>0</v>
      </c>
      <c r="G7" s="33">
        <v>0</v>
      </c>
      <c r="H7" s="33">
        <v>2</v>
      </c>
      <c r="I7" s="33">
        <v>0</v>
      </c>
      <c r="J7" s="59">
        <v>0</v>
      </c>
      <c r="K7" s="32">
        <v>1</v>
      </c>
      <c r="L7" s="32">
        <v>4</v>
      </c>
      <c r="M7" s="32">
        <v>0</v>
      </c>
      <c r="N7" s="32">
        <v>5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1</v>
      </c>
      <c r="G8" s="33">
        <v>0</v>
      </c>
      <c r="H8" s="33">
        <v>3</v>
      </c>
      <c r="I8" s="33">
        <v>4</v>
      </c>
      <c r="J8" s="59">
        <v>0</v>
      </c>
      <c r="K8" s="32">
        <v>0</v>
      </c>
      <c r="L8" s="32">
        <v>1</v>
      </c>
      <c r="M8" s="32">
        <v>0</v>
      </c>
      <c r="N8" s="32">
        <v>4</v>
      </c>
      <c r="O8" s="32">
        <v>1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2</v>
      </c>
      <c r="H9" s="33">
        <v>0</v>
      </c>
      <c r="I9" s="33">
        <v>0</v>
      </c>
      <c r="J9" s="59">
        <v>2</v>
      </c>
      <c r="K9" s="32">
        <v>1</v>
      </c>
      <c r="L9" s="32">
        <v>0</v>
      </c>
      <c r="M9" s="32">
        <v>2</v>
      </c>
      <c r="N9" s="32">
        <v>1</v>
      </c>
      <c r="O9" s="32">
        <v>2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</v>
      </c>
      <c r="D10" s="21">
        <f t="shared" ref="D10:P10" si="1" xml:space="preserve"> SUM(D6:D9)</f>
        <v>5</v>
      </c>
      <c r="E10" s="21">
        <f t="shared" si="1"/>
        <v>4</v>
      </c>
      <c r="F10" s="21">
        <f t="shared" si="1"/>
        <v>2</v>
      </c>
      <c r="G10" s="21">
        <f t="shared" si="1"/>
        <v>5</v>
      </c>
      <c r="H10" s="21">
        <f t="shared" si="1"/>
        <v>5</v>
      </c>
      <c r="I10" s="60">
        <f t="shared" si="1"/>
        <v>4</v>
      </c>
      <c r="J10" s="61">
        <f t="shared" si="1"/>
        <v>2</v>
      </c>
      <c r="K10" s="21">
        <f t="shared" si="1"/>
        <v>2</v>
      </c>
      <c r="L10" s="21">
        <f t="shared" si="1"/>
        <v>5</v>
      </c>
      <c r="M10" s="21">
        <f t="shared" si="1"/>
        <v>2</v>
      </c>
      <c r="N10" s="21">
        <f t="shared" si="1"/>
        <v>17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2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13</v>
      </c>
      <c r="O12" s="22">
        <f t="shared" si="2"/>
        <v>16</v>
      </c>
      <c r="P12" s="62">
        <f t="shared" si="2"/>
        <v>17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1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6</v>
      </c>
      <c r="I13" s="62">
        <f t="shared" si="3"/>
        <v>6</v>
      </c>
      <c r="J13" s="63">
        <f t="shared" si="3"/>
        <v>6</v>
      </c>
      <c r="K13" s="22">
        <f t="shared" si="3"/>
        <v>7</v>
      </c>
      <c r="L13" s="22">
        <f t="shared" si="3"/>
        <v>11</v>
      </c>
      <c r="M13" s="22">
        <f t="shared" si="3"/>
        <v>11</v>
      </c>
      <c r="N13" s="22">
        <f t="shared" si="3"/>
        <v>16</v>
      </c>
      <c r="O13" s="22">
        <f t="shared" si="3"/>
        <v>16</v>
      </c>
      <c r="P13" s="62">
        <f t="shared" si="3"/>
        <v>16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4</v>
      </c>
      <c r="I14" s="62">
        <f t="shared" si="4"/>
        <v>8</v>
      </c>
      <c r="J14" s="63">
        <f t="shared" si="4"/>
        <v>8</v>
      </c>
      <c r="K14" s="22">
        <f t="shared" si="4"/>
        <v>8</v>
      </c>
      <c r="L14" s="22">
        <f t="shared" si="4"/>
        <v>9</v>
      </c>
      <c r="M14" s="22">
        <f t="shared" si="4"/>
        <v>9</v>
      </c>
      <c r="N14" s="22">
        <f t="shared" si="4"/>
        <v>13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6</v>
      </c>
      <c r="H15" s="22">
        <f t="shared" si="5"/>
        <v>6</v>
      </c>
      <c r="I15" s="62">
        <f t="shared" si="5"/>
        <v>6</v>
      </c>
      <c r="J15" s="63">
        <f t="shared" si="5"/>
        <v>8</v>
      </c>
      <c r="K15" s="22">
        <f t="shared" si="5"/>
        <v>9</v>
      </c>
      <c r="L15" s="22">
        <f t="shared" si="5"/>
        <v>9</v>
      </c>
      <c r="M15" s="22">
        <f t="shared" si="5"/>
        <v>11</v>
      </c>
      <c r="N15" s="22">
        <f t="shared" si="5"/>
        <v>12</v>
      </c>
      <c r="O15" s="22">
        <f t="shared" si="5"/>
        <v>14</v>
      </c>
      <c r="P15" s="62">
        <f t="shared" si="5"/>
        <v>14</v>
      </c>
    </row>
    <row r="16" spans="1:16" ht="16.5" thickBot="1" x14ac:dyDescent="0.3">
      <c r="A16" s="85"/>
      <c r="B16" s="18" t="s">
        <v>19</v>
      </c>
      <c r="C16" s="21">
        <f xml:space="preserve"> SUM(C12:C15)</f>
        <v>1</v>
      </c>
      <c r="D16" s="21">
        <f t="shared" ref="D16:P16" si="6" xml:space="preserve"> SUM(D12:D15)</f>
        <v>6</v>
      </c>
      <c r="E16" s="21">
        <f t="shared" si="6"/>
        <v>10</v>
      </c>
      <c r="F16" s="21">
        <f t="shared" si="6"/>
        <v>12</v>
      </c>
      <c r="G16" s="21">
        <f t="shared" si="6"/>
        <v>17</v>
      </c>
      <c r="H16" s="21">
        <f t="shared" si="6"/>
        <v>22</v>
      </c>
      <c r="I16" s="60">
        <f t="shared" si="6"/>
        <v>26</v>
      </c>
      <c r="J16" s="61">
        <f t="shared" si="6"/>
        <v>28</v>
      </c>
      <c r="K16" s="21">
        <f t="shared" si="6"/>
        <v>30</v>
      </c>
      <c r="L16" s="21">
        <f t="shared" si="6"/>
        <v>35</v>
      </c>
      <c r="M16" s="21">
        <f t="shared" si="6"/>
        <v>37</v>
      </c>
      <c r="N16" s="21">
        <f t="shared" si="6"/>
        <v>54</v>
      </c>
      <c r="O16" s="21">
        <f t="shared" si="6"/>
        <v>60</v>
      </c>
      <c r="P16" s="60">
        <f t="shared" si="6"/>
        <v>63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1.0833333333333333</v>
      </c>
      <c r="O30" s="22">
        <f t="shared" si="13"/>
        <v>1.2307692307692308</v>
      </c>
      <c r="P30" s="62">
        <f t="shared" si="13"/>
        <v>1.2142857142857142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</v>
      </c>
      <c r="I31" s="62">
        <f t="shared" si="14"/>
        <v>0.8571428571428571</v>
      </c>
      <c r="J31" s="63">
        <f t="shared" si="14"/>
        <v>0.75</v>
      </c>
      <c r="K31" s="22">
        <f t="shared" si="14"/>
        <v>0.77777777777777779</v>
      </c>
      <c r="L31" s="22">
        <f t="shared" si="14"/>
        <v>1.1000000000000001</v>
      </c>
      <c r="M31" s="22">
        <f t="shared" si="14"/>
        <v>1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1.1428571428571428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0.25</v>
      </c>
      <c r="G32" s="22">
        <f t="shared" si="15"/>
        <v>0.2</v>
      </c>
      <c r="H32" s="22">
        <f t="shared" si="15"/>
        <v>0.66666666666666663</v>
      </c>
      <c r="I32" s="62">
        <f t="shared" si="15"/>
        <v>1.1428571428571428</v>
      </c>
      <c r="J32" s="63">
        <f t="shared" si="15"/>
        <v>1</v>
      </c>
      <c r="K32" s="22">
        <f t="shared" si="15"/>
        <v>0.88888888888888884</v>
      </c>
      <c r="L32" s="22">
        <f t="shared" si="15"/>
        <v>0.9</v>
      </c>
      <c r="M32" s="22">
        <f t="shared" si="15"/>
        <v>0.81818181818181823</v>
      </c>
      <c r="N32" s="22">
        <f t="shared" si="15"/>
        <v>1.0833333333333333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1.2</v>
      </c>
      <c r="H33" s="22">
        <f t="shared" si="16"/>
        <v>1</v>
      </c>
      <c r="I33" s="62">
        <f t="shared" si="16"/>
        <v>0.8571428571428571</v>
      </c>
      <c r="J33" s="63">
        <f t="shared" si="16"/>
        <v>1</v>
      </c>
      <c r="K33" s="22">
        <f t="shared" si="16"/>
        <v>1</v>
      </c>
      <c r="L33" s="22">
        <f t="shared" si="16"/>
        <v>0.9</v>
      </c>
      <c r="M33" s="22">
        <f t="shared" si="16"/>
        <v>1</v>
      </c>
      <c r="N33" s="22">
        <f t="shared" si="16"/>
        <v>1</v>
      </c>
      <c r="O33" s="22">
        <f t="shared" si="16"/>
        <v>1.0769230769230769</v>
      </c>
      <c r="P33" s="62">
        <f t="shared" si="16"/>
        <v>1</v>
      </c>
    </row>
    <row r="34" spans="1:16" ht="16.5" thickBot="1" x14ac:dyDescent="0.3">
      <c r="A34" s="79"/>
      <c r="B34" s="18" t="s">
        <v>19</v>
      </c>
      <c r="C34" s="21">
        <f xml:space="preserve"> SUM(C30:C33)</f>
        <v>1</v>
      </c>
      <c r="D34" s="21">
        <f t="shared" ref="D34:P34" si="17" xml:space="preserve"> SUM(D30:D33)</f>
        <v>3</v>
      </c>
      <c r="E34" s="21">
        <f t="shared" si="17"/>
        <v>3.333333333333333</v>
      </c>
      <c r="F34" s="21">
        <f t="shared" si="17"/>
        <v>3</v>
      </c>
      <c r="G34" s="21">
        <f t="shared" si="17"/>
        <v>3.4000000000000004</v>
      </c>
      <c r="H34" s="21">
        <f t="shared" si="17"/>
        <v>3.6666666666666665</v>
      </c>
      <c r="I34" s="60">
        <f t="shared" si="17"/>
        <v>3.714285714285714</v>
      </c>
      <c r="J34" s="61">
        <f t="shared" si="17"/>
        <v>3.5</v>
      </c>
      <c r="K34" s="21">
        <f t="shared" si="17"/>
        <v>3.333333333333333</v>
      </c>
      <c r="L34" s="21">
        <f t="shared" si="17"/>
        <v>3.5</v>
      </c>
      <c r="M34" s="21">
        <f t="shared" si="17"/>
        <v>3.3636363636363638</v>
      </c>
      <c r="N34" s="21">
        <f t="shared" si="17"/>
        <v>4.5</v>
      </c>
      <c r="O34" s="21">
        <f t="shared" si="17"/>
        <v>4.615384615384615</v>
      </c>
      <c r="P34" s="60">
        <f t="shared" si="17"/>
        <v>4.5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11</v>
      </c>
      <c r="E37" s="24">
        <f xml:space="preserve"> SUM(C37:D37)</f>
        <v>17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10</v>
      </c>
      <c r="E38" s="24">
        <f xml:space="preserve"> SUM(C38:D38)</f>
        <v>16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8</v>
      </c>
      <c r="D39" s="24">
        <f t="shared" si="19"/>
        <v>8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6</v>
      </c>
      <c r="D40" s="24">
        <f t="shared" si="19"/>
        <v>8</v>
      </c>
      <c r="E40" s="24">
        <f xml:space="preserve"> SUM(C40:D40)</f>
        <v>14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37</v>
      </c>
      <c r="E41" s="21">
        <f xml:space="preserve"> SUM(C41:D41)</f>
        <v>63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8.5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8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8</v>
      </c>
      <c r="D45" s="24">
        <f t="shared" si="22"/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6</v>
      </c>
      <c r="D46" s="24">
        <f t="shared" si="22"/>
        <v>7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31.5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63</v>
      </c>
      <c r="D90" s="24">
        <f>C10</f>
        <v>1</v>
      </c>
      <c r="E90" s="24">
        <f>D10</f>
        <v>5</v>
      </c>
      <c r="F90" s="24">
        <f t="shared" ref="F90:Q90" si="24">E10</f>
        <v>4</v>
      </c>
      <c r="G90" s="24">
        <f t="shared" si="24"/>
        <v>2</v>
      </c>
      <c r="H90" s="24">
        <f t="shared" si="24"/>
        <v>5</v>
      </c>
      <c r="I90" s="24">
        <f t="shared" si="24"/>
        <v>5</v>
      </c>
      <c r="J90" s="24">
        <f t="shared" si="24"/>
        <v>4</v>
      </c>
      <c r="K90" s="24">
        <f t="shared" si="24"/>
        <v>2</v>
      </c>
      <c r="L90" s="24">
        <f t="shared" si="24"/>
        <v>2</v>
      </c>
      <c r="M90" s="24">
        <f t="shared" si="24"/>
        <v>5</v>
      </c>
      <c r="N90" s="24">
        <f t="shared" si="24"/>
        <v>2</v>
      </c>
      <c r="O90" s="24">
        <f t="shared" si="24"/>
        <v>17</v>
      </c>
      <c r="P90" s="24">
        <f t="shared" si="24"/>
        <v>6</v>
      </c>
      <c r="Q90" s="24">
        <f t="shared" si="24"/>
        <v>3</v>
      </c>
    </row>
    <row r="91" spans="2:17" x14ac:dyDescent="0.25">
      <c r="B91" t="s">
        <v>55</v>
      </c>
      <c r="C91" s="24">
        <f>C90</f>
        <v>63</v>
      </c>
      <c r="D91" s="24">
        <f>C91-D90</f>
        <v>62</v>
      </c>
      <c r="E91" s="24">
        <f>D91-E90</f>
        <v>57</v>
      </c>
      <c r="F91" s="24">
        <f t="shared" ref="F91:Q91" si="25">E91-F90</f>
        <v>53</v>
      </c>
      <c r="G91" s="24">
        <f t="shared" si="25"/>
        <v>51</v>
      </c>
      <c r="H91" s="24">
        <f t="shared" si="25"/>
        <v>46</v>
      </c>
      <c r="I91" s="24">
        <f t="shared" si="25"/>
        <v>41</v>
      </c>
      <c r="J91" s="24">
        <f t="shared" si="25"/>
        <v>37</v>
      </c>
      <c r="K91" s="24">
        <f t="shared" si="25"/>
        <v>35</v>
      </c>
      <c r="L91" s="24">
        <f t="shared" si="25"/>
        <v>33</v>
      </c>
      <c r="M91" s="24">
        <f t="shared" si="25"/>
        <v>28</v>
      </c>
      <c r="N91" s="24">
        <f t="shared" si="25"/>
        <v>26</v>
      </c>
      <c r="O91" s="24">
        <f t="shared" si="25"/>
        <v>9</v>
      </c>
      <c r="P91" s="24">
        <f t="shared" si="25"/>
        <v>3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zoomScale="115" zoomScaleNormal="115" workbookViewId="0">
      <selection activeCell="G7" sqref="G7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6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4</v>
      </c>
      <c r="I7" s="33">
        <v>3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2</v>
      </c>
      <c r="F8" s="33">
        <v>0</v>
      </c>
      <c r="G8" s="33">
        <v>0</v>
      </c>
      <c r="H8" s="33">
        <v>3</v>
      </c>
      <c r="I8" s="33">
        <v>2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2</v>
      </c>
      <c r="F10" s="21">
        <f t="shared" si="1"/>
        <v>0</v>
      </c>
      <c r="G10" s="21">
        <f t="shared" si="1"/>
        <v>0</v>
      </c>
      <c r="H10" s="21">
        <f t="shared" si="1"/>
        <v>7</v>
      </c>
      <c r="I10" s="60">
        <f t="shared" si="1"/>
        <v>5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4</v>
      </c>
      <c r="I13" s="62">
        <f t="shared" si="3"/>
        <v>7</v>
      </c>
      <c r="J13" s="63">
        <f t="shared" si="3"/>
        <v>7</v>
      </c>
      <c r="K13" s="22">
        <f t="shared" si="3"/>
        <v>7</v>
      </c>
      <c r="L13" s="22">
        <f t="shared" si="3"/>
        <v>7</v>
      </c>
      <c r="M13" s="22">
        <f t="shared" si="3"/>
        <v>7</v>
      </c>
      <c r="N13" s="22">
        <f t="shared" si="3"/>
        <v>7</v>
      </c>
      <c r="O13" s="22">
        <f t="shared" si="3"/>
        <v>7</v>
      </c>
      <c r="P13" s="62">
        <f t="shared" si="3"/>
        <v>7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5</v>
      </c>
      <c r="I14" s="62">
        <f t="shared" si="4"/>
        <v>7</v>
      </c>
      <c r="J14" s="63">
        <f t="shared" si="4"/>
        <v>7</v>
      </c>
      <c r="K14" s="22">
        <f t="shared" si="4"/>
        <v>7</v>
      </c>
      <c r="L14" s="22">
        <f t="shared" si="4"/>
        <v>7</v>
      </c>
      <c r="M14" s="22">
        <f t="shared" si="4"/>
        <v>7</v>
      </c>
      <c r="N14" s="22">
        <f t="shared" si="4"/>
        <v>7</v>
      </c>
      <c r="O14" s="22">
        <f t="shared" si="4"/>
        <v>7</v>
      </c>
      <c r="P14" s="62">
        <f t="shared" si="4"/>
        <v>7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2</v>
      </c>
      <c r="F16" s="21">
        <f t="shared" si="6"/>
        <v>2</v>
      </c>
      <c r="G16" s="21">
        <f t="shared" si="6"/>
        <v>2</v>
      </c>
      <c r="H16" s="21">
        <f t="shared" si="6"/>
        <v>9</v>
      </c>
      <c r="I16" s="60">
        <f t="shared" si="6"/>
        <v>14</v>
      </c>
      <c r="J16" s="61">
        <f t="shared" si="6"/>
        <v>14</v>
      </c>
      <c r="K16" s="21">
        <f t="shared" si="6"/>
        <v>14</v>
      </c>
      <c r="L16" s="21">
        <f t="shared" si="6"/>
        <v>14</v>
      </c>
      <c r="M16" s="21">
        <f t="shared" si="6"/>
        <v>14</v>
      </c>
      <c r="N16" s="21">
        <f t="shared" si="6"/>
        <v>14</v>
      </c>
      <c r="O16" s="21">
        <f t="shared" si="6"/>
        <v>14</v>
      </c>
      <c r="P16" s="60">
        <f t="shared" si="6"/>
        <v>14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0.66666666666666663</v>
      </c>
      <c r="I31" s="62">
        <f t="shared" si="14"/>
        <v>1</v>
      </c>
      <c r="J31" s="63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0.63636363636363635</v>
      </c>
      <c r="N31" s="22">
        <f t="shared" si="14"/>
        <v>0.58333333333333337</v>
      </c>
      <c r="O31" s="22">
        <f t="shared" si="14"/>
        <v>0.53846153846153844</v>
      </c>
      <c r="P31" s="62">
        <f t="shared" si="14"/>
        <v>0.5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0.4</v>
      </c>
      <c r="H32" s="22">
        <f t="shared" si="15"/>
        <v>0.83333333333333337</v>
      </c>
      <c r="I32" s="62">
        <f t="shared" si="15"/>
        <v>1</v>
      </c>
      <c r="J32" s="63">
        <f t="shared" si="15"/>
        <v>0.875</v>
      </c>
      <c r="K32" s="22">
        <f t="shared" si="15"/>
        <v>0.77777777777777779</v>
      </c>
      <c r="L32" s="22">
        <f t="shared" si="15"/>
        <v>0.7</v>
      </c>
      <c r="M32" s="22">
        <f t="shared" si="15"/>
        <v>0.63636363636363635</v>
      </c>
      <c r="N32" s="22">
        <f t="shared" si="15"/>
        <v>0.58333333333333337</v>
      </c>
      <c r="O32" s="22">
        <f t="shared" si="15"/>
        <v>0.53846153846153844</v>
      </c>
      <c r="P32" s="62">
        <f t="shared" si="15"/>
        <v>0.5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0.66666666666666663</v>
      </c>
      <c r="F34" s="21">
        <f t="shared" si="17"/>
        <v>0.5</v>
      </c>
      <c r="G34" s="21">
        <f t="shared" si="17"/>
        <v>0.4</v>
      </c>
      <c r="H34" s="21">
        <f t="shared" si="17"/>
        <v>1.5</v>
      </c>
      <c r="I34" s="60">
        <f t="shared" si="17"/>
        <v>2</v>
      </c>
      <c r="J34" s="61">
        <f t="shared" si="17"/>
        <v>1.75</v>
      </c>
      <c r="K34" s="21">
        <f t="shared" si="17"/>
        <v>1.5555555555555556</v>
      </c>
      <c r="L34" s="21">
        <f t="shared" si="17"/>
        <v>1.4</v>
      </c>
      <c r="M34" s="21">
        <f t="shared" si="17"/>
        <v>1.2727272727272727</v>
      </c>
      <c r="N34" s="21">
        <f t="shared" si="17"/>
        <v>1.1666666666666667</v>
      </c>
      <c r="O34" s="21">
        <f t="shared" si="17"/>
        <v>1.0769230769230769</v>
      </c>
      <c r="P34" s="60">
        <f t="shared" si="17"/>
        <v>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7</v>
      </c>
      <c r="D38" s="24">
        <f t="shared" ref="D38:D40" si="19" xml:space="preserve"> SUM(J7:P7) + SUM(J19:P19)</f>
        <v>0</v>
      </c>
      <c r="E38" s="24">
        <f xml:space="preserve"> SUM(C38:D38)</f>
        <v>7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0</v>
      </c>
      <c r="E39" s="24">
        <f xml:space="preserve"> SUM(C39:D39)</f>
        <v>7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14</v>
      </c>
      <c r="D41" s="21">
        <f t="shared" ref="D41" si="20" xml:space="preserve"> SUM(D37:D40)</f>
        <v>0</v>
      </c>
      <c r="E41" s="21">
        <f xml:space="preserve"> SUM(C41:D41)</f>
        <v>14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7</v>
      </c>
      <c r="D44" s="24">
        <f t="shared" ref="D44:D46" si="22" xml:space="preserve"> SUM(C38:D38) / D$36</f>
        <v>3.5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3.5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14</v>
      </c>
      <c r="D47" s="21">
        <f t="shared" ref="D47" si="23" xml:space="preserve"> SUM(D43:D46)</f>
        <v>7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7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8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9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10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2016-02-02T18:17:21Z</dcterms:modified>
</cp:coreProperties>
</file>