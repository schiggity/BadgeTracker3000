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5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6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7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8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1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2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3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4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7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8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9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0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activeTab="7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H90" i="46" l="1"/>
  <c r="E90" i="46"/>
  <c r="C89" i="46"/>
  <c r="D89" i="46" s="1"/>
  <c r="E89" i="46" s="1"/>
  <c r="F89" i="46" s="1"/>
  <c r="G89" i="46" s="1"/>
  <c r="H89" i="46" s="1"/>
  <c r="I89" i="46" s="1"/>
  <c r="J89" i="46" s="1"/>
  <c r="K89" i="46" s="1"/>
  <c r="L89" i="46" s="1"/>
  <c r="M89" i="46" s="1"/>
  <c r="N89" i="46" s="1"/>
  <c r="O89" i="46" s="1"/>
  <c r="P89" i="46" s="1"/>
  <c r="C86" i="46"/>
  <c r="O84" i="1" l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 s="1"/>
  <c r="B43" i="46"/>
  <c r="D37" i="46"/>
  <c r="D38" i="46"/>
  <c r="D39" i="46"/>
  <c r="E39" i="46" s="1"/>
  <c r="D40" i="46"/>
  <c r="C40" i="46"/>
  <c r="B40" i="46"/>
  <c r="C39" i="46"/>
  <c r="D45" i="46" s="1"/>
  <c r="B39" i="46"/>
  <c r="C38" i="46"/>
  <c r="B38" i="46"/>
  <c r="B37" i="46"/>
  <c r="C15" i="46"/>
  <c r="D15" i="46" s="1"/>
  <c r="C27" i="46"/>
  <c r="C33" i="46"/>
  <c r="C34" i="46" s="1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B15" i="46"/>
  <c r="E14" i="46"/>
  <c r="F14" i="46" s="1"/>
  <c r="B14" i="46"/>
  <c r="D13" i="46"/>
  <c r="D31" i="46"/>
  <c r="B13" i="46"/>
  <c r="C30" i="46"/>
  <c r="B12" i="46"/>
  <c r="P10" i="46"/>
  <c r="Q90" i="46" s="1"/>
  <c r="O10" i="46"/>
  <c r="P90" i="46" s="1"/>
  <c r="N10" i="46"/>
  <c r="O90" i="46" s="1"/>
  <c r="M10" i="46"/>
  <c r="N90" i="46" s="1"/>
  <c r="L10" i="46"/>
  <c r="M90" i="46" s="1"/>
  <c r="K10" i="46"/>
  <c r="L90" i="46" s="1"/>
  <c r="J10" i="46"/>
  <c r="K90" i="46" s="1"/>
  <c r="I10" i="46"/>
  <c r="J90" i="46" s="1"/>
  <c r="H10" i="46"/>
  <c r="I90" i="46" s="1"/>
  <c r="G10" i="46"/>
  <c r="F10" i="46"/>
  <c r="G90" i="46" s="1"/>
  <c r="E10" i="46"/>
  <c r="F90" i="46" s="1"/>
  <c r="D10" i="46"/>
  <c r="C10" i="46"/>
  <c r="D90" i="46" s="1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S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26" i="46"/>
  <c r="E32" i="46"/>
  <c r="D12" i="46"/>
  <c r="E13" i="46"/>
  <c r="C45" i="46"/>
  <c r="E37" i="46"/>
  <c r="F26" i="46"/>
  <c r="G26" i="46"/>
  <c r="H26" i="46"/>
  <c r="I26" i="46"/>
  <c r="J26" i="46"/>
  <c r="K26" i="46"/>
  <c r="L26" i="46"/>
  <c r="M26" i="46"/>
  <c r="N26" i="46"/>
  <c r="O26" i="46"/>
  <c r="P26" i="46"/>
  <c r="D24" i="46"/>
  <c r="C31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E31" i="46"/>
  <c r="F13" i="46"/>
  <c r="E24" i="46"/>
  <c r="D28" i="46"/>
  <c r="D30" i="46"/>
  <c r="E12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E30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H13" i="46"/>
  <c r="I13" i="46" s="1"/>
  <c r="G31" i="46"/>
  <c r="G12" i="46"/>
  <c r="F30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H12" i="46"/>
  <c r="I12" i="46" s="1"/>
  <c r="G30" i="46"/>
  <c r="H31" i="46"/>
  <c r="G28" i="46"/>
  <c r="H24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28" i="46"/>
  <c r="I24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J28" i="46"/>
  <c r="K24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24" i="46"/>
  <c r="M28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N28" i="46"/>
  <c r="O24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50"/>
  <c r="B2" i="49"/>
  <c r="B2" i="44"/>
  <c r="B2" i="42"/>
  <c r="B2" i="47"/>
  <c r="B2" i="15"/>
  <c r="B2" i="2"/>
  <c r="B2" i="46"/>
  <c r="B2" i="45"/>
  <c r="B2" i="48"/>
  <c r="B2" i="43"/>
  <c r="D33" i="46" l="1"/>
  <c r="D34" i="46" s="1"/>
  <c r="E15" i="46"/>
  <c r="D16" i="46"/>
  <c r="Q11" i="1"/>
  <c r="J12" i="46"/>
  <c r="J30" i="46" s="1"/>
  <c r="I30" i="46"/>
  <c r="D43" i="46"/>
  <c r="E40" i="46"/>
  <c r="D44" i="46"/>
  <c r="D41" i="46"/>
  <c r="D46" i="46"/>
  <c r="D47" i="46" s="1"/>
  <c r="C46" i="46"/>
  <c r="K12" i="46"/>
  <c r="P11" i="1"/>
  <c r="I31" i="46"/>
  <c r="J13" i="46"/>
  <c r="E38" i="46"/>
  <c r="C44" i="46"/>
  <c r="C47" i="46" s="1"/>
  <c r="F32" i="46"/>
  <c r="G14" i="46"/>
  <c r="E16" i="46"/>
  <c r="C41" i="46"/>
  <c r="E41" i="46" s="1"/>
  <c r="C90" i="46" s="1"/>
  <c r="C91" i="46" s="1"/>
  <c r="D91" i="46" s="1"/>
  <c r="E91" i="46" s="1"/>
  <c r="F91" i="46" s="1"/>
  <c r="G91" i="46" s="1"/>
  <c r="H91" i="46" s="1"/>
  <c r="I91" i="46" s="1"/>
  <c r="J91" i="46" s="1"/>
  <c r="K91" i="46" s="1"/>
  <c r="L91" i="46" s="1"/>
  <c r="M91" i="46" s="1"/>
  <c r="N91" i="46" s="1"/>
  <c r="O91" i="46" s="1"/>
  <c r="P91" i="46" s="1"/>
  <c r="Q91" i="46" s="1"/>
  <c r="O11" i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F15" i="46" l="1"/>
  <c r="E33" i="46"/>
  <c r="E34" i="46" s="1"/>
  <c r="K30" i="46"/>
  <c r="L12" i="46"/>
  <c r="J31" i="46"/>
  <c r="K13" i="46"/>
  <c r="G32" i="46"/>
  <c r="H14" i="46"/>
  <c r="N28" i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F33" i="46" l="1"/>
  <c r="F34" i="46" s="1"/>
  <c r="F16" i="46"/>
  <c r="G15" i="46"/>
  <c r="L30" i="46"/>
  <c r="M12" i="46"/>
  <c r="L13" i="46"/>
  <c r="K31" i="46"/>
  <c r="H32" i="46"/>
  <c r="I14" i="46"/>
  <c r="G15" i="45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P84" i="1" s="1"/>
  <c r="G33" i="46" l="1"/>
  <c r="G34" i="46" s="1"/>
  <c r="H15" i="46"/>
  <c r="G16" i="46"/>
  <c r="N12" i="46"/>
  <c r="M30" i="46"/>
  <c r="M13" i="46"/>
  <c r="L31" i="46"/>
  <c r="J14" i="46"/>
  <c r="I32" i="46"/>
  <c r="S22" i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Q84" i="1" s="1"/>
  <c r="S19" i="1"/>
  <c r="R25" i="1"/>
  <c r="H12" i="45"/>
  <c r="G16" i="45"/>
  <c r="G30" i="45"/>
  <c r="I15" i="46" l="1"/>
  <c r="H16" i="46"/>
  <c r="H33" i="46"/>
  <c r="H34" i="46" s="1"/>
  <c r="N30" i="46"/>
  <c r="O12" i="46"/>
  <c r="N13" i="46"/>
  <c r="M31" i="46"/>
  <c r="K14" i="46"/>
  <c r="J32" i="46"/>
  <c r="T22" i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84" i="1" s="1"/>
  <c r="R29" i="1"/>
  <c r="S23" i="1"/>
  <c r="H30" i="45"/>
  <c r="H34" i="45" s="1"/>
  <c r="H16" i="45"/>
  <c r="I12" i="45"/>
  <c r="T19" i="1"/>
  <c r="S25" i="1"/>
  <c r="J15" i="46" l="1"/>
  <c r="I33" i="46"/>
  <c r="I34" i="46" s="1"/>
  <c r="I16" i="46"/>
  <c r="O30" i="46"/>
  <c r="P12" i="46"/>
  <c r="P30" i="46" s="1"/>
  <c r="N31" i="46"/>
  <c r="O13" i="46"/>
  <c r="L14" i="46"/>
  <c r="K32" i="46"/>
  <c r="U22" i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84" i="1" s="1"/>
  <c r="S29" i="1"/>
  <c r="T23" i="1"/>
  <c r="K15" i="46" l="1"/>
  <c r="J33" i="46"/>
  <c r="J34" i="46" s="1"/>
  <c r="J16" i="46"/>
  <c r="P13" i="46"/>
  <c r="P31" i="46" s="1"/>
  <c r="O31" i="46"/>
  <c r="L32" i="46"/>
  <c r="M14" i="46"/>
  <c r="U28" i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84" i="1" s="1"/>
  <c r="T29" i="1"/>
  <c r="U23" i="1"/>
  <c r="V19" i="1"/>
  <c r="U25" i="1"/>
  <c r="L15" i="46" l="1"/>
  <c r="K16" i="46"/>
  <c r="K33" i="46"/>
  <c r="K34" i="46" s="1"/>
  <c r="M32" i="46"/>
  <c r="N14" i="46"/>
  <c r="J34" i="45"/>
  <c r="L15" i="45"/>
  <c r="K33" i="45"/>
  <c r="W22" i="1"/>
  <c r="V28" i="1"/>
  <c r="W21" i="1"/>
  <c r="V27" i="1"/>
  <c r="W20" i="1"/>
  <c r="V26" i="1"/>
  <c r="O13" i="45"/>
  <c r="N31" i="45"/>
  <c r="U81" i="1"/>
  <c r="U84" i="1" s="1"/>
  <c r="U29" i="1"/>
  <c r="V23" i="1"/>
  <c r="W19" i="1"/>
  <c r="V25" i="1"/>
  <c r="K30" i="45"/>
  <c r="K34" i="45" s="1"/>
  <c r="L12" i="45"/>
  <c r="K16" i="45"/>
  <c r="L33" i="46" l="1"/>
  <c r="L34" i="46" s="1"/>
  <c r="M15" i="46"/>
  <c r="L16" i="46"/>
  <c r="N32" i="46"/>
  <c r="O14" i="46"/>
  <c r="X22" i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V84" i="1" s="1"/>
  <c r="W25" i="1"/>
  <c r="X19" i="1"/>
  <c r="N15" i="46" l="1"/>
  <c r="M16" i="46"/>
  <c r="M33" i="46"/>
  <c r="M34" i="46" s="1"/>
  <c r="P14" i="46"/>
  <c r="O32" i="46"/>
  <c r="L34" i="45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W84" i="1" s="1"/>
  <c r="X23" i="1"/>
  <c r="W29" i="1"/>
  <c r="M30" i="45"/>
  <c r="M34" i="45" s="1"/>
  <c r="N12" i="45"/>
  <c r="M16" i="45"/>
  <c r="N33" i="46" l="1"/>
  <c r="N34" i="46" s="1"/>
  <c r="N16" i="46"/>
  <c r="O15" i="46"/>
  <c r="P32" i="46"/>
  <c r="N33" i="45"/>
  <c r="O15" i="45"/>
  <c r="O12" i="45"/>
  <c r="N30" i="45"/>
  <c r="N16" i="45"/>
  <c r="Y23" i="1"/>
  <c r="X81" i="1"/>
  <c r="X84" i="1" s="1"/>
  <c r="D79" i="1"/>
  <c r="X29" i="1"/>
  <c r="P15" i="46" l="1"/>
  <c r="O16" i="46"/>
  <c r="O33" i="46"/>
  <c r="O34" i="46" s="1"/>
  <c r="N34" i="45"/>
  <c r="O33" i="45"/>
  <c r="P15" i="45"/>
  <c r="P33" i="45" s="1"/>
  <c r="Y29" i="1"/>
  <c r="Y81" i="1"/>
  <c r="Y84" i="1" s="1"/>
  <c r="P12" i="45"/>
  <c r="O16" i="45"/>
  <c r="O30" i="45"/>
  <c r="O34" i="45" s="1"/>
  <c r="P33" i="46" l="1"/>
  <c r="P34" i="46" s="1"/>
  <c r="P16" i="46"/>
  <c r="P30" i="45"/>
  <c r="P34" i="45" s="1"/>
  <c r="P16" i="45"/>
</calcChain>
</file>

<file path=xl/sharedStrings.xml><?xml version="1.0" encoding="utf-8"?>
<sst xmlns="http://schemas.openxmlformats.org/spreadsheetml/2006/main" count="340" uniqueCount="73">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</sst>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31</c:v>
                </c:pt>
                <c:pt idx="14">
                  <c:v>40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377552"/>
        <c:axId val="1683781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25.946428571428573</c:v>
                </c:pt>
                <c:pt idx="14">
                  <c:v>26.883333333333333</c:v>
                </c:pt>
                <c:pt idx="15">
                  <c:v>25.203125</c:v>
                </c:pt>
                <c:pt idx="16">
                  <c:v>23.720588235294116</c:v>
                </c:pt>
                <c:pt idx="17">
                  <c:v>22.402777777777779</c:v>
                </c:pt>
                <c:pt idx="18">
                  <c:v>21.223684210526315</c:v>
                </c:pt>
                <c:pt idx="19">
                  <c:v>20.162500000000001</c:v>
                </c:pt>
                <c:pt idx="20">
                  <c:v>19.202380952380953</c:v>
                </c:pt>
                <c:pt idx="21">
                  <c:v>18.329545454545453</c:v>
                </c:pt>
                <c:pt idx="22">
                  <c:v>17.532608695652176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77552"/>
        <c:axId val="168378112"/>
      </c:lineChart>
      <c:catAx>
        <c:axId val="16837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78112"/>
        <c:crosses val="autoZero"/>
        <c:auto val="0"/>
        <c:lblAlgn val="ctr"/>
        <c:lblOffset val="100"/>
        <c:noMultiLvlLbl val="0"/>
      </c:catAx>
      <c:valAx>
        <c:axId val="1683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7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9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383152"/>
        <c:axId val="1683837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7.2857142857142856</c:v>
                </c:pt>
                <c:pt idx="14">
                  <c:v>7.4</c:v>
                </c:pt>
                <c:pt idx="15">
                  <c:v>6.9375</c:v>
                </c:pt>
                <c:pt idx="16">
                  <c:v>6.5294117647058822</c:v>
                </c:pt>
                <c:pt idx="17">
                  <c:v>6.166666666666667</c:v>
                </c:pt>
                <c:pt idx="18">
                  <c:v>5.8421052631578947</c:v>
                </c:pt>
                <c:pt idx="19">
                  <c:v>5.55</c:v>
                </c:pt>
                <c:pt idx="20">
                  <c:v>5.2857142857142856</c:v>
                </c:pt>
                <c:pt idx="21">
                  <c:v>5.0454545454545459</c:v>
                </c:pt>
                <c:pt idx="22">
                  <c:v>4.8260869565217392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83152"/>
        <c:axId val="168383712"/>
      </c:lineChart>
      <c:catAx>
        <c:axId val="16838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83712"/>
        <c:crosses val="autoZero"/>
        <c:auto val="0"/>
        <c:lblAlgn val="ctr"/>
        <c:lblOffset val="100"/>
        <c:noMultiLvlLbl val="0"/>
      </c:catAx>
      <c:valAx>
        <c:axId val="168383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83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03472"/>
        <c:axId val="17010403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5.75</c:v>
                </c:pt>
                <c:pt idx="14">
                  <c:v>6.0333333333333332</c:v>
                </c:pt>
                <c:pt idx="15">
                  <c:v>5.65625</c:v>
                </c:pt>
                <c:pt idx="16">
                  <c:v>5.3235294117647056</c:v>
                </c:pt>
                <c:pt idx="17">
                  <c:v>5.0277777777777777</c:v>
                </c:pt>
                <c:pt idx="18">
                  <c:v>4.7631578947368425</c:v>
                </c:pt>
                <c:pt idx="19">
                  <c:v>4.5250000000000004</c:v>
                </c:pt>
                <c:pt idx="20">
                  <c:v>4.3095238095238093</c:v>
                </c:pt>
                <c:pt idx="21">
                  <c:v>4.1136363636363633</c:v>
                </c:pt>
                <c:pt idx="22">
                  <c:v>3.9347826086956523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3472"/>
        <c:axId val="170104032"/>
      </c:lineChart>
      <c:catAx>
        <c:axId val="17010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4032"/>
        <c:crosses val="autoZero"/>
        <c:auto val="0"/>
        <c:lblAlgn val="ctr"/>
        <c:lblOffset val="100"/>
        <c:noMultiLvlLbl val="0"/>
      </c:catAx>
      <c:valAx>
        <c:axId val="170104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3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889200"/>
        <c:axId val="1698897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6.2857142857142856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5.882352941176471</c:v>
                </c:pt>
                <c:pt idx="17">
                  <c:v>5.5555555555555554</c:v>
                </c:pt>
                <c:pt idx="18">
                  <c:v>5.2631578947368425</c:v>
                </c:pt>
                <c:pt idx="19">
                  <c:v>5</c:v>
                </c:pt>
                <c:pt idx="20">
                  <c:v>4.7619047619047619</c:v>
                </c:pt>
                <c:pt idx="21">
                  <c:v>4.5454545454545459</c:v>
                </c:pt>
                <c:pt idx="22">
                  <c:v>4.3478260869565215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89200"/>
        <c:axId val="169889760"/>
      </c:lineChart>
      <c:catAx>
        <c:axId val="16988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9760"/>
        <c:crosses val="autoZero"/>
        <c:auto val="0"/>
        <c:lblAlgn val="ctr"/>
        <c:lblOffset val="100"/>
        <c:noMultiLvlLbl val="0"/>
      </c:catAx>
      <c:valAx>
        <c:axId val="169889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9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06832"/>
        <c:axId val="17010627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6.625</c:v>
                </c:pt>
                <c:pt idx="14">
                  <c:v>6.7833333333333332</c:v>
                </c:pt>
                <c:pt idx="15">
                  <c:v>6.359375</c:v>
                </c:pt>
                <c:pt idx="16">
                  <c:v>5.9852941176470589</c:v>
                </c:pt>
                <c:pt idx="17">
                  <c:v>5.6527777777777777</c:v>
                </c:pt>
                <c:pt idx="18">
                  <c:v>5.3552631578947372</c:v>
                </c:pt>
                <c:pt idx="19">
                  <c:v>5.0875000000000004</c:v>
                </c:pt>
                <c:pt idx="20">
                  <c:v>4.8452380952380949</c:v>
                </c:pt>
                <c:pt idx="21">
                  <c:v>4.625</c:v>
                </c:pt>
                <c:pt idx="22">
                  <c:v>4.4239130434782608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6832"/>
        <c:axId val="170106272"/>
      </c:lineChart>
      <c:catAx>
        <c:axId val="17010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272"/>
        <c:crosses val="autoZero"/>
        <c:auto val="0"/>
        <c:lblAlgn val="ctr"/>
        <c:lblOffset val="100"/>
        <c:noMultiLvlLbl val="0"/>
      </c:catAx>
      <c:valAx>
        <c:axId val="170106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Product!$C$84:$Q$84</c:f>
              <c:numCache>
                <c:formatCode>0.00</c:formatCode>
                <c:ptCount val="15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  <c:pt idx="13">
                  <c:v>216.75</c:v>
                </c:pt>
                <c:pt idx="14">
                  <c:v>176.75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07088"/>
        <c:axId val="169607648"/>
      </c:lineChart>
      <c:catAx>
        <c:axId val="16960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07648"/>
        <c:crosses val="autoZero"/>
        <c:auto val="1"/>
        <c:lblAlgn val="ctr"/>
        <c:lblOffset val="100"/>
        <c:noMultiLvlLbl val="0"/>
      </c:catAx>
      <c:valAx>
        <c:axId val="1696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0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610448"/>
        <c:axId val="16961100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10448"/>
        <c:axId val="169611008"/>
      </c:lineChart>
      <c:catAx>
        <c:axId val="16961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11008"/>
        <c:crosses val="autoZero"/>
        <c:auto val="1"/>
        <c:lblAlgn val="ctr"/>
        <c:lblOffset val="100"/>
        <c:noMultiLvlLbl val="1"/>
      </c:catAx>
      <c:valAx>
        <c:axId val="16961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1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91088"/>
        <c:axId val="1703916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1088"/>
        <c:axId val="170391648"/>
      </c:lineChart>
      <c:catAx>
        <c:axId val="170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1648"/>
        <c:crosses val="autoZero"/>
        <c:auto val="1"/>
        <c:lblAlgn val="ctr"/>
        <c:lblOffset val="100"/>
        <c:noMultiLvlLbl val="1"/>
      </c:catAx>
      <c:valAx>
        <c:axId val="170391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1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96688"/>
        <c:axId val="1704584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6688"/>
        <c:axId val="170458496"/>
      </c:lineChart>
      <c:catAx>
        <c:axId val="170396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8496"/>
        <c:crosses val="autoZero"/>
        <c:auto val="1"/>
        <c:lblAlgn val="ctr"/>
        <c:lblOffset val="100"/>
        <c:noMultiLvlLbl val="1"/>
      </c:catAx>
      <c:valAx>
        <c:axId val="17045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6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63536"/>
        <c:axId val="1704640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63536"/>
        <c:axId val="170464096"/>
      </c:lineChart>
      <c:catAx>
        <c:axId val="17046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4096"/>
        <c:crosses val="autoZero"/>
        <c:auto val="1"/>
        <c:lblAlgn val="ctr"/>
        <c:lblOffset val="100"/>
        <c:noMultiLvlLbl val="1"/>
      </c:catAx>
      <c:valAx>
        <c:axId val="170464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3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568384"/>
        <c:axId val="17056894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68384"/>
        <c:axId val="170568944"/>
      </c:lineChart>
      <c:catAx>
        <c:axId val="17056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68944"/>
        <c:crosses val="autoZero"/>
        <c:auto val="1"/>
        <c:lblAlgn val="ctr"/>
        <c:lblOffset val="100"/>
        <c:noMultiLvlLbl val="1"/>
      </c:catAx>
      <c:valAx>
        <c:axId val="170568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68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67936"/>
        <c:axId val="170868496"/>
      </c:lineChart>
      <c:catAx>
        <c:axId val="17086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8496"/>
        <c:crosses val="autoZero"/>
        <c:auto val="1"/>
        <c:lblAlgn val="ctr"/>
        <c:lblOffset val="100"/>
        <c:noMultiLvlLbl val="0"/>
      </c:catAx>
      <c:valAx>
        <c:axId val="1708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7936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869616"/>
        <c:axId val="170870176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69616"/>
        <c:axId val="170870176"/>
      </c:lineChart>
      <c:catAx>
        <c:axId val="17086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70176"/>
        <c:crosses val="autoZero"/>
        <c:auto val="0"/>
        <c:lblAlgn val="ctr"/>
        <c:lblOffset val="100"/>
        <c:noMultiLvlLbl val="1"/>
      </c:catAx>
      <c:valAx>
        <c:axId val="17087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4640"/>
        <c:axId val="1709957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4640"/>
        <c:axId val="170995760"/>
      </c:lineChart>
      <c:catAx>
        <c:axId val="17099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5760"/>
        <c:crosses val="autoZero"/>
        <c:auto val="1"/>
        <c:lblAlgn val="ctr"/>
        <c:lblOffset val="100"/>
        <c:noMultiLvlLbl val="1"/>
      </c:catAx>
      <c:valAx>
        <c:axId val="170995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4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47040"/>
        <c:axId val="1709991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47040"/>
        <c:axId val="170999120"/>
      </c:lineChart>
      <c:catAx>
        <c:axId val="17164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9120"/>
        <c:crosses val="autoZero"/>
        <c:auto val="1"/>
        <c:lblAlgn val="ctr"/>
        <c:lblOffset val="100"/>
        <c:noMultiLvlLbl val="1"/>
      </c:catAx>
      <c:valAx>
        <c:axId val="170999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47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69760"/>
        <c:axId val="1716703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69760"/>
        <c:axId val="171670320"/>
      </c:lineChart>
      <c:catAx>
        <c:axId val="171669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70320"/>
        <c:crosses val="autoZero"/>
        <c:auto val="1"/>
        <c:lblAlgn val="ctr"/>
        <c:lblOffset val="100"/>
        <c:noMultiLvlLbl val="1"/>
      </c:catAx>
      <c:valAx>
        <c:axId val="171670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69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87168"/>
        <c:axId val="17198772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87168"/>
        <c:axId val="171987728"/>
      </c:lineChart>
      <c:catAx>
        <c:axId val="17198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87728"/>
        <c:crosses val="autoZero"/>
        <c:auto val="1"/>
        <c:lblAlgn val="ctr"/>
        <c:lblOffset val="100"/>
        <c:noMultiLvlLbl val="1"/>
      </c:catAx>
      <c:valAx>
        <c:axId val="171987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87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92768"/>
        <c:axId val="171993328"/>
      </c:lineChart>
      <c:catAx>
        <c:axId val="17199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3328"/>
        <c:crosses val="autoZero"/>
        <c:auto val="1"/>
        <c:lblAlgn val="ctr"/>
        <c:lblOffset val="100"/>
        <c:noMultiLvlLbl val="0"/>
      </c:catAx>
      <c:valAx>
        <c:axId val="17199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97248"/>
        <c:axId val="171997808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97248"/>
        <c:axId val="171997808"/>
      </c:lineChart>
      <c:catAx>
        <c:axId val="17199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7808"/>
        <c:crosses val="autoZero"/>
        <c:auto val="0"/>
        <c:lblAlgn val="ctr"/>
        <c:lblOffset val="100"/>
        <c:noMultiLvlLbl val="1"/>
      </c:catAx>
      <c:valAx>
        <c:axId val="17199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52560"/>
        <c:axId val="1725531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52560"/>
        <c:axId val="172553120"/>
      </c:lineChart>
      <c:catAx>
        <c:axId val="17255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3120"/>
        <c:crosses val="autoZero"/>
        <c:auto val="1"/>
        <c:lblAlgn val="ctr"/>
        <c:lblOffset val="100"/>
        <c:noMultiLvlLbl val="1"/>
      </c:catAx>
      <c:valAx>
        <c:axId val="172553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2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58160"/>
        <c:axId val="1725587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58160"/>
        <c:axId val="172558720"/>
      </c:lineChart>
      <c:catAx>
        <c:axId val="17255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8720"/>
        <c:crosses val="autoZero"/>
        <c:auto val="1"/>
        <c:lblAlgn val="ctr"/>
        <c:lblOffset val="100"/>
        <c:noMultiLvlLbl val="1"/>
      </c:catAx>
      <c:valAx>
        <c:axId val="172558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8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64320"/>
        <c:axId val="1725648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64320"/>
        <c:axId val="172564880"/>
      </c:lineChart>
      <c:catAx>
        <c:axId val="17256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64880"/>
        <c:crosses val="autoZero"/>
        <c:auto val="1"/>
        <c:lblAlgn val="ctr"/>
        <c:lblOffset val="100"/>
        <c:noMultiLvlLbl val="1"/>
      </c:catAx>
      <c:valAx>
        <c:axId val="172564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64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79248"/>
        <c:axId val="17287980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79248"/>
        <c:axId val="172879808"/>
      </c:lineChart>
      <c:catAx>
        <c:axId val="17287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79808"/>
        <c:crosses val="autoZero"/>
        <c:auto val="1"/>
        <c:lblAlgn val="ctr"/>
        <c:lblOffset val="100"/>
        <c:noMultiLvlLbl val="1"/>
      </c:catAx>
      <c:valAx>
        <c:axId val="172879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79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886528"/>
        <c:axId val="17288708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17288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87088"/>
        <c:crosses val="autoZero"/>
        <c:auto val="1"/>
        <c:lblAlgn val="ctr"/>
        <c:lblOffset val="100"/>
        <c:noMultiLvlLbl val="0"/>
      </c:catAx>
      <c:valAx>
        <c:axId val="17288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8652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91008"/>
        <c:axId val="17289156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91008"/>
        <c:axId val="172891568"/>
      </c:lineChart>
      <c:catAx>
        <c:axId val="17289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91568"/>
        <c:crosses val="autoZero"/>
        <c:auto val="0"/>
        <c:lblAlgn val="ctr"/>
        <c:lblOffset val="100"/>
        <c:noMultiLvlLbl val="1"/>
      </c:catAx>
      <c:valAx>
        <c:axId val="17289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9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46944"/>
        <c:axId val="1686475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46944"/>
        <c:axId val="168647504"/>
      </c:lineChart>
      <c:catAx>
        <c:axId val="16864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7504"/>
        <c:crosses val="autoZero"/>
        <c:auto val="1"/>
        <c:lblAlgn val="ctr"/>
        <c:lblOffset val="100"/>
        <c:noMultiLvlLbl val="1"/>
      </c:catAx>
      <c:valAx>
        <c:axId val="16864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52544"/>
        <c:axId val="1686531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52544"/>
        <c:axId val="168653104"/>
      </c:lineChart>
      <c:catAx>
        <c:axId val="16865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3104"/>
        <c:crosses val="autoZero"/>
        <c:auto val="1"/>
        <c:lblAlgn val="ctr"/>
        <c:lblOffset val="100"/>
        <c:noMultiLvlLbl val="1"/>
      </c:catAx>
      <c:valAx>
        <c:axId val="168653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2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58704"/>
        <c:axId val="16865926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58704"/>
        <c:axId val="168659264"/>
      </c:lineChart>
      <c:catAx>
        <c:axId val="1686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9264"/>
        <c:crosses val="autoZero"/>
        <c:auto val="1"/>
        <c:lblAlgn val="ctr"/>
        <c:lblOffset val="100"/>
        <c:noMultiLvlLbl val="1"/>
      </c:catAx>
      <c:valAx>
        <c:axId val="168659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8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783824"/>
        <c:axId val="19778438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83824"/>
        <c:axId val="197784384"/>
      </c:lineChart>
      <c:catAx>
        <c:axId val="19778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84384"/>
        <c:crosses val="autoZero"/>
        <c:auto val="1"/>
        <c:lblAlgn val="ctr"/>
        <c:lblOffset val="100"/>
        <c:noMultiLvlLbl val="1"/>
      </c:catAx>
      <c:valAx>
        <c:axId val="197784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83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791664"/>
        <c:axId val="19779222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19779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2224"/>
        <c:crosses val="autoZero"/>
        <c:auto val="1"/>
        <c:lblAlgn val="ctr"/>
        <c:lblOffset val="100"/>
        <c:noMultiLvlLbl val="0"/>
      </c:catAx>
      <c:valAx>
        <c:axId val="1977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46608"/>
        <c:axId val="19724716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46608"/>
        <c:axId val="197247168"/>
      </c:lineChart>
      <c:catAx>
        <c:axId val="19724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7168"/>
        <c:crosses val="autoZero"/>
        <c:auto val="0"/>
        <c:lblAlgn val="ctr"/>
        <c:lblOffset val="100"/>
        <c:noMultiLvlLbl val="1"/>
      </c:catAx>
      <c:valAx>
        <c:axId val="1972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52208"/>
        <c:axId val="1972527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52208"/>
        <c:axId val="197252768"/>
      </c:lineChart>
      <c:catAx>
        <c:axId val="19725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52768"/>
        <c:crosses val="autoZero"/>
        <c:auto val="1"/>
        <c:lblAlgn val="ctr"/>
        <c:lblOffset val="100"/>
        <c:noMultiLvlLbl val="1"/>
      </c:catAx>
      <c:valAx>
        <c:axId val="197252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52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47152"/>
        <c:axId val="1987477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47152"/>
        <c:axId val="198747712"/>
      </c:lineChart>
      <c:catAx>
        <c:axId val="19874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7712"/>
        <c:crosses val="autoZero"/>
        <c:auto val="1"/>
        <c:lblAlgn val="ctr"/>
        <c:lblOffset val="100"/>
        <c:noMultiLvlLbl val="1"/>
      </c:catAx>
      <c:valAx>
        <c:axId val="198747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7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53312"/>
        <c:axId val="1987538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53312"/>
        <c:axId val="198753872"/>
      </c:lineChart>
      <c:catAx>
        <c:axId val="19875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3872"/>
        <c:crosses val="autoZero"/>
        <c:auto val="1"/>
        <c:lblAlgn val="ctr"/>
        <c:lblOffset val="100"/>
        <c:noMultiLvlLbl val="1"/>
      </c:catAx>
      <c:valAx>
        <c:axId val="198753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3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58912"/>
        <c:axId val="1987594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58912"/>
        <c:axId val="198759472"/>
      </c:lineChart>
      <c:catAx>
        <c:axId val="19875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9472"/>
        <c:crosses val="autoZero"/>
        <c:auto val="1"/>
        <c:lblAlgn val="ctr"/>
        <c:lblOffset val="100"/>
        <c:noMultiLvlLbl val="1"/>
      </c:catAx>
      <c:valAx>
        <c:axId val="198759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60384"/>
        <c:axId val="19856094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60384"/>
        <c:axId val="198560944"/>
      </c:lineChart>
      <c:catAx>
        <c:axId val="19856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0944"/>
        <c:crosses val="autoZero"/>
        <c:auto val="0"/>
        <c:lblAlgn val="ctr"/>
        <c:lblOffset val="100"/>
        <c:noMultiLvlLbl val="1"/>
      </c:catAx>
      <c:valAx>
        <c:axId val="1985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65984"/>
        <c:axId val="1985665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65984"/>
        <c:axId val="198566544"/>
      </c:lineChart>
      <c:catAx>
        <c:axId val="19856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6544"/>
        <c:crosses val="autoZero"/>
        <c:auto val="1"/>
        <c:lblAlgn val="ctr"/>
        <c:lblOffset val="100"/>
        <c:noMultiLvlLbl val="1"/>
      </c:catAx>
      <c:valAx>
        <c:axId val="198566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5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87792"/>
        <c:axId val="1992883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87792"/>
        <c:axId val="199288352"/>
      </c:lineChart>
      <c:catAx>
        <c:axId val="19928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8352"/>
        <c:crosses val="autoZero"/>
        <c:auto val="1"/>
        <c:lblAlgn val="ctr"/>
        <c:lblOffset val="100"/>
        <c:noMultiLvlLbl val="1"/>
      </c:catAx>
      <c:valAx>
        <c:axId val="19928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7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93952"/>
        <c:axId val="1992945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3952"/>
        <c:axId val="199294512"/>
      </c:lineChart>
      <c:catAx>
        <c:axId val="19929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4512"/>
        <c:crosses val="autoZero"/>
        <c:auto val="1"/>
        <c:lblAlgn val="ctr"/>
        <c:lblOffset val="100"/>
        <c:noMultiLvlLbl val="1"/>
      </c:catAx>
      <c:valAx>
        <c:axId val="199294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3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99552"/>
        <c:axId val="1993001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9552"/>
        <c:axId val="199300112"/>
      </c:lineChart>
      <c:catAx>
        <c:axId val="199299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00112"/>
        <c:crosses val="autoZero"/>
        <c:auto val="1"/>
        <c:lblAlgn val="ctr"/>
        <c:lblOffset val="100"/>
        <c:noMultiLvlLbl val="1"/>
      </c:catAx>
      <c:valAx>
        <c:axId val="19930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9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94272"/>
        <c:axId val="1994948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9949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4832"/>
        <c:crosses val="autoZero"/>
        <c:auto val="1"/>
        <c:lblAlgn val="ctr"/>
        <c:lblOffset val="100"/>
        <c:noMultiLvlLbl val="0"/>
      </c:catAx>
      <c:valAx>
        <c:axId val="19949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1.5</c:v>
                </c:pt>
                <c:pt idx="1">
                  <c:v>0</c:v>
                </c:pt>
                <c:pt idx="2">
                  <c:v>3.5</c:v>
                </c:pt>
                <c:pt idx="3">
                  <c:v>3</c:v>
                </c:pt>
                <c:pt idx="4">
                  <c:v>0</c:v>
                </c:pt>
                <c:pt idx="5">
                  <c:v>13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498752"/>
        <c:axId val="1994993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1.5</c:v>
                </c:pt>
                <c:pt idx="1">
                  <c:v>0.75</c:v>
                </c:pt>
                <c:pt idx="2">
                  <c:v>1.6666666666666665</c:v>
                </c:pt>
                <c:pt idx="3">
                  <c:v>2</c:v>
                </c:pt>
                <c:pt idx="4">
                  <c:v>1.6</c:v>
                </c:pt>
                <c:pt idx="5">
                  <c:v>3.5</c:v>
                </c:pt>
                <c:pt idx="6">
                  <c:v>4.4285714285714288</c:v>
                </c:pt>
                <c:pt idx="7">
                  <c:v>4.5</c:v>
                </c:pt>
                <c:pt idx="8">
                  <c:v>4.2222222222222223</c:v>
                </c:pt>
                <c:pt idx="9">
                  <c:v>4.0999999999999996</c:v>
                </c:pt>
                <c:pt idx="10">
                  <c:v>4.2727272727272725</c:v>
                </c:pt>
                <c:pt idx="11">
                  <c:v>4.3333333333333339</c:v>
                </c:pt>
                <c:pt idx="12">
                  <c:v>4.7692307692307692</c:v>
                </c:pt>
                <c:pt idx="13">
                  <c:v>5.0714285714285712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498752"/>
        <c:axId val="199499312"/>
      </c:lineChart>
      <c:catAx>
        <c:axId val="19949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9312"/>
        <c:crosses val="autoZero"/>
        <c:auto val="0"/>
        <c:lblAlgn val="ctr"/>
        <c:lblOffset val="100"/>
        <c:noMultiLvlLbl val="1"/>
      </c:catAx>
      <c:valAx>
        <c:axId val="1994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04352"/>
        <c:axId val="1995049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1.2857142857142858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4352"/>
        <c:axId val="199504912"/>
      </c:lineChart>
      <c:catAx>
        <c:axId val="19950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4912"/>
        <c:crosses val="autoZero"/>
        <c:auto val="1"/>
        <c:lblAlgn val="ctr"/>
        <c:lblOffset val="100"/>
        <c:noMultiLvlLbl val="1"/>
      </c:catAx>
      <c:valAx>
        <c:axId val="199504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4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09952"/>
        <c:axId val="1995105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1.1538461538461537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9952"/>
        <c:axId val="199510512"/>
      </c:lineChart>
      <c:catAx>
        <c:axId val="19950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0512"/>
        <c:crosses val="autoZero"/>
        <c:auto val="1"/>
        <c:lblAlgn val="ctr"/>
        <c:lblOffset val="100"/>
        <c:noMultiLvlLbl val="1"/>
      </c:catAx>
      <c:valAx>
        <c:axId val="199510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9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16112"/>
        <c:axId val="1995166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1</c:v>
                </c:pt>
                <c:pt idx="9">
                  <c:v>0.9</c:v>
                </c:pt>
                <c:pt idx="10">
                  <c:v>1.0909090909090908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16112"/>
        <c:axId val="199516672"/>
      </c:lineChart>
      <c:catAx>
        <c:axId val="19951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6672"/>
        <c:crosses val="autoZero"/>
        <c:auto val="1"/>
        <c:lblAlgn val="ctr"/>
        <c:lblOffset val="100"/>
        <c:noMultiLvlLbl val="1"/>
      </c:catAx>
      <c:valAx>
        <c:axId val="199516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21712"/>
        <c:axId val="1995222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1.5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1.125</c:v>
                </c:pt>
                <c:pt idx="8">
                  <c:v>1</c:v>
                </c:pt>
                <c:pt idx="9">
                  <c:v>1</c:v>
                </c:pt>
                <c:pt idx="10">
                  <c:v>0.90909090909090906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21712"/>
        <c:axId val="199522272"/>
      </c:lineChart>
      <c:catAx>
        <c:axId val="19952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22272"/>
        <c:crosses val="autoZero"/>
        <c:auto val="1"/>
        <c:lblAlgn val="ctr"/>
        <c:lblOffset val="100"/>
        <c:noMultiLvlLbl val="1"/>
      </c:catAx>
      <c:valAx>
        <c:axId val="19952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21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6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6'!$C$91:$Q$91</c:f>
              <c:numCache>
                <c:formatCode>0.00</c:formatCode>
                <c:ptCount val="15"/>
                <c:pt idx="0">
                  <c:v>71</c:v>
                </c:pt>
                <c:pt idx="1">
                  <c:v>69.5</c:v>
                </c:pt>
                <c:pt idx="2">
                  <c:v>69.5</c:v>
                </c:pt>
                <c:pt idx="3">
                  <c:v>66</c:v>
                </c:pt>
                <c:pt idx="4">
                  <c:v>63</c:v>
                </c:pt>
                <c:pt idx="5">
                  <c:v>63</c:v>
                </c:pt>
                <c:pt idx="6">
                  <c:v>50</c:v>
                </c:pt>
                <c:pt idx="7">
                  <c:v>40</c:v>
                </c:pt>
                <c:pt idx="8">
                  <c:v>35</c:v>
                </c:pt>
                <c:pt idx="9">
                  <c:v>33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9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131184"/>
        <c:axId val="69117184"/>
      </c:lineChart>
      <c:catAx>
        <c:axId val="6913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7184"/>
        <c:crosses val="autoZero"/>
        <c:auto val="1"/>
        <c:lblAlgn val="ctr"/>
        <c:lblOffset val="100"/>
        <c:noMultiLvlLbl val="0"/>
      </c:catAx>
      <c:valAx>
        <c:axId val="69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3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17248"/>
        <c:axId val="200517808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17248"/>
        <c:axId val="200517808"/>
      </c:lineChart>
      <c:catAx>
        <c:axId val="20051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7808"/>
        <c:crosses val="autoZero"/>
        <c:auto val="0"/>
        <c:lblAlgn val="ctr"/>
        <c:lblOffset val="100"/>
        <c:noMultiLvlLbl val="1"/>
      </c:catAx>
      <c:valAx>
        <c:axId val="2005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22848"/>
        <c:axId val="2005234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2848"/>
        <c:axId val="200523408"/>
      </c:lineChart>
      <c:catAx>
        <c:axId val="20052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3408"/>
        <c:crosses val="autoZero"/>
        <c:auto val="1"/>
        <c:lblAlgn val="ctr"/>
        <c:lblOffset val="100"/>
        <c:noMultiLvlLbl val="1"/>
      </c:catAx>
      <c:valAx>
        <c:axId val="200523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2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28448"/>
        <c:axId val="2005290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8448"/>
        <c:axId val="200529008"/>
      </c:lineChart>
      <c:catAx>
        <c:axId val="20052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9008"/>
        <c:crosses val="autoZero"/>
        <c:auto val="1"/>
        <c:lblAlgn val="ctr"/>
        <c:lblOffset val="100"/>
        <c:noMultiLvlLbl val="1"/>
      </c:catAx>
      <c:valAx>
        <c:axId val="200529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8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34608"/>
        <c:axId val="2005351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34608"/>
        <c:axId val="200535168"/>
      </c:lineChart>
      <c:catAx>
        <c:axId val="200534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5168"/>
        <c:crosses val="autoZero"/>
        <c:auto val="1"/>
        <c:lblAlgn val="ctr"/>
        <c:lblOffset val="100"/>
        <c:noMultiLvlLbl val="1"/>
      </c:catAx>
      <c:valAx>
        <c:axId val="20053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4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40208"/>
        <c:axId val="2005407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40208"/>
        <c:axId val="200540768"/>
      </c:lineChart>
      <c:catAx>
        <c:axId val="200540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0768"/>
        <c:crosses val="autoZero"/>
        <c:auto val="1"/>
        <c:lblAlgn val="ctr"/>
        <c:lblOffset val="100"/>
        <c:noMultiLvlLbl val="1"/>
      </c:catAx>
      <c:valAx>
        <c:axId val="200540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0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46368"/>
        <c:axId val="201008048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46368"/>
        <c:axId val="201008048"/>
      </c:lineChart>
      <c:catAx>
        <c:axId val="20054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08048"/>
        <c:crosses val="autoZero"/>
        <c:auto val="0"/>
        <c:lblAlgn val="ctr"/>
        <c:lblOffset val="100"/>
        <c:noMultiLvlLbl val="1"/>
      </c:catAx>
      <c:valAx>
        <c:axId val="20100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13088"/>
        <c:axId val="2010136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3088"/>
        <c:axId val="201013648"/>
      </c:lineChart>
      <c:catAx>
        <c:axId val="20101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3648"/>
        <c:crosses val="autoZero"/>
        <c:auto val="1"/>
        <c:lblAlgn val="ctr"/>
        <c:lblOffset val="100"/>
        <c:noMultiLvlLbl val="1"/>
      </c:catAx>
      <c:valAx>
        <c:axId val="201013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3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18688"/>
        <c:axId val="2010192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8688"/>
        <c:axId val="201019248"/>
      </c:lineChart>
      <c:catAx>
        <c:axId val="201018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9248"/>
        <c:crosses val="autoZero"/>
        <c:auto val="1"/>
        <c:lblAlgn val="ctr"/>
        <c:lblOffset val="100"/>
        <c:noMultiLvlLbl val="1"/>
      </c:catAx>
      <c:valAx>
        <c:axId val="201019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8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24848"/>
        <c:axId val="2010254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24848"/>
        <c:axId val="201025408"/>
      </c:lineChart>
      <c:catAx>
        <c:axId val="20102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25408"/>
        <c:crosses val="autoZero"/>
        <c:auto val="1"/>
        <c:lblAlgn val="ctr"/>
        <c:lblOffset val="100"/>
        <c:noMultiLvlLbl val="1"/>
      </c:catAx>
      <c:valAx>
        <c:axId val="20102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24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30448"/>
        <c:axId val="2010310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0448"/>
        <c:axId val="201031008"/>
      </c:lineChart>
      <c:catAx>
        <c:axId val="20103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1008"/>
        <c:crosses val="autoZero"/>
        <c:auto val="1"/>
        <c:lblAlgn val="ctr"/>
        <c:lblOffset val="100"/>
        <c:noMultiLvlLbl val="1"/>
      </c:catAx>
      <c:valAx>
        <c:axId val="2010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0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36608"/>
        <c:axId val="201037168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6608"/>
        <c:axId val="201037168"/>
      </c:lineChart>
      <c:catAx>
        <c:axId val="20103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7168"/>
        <c:crosses val="autoZero"/>
        <c:auto val="0"/>
        <c:lblAlgn val="ctr"/>
        <c:lblOffset val="100"/>
        <c:noMultiLvlLbl val="1"/>
      </c:catAx>
      <c:valAx>
        <c:axId val="20103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64256"/>
        <c:axId val="2022648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64256"/>
        <c:axId val="202264816"/>
      </c:lineChart>
      <c:catAx>
        <c:axId val="20226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4816"/>
        <c:crosses val="autoZero"/>
        <c:auto val="1"/>
        <c:lblAlgn val="ctr"/>
        <c:lblOffset val="100"/>
        <c:noMultiLvlLbl val="1"/>
      </c:catAx>
      <c:valAx>
        <c:axId val="20226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69856"/>
        <c:axId val="2022704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69856"/>
        <c:axId val="202270416"/>
      </c:lineChart>
      <c:catAx>
        <c:axId val="20226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0416"/>
        <c:crosses val="autoZero"/>
        <c:auto val="1"/>
        <c:lblAlgn val="ctr"/>
        <c:lblOffset val="100"/>
        <c:noMultiLvlLbl val="1"/>
      </c:catAx>
      <c:valAx>
        <c:axId val="202270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9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76016"/>
        <c:axId val="2022765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76016"/>
        <c:axId val="202276576"/>
      </c:lineChart>
      <c:catAx>
        <c:axId val="20227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6576"/>
        <c:crosses val="autoZero"/>
        <c:auto val="1"/>
        <c:lblAlgn val="ctr"/>
        <c:lblOffset val="100"/>
        <c:noMultiLvlLbl val="1"/>
      </c:catAx>
      <c:valAx>
        <c:axId val="202276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6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81616"/>
        <c:axId val="2022821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81616"/>
        <c:axId val="202282176"/>
      </c:lineChart>
      <c:catAx>
        <c:axId val="20228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2176"/>
        <c:crosses val="autoZero"/>
        <c:auto val="1"/>
        <c:lblAlgn val="ctr"/>
        <c:lblOffset val="100"/>
        <c:noMultiLvlLbl val="1"/>
      </c:catAx>
      <c:valAx>
        <c:axId val="202282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1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87776"/>
        <c:axId val="202288336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87776"/>
        <c:axId val="202288336"/>
      </c:lineChart>
      <c:catAx>
        <c:axId val="20228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8336"/>
        <c:crosses val="autoZero"/>
        <c:auto val="0"/>
        <c:lblAlgn val="ctr"/>
        <c:lblOffset val="100"/>
        <c:noMultiLvlLbl val="1"/>
      </c:catAx>
      <c:valAx>
        <c:axId val="2022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93376"/>
        <c:axId val="2022939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93376"/>
        <c:axId val="202293936"/>
      </c:lineChart>
      <c:catAx>
        <c:axId val="20229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93936"/>
        <c:crosses val="autoZero"/>
        <c:auto val="1"/>
        <c:lblAlgn val="ctr"/>
        <c:lblOffset val="100"/>
        <c:noMultiLvlLbl val="1"/>
      </c:catAx>
      <c:valAx>
        <c:axId val="2022939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93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98128"/>
        <c:axId val="20139868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98128"/>
        <c:axId val="201398688"/>
      </c:lineChart>
      <c:catAx>
        <c:axId val="20139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8688"/>
        <c:crosses val="autoZero"/>
        <c:auto val="1"/>
        <c:lblAlgn val="ctr"/>
        <c:lblOffset val="100"/>
        <c:noMultiLvlLbl val="1"/>
      </c:catAx>
      <c:valAx>
        <c:axId val="201398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8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4288"/>
        <c:axId val="2014048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4288"/>
        <c:axId val="201404848"/>
      </c:lineChart>
      <c:catAx>
        <c:axId val="20140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848"/>
        <c:crosses val="autoZero"/>
        <c:auto val="1"/>
        <c:lblAlgn val="ctr"/>
        <c:lblOffset val="100"/>
        <c:noMultiLvlLbl val="1"/>
      </c:catAx>
      <c:valAx>
        <c:axId val="201404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9888"/>
        <c:axId val="2014104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9888"/>
        <c:axId val="201410448"/>
      </c:lineChart>
      <c:catAx>
        <c:axId val="20140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10448"/>
        <c:crosses val="autoZero"/>
        <c:auto val="1"/>
        <c:lblAlgn val="ctr"/>
        <c:lblOffset val="100"/>
        <c:noMultiLvlLbl val="1"/>
      </c:catAx>
      <c:valAx>
        <c:axId val="20141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9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5" Type="http://schemas.openxmlformats.org/officeDocument/2006/relationships/chart" Target="../charts/chart57.xml"/><Relationship Id="rId4" Type="http://schemas.openxmlformats.org/officeDocument/2006/relationships/chart" Target="../charts/chart56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5" Type="http://schemas.openxmlformats.org/officeDocument/2006/relationships/chart" Target="../charts/chart62.xml"/><Relationship Id="rId4" Type="http://schemas.openxmlformats.org/officeDocument/2006/relationships/chart" Target="../charts/chart61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35</xdr:row>
      <xdr:rowOff>19255</xdr:rowOff>
    </xdr:from>
    <xdr:to>
      <xdr:col>16</xdr:col>
      <xdr:colOff>66261</xdr:colOff>
      <xdr:row>50</xdr:row>
      <xdr:rowOff>87381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8283</xdr:colOff>
      <xdr:row>91</xdr:row>
      <xdr:rowOff>7453</xdr:rowOff>
    </xdr:from>
    <xdr:to>
      <xdr:col>12</xdr:col>
      <xdr:colOff>165652</xdr:colOff>
      <xdr:row>107</xdr:row>
      <xdr:rowOff>173934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76" workbookViewId="0">
      <selection activeCell="O43" sqref="O43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75" x14ac:dyDescent="0.25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9</v>
      </c>
      <c r="Q7" s="22">
        <f>SUM('Sprint 6'!J6:P6)</f>
        <v>9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7</v>
      </c>
      <c r="Q8" s="22">
        <f>SUM('Sprint 6'!J7:P7)</f>
        <v>10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7</v>
      </c>
      <c r="Q9" s="22">
        <f>SUM('Sprint 6'!J8:P8)</f>
        <v>12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8</v>
      </c>
      <c r="Q10" s="22">
        <f>SUM('Sprint 6'!J9:P9)</f>
        <v>9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31</v>
      </c>
      <c r="Q11" s="64">
        <f t="shared" si="3"/>
        <v>40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4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82</v>
      </c>
      <c r="O19" s="24">
        <f t="shared" si="25"/>
        <v>93</v>
      </c>
      <c r="P19" s="24">
        <f t="shared" si="25"/>
        <v>102</v>
      </c>
      <c r="Q19" s="24">
        <f t="shared" si="25"/>
        <v>111</v>
      </c>
      <c r="R19" s="24">
        <f t="shared" si="25"/>
        <v>111</v>
      </c>
      <c r="S19" s="24">
        <f t="shared" si="25"/>
        <v>111</v>
      </c>
      <c r="T19" s="24">
        <f t="shared" si="25"/>
        <v>111</v>
      </c>
      <c r="U19" s="24">
        <f t="shared" si="25"/>
        <v>111</v>
      </c>
      <c r="V19" s="24">
        <f t="shared" si="25"/>
        <v>111</v>
      </c>
      <c r="W19" s="24">
        <f t="shared" si="25"/>
        <v>111</v>
      </c>
      <c r="X19" s="24">
        <f t="shared" si="25"/>
        <v>111</v>
      </c>
      <c r="Y19" s="24">
        <f t="shared" si="25"/>
        <v>111</v>
      </c>
    </row>
    <row r="20" spans="1:25" x14ac:dyDescent="0.25">
      <c r="A20" s="75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63.5</v>
      </c>
      <c r="O20" s="24">
        <f t="shared" si="27"/>
        <v>73.5</v>
      </c>
      <c r="P20" s="24">
        <f t="shared" si="27"/>
        <v>80.5</v>
      </c>
      <c r="Q20" s="24">
        <f t="shared" si="27"/>
        <v>90.5</v>
      </c>
      <c r="R20" s="24">
        <f t="shared" si="27"/>
        <v>90.5</v>
      </c>
      <c r="S20" s="24">
        <f t="shared" si="27"/>
        <v>90.5</v>
      </c>
      <c r="T20" s="24">
        <f t="shared" si="25"/>
        <v>90.5</v>
      </c>
      <c r="U20" s="24">
        <f t="shared" si="25"/>
        <v>90.5</v>
      </c>
      <c r="V20" s="24">
        <f t="shared" si="25"/>
        <v>90.5</v>
      </c>
      <c r="W20" s="24">
        <f t="shared" si="25"/>
        <v>90.5</v>
      </c>
      <c r="X20" s="24">
        <f t="shared" si="25"/>
        <v>90.5</v>
      </c>
      <c r="Y20" s="24">
        <f t="shared" si="25"/>
        <v>90.5</v>
      </c>
    </row>
    <row r="21" spans="1:25" x14ac:dyDescent="0.25">
      <c r="A21" s="75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65</v>
      </c>
      <c r="M21" s="24">
        <f t="shared" si="25"/>
        <v>65</v>
      </c>
      <c r="N21" s="24">
        <f t="shared" si="25"/>
        <v>73</v>
      </c>
      <c r="O21" s="24">
        <f t="shared" si="25"/>
        <v>81</v>
      </c>
      <c r="P21" s="24">
        <f t="shared" si="25"/>
        <v>88</v>
      </c>
      <c r="Q21" s="24">
        <f t="shared" si="25"/>
        <v>100</v>
      </c>
      <c r="R21" s="24">
        <f t="shared" si="25"/>
        <v>100</v>
      </c>
      <c r="S21" s="24">
        <f t="shared" si="25"/>
        <v>100</v>
      </c>
      <c r="T21" s="24">
        <f t="shared" si="25"/>
        <v>100</v>
      </c>
      <c r="U21" s="24">
        <f t="shared" si="25"/>
        <v>100</v>
      </c>
      <c r="V21" s="24">
        <f t="shared" si="25"/>
        <v>100</v>
      </c>
      <c r="W21" s="24">
        <f t="shared" si="25"/>
        <v>100</v>
      </c>
      <c r="X21" s="24">
        <f t="shared" si="25"/>
        <v>100</v>
      </c>
      <c r="Y21" s="24">
        <f t="shared" si="25"/>
        <v>100</v>
      </c>
    </row>
    <row r="22" spans="1:25" x14ac:dyDescent="0.25">
      <c r="A22" s="75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76.75</v>
      </c>
      <c r="O22" s="24">
        <f t="shared" si="25"/>
        <v>84.75</v>
      </c>
      <c r="P22" s="24">
        <f t="shared" si="25"/>
        <v>92.75</v>
      </c>
      <c r="Q22" s="24">
        <f t="shared" si="25"/>
        <v>101.75</v>
      </c>
      <c r="R22" s="24">
        <f t="shared" si="25"/>
        <v>101.75</v>
      </c>
      <c r="S22" s="24">
        <f t="shared" si="25"/>
        <v>101.75</v>
      </c>
      <c r="T22" s="24">
        <f t="shared" si="25"/>
        <v>101.75</v>
      </c>
      <c r="U22" s="24">
        <f t="shared" si="25"/>
        <v>101.75</v>
      </c>
      <c r="V22" s="24">
        <f t="shared" si="25"/>
        <v>101.75</v>
      </c>
      <c r="W22" s="24">
        <f t="shared" si="25"/>
        <v>101.75</v>
      </c>
      <c r="X22" s="24">
        <f t="shared" si="25"/>
        <v>101.75</v>
      </c>
      <c r="Y22" s="24">
        <f t="shared" si="25"/>
        <v>101.75</v>
      </c>
    </row>
    <row r="23" spans="1:25" ht="15.75" x14ac:dyDescent="0.25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253.25</v>
      </c>
      <c r="M23" s="45">
        <f t="shared" si="28"/>
        <v>269.25</v>
      </c>
      <c r="N23" s="46">
        <f t="shared" si="28"/>
        <v>295.25</v>
      </c>
      <c r="O23" s="21">
        <f t="shared" si="28"/>
        <v>332.25</v>
      </c>
      <c r="P23" s="21">
        <f t="shared" si="28"/>
        <v>363.25</v>
      </c>
      <c r="Q23" s="21">
        <f t="shared" si="28"/>
        <v>403.25</v>
      </c>
      <c r="R23" s="21">
        <f t="shared" si="28"/>
        <v>403.25</v>
      </c>
      <c r="S23" s="21">
        <f t="shared" si="28"/>
        <v>403.25</v>
      </c>
      <c r="T23" s="21">
        <f t="shared" si="28"/>
        <v>403.25</v>
      </c>
      <c r="U23" s="21">
        <f t="shared" si="28"/>
        <v>403.25</v>
      </c>
      <c r="V23" s="21">
        <f t="shared" si="28"/>
        <v>403.25</v>
      </c>
      <c r="W23" s="21">
        <f t="shared" si="28"/>
        <v>403.25</v>
      </c>
      <c r="X23" s="21">
        <f t="shared" si="28"/>
        <v>403.25</v>
      </c>
      <c r="Y23" s="21">
        <f t="shared" si="28"/>
        <v>403.25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6.833333333333333</v>
      </c>
      <c r="O25" s="28">
        <f t="shared" si="30"/>
        <v>7.1538461538461542</v>
      </c>
      <c r="P25" s="28">
        <f t="shared" si="30"/>
        <v>7.2857142857142856</v>
      </c>
      <c r="Q25" s="28">
        <f t="shared" si="30"/>
        <v>7.4</v>
      </c>
      <c r="R25" s="28">
        <f t="shared" si="30"/>
        <v>6.9375</v>
      </c>
      <c r="S25" s="28">
        <f t="shared" si="30"/>
        <v>6.5294117647058822</v>
      </c>
      <c r="T25" s="28">
        <f t="shared" si="30"/>
        <v>6.166666666666667</v>
      </c>
      <c r="U25" s="28">
        <f t="shared" si="30"/>
        <v>5.8421052631578947</v>
      </c>
      <c r="V25" s="28">
        <f t="shared" si="30"/>
        <v>5.55</v>
      </c>
      <c r="W25" s="28">
        <f t="shared" si="30"/>
        <v>5.2857142857142856</v>
      </c>
      <c r="X25" s="28">
        <f t="shared" si="30"/>
        <v>5.0454545454545459</v>
      </c>
      <c r="Y25" s="28">
        <f t="shared" si="30"/>
        <v>4.8260869565217392</v>
      </c>
    </row>
    <row r="26" spans="1:25" x14ac:dyDescent="0.25">
      <c r="A26" s="75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5.291666666666667</v>
      </c>
      <c r="O26" s="28">
        <f t="shared" si="32"/>
        <v>5.6538461538461542</v>
      </c>
      <c r="P26" s="28">
        <f t="shared" si="32"/>
        <v>5.75</v>
      </c>
      <c r="Q26" s="28">
        <f t="shared" si="32"/>
        <v>6.0333333333333332</v>
      </c>
      <c r="R26" s="28">
        <f t="shared" si="32"/>
        <v>5.65625</v>
      </c>
      <c r="S26" s="28">
        <f t="shared" si="32"/>
        <v>5.3235294117647056</v>
      </c>
      <c r="T26" s="28">
        <f t="shared" si="32"/>
        <v>5.0277777777777777</v>
      </c>
      <c r="U26" s="28">
        <f t="shared" si="32"/>
        <v>4.7631578947368425</v>
      </c>
      <c r="V26" s="28">
        <f t="shared" si="32"/>
        <v>4.5250000000000004</v>
      </c>
      <c r="W26" s="28">
        <f t="shared" si="32"/>
        <v>4.3095238095238093</v>
      </c>
      <c r="X26" s="28">
        <f t="shared" si="32"/>
        <v>4.1136363636363633</v>
      </c>
      <c r="Y26" s="28">
        <f t="shared" si="32"/>
        <v>3.9347826086956523</v>
      </c>
    </row>
    <row r="27" spans="1:25" x14ac:dyDescent="0.25">
      <c r="A27" s="75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6.5</v>
      </c>
      <c r="M27" s="49">
        <f t="shared" si="33"/>
        <v>5.9090909090909092</v>
      </c>
      <c r="N27" s="50">
        <f t="shared" si="33"/>
        <v>6.083333333333333</v>
      </c>
      <c r="O27" s="28">
        <f t="shared" si="33"/>
        <v>6.2307692307692308</v>
      </c>
      <c r="P27" s="28">
        <f t="shared" si="33"/>
        <v>6.2857142857142856</v>
      </c>
      <c r="Q27" s="28">
        <f t="shared" si="33"/>
        <v>6.666666666666667</v>
      </c>
      <c r="R27" s="28">
        <f t="shared" si="33"/>
        <v>6.25</v>
      </c>
      <c r="S27" s="28">
        <f t="shared" si="33"/>
        <v>5.882352941176471</v>
      </c>
      <c r="T27" s="28">
        <f t="shared" si="33"/>
        <v>5.5555555555555554</v>
      </c>
      <c r="U27" s="28">
        <f t="shared" si="33"/>
        <v>5.2631578947368425</v>
      </c>
      <c r="V27" s="28">
        <f t="shared" si="33"/>
        <v>5</v>
      </c>
      <c r="W27" s="28">
        <f t="shared" si="33"/>
        <v>4.7619047619047619</v>
      </c>
      <c r="X27" s="28">
        <f t="shared" si="33"/>
        <v>4.5454545454545459</v>
      </c>
      <c r="Y27" s="28">
        <f t="shared" si="33"/>
        <v>4.3478260869565215</v>
      </c>
    </row>
    <row r="28" spans="1:25" x14ac:dyDescent="0.25">
      <c r="A28" s="75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6.395833333333333</v>
      </c>
      <c r="O28" s="28">
        <f t="shared" si="34"/>
        <v>6.5192307692307692</v>
      </c>
      <c r="P28" s="28">
        <f t="shared" si="34"/>
        <v>6.625</v>
      </c>
      <c r="Q28" s="28">
        <f t="shared" si="34"/>
        <v>6.7833333333333332</v>
      </c>
      <c r="R28" s="28">
        <f t="shared" si="34"/>
        <v>6.359375</v>
      </c>
      <c r="S28" s="28">
        <f t="shared" si="34"/>
        <v>5.9852941176470589</v>
      </c>
      <c r="T28" s="28">
        <f t="shared" si="34"/>
        <v>5.6527777777777777</v>
      </c>
      <c r="U28" s="28">
        <f t="shared" si="34"/>
        <v>5.3552631578947372</v>
      </c>
      <c r="V28" s="28">
        <f t="shared" si="34"/>
        <v>5.0875000000000004</v>
      </c>
      <c r="W28" s="28">
        <f t="shared" si="34"/>
        <v>4.8452380952380949</v>
      </c>
      <c r="X28" s="28">
        <f t="shared" si="34"/>
        <v>4.625</v>
      </c>
      <c r="Y28" s="28">
        <f t="shared" si="34"/>
        <v>4.4239130434782608</v>
      </c>
    </row>
    <row r="29" spans="1:25" ht="15.75" x14ac:dyDescent="0.25">
      <c r="A29" s="75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25.324999999999999</v>
      </c>
      <c r="M29" s="51">
        <f t="shared" si="35"/>
        <v>24.477272727272727</v>
      </c>
      <c r="N29" s="52">
        <f t="shared" si="35"/>
        <v>24.604166666666668</v>
      </c>
      <c r="O29" s="29">
        <f t="shared" si="35"/>
        <v>25.557692307692307</v>
      </c>
      <c r="P29" s="29">
        <f t="shared" si="35"/>
        <v>25.946428571428573</v>
      </c>
      <c r="Q29" s="29">
        <f t="shared" si="35"/>
        <v>26.883333333333333</v>
      </c>
      <c r="R29" s="29">
        <f t="shared" si="35"/>
        <v>25.203125</v>
      </c>
      <c r="S29" s="29">
        <f t="shared" si="35"/>
        <v>23.720588235294116</v>
      </c>
      <c r="T29" s="29">
        <f t="shared" si="35"/>
        <v>22.402777777777779</v>
      </c>
      <c r="U29" s="29">
        <f t="shared" si="35"/>
        <v>21.223684210526315</v>
      </c>
      <c r="V29" s="29">
        <f t="shared" si="35"/>
        <v>20.162500000000001</v>
      </c>
      <c r="W29" s="29">
        <f t="shared" si="35"/>
        <v>19.202380952380953</v>
      </c>
      <c r="X29" s="29">
        <f t="shared" si="35"/>
        <v>18.329545454545453</v>
      </c>
      <c r="Y29" s="29">
        <f t="shared" si="35"/>
        <v>17.532608695652176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X23</f>
        <v>403.25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253.25</v>
      </c>
      <c r="M81" s="24">
        <f t="shared" si="36"/>
        <v>269.25</v>
      </c>
      <c r="N81" s="24">
        <f t="shared" si="36"/>
        <v>295.25</v>
      </c>
      <c r="O81" s="24">
        <f t="shared" si="36"/>
        <v>332.25</v>
      </c>
      <c r="P81" s="24">
        <f t="shared" si="36"/>
        <v>363.25</v>
      </c>
      <c r="Q81" s="24">
        <f t="shared" si="36"/>
        <v>403.25</v>
      </c>
      <c r="R81" s="24">
        <f t="shared" si="36"/>
        <v>403.25</v>
      </c>
      <c r="S81" s="24">
        <f t="shared" si="36"/>
        <v>403.25</v>
      </c>
      <c r="T81" s="24">
        <f t="shared" si="36"/>
        <v>403.25</v>
      </c>
      <c r="U81" s="24">
        <f t="shared" si="36"/>
        <v>403.25</v>
      </c>
      <c r="V81" s="24">
        <f t="shared" si="36"/>
        <v>403.25</v>
      </c>
      <c r="W81" s="24">
        <f t="shared" si="36"/>
        <v>403.25</v>
      </c>
      <c r="X81" s="24">
        <f t="shared" si="36"/>
        <v>403.25</v>
      </c>
      <c r="Y81" s="24">
        <f>Y23</f>
        <v>403.25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216.75</v>
      </c>
      <c r="Q84" s="24">
        <f>C79-Q81</f>
        <v>176.75</v>
      </c>
      <c r="R84" s="24">
        <f>C79-R81</f>
        <v>176.75</v>
      </c>
      <c r="S84" s="24">
        <f>C79-S81</f>
        <v>176.75</v>
      </c>
      <c r="T84" s="24">
        <f>C79-T81</f>
        <v>176.75</v>
      </c>
      <c r="U84" s="24">
        <f>C79-U81</f>
        <v>176.75</v>
      </c>
      <c r="V84" s="24">
        <f>C79-V81</f>
        <v>176.75</v>
      </c>
      <c r="W84" s="24">
        <f>C79-W81</f>
        <v>176.75</v>
      </c>
      <c r="X84" s="24">
        <f>C79-X81</f>
        <v>176.75</v>
      </c>
      <c r="Y84" s="24">
        <f>C79-Y81</f>
        <v>176.75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t="shared" ref="D41" si="20"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t="shared" ref="D47" si="23"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0" zoomScale="115" zoomScaleNormal="115" workbookViewId="0">
      <selection activeCell="D103" sqref="D10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8</v>
      </c>
      <c r="D39" s="24">
        <f t="shared" si="19"/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6</v>
      </c>
      <c r="D40" s="24">
        <f t="shared" si="19"/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8</v>
      </c>
      <c r="D45" s="24">
        <f t="shared" si="22"/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6</v>
      </c>
      <c r="D46" s="24">
        <f t="shared" si="22"/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24">E10</f>
        <v>4</v>
      </c>
      <c r="G90" s="24">
        <f t="shared" si="24"/>
        <v>2</v>
      </c>
      <c r="H90" s="24">
        <f t="shared" si="24"/>
        <v>5</v>
      </c>
      <c r="I90" s="24">
        <f t="shared" si="24"/>
        <v>5</v>
      </c>
      <c r="J90" s="24">
        <f t="shared" si="24"/>
        <v>4</v>
      </c>
      <c r="K90" s="24">
        <f t="shared" si="24"/>
        <v>2</v>
      </c>
      <c r="L90" s="24">
        <f t="shared" si="24"/>
        <v>2</v>
      </c>
      <c r="M90" s="24">
        <f t="shared" si="24"/>
        <v>5</v>
      </c>
      <c r="N90" s="24">
        <f t="shared" si="24"/>
        <v>2</v>
      </c>
      <c r="O90" s="24">
        <f t="shared" si="24"/>
        <v>17</v>
      </c>
      <c r="P90" s="24">
        <f t="shared" si="24"/>
        <v>6</v>
      </c>
      <c r="Q90" s="24">
        <f t="shared" si="24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25">E91-F90</f>
        <v>53</v>
      </c>
      <c r="G91" s="24">
        <f t="shared" si="25"/>
        <v>51</v>
      </c>
      <c r="H91" s="24">
        <f t="shared" si="25"/>
        <v>46</v>
      </c>
      <c r="I91" s="24">
        <f t="shared" si="25"/>
        <v>41</v>
      </c>
      <c r="J91" s="24">
        <f t="shared" si="25"/>
        <v>37</v>
      </c>
      <c r="K91" s="24">
        <f t="shared" si="25"/>
        <v>35</v>
      </c>
      <c r="L91" s="24">
        <f t="shared" si="25"/>
        <v>33</v>
      </c>
      <c r="M91" s="24">
        <f t="shared" si="25"/>
        <v>28</v>
      </c>
      <c r="N91" s="24">
        <f t="shared" si="25"/>
        <v>26</v>
      </c>
      <c r="O91" s="24">
        <f t="shared" si="25"/>
        <v>9</v>
      </c>
      <c r="P91" s="24">
        <f t="shared" si="25"/>
        <v>3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abSelected="1" topLeftCell="C16" zoomScale="115" zoomScaleNormal="115" workbookViewId="0">
      <selection activeCell="T25" sqref="T24:T2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3</v>
      </c>
      <c r="G6" s="33">
        <v>0</v>
      </c>
      <c r="H6" s="33">
        <v>3</v>
      </c>
      <c r="I6" s="33">
        <v>3</v>
      </c>
      <c r="J6" s="59">
        <v>4</v>
      </c>
      <c r="K6" s="32">
        <v>0</v>
      </c>
      <c r="L6" s="32">
        <v>2</v>
      </c>
      <c r="M6" s="32">
        <v>0</v>
      </c>
      <c r="N6" s="32">
        <v>0</v>
      </c>
      <c r="O6" s="32">
        <v>3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4</v>
      </c>
      <c r="I7" s="33">
        <v>3</v>
      </c>
      <c r="J7" s="59">
        <v>0</v>
      </c>
      <c r="K7" s="32">
        <v>0</v>
      </c>
      <c r="L7" s="32">
        <v>0</v>
      </c>
      <c r="M7" s="32">
        <v>3</v>
      </c>
      <c r="N7" s="32">
        <v>0</v>
      </c>
      <c r="O7" s="32">
        <v>5</v>
      </c>
      <c r="P7" s="58">
        <v>2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2</v>
      </c>
      <c r="F8" s="33">
        <v>0</v>
      </c>
      <c r="G8" s="33">
        <v>0</v>
      </c>
      <c r="H8" s="33">
        <v>3</v>
      </c>
      <c r="I8" s="33">
        <v>2</v>
      </c>
      <c r="J8" s="59">
        <v>0</v>
      </c>
      <c r="K8" s="32">
        <v>2</v>
      </c>
      <c r="L8" s="32">
        <v>0</v>
      </c>
      <c r="M8" s="32">
        <v>3</v>
      </c>
      <c r="N8" s="32">
        <v>4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1.5</v>
      </c>
      <c r="D9" s="33">
        <v>0</v>
      </c>
      <c r="E9" s="33">
        <v>1.5</v>
      </c>
      <c r="F9" s="33">
        <v>0</v>
      </c>
      <c r="G9" s="33">
        <v>0</v>
      </c>
      <c r="H9" s="33">
        <v>3</v>
      </c>
      <c r="I9" s="33">
        <v>2</v>
      </c>
      <c r="J9" s="59">
        <v>1</v>
      </c>
      <c r="K9" s="32">
        <v>0</v>
      </c>
      <c r="L9" s="32">
        <v>1</v>
      </c>
      <c r="M9" s="32">
        <v>0</v>
      </c>
      <c r="N9" s="32">
        <v>1</v>
      </c>
      <c r="O9" s="32">
        <v>2</v>
      </c>
      <c r="P9" s="58">
        <v>4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0</v>
      </c>
      <c r="E10" s="21">
        <f t="shared" si="1"/>
        <v>3.5</v>
      </c>
      <c r="F10" s="21">
        <f t="shared" si="1"/>
        <v>3</v>
      </c>
      <c r="G10" s="21">
        <f t="shared" si="1"/>
        <v>0</v>
      </c>
      <c r="H10" s="21">
        <f t="shared" si="1"/>
        <v>13</v>
      </c>
      <c r="I10" s="60">
        <f t="shared" si="1"/>
        <v>10</v>
      </c>
      <c r="J10" s="61">
        <f t="shared" si="1"/>
        <v>5</v>
      </c>
      <c r="K10" s="21">
        <f t="shared" si="1"/>
        <v>2</v>
      </c>
      <c r="L10" s="21">
        <f t="shared" si="1"/>
        <v>3</v>
      </c>
      <c r="M10" s="21">
        <f t="shared" si="1"/>
        <v>6</v>
      </c>
      <c r="N10" s="21">
        <f t="shared" si="1"/>
        <v>5</v>
      </c>
      <c r="O10" s="21">
        <f t="shared" si="1"/>
        <v>10</v>
      </c>
      <c r="P10" s="60">
        <f t="shared" si="1"/>
        <v>9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3</v>
      </c>
      <c r="G12" s="22">
        <f t="shared" si="2"/>
        <v>3</v>
      </c>
      <c r="H12" s="22">
        <f t="shared" si="2"/>
        <v>6</v>
      </c>
      <c r="I12" s="62">
        <f t="shared" si="2"/>
        <v>9</v>
      </c>
      <c r="J12" s="63">
        <f t="shared" si="2"/>
        <v>13</v>
      </c>
      <c r="K12" s="22">
        <f t="shared" si="2"/>
        <v>13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18</v>
      </c>
      <c r="P12" s="62">
        <f t="shared" si="2"/>
        <v>18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4</v>
      </c>
      <c r="I13" s="62">
        <f t="shared" si="3"/>
        <v>7</v>
      </c>
      <c r="J13" s="63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15</v>
      </c>
      <c r="P13" s="62">
        <f t="shared" si="3"/>
        <v>17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9</v>
      </c>
      <c r="L14" s="22">
        <f t="shared" si="4"/>
        <v>9</v>
      </c>
      <c r="M14" s="22">
        <f t="shared" si="4"/>
        <v>12</v>
      </c>
      <c r="N14" s="22">
        <f t="shared" si="4"/>
        <v>16</v>
      </c>
      <c r="O14" s="22">
        <f t="shared" si="4"/>
        <v>16</v>
      </c>
      <c r="P14" s="62">
        <f t="shared" si="4"/>
        <v>19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1.5</v>
      </c>
      <c r="D15" s="22">
        <f t="shared" ref="D15:P15" si="5" xml:space="preserve"> C$15 + D$9</f>
        <v>1.5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9</v>
      </c>
      <c r="K15" s="22">
        <f t="shared" si="5"/>
        <v>9</v>
      </c>
      <c r="L15" s="22">
        <f t="shared" si="5"/>
        <v>10</v>
      </c>
      <c r="M15" s="22">
        <f t="shared" si="5"/>
        <v>10</v>
      </c>
      <c r="N15" s="22">
        <f t="shared" si="5"/>
        <v>11</v>
      </c>
      <c r="O15" s="22">
        <f t="shared" si="5"/>
        <v>13</v>
      </c>
      <c r="P15" s="62">
        <f t="shared" si="5"/>
        <v>17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1.5</v>
      </c>
      <c r="E16" s="21">
        <f t="shared" si="6"/>
        <v>5</v>
      </c>
      <c r="F16" s="21">
        <f t="shared" si="6"/>
        <v>8</v>
      </c>
      <c r="G16" s="21">
        <f t="shared" si="6"/>
        <v>8</v>
      </c>
      <c r="H16" s="21">
        <f t="shared" si="6"/>
        <v>21</v>
      </c>
      <c r="I16" s="60">
        <f t="shared" si="6"/>
        <v>31</v>
      </c>
      <c r="J16" s="61">
        <f t="shared" si="6"/>
        <v>36</v>
      </c>
      <c r="K16" s="21">
        <f t="shared" si="6"/>
        <v>38</v>
      </c>
      <c r="L16" s="21">
        <f t="shared" si="6"/>
        <v>41</v>
      </c>
      <c r="M16" s="21">
        <f t="shared" si="6"/>
        <v>47</v>
      </c>
      <c r="N16" s="21">
        <f t="shared" si="6"/>
        <v>52</v>
      </c>
      <c r="O16" s="21">
        <f t="shared" si="6"/>
        <v>62</v>
      </c>
      <c r="P16" s="60">
        <f t="shared" si="6"/>
        <v>71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0.75</v>
      </c>
      <c r="G30" s="22">
        <f t="shared" si="13"/>
        <v>0.6</v>
      </c>
      <c r="H30" s="22">
        <f t="shared" si="13"/>
        <v>1</v>
      </c>
      <c r="I30" s="62">
        <f t="shared" si="13"/>
        <v>1.2857142857142858</v>
      </c>
      <c r="J30" s="63">
        <f t="shared" si="13"/>
        <v>1.625</v>
      </c>
      <c r="K30" s="22">
        <f t="shared" si="13"/>
        <v>1.4444444444444444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1.3846153846153846</v>
      </c>
      <c r="P30" s="62">
        <f t="shared" si="13"/>
        <v>1.2857142857142858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0.66666666666666663</v>
      </c>
      <c r="I31" s="62">
        <f t="shared" si="14"/>
        <v>1</v>
      </c>
      <c r="J31" s="63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1.1538461538461537</v>
      </c>
      <c r="P31" s="62">
        <f t="shared" si="14"/>
        <v>1.2142857142857142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0.4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1</v>
      </c>
      <c r="L32" s="22">
        <f t="shared" si="15"/>
        <v>0.9</v>
      </c>
      <c r="M32" s="22">
        <f t="shared" si="15"/>
        <v>1.0909090909090908</v>
      </c>
      <c r="N32" s="22">
        <f t="shared" si="15"/>
        <v>1.3333333333333333</v>
      </c>
      <c r="O32" s="22">
        <f t="shared" si="15"/>
        <v>1.2307692307692308</v>
      </c>
      <c r="P32" s="62">
        <f t="shared" si="15"/>
        <v>1.3571428571428572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1.5</v>
      </c>
      <c r="D33" s="22">
        <f xml:space="preserve"> (D$15 + D$27) / D$5</f>
        <v>0.75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1.125</v>
      </c>
      <c r="K33" s="22">
        <f t="shared" si="16"/>
        <v>1</v>
      </c>
      <c r="L33" s="22">
        <f t="shared" si="16"/>
        <v>1</v>
      </c>
      <c r="M33" s="22">
        <f t="shared" si="16"/>
        <v>0.90909090909090906</v>
      </c>
      <c r="N33" s="22">
        <f t="shared" si="16"/>
        <v>0.91666666666666663</v>
      </c>
      <c r="O33" s="22">
        <f t="shared" si="16"/>
        <v>1</v>
      </c>
      <c r="P33" s="62">
        <f t="shared" si="16"/>
        <v>1.2142857142857142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0.75</v>
      </c>
      <c r="E34" s="21">
        <f t="shared" si="17"/>
        <v>1.6666666666666665</v>
      </c>
      <c r="F34" s="21">
        <f t="shared" si="17"/>
        <v>2</v>
      </c>
      <c r="G34" s="21">
        <f t="shared" si="17"/>
        <v>1.6</v>
      </c>
      <c r="H34" s="21">
        <f t="shared" si="17"/>
        <v>3.5</v>
      </c>
      <c r="I34" s="60">
        <f t="shared" si="17"/>
        <v>4.4285714285714288</v>
      </c>
      <c r="J34" s="61">
        <f t="shared" si="17"/>
        <v>4.5</v>
      </c>
      <c r="K34" s="21">
        <f t="shared" si="17"/>
        <v>4.2222222222222223</v>
      </c>
      <c r="L34" s="21">
        <f t="shared" si="17"/>
        <v>4.0999999999999996</v>
      </c>
      <c r="M34" s="21">
        <f t="shared" si="17"/>
        <v>4.2727272727272725</v>
      </c>
      <c r="N34" s="21">
        <f t="shared" si="17"/>
        <v>4.3333333333333339</v>
      </c>
      <c r="O34" s="21">
        <f t="shared" si="17"/>
        <v>4.7692307692307692</v>
      </c>
      <c r="P34" s="60">
        <f t="shared" si="17"/>
        <v>5.0714285714285712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9</v>
      </c>
      <c r="D37" s="24">
        <f xml:space="preserve"> SUM(J6:P6) + SUM(J18:P18)</f>
        <v>9</v>
      </c>
      <c r="E37" s="24">
        <f xml:space="preserve"> SUM(C37:D37)</f>
        <v>18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7</v>
      </c>
      <c r="D38" s="24">
        <f t="shared" ref="D38:D40" si="19" xml:space="preserve"> SUM(J7:P7) + SUM(J19:P19)</f>
        <v>10</v>
      </c>
      <c r="E38" s="24">
        <f xml:space="preserve"> SUM(C38:D38)</f>
        <v>17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12</v>
      </c>
      <c r="E39" s="24">
        <f xml:space="preserve"> SUM(C39:D39)</f>
        <v>19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</v>
      </c>
      <c r="E40" s="24">
        <f xml:space="preserve"> SUM(C40:D40)</f>
        <v>17</v>
      </c>
    </row>
    <row r="41" spans="1:16" ht="16.5" thickBot="1" x14ac:dyDescent="0.3">
      <c r="A41" s="79"/>
      <c r="B41" s="18" t="s">
        <v>19</v>
      </c>
      <c r="C41" s="21">
        <f xml:space="preserve"> SUM(C37:C40)</f>
        <v>31</v>
      </c>
      <c r="D41" s="21">
        <f t="shared" ref="D41" si="20" xml:space="preserve"> SUM(D37:D40)</f>
        <v>40</v>
      </c>
      <c r="E41" s="21">
        <f xml:space="preserve"> SUM(C41:D41)</f>
        <v>71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9</v>
      </c>
      <c r="D43" s="24">
        <f xml:space="preserve"> SUM(C37:D37) / D$36</f>
        <v>9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7</v>
      </c>
      <c r="D44" s="24">
        <f t="shared" ref="D44:D46" si="22" xml:space="preserve"> SUM(C38:D38) / D$36</f>
        <v>8.5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9.5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8.5</v>
      </c>
    </row>
    <row r="47" spans="1:16" ht="16.5" thickBot="1" x14ac:dyDescent="0.3">
      <c r="A47" s="79"/>
      <c r="B47" s="18" t="s">
        <v>19</v>
      </c>
      <c r="C47" s="21">
        <f xml:space="preserve"> SUM(C43:C46)</f>
        <v>31</v>
      </c>
      <c r="D47" s="21">
        <f t="shared" ref="D47" si="23" xml:space="preserve"> SUM(D43:D46)</f>
        <v>35.5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71</v>
      </c>
      <c r="D90" s="24">
        <f>C10</f>
        <v>1.5</v>
      </c>
      <c r="E90" s="24">
        <f>D10</f>
        <v>0</v>
      </c>
      <c r="F90" s="24">
        <f t="shared" ref="F90:Q90" si="24">E10</f>
        <v>3.5</v>
      </c>
      <c r="G90" s="24">
        <f t="shared" si="24"/>
        <v>3</v>
      </c>
      <c r="H90" s="24">
        <f t="shared" si="24"/>
        <v>0</v>
      </c>
      <c r="I90" s="24">
        <f t="shared" si="24"/>
        <v>13</v>
      </c>
      <c r="J90" s="24">
        <f t="shared" si="24"/>
        <v>10</v>
      </c>
      <c r="K90" s="24">
        <f t="shared" si="24"/>
        <v>5</v>
      </c>
      <c r="L90" s="24">
        <f t="shared" si="24"/>
        <v>2</v>
      </c>
      <c r="M90" s="24">
        <f t="shared" si="24"/>
        <v>3</v>
      </c>
      <c r="N90" s="24">
        <f t="shared" si="24"/>
        <v>6</v>
      </c>
      <c r="O90" s="24">
        <f t="shared" si="24"/>
        <v>5</v>
      </c>
      <c r="P90" s="24">
        <f t="shared" si="24"/>
        <v>10</v>
      </c>
      <c r="Q90" s="24">
        <f t="shared" si="24"/>
        <v>9</v>
      </c>
    </row>
    <row r="91" spans="2:17" x14ac:dyDescent="0.25">
      <c r="B91" t="s">
        <v>55</v>
      </c>
      <c r="C91" s="24">
        <f>C90</f>
        <v>71</v>
      </c>
      <c r="D91" s="24">
        <f>C91-D90</f>
        <v>69.5</v>
      </c>
      <c r="E91" s="24">
        <f>D91-E90</f>
        <v>69.5</v>
      </c>
      <c r="F91" s="24">
        <f t="shared" ref="F91:Q91" si="25">E91-F90</f>
        <v>66</v>
      </c>
      <c r="G91" s="24">
        <f t="shared" si="25"/>
        <v>63</v>
      </c>
      <c r="H91" s="24">
        <f t="shared" si="25"/>
        <v>63</v>
      </c>
      <c r="I91" s="24">
        <f t="shared" si="25"/>
        <v>50</v>
      </c>
      <c r="J91" s="24">
        <f t="shared" si="25"/>
        <v>40</v>
      </c>
      <c r="K91" s="24">
        <f t="shared" si="25"/>
        <v>35</v>
      </c>
      <c r="L91" s="24">
        <f t="shared" si="25"/>
        <v>33</v>
      </c>
      <c r="M91" s="24">
        <f t="shared" si="25"/>
        <v>30</v>
      </c>
      <c r="N91" s="24">
        <f t="shared" si="25"/>
        <v>24</v>
      </c>
      <c r="O91" s="24">
        <f t="shared" si="25"/>
        <v>19</v>
      </c>
      <c r="P91" s="24">
        <f t="shared" si="25"/>
        <v>9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2016-02-16T20:05:19Z</dcterms:modified>
</cp:coreProperties>
</file>