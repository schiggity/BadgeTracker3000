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2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3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4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5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6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7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9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0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1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2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5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6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7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8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1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2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3.xml" ContentType="application/vnd.openxmlformats-officedocument.drawingml.chartshap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4.xml" ContentType="application/vnd.openxmlformats-officedocument.drawingml.chartshap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7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8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69.xml" ContentType="application/vnd.openxmlformats-officedocument.drawingml.chartshap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70.xml" ContentType="application/vnd.openxmlformats-officedocument.drawingml.chartshapes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0" yWindow="0" windowWidth="23040" windowHeight="9375" tabRatio="695" activeTab="7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/>
</workbook>
</file>

<file path=xl/calcChain.xml><?xml version="1.0" encoding="utf-8"?>
<calcChain xmlns="http://schemas.openxmlformats.org/spreadsheetml/2006/main">
  <c r="Q90" i="46" l="1"/>
  <c r="P90" i="46"/>
  <c r="O90" i="46"/>
  <c r="N90" i="46"/>
  <c r="M90" i="46"/>
  <c r="L90" i="46"/>
  <c r="K90" i="46"/>
  <c r="J90" i="46"/>
  <c r="I90" i="46"/>
  <c r="H90" i="46"/>
  <c r="G90" i="46"/>
  <c r="F90" i="46"/>
  <c r="E90" i="46"/>
  <c r="D90" i="46"/>
  <c r="C90" i="46"/>
  <c r="C91" i="46" s="1"/>
  <c r="D91" i="46" s="1"/>
  <c r="E91" i="46" s="1"/>
  <c r="F91" i="46" s="1"/>
  <c r="G91" i="46" s="1"/>
  <c r="H91" i="46" s="1"/>
  <c r="I91" i="46" s="1"/>
  <c r="J91" i="46" s="1"/>
  <c r="K91" i="46" s="1"/>
  <c r="L91" i="46" s="1"/>
  <c r="M91" i="46" s="1"/>
  <c r="N91" i="46" s="1"/>
  <c r="O91" i="46" s="1"/>
  <c r="P91" i="46" s="1"/>
  <c r="Q91" i="46" s="1"/>
  <c r="C89" i="46"/>
  <c r="D89" i="46" s="1"/>
  <c r="E89" i="46" s="1"/>
  <c r="F89" i="46" s="1"/>
  <c r="G89" i="46" s="1"/>
  <c r="H89" i="46" s="1"/>
  <c r="I89" i="46" s="1"/>
  <c r="J89" i="46" s="1"/>
  <c r="K89" i="46" s="1"/>
  <c r="L89" i="46" s="1"/>
  <c r="M89" i="46" s="1"/>
  <c r="N89" i="46" s="1"/>
  <c r="O89" i="46" s="1"/>
  <c r="P89" i="46" s="1"/>
  <c r="C86" i="46"/>
  <c r="O84" i="1" l="1"/>
  <c r="N84" i="1"/>
  <c r="M84" i="1"/>
  <c r="L84" i="1"/>
  <c r="K84" i="1"/>
  <c r="J84" i="1"/>
  <c r="I84" i="1"/>
  <c r="H84" i="1"/>
  <c r="G84" i="1"/>
  <c r="F84" i="1"/>
  <c r="E84" i="1"/>
  <c r="D84" i="1"/>
  <c r="C84" i="1"/>
  <c r="C91" i="45"/>
  <c r="D91" i="45" s="1"/>
  <c r="E91" i="45" s="1"/>
  <c r="F91" i="45" s="1"/>
  <c r="G91" i="45" s="1"/>
  <c r="H91" i="45" s="1"/>
  <c r="I91" i="45" s="1"/>
  <c r="J91" i="45" s="1"/>
  <c r="K91" i="45" s="1"/>
  <c r="L91" i="45" s="1"/>
  <c r="M91" i="45" s="1"/>
  <c r="N91" i="45" s="1"/>
  <c r="O91" i="45" s="1"/>
  <c r="P91" i="45" s="1"/>
  <c r="Q91" i="45" s="1"/>
  <c r="Q90" i="45"/>
  <c r="P90" i="45"/>
  <c r="O90" i="45"/>
  <c r="N90" i="45"/>
  <c r="M90" i="45"/>
  <c r="L90" i="45"/>
  <c r="K90" i="45"/>
  <c r="J90" i="45"/>
  <c r="I90" i="45"/>
  <c r="H90" i="45"/>
  <c r="G90" i="45"/>
  <c r="F90" i="45"/>
  <c r="E90" i="45"/>
  <c r="D90" i="45"/>
  <c r="C90" i="45"/>
  <c r="C89" i="45"/>
  <c r="C86" i="45"/>
  <c r="D89" i="45" l="1"/>
  <c r="E89" i="45" s="1"/>
  <c r="F89" i="45" s="1"/>
  <c r="G89" i="45" s="1"/>
  <c r="H89" i="45" s="1"/>
  <c r="I89" i="45" s="1"/>
  <c r="J89" i="45" s="1"/>
  <c r="K89" i="45" s="1"/>
  <c r="L89" i="45" s="1"/>
  <c r="M89" i="45" s="1"/>
  <c r="N89" i="45" s="1"/>
  <c r="O89" i="45" s="1"/>
  <c r="P89" i="45" s="1"/>
  <c r="E10" i="43"/>
  <c r="F90" i="43"/>
  <c r="F10" i="43"/>
  <c r="G90" i="43"/>
  <c r="G10" i="43"/>
  <c r="H90" i="43"/>
  <c r="H10" i="43"/>
  <c r="I90" i="43"/>
  <c r="I10" i="43"/>
  <c r="J90" i="43"/>
  <c r="J10" i="43"/>
  <c r="K90" i="43"/>
  <c r="K10" i="43"/>
  <c r="L90" i="43"/>
  <c r="L10" i="43"/>
  <c r="M90" i="43"/>
  <c r="M10" i="43"/>
  <c r="N90" i="43"/>
  <c r="N10" i="43"/>
  <c r="O90" i="43"/>
  <c r="O10" i="43"/>
  <c r="P90" i="43"/>
  <c r="P10" i="43"/>
  <c r="Q90" i="43"/>
  <c r="D10" i="43"/>
  <c r="E90" i="43"/>
  <c r="C10" i="43"/>
  <c r="D90" i="43"/>
  <c r="C37" i="43"/>
  <c r="C38" i="43"/>
  <c r="C39" i="43"/>
  <c r="C40" i="43"/>
  <c r="C41" i="43"/>
  <c r="D37" i="43"/>
  <c r="D38" i="43"/>
  <c r="D39" i="43"/>
  <c r="D40" i="43"/>
  <c r="D41" i="43"/>
  <c r="E41" i="43"/>
  <c r="C90" i="43"/>
  <c r="C91" i="43"/>
  <c r="C89" i="43"/>
  <c r="C86" i="43"/>
  <c r="D89" i="43"/>
  <c r="E89" i="43"/>
  <c r="F89" i="43"/>
  <c r="G89" i="43"/>
  <c r="H89" i="43"/>
  <c r="I89" i="43"/>
  <c r="J89" i="43"/>
  <c r="K89" i="43"/>
  <c r="L89" i="43"/>
  <c r="M89" i="43"/>
  <c r="N89" i="43"/>
  <c r="O89" i="43"/>
  <c r="P89" i="43"/>
  <c r="D91" i="43"/>
  <c r="E91" i="43"/>
  <c r="F91" i="43"/>
  <c r="G91" i="43"/>
  <c r="H91" i="43"/>
  <c r="I91" i="43"/>
  <c r="J91" i="43"/>
  <c r="K91" i="43"/>
  <c r="L91" i="43"/>
  <c r="M91" i="43"/>
  <c r="N91" i="43"/>
  <c r="O91" i="43"/>
  <c r="P91" i="43"/>
  <c r="Q91" i="43"/>
  <c r="C4" i="50"/>
  <c r="C4" i="49"/>
  <c r="C4" i="48"/>
  <c r="C4" i="47"/>
  <c r="C4" i="46"/>
  <c r="C4" i="45"/>
  <c r="C4" i="44"/>
  <c r="C4" i="43"/>
  <c r="C4" i="42"/>
  <c r="C4" i="2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C37" i="42"/>
  <c r="C38" i="42"/>
  <c r="C39" i="42"/>
  <c r="C40" i="42"/>
  <c r="C41" i="42"/>
  <c r="D37" i="42"/>
  <c r="D38" i="42"/>
  <c r="D39" i="42"/>
  <c r="D40" i="42"/>
  <c r="D41" i="42"/>
  <c r="E41" i="42"/>
  <c r="C90" i="42"/>
  <c r="C91" i="42"/>
  <c r="D91" i="42"/>
  <c r="E91" i="42"/>
  <c r="F91" i="42"/>
  <c r="G91" i="42"/>
  <c r="H91" i="42"/>
  <c r="I91" i="42"/>
  <c r="J91" i="42"/>
  <c r="K91" i="42"/>
  <c r="L91" i="42"/>
  <c r="M91" i="42"/>
  <c r="N91" i="42"/>
  <c r="O91" i="42"/>
  <c r="P91" i="42"/>
  <c r="Q91" i="42"/>
  <c r="C86" i="42"/>
  <c r="C89" i="42"/>
  <c r="D89" i="42"/>
  <c r="E89" i="42"/>
  <c r="F89" i="42"/>
  <c r="G89" i="42"/>
  <c r="H89" i="42"/>
  <c r="I89" i="42"/>
  <c r="J89" i="42"/>
  <c r="K89" i="42"/>
  <c r="L89" i="42"/>
  <c r="M89" i="42"/>
  <c r="N89" i="42"/>
  <c r="O89" i="42"/>
  <c r="P89" i="42"/>
  <c r="C11" i="1"/>
  <c r="C17" i="1"/>
  <c r="C23" i="1"/>
  <c r="D11" i="1"/>
  <c r="D17" i="1"/>
  <c r="D23" i="1"/>
  <c r="D81" i="1"/>
  <c r="E11" i="1"/>
  <c r="E17" i="1"/>
  <c r="E23" i="1"/>
  <c r="E81" i="1"/>
  <c r="F11" i="1"/>
  <c r="F17" i="1"/>
  <c r="F23" i="1"/>
  <c r="F81" i="1"/>
  <c r="G11" i="1"/>
  <c r="G17" i="1"/>
  <c r="G23" i="1"/>
  <c r="G81" i="1"/>
  <c r="C81" i="1"/>
  <c r="E79" i="1"/>
  <c r="Y82" i="1" s="1"/>
  <c r="Y83" i="1" s="1"/>
  <c r="M82" i="1"/>
  <c r="M83" i="1" s="1"/>
  <c r="X82" i="1"/>
  <c r="X83" i="1" s="1"/>
  <c r="V82" i="1"/>
  <c r="V83" i="1" s="1"/>
  <c r="T82" i="1"/>
  <c r="T83" i="1" s="1"/>
  <c r="R82" i="1"/>
  <c r="R83" i="1" s="1"/>
  <c r="P82" i="1"/>
  <c r="P83" i="1" s="1"/>
  <c r="N82" i="1"/>
  <c r="N83" i="1" s="1"/>
  <c r="K82" i="1"/>
  <c r="K83" i="1" s="1"/>
  <c r="I82" i="1"/>
  <c r="I83" i="1" s="1"/>
  <c r="G82" i="1"/>
  <c r="G83" i="1" s="1"/>
  <c r="E82" i="1"/>
  <c r="E83" i="1" s="1"/>
  <c r="C82" i="1"/>
  <c r="C83" i="1" s="1"/>
  <c r="C37" i="2"/>
  <c r="C38" i="2"/>
  <c r="C39" i="2"/>
  <c r="C40" i="2"/>
  <c r="C41" i="2"/>
  <c r="D37" i="2"/>
  <c r="D38" i="2"/>
  <c r="D39" i="2"/>
  <c r="D40" i="2"/>
  <c r="D41" i="2"/>
  <c r="E37" i="2"/>
  <c r="E38" i="2"/>
  <c r="E39" i="2"/>
  <c r="E40" i="2"/>
  <c r="E41" i="2"/>
  <c r="F41" i="2"/>
  <c r="C87" i="2"/>
  <c r="C86" i="15"/>
  <c r="C83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D87" i="2"/>
  <c r="D10" i="2"/>
  <c r="D22" i="2"/>
  <c r="E87" i="2"/>
  <c r="E10" i="2"/>
  <c r="E22" i="2"/>
  <c r="F87" i="2"/>
  <c r="F10" i="2"/>
  <c r="F22" i="2"/>
  <c r="G87" i="2"/>
  <c r="G10" i="2"/>
  <c r="G22" i="2"/>
  <c r="H87" i="2"/>
  <c r="S82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D82" i="1"/>
  <c r="D83" i="1" s="1"/>
  <c r="F82" i="1"/>
  <c r="F83" i="1" s="1"/>
  <c r="H82" i="1"/>
  <c r="H83" i="1" s="1"/>
  <c r="J82" i="1"/>
  <c r="J83" i="1" s="1"/>
  <c r="L82" i="1"/>
  <c r="L83" i="1" s="1"/>
  <c r="O82" i="1"/>
  <c r="O83" i="1" s="1"/>
  <c r="Q82" i="1"/>
  <c r="Q83" i="1" s="1"/>
  <c r="S82" i="1"/>
  <c r="S83" i="1" s="1"/>
  <c r="U82" i="1"/>
  <c r="U83" i="1" s="1"/>
  <c r="W82" i="1"/>
  <c r="W83" i="1" s="1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P11" i="1" s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9" i="1" s="1"/>
  <c r="N10" i="1"/>
  <c r="N11" i="1" s="1"/>
  <c r="N23" i="1" s="1"/>
  <c r="N81" i="1" s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J13" i="1"/>
  <c r="J8" i="1"/>
  <c r="J20" i="1"/>
  <c r="K8" i="1"/>
  <c r="J9" i="1"/>
  <c r="J21" i="1"/>
  <c r="K9" i="1"/>
  <c r="J10" i="1"/>
  <c r="J22" i="1"/>
  <c r="K10" i="1"/>
  <c r="K7" i="1"/>
  <c r="J7" i="1"/>
  <c r="J19" i="1"/>
  <c r="H17" i="1"/>
  <c r="X17" i="1"/>
  <c r="T17" i="1"/>
  <c r="L17" i="1"/>
  <c r="K17" i="1"/>
  <c r="B16" i="1"/>
  <c r="B15" i="1"/>
  <c r="B14" i="1"/>
  <c r="Y17" i="1"/>
  <c r="W17" i="1"/>
  <c r="J17" i="1"/>
  <c r="I17" i="1"/>
  <c r="B13" i="1"/>
  <c r="C14" i="2"/>
  <c r="C26" i="2"/>
  <c r="C32" i="2"/>
  <c r="C13" i="2"/>
  <c r="C25" i="2"/>
  <c r="C31" i="2"/>
  <c r="C12" i="2"/>
  <c r="C24" i="2"/>
  <c r="C30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D26" i="2"/>
  <c r="E26" i="2"/>
  <c r="F26" i="2"/>
  <c r="G26" i="2"/>
  <c r="H26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B26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C14" i="50"/>
  <c r="C26" i="50"/>
  <c r="C32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C12" i="50"/>
  <c r="C13" i="50"/>
  <c r="C16" i="50"/>
  <c r="D15" i="50"/>
  <c r="B15" i="50"/>
  <c r="D14" i="50"/>
  <c r="B14" i="50"/>
  <c r="D13" i="50"/>
  <c r="B13" i="50"/>
  <c r="C30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C13" i="49"/>
  <c r="C31" i="49"/>
  <c r="B25" i="49"/>
  <c r="C24" i="49"/>
  <c r="D24" i="49"/>
  <c r="E24" i="49"/>
  <c r="C28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C28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C13" i="47"/>
  <c r="C31" i="47"/>
  <c r="B25" i="47"/>
  <c r="C24" i="47"/>
  <c r="C28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C12" i="47"/>
  <c r="C14" i="47"/>
  <c r="C16" i="47"/>
  <c r="D15" i="47"/>
  <c r="B15" i="47"/>
  <c r="D14" i="47"/>
  <c r="E14" i="47"/>
  <c r="F14" i="47"/>
  <c r="B14" i="47"/>
  <c r="D13" i="47"/>
  <c r="E13" i="47"/>
  <c r="B13" i="47"/>
  <c r="D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 s="1"/>
  <c r="B39" i="46"/>
  <c r="C38" i="46"/>
  <c r="D44" i="46" s="1"/>
  <c r="B38" i="46"/>
  <c r="B37" i="46"/>
  <c r="C15" i="46"/>
  <c r="C27" i="46"/>
  <c r="C33" i="46"/>
  <c r="B33" i="46"/>
  <c r="C14" i="46"/>
  <c r="C26" i="46"/>
  <c r="C32" i="46"/>
  <c r="B32" i="46"/>
  <c r="B31" i="46"/>
  <c r="B30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D26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C28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2" i="46"/>
  <c r="C13" i="46"/>
  <c r="C16" i="46"/>
  <c r="D15" i="46"/>
  <c r="B15" i="46"/>
  <c r="E14" i="46"/>
  <c r="F14" i="46" s="1"/>
  <c r="B14" i="46"/>
  <c r="D13" i="46"/>
  <c r="D31" i="46"/>
  <c r="B13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 s="1"/>
  <c r="B43" i="45"/>
  <c r="D37" i="45"/>
  <c r="D38" i="45"/>
  <c r="D39" i="45"/>
  <c r="D40" i="45"/>
  <c r="D41" i="45" s="1"/>
  <c r="C40" i="45"/>
  <c r="B40" i="45"/>
  <c r="C39" i="45"/>
  <c r="D45" i="45" s="1"/>
  <c r="B39" i="45"/>
  <c r="C38" i="45"/>
  <c r="D44" i="45" s="1"/>
  <c r="B38" i="45"/>
  <c r="B37" i="45"/>
  <c r="C15" i="45"/>
  <c r="D15" i="45" s="1"/>
  <c r="C27" i="45"/>
  <c r="C33" i="45"/>
  <c r="C34" i="45" s="1"/>
  <c r="B33" i="45"/>
  <c r="C14" i="45"/>
  <c r="C26" i="45"/>
  <c r="C32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C13" i="45"/>
  <c r="C31" i="45"/>
  <c r="B25" i="45"/>
  <c r="C24" i="45"/>
  <c r="C28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C12" i="45"/>
  <c r="C16" i="45"/>
  <c r="B15" i="45"/>
  <c r="D14" i="45"/>
  <c r="B14" i="45"/>
  <c r="D13" i="45"/>
  <c r="B13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40" i="44"/>
  <c r="C40" i="44"/>
  <c r="D46" i="44"/>
  <c r="E40" i="44"/>
  <c r="B40" i="44"/>
  <c r="D39" i="44"/>
  <c r="C39" i="44"/>
  <c r="D45" i="44"/>
  <c r="B39" i="44"/>
  <c r="D38" i="44"/>
  <c r="C38" i="44"/>
  <c r="D44" i="44"/>
  <c r="B38" i="44"/>
  <c r="D37" i="44"/>
  <c r="D41" i="44"/>
  <c r="C37" i="44"/>
  <c r="C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C13" i="44"/>
  <c r="C31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D13" i="44"/>
  <c r="B13" i="44"/>
  <c r="C12" i="44"/>
  <c r="C16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B40" i="43"/>
  <c r="B39" i="43"/>
  <c r="B38" i="43"/>
  <c r="B37" i="43"/>
  <c r="B33" i="43"/>
  <c r="C14" i="43"/>
  <c r="C26" i="43"/>
  <c r="C32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C13" i="43"/>
  <c r="C31" i="43"/>
  <c r="B25" i="43"/>
  <c r="C24" i="43"/>
  <c r="C28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D14" i="43"/>
  <c r="B14" i="43"/>
  <c r="D13" i="43"/>
  <c r="B13" i="43"/>
  <c r="C12" i="43"/>
  <c r="C30" i="43"/>
  <c r="B12" i="43"/>
  <c r="B9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B43" i="42"/>
  <c r="B40" i="42"/>
  <c r="B39" i="42"/>
  <c r="B38" i="42"/>
  <c r="B37" i="42"/>
  <c r="C15" i="42"/>
  <c r="C27" i="42"/>
  <c r="C33" i="42"/>
  <c r="B33" i="42"/>
  <c r="C14" i="42"/>
  <c r="C26" i="42"/>
  <c r="C32" i="42"/>
  <c r="B32" i="42"/>
  <c r="B31" i="42"/>
  <c r="B30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C28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2" i="42"/>
  <c r="C13" i="42"/>
  <c r="C16" i="42"/>
  <c r="D15" i="42"/>
  <c r="B15" i="42"/>
  <c r="D14" i="42"/>
  <c r="E14" i="42"/>
  <c r="B14" i="42"/>
  <c r="D13" i="42"/>
  <c r="B13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C39" i="15"/>
  <c r="D39" i="15"/>
  <c r="C40" i="15"/>
  <c r="C46" i="15"/>
  <c r="D40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E41" i="44"/>
  <c r="K20" i="1"/>
  <c r="L20" i="1"/>
  <c r="M20" i="1"/>
  <c r="N20" i="1"/>
  <c r="K21" i="1"/>
  <c r="L21" i="1"/>
  <c r="M21" i="1"/>
  <c r="N21" i="1"/>
  <c r="O21" i="1" s="1"/>
  <c r="D44" i="43"/>
  <c r="D45" i="43"/>
  <c r="D46" i="43"/>
  <c r="K22" i="1"/>
  <c r="L22" i="1"/>
  <c r="M22" i="1"/>
  <c r="C33" i="43"/>
  <c r="C34" i="43"/>
  <c r="C16" i="43"/>
  <c r="K19" i="1"/>
  <c r="L19" i="1"/>
  <c r="M19" i="1"/>
  <c r="K11" i="1"/>
  <c r="J11" i="1"/>
  <c r="C43" i="43"/>
  <c r="D44" i="42"/>
  <c r="D32" i="42"/>
  <c r="E40" i="42"/>
  <c r="D45" i="42"/>
  <c r="I11" i="1"/>
  <c r="C43" i="42"/>
  <c r="H11" i="1"/>
  <c r="D44" i="15"/>
  <c r="D45" i="15"/>
  <c r="D46" i="15"/>
  <c r="V17" i="1"/>
  <c r="R17" i="1"/>
  <c r="L11" i="1"/>
  <c r="S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24" i="47"/>
  <c r="D30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16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E15" i="46"/>
  <c r="D33" i="46"/>
  <c r="E26" i="46"/>
  <c r="E32" i="46"/>
  <c r="E34" i="46" s="1"/>
  <c r="D12" i="46"/>
  <c r="E13" i="46"/>
  <c r="C45" i="46"/>
  <c r="E37" i="46"/>
  <c r="E39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D24" i="46"/>
  <c r="C31" i="46"/>
  <c r="C34" i="46"/>
  <c r="D46" i="46"/>
  <c r="D43" i="46"/>
  <c r="C44" i="45"/>
  <c r="C45" i="45"/>
  <c r="D32" i="45"/>
  <c r="E14" i="45"/>
  <c r="D12" i="45"/>
  <c r="D30" i="45" s="1"/>
  <c r="E13" i="45"/>
  <c r="F13" i="45" s="1"/>
  <c r="D24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32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24" i="43"/>
  <c r="E15" i="42"/>
  <c r="D33" i="42"/>
  <c r="D31" i="42"/>
  <c r="D12" i="42"/>
  <c r="E13" i="42"/>
  <c r="F14" i="42"/>
  <c r="C45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C46" i="42"/>
  <c r="D24" i="42"/>
  <c r="C31" i="42"/>
  <c r="C34" i="42"/>
  <c r="D46" i="42"/>
  <c r="E38" i="42"/>
  <c r="C44" i="42"/>
  <c r="D43" i="42"/>
  <c r="E40" i="15"/>
  <c r="D41" i="15"/>
  <c r="C44" i="15"/>
  <c r="D43" i="15"/>
  <c r="C43" i="15"/>
  <c r="C45" i="15"/>
  <c r="C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32" i="15"/>
  <c r="C15" i="15"/>
  <c r="D47" i="43"/>
  <c r="C47" i="43"/>
  <c r="D47" i="42"/>
  <c r="C47" i="42"/>
  <c r="D47" i="15"/>
  <c r="E41" i="15"/>
  <c r="C87" i="15"/>
  <c r="C88" i="15"/>
  <c r="C10" i="15"/>
  <c r="D88" i="15"/>
  <c r="D10" i="15"/>
  <c r="E88" i="15"/>
  <c r="E10" i="15"/>
  <c r="F88" i="15"/>
  <c r="D15" i="15"/>
  <c r="E15" i="15"/>
  <c r="C33" i="15"/>
  <c r="J26" i="2"/>
  <c r="E31" i="50"/>
  <c r="F13" i="50"/>
  <c r="D31" i="50"/>
  <c r="E32" i="50"/>
  <c r="F14" i="50"/>
  <c r="E33" i="50"/>
  <c r="F15" i="50"/>
  <c r="D30" i="50"/>
  <c r="D34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34" i="49"/>
  <c r="D16" i="49"/>
  <c r="E12" i="49"/>
  <c r="D47" i="48"/>
  <c r="C47" i="48"/>
  <c r="E24" i="48"/>
  <c r="D28" i="48"/>
  <c r="E31" i="48"/>
  <c r="F13" i="48"/>
  <c r="F32" i="48"/>
  <c r="G14" i="48"/>
  <c r="F12" i="48"/>
  <c r="E16" i="48"/>
  <c r="E30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E31" i="47"/>
  <c r="E32" i="47"/>
  <c r="E34" i="47"/>
  <c r="D28" i="47"/>
  <c r="H14" i="47"/>
  <c r="G32" i="47"/>
  <c r="E31" i="46"/>
  <c r="F13" i="46"/>
  <c r="E24" i="46"/>
  <c r="D28" i="46"/>
  <c r="D30" i="46"/>
  <c r="D34" i="46"/>
  <c r="D16" i="46"/>
  <c r="E12" i="46"/>
  <c r="E33" i="46"/>
  <c r="F15" i="46"/>
  <c r="E32" i="45"/>
  <c r="F14" i="45"/>
  <c r="E24" i="45"/>
  <c r="D28" i="45"/>
  <c r="E31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16" i="43"/>
  <c r="E12" i="43"/>
  <c r="D31" i="43"/>
  <c r="E32" i="43"/>
  <c r="F14" i="43"/>
  <c r="E24" i="43"/>
  <c r="D28" i="43"/>
  <c r="E33" i="43"/>
  <c r="F15" i="43"/>
  <c r="E24" i="42"/>
  <c r="D28" i="42"/>
  <c r="D30" i="42"/>
  <c r="D34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3"/>
  <c r="C34" i="15"/>
  <c r="D33" i="15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E31" i="49"/>
  <c r="E34" i="49"/>
  <c r="F33" i="49"/>
  <c r="G15" i="49"/>
  <c r="G32" i="49"/>
  <c r="H14" i="49"/>
  <c r="F25" i="49"/>
  <c r="E28" i="49"/>
  <c r="H24" i="49"/>
  <c r="G13" i="49"/>
  <c r="F31" i="49"/>
  <c r="G13" i="48"/>
  <c r="F31" i="48"/>
  <c r="F24" i="48"/>
  <c r="E28" i="48"/>
  <c r="H14" i="48"/>
  <c r="G32" i="48"/>
  <c r="F33" i="48"/>
  <c r="G15" i="48"/>
  <c r="E34" i="48"/>
  <c r="G12" i="48"/>
  <c r="F16" i="48"/>
  <c r="F30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F33" i="46"/>
  <c r="G15" i="46"/>
  <c r="E30" i="46"/>
  <c r="F12" i="46"/>
  <c r="F24" i="45"/>
  <c r="E28" i="45"/>
  <c r="F32" i="45"/>
  <c r="G1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G88" i="15"/>
  <c r="B9" i="15"/>
  <c r="B8" i="15"/>
  <c r="B7" i="15"/>
  <c r="B6" i="15"/>
  <c r="H88" i="15"/>
  <c r="I88" i="15"/>
  <c r="J88" i="15"/>
  <c r="K88" i="15"/>
  <c r="L88" i="15"/>
  <c r="M88" i="15"/>
  <c r="N88" i="15"/>
  <c r="O88" i="15"/>
  <c r="P88" i="15"/>
  <c r="Q88" i="15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F28" i="49"/>
  <c r="H32" i="49"/>
  <c r="I14" i="49"/>
  <c r="G33" i="49"/>
  <c r="H15" i="49"/>
  <c r="G31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31" i="48"/>
  <c r="G34" i="48"/>
  <c r="G16" i="48"/>
  <c r="H12" i="48"/>
  <c r="F34" i="48"/>
  <c r="H13" i="48"/>
  <c r="F28" i="47"/>
  <c r="G24" i="47"/>
  <c r="I32" i="47"/>
  <c r="J14" i="47"/>
  <c r="I13" i="47"/>
  <c r="H31" i="47"/>
  <c r="G33" i="47"/>
  <c r="H15" i="47"/>
  <c r="F30" i="47"/>
  <c r="F34" i="47"/>
  <c r="G16" i="47"/>
  <c r="H12" i="47"/>
  <c r="G30" i="47"/>
  <c r="G34" i="47"/>
  <c r="G33" i="46"/>
  <c r="H15" i="46"/>
  <c r="H13" i="46"/>
  <c r="I13" i="46" s="1"/>
  <c r="G31" i="46"/>
  <c r="G12" i="46"/>
  <c r="F30" i="46"/>
  <c r="F28" i="46"/>
  <c r="G24" i="46"/>
  <c r="G32" i="45"/>
  <c r="H14" i="45"/>
  <c r="H32" i="45" s="1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H12" i="46"/>
  <c r="G30" i="46"/>
  <c r="H31" i="46"/>
  <c r="G28" i="46"/>
  <c r="H24" i="46"/>
  <c r="H33" i="46"/>
  <c r="I15" i="46"/>
  <c r="I14" i="45"/>
  <c r="I32" i="45" s="1"/>
  <c r="G28" i="45"/>
  <c r="H24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5" i="2"/>
  <c r="C33" i="2"/>
  <c r="H10" i="2"/>
  <c r="I87" i="2"/>
  <c r="I10" i="2"/>
  <c r="J87" i="2"/>
  <c r="J10" i="2"/>
  <c r="K87" i="2"/>
  <c r="K10" i="2"/>
  <c r="L87" i="2"/>
  <c r="L10" i="2"/>
  <c r="M87" i="2"/>
  <c r="M10" i="2"/>
  <c r="N87" i="2"/>
  <c r="N10" i="2"/>
  <c r="O87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P87" i="2"/>
  <c r="Q87" i="2"/>
  <c r="R87" i="2"/>
  <c r="S87" i="2"/>
  <c r="T87" i="2"/>
  <c r="U87" i="2"/>
  <c r="V87" i="2"/>
  <c r="W87" i="2"/>
  <c r="X87" i="2"/>
  <c r="N26" i="2"/>
  <c r="D12" i="2"/>
  <c r="D30" i="2"/>
  <c r="D15" i="2"/>
  <c r="D33" i="2"/>
  <c r="D14" i="2"/>
  <c r="D32" i="2"/>
  <c r="D13" i="2"/>
  <c r="D26" i="1"/>
  <c r="C28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H28" i="49"/>
  <c r="H31" i="49"/>
  <c r="K24" i="49"/>
  <c r="I33" i="49"/>
  <c r="J15" i="49"/>
  <c r="J13" i="49"/>
  <c r="I31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I12" i="46"/>
  <c r="J15" i="46"/>
  <c r="I33" i="46"/>
  <c r="H28" i="46"/>
  <c r="I24" i="46"/>
  <c r="J14" i="45"/>
  <c r="K14" i="45" s="1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4" i="2"/>
  <c r="E45" i="2"/>
  <c r="E46" i="2"/>
  <c r="D44" i="2"/>
  <c r="C45" i="2"/>
  <c r="D45" i="2"/>
  <c r="C44" i="2"/>
  <c r="D46" i="2"/>
  <c r="C46" i="2"/>
  <c r="E43" i="2"/>
  <c r="D43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H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K13" i="48"/>
  <c r="J31" i="48"/>
  <c r="J33" i="48"/>
  <c r="K15" i="48"/>
  <c r="I30" i="48"/>
  <c r="I34" i="48"/>
  <c r="L14" i="48"/>
  <c r="K32" i="48"/>
  <c r="J16" i="48"/>
  <c r="J30" i="48"/>
  <c r="K12" i="48"/>
  <c r="K15" i="47"/>
  <c r="J33" i="47"/>
  <c r="J24" i="47"/>
  <c r="I28" i="47"/>
  <c r="L13" i="47"/>
  <c r="K31" i="47"/>
  <c r="I30" i="47"/>
  <c r="I34" i="47"/>
  <c r="M14" i="47"/>
  <c r="L32" i="47"/>
  <c r="K12" i="47"/>
  <c r="J30" i="47"/>
  <c r="J34" i="47"/>
  <c r="J16" i="47"/>
  <c r="K15" i="46"/>
  <c r="J33" i="46"/>
  <c r="J12" i="46"/>
  <c r="I30" i="46"/>
  <c r="I28" i="46"/>
  <c r="J24" i="46"/>
  <c r="I28" i="45"/>
  <c r="J2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S80" i="2"/>
  <c r="E47" i="2"/>
  <c r="C34" i="2"/>
  <c r="C47" i="2"/>
  <c r="D47" i="2"/>
  <c r="I23" i="1"/>
  <c r="H81" i="1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J30" i="46"/>
  <c r="K12" i="46"/>
  <c r="J28" i="46"/>
  <c r="K24" i="46"/>
  <c r="K33" i="46"/>
  <c r="L15" i="46"/>
  <c r="J28" i="45"/>
  <c r="K24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J23" i="1"/>
  <c r="I81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L12" i="46"/>
  <c r="M15" i="46"/>
  <c r="L33" i="46"/>
  <c r="K28" i="45"/>
  <c r="L2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K23" i="1"/>
  <c r="J81" i="1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L28" i="49"/>
  <c r="O24" i="49"/>
  <c r="M33" i="49"/>
  <c r="N15" i="49"/>
  <c r="M31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L30" i="46"/>
  <c r="M12" i="46"/>
  <c r="M24" i="46"/>
  <c r="L28" i="46"/>
  <c r="M24" i="45"/>
  <c r="L28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L23" i="1"/>
  <c r="K81" i="1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N33" i="47"/>
  <c r="N34" i="47"/>
  <c r="M28" i="47"/>
  <c r="M30" i="47"/>
  <c r="M34" i="47"/>
  <c r="O15" i="47"/>
  <c r="P13" i="47"/>
  <c r="P31" i="47"/>
  <c r="O31" i="47"/>
  <c r="N24" i="46"/>
  <c r="M28" i="46"/>
  <c r="N33" i="46"/>
  <c r="O15" i="46"/>
  <c r="M30" i="46"/>
  <c r="N12" i="46"/>
  <c r="N24" i="45"/>
  <c r="M28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M23" i="1"/>
  <c r="L81" i="1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N28" i="49"/>
  <c r="P13" i="49"/>
  <c r="O31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O12" i="46"/>
  <c r="N30" i="46"/>
  <c r="N28" i="45"/>
  <c r="O24" i="45"/>
  <c r="O25" i="44"/>
  <c r="N28" i="44"/>
  <c r="O33" i="44"/>
  <c r="P15" i="44"/>
  <c r="P33" i="44"/>
  <c r="M34" i="44"/>
  <c r="N31" i="44"/>
  <c r="P13" i="44"/>
  <c r="O31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M81" i="1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P12" i="46"/>
  <c r="O30" i="46"/>
  <c r="O28" i="46"/>
  <c r="P24" i="46"/>
  <c r="P28" i="46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P16" i="15"/>
  <c r="O16" i="15"/>
  <c r="O15" i="2"/>
  <c r="O33" i="2"/>
  <c r="O13" i="2"/>
  <c r="O31" i="2"/>
  <c r="O12" i="2"/>
  <c r="O30" i="2"/>
  <c r="N16" i="2"/>
  <c r="O14" i="2"/>
  <c r="O32" i="2"/>
  <c r="M29" i="1"/>
  <c r="M25" i="1"/>
  <c r="N34" i="2"/>
  <c r="O28" i="2"/>
  <c r="O34" i="2"/>
  <c r="P13" i="2"/>
  <c r="P31" i="2"/>
  <c r="P14" i="2"/>
  <c r="P32" i="2"/>
  <c r="P12" i="2"/>
  <c r="P30" i="2"/>
  <c r="O16" i="2"/>
  <c r="P15" i="2"/>
  <c r="P33" i="2"/>
  <c r="Q14" i="2"/>
  <c r="Q32" i="2"/>
  <c r="Q12" i="2"/>
  <c r="Q30" i="2"/>
  <c r="P16" i="2"/>
  <c r="Q13" i="2"/>
  <c r="Q31" i="2"/>
  <c r="P28" i="2"/>
  <c r="Q15" i="2"/>
  <c r="Q33" i="2"/>
  <c r="R15" i="2"/>
  <c r="R33" i="2"/>
  <c r="Q28" i="2"/>
  <c r="R12" i="2"/>
  <c r="R30" i="2"/>
  <c r="Q16" i="2"/>
  <c r="R28" i="2"/>
  <c r="R13" i="2"/>
  <c r="R31" i="2"/>
  <c r="P34" i="2"/>
  <c r="R14" i="2"/>
  <c r="R32" i="2"/>
  <c r="S12" i="2"/>
  <c r="S30" i="2"/>
  <c r="R16" i="2"/>
  <c r="Q34" i="2"/>
  <c r="S14" i="2"/>
  <c r="S32" i="2"/>
  <c r="S13" i="2"/>
  <c r="S31" i="2"/>
  <c r="R34" i="2"/>
  <c r="S15" i="2"/>
  <c r="S33" i="2"/>
  <c r="T14" i="2"/>
  <c r="T32" i="2"/>
  <c r="T15" i="2"/>
  <c r="T33" i="2"/>
  <c r="T12" i="2"/>
  <c r="T30" i="2"/>
  <c r="S16" i="2"/>
  <c r="S34" i="2"/>
  <c r="T13" i="2"/>
  <c r="T31" i="2"/>
  <c r="S28" i="2"/>
  <c r="U13" i="2"/>
  <c r="U31" i="2"/>
  <c r="T34" i="2"/>
  <c r="U15" i="2"/>
  <c r="U33" i="2"/>
  <c r="T28" i="2"/>
  <c r="U12" i="2"/>
  <c r="U30" i="2"/>
  <c r="T16" i="2"/>
  <c r="U14" i="2"/>
  <c r="U32" i="2"/>
  <c r="V15" i="2"/>
  <c r="V33" i="2"/>
  <c r="V12" i="2"/>
  <c r="V30" i="2"/>
  <c r="U16" i="2"/>
  <c r="V13" i="2"/>
  <c r="V31" i="2"/>
  <c r="V14" i="2"/>
  <c r="V32" i="2"/>
  <c r="U28" i="2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W16" i="2"/>
  <c r="W34" i="2"/>
  <c r="B2" i="50"/>
  <c r="B2" i="49"/>
  <c r="B2" i="44"/>
  <c r="B2" i="42"/>
  <c r="B2" i="47"/>
  <c r="B2" i="15"/>
  <c r="B2" i="2"/>
  <c r="B2" i="46"/>
  <c r="B2" i="45"/>
  <c r="B2" i="48"/>
  <c r="B2" i="43"/>
  <c r="I31" i="46" l="1"/>
  <c r="J13" i="46"/>
  <c r="D47" i="46"/>
  <c r="E38" i="46"/>
  <c r="C44" i="46"/>
  <c r="C47" i="46" s="1"/>
  <c r="F32" i="46"/>
  <c r="F34" i="46" s="1"/>
  <c r="F16" i="46"/>
  <c r="G14" i="46"/>
  <c r="E16" i="46"/>
  <c r="C41" i="46"/>
  <c r="E41" i="46" s="1"/>
  <c r="O11" i="1"/>
  <c r="O23" i="1" s="1"/>
  <c r="D46" i="45"/>
  <c r="N22" i="1"/>
  <c r="O22" i="1" s="1"/>
  <c r="O28" i="1" s="1"/>
  <c r="C46" i="45"/>
  <c r="C47" i="45" s="1"/>
  <c r="D33" i="45"/>
  <c r="E15" i="45"/>
  <c r="P22" i="1"/>
  <c r="E40" i="45"/>
  <c r="D16" i="45"/>
  <c r="E38" i="45"/>
  <c r="O20" i="1"/>
  <c r="P20" i="1" s="1"/>
  <c r="K32" i="45"/>
  <c r="L14" i="45"/>
  <c r="O27" i="1"/>
  <c r="P21" i="1"/>
  <c r="E39" i="45"/>
  <c r="G13" i="45"/>
  <c r="H13" i="45" s="1"/>
  <c r="F31" i="45"/>
  <c r="D34" i="45"/>
  <c r="G31" i="45"/>
  <c r="O26" i="1"/>
  <c r="N26" i="1"/>
  <c r="O19" i="1"/>
  <c r="P19" i="1" s="1"/>
  <c r="N25" i="1"/>
  <c r="D43" i="45"/>
  <c r="E37" i="45"/>
  <c r="O25" i="1"/>
  <c r="N29" i="1"/>
  <c r="E12" i="45"/>
  <c r="C41" i="45"/>
  <c r="E41" i="45" s="1"/>
  <c r="J31" i="46" l="1"/>
  <c r="K13" i="46"/>
  <c r="G32" i="46"/>
  <c r="G34" i="46" s="1"/>
  <c r="G16" i="46"/>
  <c r="H14" i="46"/>
  <c r="N28" i="1"/>
  <c r="D47" i="45"/>
  <c r="Q22" i="1"/>
  <c r="P28" i="1"/>
  <c r="F15" i="45"/>
  <c r="E33" i="45"/>
  <c r="L32" i="45"/>
  <c r="M14" i="45"/>
  <c r="Q21" i="1"/>
  <c r="P27" i="1"/>
  <c r="H31" i="45"/>
  <c r="I13" i="45"/>
  <c r="Q20" i="1"/>
  <c r="P26" i="1"/>
  <c r="Q19" i="1"/>
  <c r="P25" i="1"/>
  <c r="E16" i="45"/>
  <c r="E30" i="45"/>
  <c r="E34" i="45" s="1"/>
  <c r="F12" i="45"/>
  <c r="P23" i="1"/>
  <c r="O81" i="1"/>
  <c r="O29" i="1"/>
  <c r="L13" i="46" l="1"/>
  <c r="K31" i="46"/>
  <c r="H32" i="46"/>
  <c r="H34" i="46" s="1"/>
  <c r="H16" i="46"/>
  <c r="I14" i="46"/>
  <c r="G15" i="45"/>
  <c r="F33" i="45"/>
  <c r="R22" i="1"/>
  <c r="Q28" i="1"/>
  <c r="N14" i="45"/>
  <c r="M32" i="45"/>
  <c r="Q27" i="1"/>
  <c r="R21" i="1"/>
  <c r="I31" i="45"/>
  <c r="J13" i="45"/>
  <c r="R20" i="1"/>
  <c r="Q26" i="1"/>
  <c r="F16" i="45"/>
  <c r="F30" i="45"/>
  <c r="F34" i="45" s="1"/>
  <c r="G12" i="45"/>
  <c r="R19" i="1"/>
  <c r="Q25" i="1"/>
  <c r="Q23" i="1"/>
  <c r="P29" i="1"/>
  <c r="P81" i="1"/>
  <c r="P84" i="1" s="1"/>
  <c r="M13" i="46" l="1"/>
  <c r="L31" i="46"/>
  <c r="J14" i="46"/>
  <c r="I32" i="46"/>
  <c r="I34" i="46" s="1"/>
  <c r="I16" i="46"/>
  <c r="S22" i="1"/>
  <c r="R28" i="1"/>
  <c r="G33" i="45"/>
  <c r="H15" i="45"/>
  <c r="N32" i="45"/>
  <c r="O14" i="45"/>
  <c r="S21" i="1"/>
  <c r="R27" i="1"/>
  <c r="S20" i="1"/>
  <c r="R26" i="1"/>
  <c r="K13" i="45"/>
  <c r="J31" i="45"/>
  <c r="R23" i="1"/>
  <c r="Q29" i="1"/>
  <c r="Q81" i="1"/>
  <c r="Q84" i="1" s="1"/>
  <c r="S19" i="1"/>
  <c r="R25" i="1"/>
  <c r="H12" i="45"/>
  <c r="G16" i="45"/>
  <c r="G30" i="45"/>
  <c r="N13" i="46" l="1"/>
  <c r="M31" i="46"/>
  <c r="K14" i="46"/>
  <c r="J32" i="46"/>
  <c r="J34" i="46" s="1"/>
  <c r="J16" i="46"/>
  <c r="T22" i="1"/>
  <c r="S28" i="1"/>
  <c r="G34" i="45"/>
  <c r="I15" i="45"/>
  <c r="H33" i="45"/>
  <c r="O32" i="45"/>
  <c r="P14" i="45"/>
  <c r="P32" i="45" s="1"/>
  <c r="T21" i="1"/>
  <c r="S27" i="1"/>
  <c r="K31" i="45"/>
  <c r="L13" i="45"/>
  <c r="T20" i="1"/>
  <c r="S26" i="1"/>
  <c r="R81" i="1"/>
  <c r="R84" i="1" s="1"/>
  <c r="R29" i="1"/>
  <c r="S23" i="1"/>
  <c r="H30" i="45"/>
  <c r="H34" i="45" s="1"/>
  <c r="H16" i="45"/>
  <c r="I12" i="45"/>
  <c r="T19" i="1"/>
  <c r="S25" i="1"/>
  <c r="N31" i="46" l="1"/>
  <c r="O13" i="46"/>
  <c r="L14" i="46"/>
  <c r="K16" i="46"/>
  <c r="K32" i="46"/>
  <c r="K34" i="46" s="1"/>
  <c r="U22" i="1"/>
  <c r="T28" i="1"/>
  <c r="I33" i="45"/>
  <c r="J15" i="45"/>
  <c r="U21" i="1"/>
  <c r="T27" i="1"/>
  <c r="U20" i="1"/>
  <c r="T26" i="1"/>
  <c r="M13" i="45"/>
  <c r="L31" i="45"/>
  <c r="J12" i="45"/>
  <c r="I30" i="45"/>
  <c r="I16" i="45"/>
  <c r="U19" i="1"/>
  <c r="T25" i="1"/>
  <c r="S81" i="1"/>
  <c r="S84" i="1" s="1"/>
  <c r="S29" i="1"/>
  <c r="T23" i="1"/>
  <c r="P13" i="46" l="1"/>
  <c r="P31" i="46" s="1"/>
  <c r="O31" i="46"/>
  <c r="L32" i="46"/>
  <c r="L34" i="46" s="1"/>
  <c r="M14" i="46"/>
  <c r="L16" i="46"/>
  <c r="U28" i="1"/>
  <c r="V22" i="1"/>
  <c r="I34" i="45"/>
  <c r="K15" i="45"/>
  <c r="J33" i="45"/>
  <c r="V21" i="1"/>
  <c r="U27" i="1"/>
  <c r="M31" i="45"/>
  <c r="N13" i="45"/>
  <c r="V20" i="1"/>
  <c r="U26" i="1"/>
  <c r="J30" i="45"/>
  <c r="J16" i="45"/>
  <c r="K12" i="45"/>
  <c r="T81" i="1"/>
  <c r="T84" i="1" s="1"/>
  <c r="T29" i="1"/>
  <c r="U23" i="1"/>
  <c r="V19" i="1"/>
  <c r="U25" i="1"/>
  <c r="M32" i="46" l="1"/>
  <c r="M34" i="46" s="1"/>
  <c r="M16" i="46"/>
  <c r="N14" i="46"/>
  <c r="J34" i="45"/>
  <c r="L15" i="45"/>
  <c r="K33" i="45"/>
  <c r="W22" i="1"/>
  <c r="V28" i="1"/>
  <c r="W21" i="1"/>
  <c r="V27" i="1"/>
  <c r="W20" i="1"/>
  <c r="V26" i="1"/>
  <c r="O13" i="45"/>
  <c r="N31" i="45"/>
  <c r="U81" i="1"/>
  <c r="U84" i="1" s="1"/>
  <c r="U29" i="1"/>
  <c r="V23" i="1"/>
  <c r="W19" i="1"/>
  <c r="V25" i="1"/>
  <c r="K30" i="45"/>
  <c r="K34" i="45" s="1"/>
  <c r="L12" i="45"/>
  <c r="K16" i="45"/>
  <c r="N32" i="46" l="1"/>
  <c r="N34" i="46" s="1"/>
  <c r="N16" i="46"/>
  <c r="O14" i="46"/>
  <c r="X22" i="1"/>
  <c r="W28" i="1"/>
  <c r="M15" i="45"/>
  <c r="L33" i="45"/>
  <c r="W27" i="1"/>
  <c r="X21" i="1"/>
  <c r="P13" i="45"/>
  <c r="P31" i="45" s="1"/>
  <c r="O31" i="45"/>
  <c r="X20" i="1"/>
  <c r="W26" i="1"/>
  <c r="L30" i="45"/>
  <c r="L16" i="45"/>
  <c r="M12" i="45"/>
  <c r="W23" i="1"/>
  <c r="V29" i="1"/>
  <c r="V81" i="1"/>
  <c r="V84" i="1" s="1"/>
  <c r="W25" i="1"/>
  <c r="X19" i="1"/>
  <c r="P14" i="46" l="1"/>
  <c r="O16" i="46"/>
  <c r="O32" i="46"/>
  <c r="O34" i="46" s="1"/>
  <c r="L34" i="45"/>
  <c r="N15" i="45"/>
  <c r="M33" i="45"/>
  <c r="Y22" i="1"/>
  <c r="Y28" i="1" s="1"/>
  <c r="X28" i="1"/>
  <c r="Y21" i="1"/>
  <c r="Y27" i="1" s="1"/>
  <c r="X27" i="1"/>
  <c r="Y20" i="1"/>
  <c r="Y26" i="1" s="1"/>
  <c r="X26" i="1"/>
  <c r="Y19" i="1"/>
  <c r="Y25" i="1" s="1"/>
  <c r="X25" i="1"/>
  <c r="W81" i="1"/>
  <c r="W84" i="1" s="1"/>
  <c r="X23" i="1"/>
  <c r="W29" i="1"/>
  <c r="M30" i="45"/>
  <c r="M34" i="45" s="1"/>
  <c r="N12" i="45"/>
  <c r="M16" i="45"/>
  <c r="P16" i="46" l="1"/>
  <c r="P32" i="46"/>
  <c r="P34" i="46" s="1"/>
  <c r="N33" i="45"/>
  <c r="O15" i="45"/>
  <c r="O12" i="45"/>
  <c r="N30" i="45"/>
  <c r="N16" i="45"/>
  <c r="Y23" i="1"/>
  <c r="X81" i="1"/>
  <c r="X84" i="1" s="1"/>
  <c r="D79" i="1"/>
  <c r="X29" i="1"/>
  <c r="N34" i="45" l="1"/>
  <c r="O33" i="45"/>
  <c r="P15" i="45"/>
  <c r="P33" i="45" s="1"/>
  <c r="Y29" i="1"/>
  <c r="Y81" i="1"/>
  <c r="Y84" i="1" s="1"/>
  <c r="P12" i="45"/>
  <c r="O16" i="45"/>
  <c r="O30" i="45"/>
  <c r="O34" i="45" s="1"/>
  <c r="P30" i="45" l="1"/>
  <c r="P34" i="45" s="1"/>
  <c r="P16" i="45"/>
</calcChain>
</file>

<file path=xl/sharedStrings.xml><?xml version="1.0" encoding="utf-8"?>
<sst xmlns="http://schemas.openxmlformats.org/spreadsheetml/2006/main" count="340" uniqueCount="73">
  <si>
    <t>DO NOT ENTER INFORMATION DIRECTLY ONTO THIS SHEET</t>
  </si>
  <si>
    <t>Use the Sprint Sheets That Follow After Entering Team Member Info in the Setup Sheet</t>
  </si>
  <si>
    <t>(Person-Hours)</t>
  </si>
  <si>
    <t>CS 425: Senior Project I</t>
  </si>
  <si>
    <t>CS 499: Senior Project II</t>
  </si>
  <si>
    <t>Sprint 0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</si>
  <si>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</si>
  <si>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</si>
  <si>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</si>
  <si>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</si>
  <si>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</si>
  <si>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</si>
  <si>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</si>
  <si>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</si>
  <si>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</si>
  <si>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</si>
  <si>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Week Start Date:</t>
  </si>
  <si>
    <t>Work Week #:</t>
  </si>
  <si>
    <t>Weekly Product Effort</t>
  </si>
  <si>
    <t>TEAM:</t>
  </si>
  <si>
    <t>Weekly Course-specific Effort</t>
  </si>
  <si>
    <t>Cumulative Weekly Effort</t>
  </si>
  <si>
    <t>Weekly Velocity</t>
  </si>
  <si>
    <t>totals</t>
  </si>
  <si>
    <t>estimate.</t>
  </si>
  <si>
    <t>actual</t>
  </si>
  <si>
    <t>hours/week</t>
  </si>
  <si>
    <t>week</t>
  </si>
  <si>
    <t>hours spent</t>
  </si>
  <si>
    <t>est hours /week</t>
  </si>
  <si>
    <t>estimatedBurn</t>
  </si>
  <si>
    <t>Burn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</si>
  <si>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</si>
  <si>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All Other Information is Automatically Calculated from this Data; Do Not Modify Other Cells or Formula</t>
  </si>
  <si>
    <t>Week 1</t>
  </si>
  <si>
    <t>Week 2</t>
  </si>
  <si>
    <t>Week 3</t>
  </si>
  <si>
    <t>Work Date:</t>
  </si>
  <si>
    <t>Work Day #:</t>
  </si>
  <si>
    <t>Product Daily Effort</t>
  </si>
  <si>
    <t>Product Cumulative Daily Effort</t>
  </si>
  <si>
    <t>Course-specific Daily Effort</t>
  </si>
  <si>
    <t>Course-specific Cumulative Daily Effort</t>
  </si>
  <si>
    <t>Daily Velocity</t>
  </si>
  <si>
    <t>Week:</t>
  </si>
  <si>
    <t>TOTAL</t>
  </si>
  <si>
    <t>Weekly Effort</t>
  </si>
  <si>
    <t>Estimated Total Sprint Hours</t>
  </si>
  <si>
    <t xml:space="preserve">Actual </t>
  </si>
  <si>
    <t>Days</t>
  </si>
  <si>
    <t>Ideal Per Day</t>
  </si>
  <si>
    <t>Estimated Hours Average</t>
  </si>
  <si>
    <t>Estimated Hours</t>
  </si>
  <si>
    <t>Estimated Hours Per Day</t>
  </si>
  <si>
    <t>Actual Hours</t>
  </si>
  <si>
    <t>Actual Hours Spent per day</t>
  </si>
  <si>
    <t>MODIFY DATA INSIDE OF BLUE BOXES</t>
  </si>
  <si>
    <t>Sprint 0 Start Date:</t>
  </si>
  <si>
    <t>Sprint 5 Start Date:</t>
  </si>
  <si>
    <t>Last</t>
  </si>
  <si>
    <t>Initial</t>
  </si>
  <si>
    <t>Team Member 1:</t>
  </si>
  <si>
    <t>Eck</t>
  </si>
  <si>
    <t>ME</t>
  </si>
  <si>
    <t>Team Member 2:</t>
  </si>
  <si>
    <t>Schroeder</t>
  </si>
  <si>
    <t>RS</t>
  </si>
  <si>
    <t>Team Member 3:</t>
  </si>
  <si>
    <t>Martz</t>
  </si>
  <si>
    <t>NM</t>
  </si>
  <si>
    <t>Team Member 4:</t>
  </si>
  <si>
    <t>Glosecki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</si>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</sst>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5-48E7-A9A6-F07CB30DB8F5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17.25</c:v>
                </c:pt>
                <c:pt idx="1">
                  <c:v>20</c:v>
                </c:pt>
                <c:pt idx="2">
                  <c:v>20.5</c:v>
                </c:pt>
                <c:pt idx="3">
                  <c:v>25</c:v>
                </c:pt>
                <c:pt idx="4">
                  <c:v>9.25</c:v>
                </c:pt>
                <c:pt idx="5">
                  <c:v>26</c:v>
                </c:pt>
                <c:pt idx="6">
                  <c:v>34.5</c:v>
                </c:pt>
                <c:pt idx="7">
                  <c:v>35.75</c:v>
                </c:pt>
                <c:pt idx="8">
                  <c:v>42</c:v>
                </c:pt>
                <c:pt idx="9">
                  <c:v>19</c:v>
                </c:pt>
                <c:pt idx="10">
                  <c:v>16</c:v>
                </c:pt>
                <c:pt idx="11">
                  <c:v>26</c:v>
                </c:pt>
                <c:pt idx="12">
                  <c:v>37</c:v>
                </c:pt>
                <c:pt idx="13">
                  <c:v>14</c:v>
                </c:pt>
                <c:pt idx="14">
                  <c:v>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377552"/>
        <c:axId val="16837811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17.25</c:v>
                </c:pt>
                <c:pt idx="1">
                  <c:v>18.625</c:v>
                </c:pt>
                <c:pt idx="2">
                  <c:v>20.583333333333332</c:v>
                </c:pt>
                <c:pt idx="3">
                  <c:v>21.6875</c:v>
                </c:pt>
                <c:pt idx="4">
                  <c:v>19.2</c:v>
                </c:pt>
                <c:pt idx="5">
                  <c:v>20.333333333333332</c:v>
                </c:pt>
                <c:pt idx="6">
                  <c:v>22.357142857142858</c:v>
                </c:pt>
                <c:pt idx="7">
                  <c:v>24.03125</c:v>
                </c:pt>
                <c:pt idx="8">
                  <c:v>26.027777777777779</c:v>
                </c:pt>
                <c:pt idx="9">
                  <c:v>25.324999999999999</c:v>
                </c:pt>
                <c:pt idx="10">
                  <c:v>24.477272727272727</c:v>
                </c:pt>
                <c:pt idx="11">
                  <c:v>24.604166666666668</c:v>
                </c:pt>
                <c:pt idx="12">
                  <c:v>25.557692307692307</c:v>
                </c:pt>
                <c:pt idx="13">
                  <c:v>24.732142857142858</c:v>
                </c:pt>
                <c:pt idx="14">
                  <c:v>23.616666666666667</c:v>
                </c:pt>
                <c:pt idx="15">
                  <c:v>22.140625</c:v>
                </c:pt>
                <c:pt idx="16">
                  <c:v>20.838235294117649</c:v>
                </c:pt>
                <c:pt idx="17">
                  <c:v>19.680555555555557</c:v>
                </c:pt>
                <c:pt idx="18">
                  <c:v>18.644736842105264</c:v>
                </c:pt>
                <c:pt idx="19">
                  <c:v>17.712499999999999</c:v>
                </c:pt>
                <c:pt idx="20">
                  <c:v>16.86904761904762</c:v>
                </c:pt>
                <c:pt idx="21">
                  <c:v>16.102272727272727</c:v>
                </c:pt>
                <c:pt idx="22">
                  <c:v>15.402173913043478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77552"/>
        <c:axId val="168378112"/>
      </c:lineChart>
      <c:catAx>
        <c:axId val="168377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78112"/>
        <c:crosses val="autoZero"/>
        <c:auto val="0"/>
        <c:lblAlgn val="ctr"/>
        <c:lblOffset val="100"/>
        <c:noMultiLvlLbl val="0"/>
      </c:catAx>
      <c:valAx>
        <c:axId val="16837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7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A2-4836-9A4F-3ECAFA3A92E0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4.75</c:v>
                </c:pt>
                <c:pt idx="1">
                  <c:v>5</c:v>
                </c:pt>
                <c:pt idx="2">
                  <c:v>5.5</c:v>
                </c:pt>
                <c:pt idx="3">
                  <c:v>6.5</c:v>
                </c:pt>
                <c:pt idx="4">
                  <c:v>2</c:v>
                </c:pt>
                <c:pt idx="5">
                  <c:v>6</c:v>
                </c:pt>
                <c:pt idx="6">
                  <c:v>8</c:v>
                </c:pt>
                <c:pt idx="7">
                  <c:v>12.25</c:v>
                </c:pt>
                <c:pt idx="8">
                  <c:v>10.5</c:v>
                </c:pt>
                <c:pt idx="9">
                  <c:v>10.5</c:v>
                </c:pt>
                <c:pt idx="10">
                  <c:v>4</c:v>
                </c:pt>
                <c:pt idx="11">
                  <c:v>6</c:v>
                </c:pt>
                <c:pt idx="12">
                  <c:v>11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383152"/>
        <c:axId val="16838371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4.75</c:v>
                </c:pt>
                <c:pt idx="1">
                  <c:v>4.875</c:v>
                </c:pt>
                <c:pt idx="2">
                  <c:v>5.416666666666667</c:v>
                </c:pt>
                <c:pt idx="3">
                  <c:v>5.6875</c:v>
                </c:pt>
                <c:pt idx="4">
                  <c:v>4.95</c:v>
                </c:pt>
                <c:pt idx="5">
                  <c:v>5.125</c:v>
                </c:pt>
                <c:pt idx="6">
                  <c:v>5.5357142857142856</c:v>
                </c:pt>
                <c:pt idx="7">
                  <c:v>6.375</c:v>
                </c:pt>
                <c:pt idx="8">
                  <c:v>6.833333333333333</c:v>
                </c:pt>
                <c:pt idx="9">
                  <c:v>7.2</c:v>
                </c:pt>
                <c:pt idx="10">
                  <c:v>6.9090909090909092</c:v>
                </c:pt>
                <c:pt idx="11">
                  <c:v>6.833333333333333</c:v>
                </c:pt>
                <c:pt idx="12">
                  <c:v>7.1538461538461542</c:v>
                </c:pt>
                <c:pt idx="13">
                  <c:v>6.6428571428571432</c:v>
                </c:pt>
                <c:pt idx="14">
                  <c:v>6.2</c:v>
                </c:pt>
                <c:pt idx="15">
                  <c:v>5.8125</c:v>
                </c:pt>
                <c:pt idx="16">
                  <c:v>5.4705882352941178</c:v>
                </c:pt>
                <c:pt idx="17">
                  <c:v>5.166666666666667</c:v>
                </c:pt>
                <c:pt idx="18">
                  <c:v>4.8947368421052628</c:v>
                </c:pt>
                <c:pt idx="19">
                  <c:v>4.6500000000000004</c:v>
                </c:pt>
                <c:pt idx="20">
                  <c:v>4.4285714285714288</c:v>
                </c:pt>
                <c:pt idx="21">
                  <c:v>4.2272727272727275</c:v>
                </c:pt>
                <c:pt idx="22">
                  <c:v>4.0434782608695654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83152"/>
        <c:axId val="168383712"/>
      </c:lineChart>
      <c:catAx>
        <c:axId val="168383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83712"/>
        <c:crosses val="autoZero"/>
        <c:auto val="0"/>
        <c:lblAlgn val="ctr"/>
        <c:lblOffset val="100"/>
        <c:noMultiLvlLbl val="0"/>
      </c:catAx>
      <c:valAx>
        <c:axId val="168383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831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1B-4BFF-8A88-B3BFF10F1BB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4.25</c:v>
                </c:pt>
                <c:pt idx="1">
                  <c:v>4.5</c:v>
                </c:pt>
                <c:pt idx="2">
                  <c:v>5</c:v>
                </c:pt>
                <c:pt idx="3">
                  <c:v>6.5</c:v>
                </c:pt>
                <c:pt idx="4">
                  <c:v>2.75</c:v>
                </c:pt>
                <c:pt idx="5">
                  <c:v>6</c:v>
                </c:pt>
                <c:pt idx="6">
                  <c:v>8</c:v>
                </c:pt>
                <c:pt idx="7">
                  <c:v>5.5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10</c:v>
                </c:pt>
                <c:pt idx="13">
                  <c:v>7</c:v>
                </c:pt>
                <c:pt idx="14">
                  <c:v>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103472"/>
        <c:axId val="17010403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4.25</c:v>
                </c:pt>
                <c:pt idx="1">
                  <c:v>4.375</c:v>
                </c:pt>
                <c:pt idx="2">
                  <c:v>4.916666666666667</c:v>
                </c:pt>
                <c:pt idx="3">
                  <c:v>5.3125</c:v>
                </c:pt>
                <c:pt idx="4">
                  <c:v>4.8</c:v>
                </c:pt>
                <c:pt idx="5">
                  <c:v>5</c:v>
                </c:pt>
                <c:pt idx="6">
                  <c:v>5.4285714285714288</c:v>
                </c:pt>
                <c:pt idx="7">
                  <c:v>5.4375</c:v>
                </c:pt>
                <c:pt idx="8">
                  <c:v>6.3888888888888893</c:v>
                </c:pt>
                <c:pt idx="9">
                  <c:v>5.75</c:v>
                </c:pt>
                <c:pt idx="10">
                  <c:v>5.2272727272727275</c:v>
                </c:pt>
                <c:pt idx="11">
                  <c:v>5.291666666666667</c:v>
                </c:pt>
                <c:pt idx="12">
                  <c:v>5.6538461538461542</c:v>
                </c:pt>
                <c:pt idx="13">
                  <c:v>5.75</c:v>
                </c:pt>
                <c:pt idx="14">
                  <c:v>5.9</c:v>
                </c:pt>
                <c:pt idx="15">
                  <c:v>5.53125</c:v>
                </c:pt>
                <c:pt idx="16">
                  <c:v>5.2058823529411766</c:v>
                </c:pt>
                <c:pt idx="17">
                  <c:v>4.916666666666667</c:v>
                </c:pt>
                <c:pt idx="18">
                  <c:v>4.6578947368421053</c:v>
                </c:pt>
                <c:pt idx="19">
                  <c:v>4.4249999999999998</c:v>
                </c:pt>
                <c:pt idx="20">
                  <c:v>4.2142857142857144</c:v>
                </c:pt>
                <c:pt idx="21">
                  <c:v>4.0227272727272725</c:v>
                </c:pt>
                <c:pt idx="22">
                  <c:v>3.847826086956522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03472"/>
        <c:axId val="170104032"/>
      </c:lineChart>
      <c:catAx>
        <c:axId val="17010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4032"/>
        <c:crosses val="autoZero"/>
        <c:auto val="0"/>
        <c:lblAlgn val="ctr"/>
        <c:lblOffset val="100"/>
        <c:noMultiLvlLbl val="0"/>
      </c:catAx>
      <c:valAx>
        <c:axId val="170104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34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54D-494B-94CE-8F3A886F62E1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5.25</c:v>
                </c:pt>
                <c:pt idx="1">
                  <c:v>5.5</c:v>
                </c:pt>
                <c:pt idx="2">
                  <c:v>5.5</c:v>
                </c:pt>
                <c:pt idx="3">
                  <c:v>7</c:v>
                </c:pt>
                <c:pt idx="4">
                  <c:v>2.5</c:v>
                </c:pt>
                <c:pt idx="5">
                  <c:v>11</c:v>
                </c:pt>
                <c:pt idx="6">
                  <c:v>9.25</c:v>
                </c:pt>
                <c:pt idx="7">
                  <c:v>10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8</c:v>
                </c:pt>
                <c:pt idx="13">
                  <c:v>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889200"/>
        <c:axId val="16988976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5.25</c:v>
                </c:pt>
                <c:pt idx="1">
                  <c:v>5.375</c:v>
                </c:pt>
                <c:pt idx="2">
                  <c:v>5.75</c:v>
                </c:pt>
                <c:pt idx="3">
                  <c:v>6.0625</c:v>
                </c:pt>
                <c:pt idx="4">
                  <c:v>5.35</c:v>
                </c:pt>
                <c:pt idx="5">
                  <c:v>6.291666666666667</c:v>
                </c:pt>
                <c:pt idx="6">
                  <c:v>6.7142857142857144</c:v>
                </c:pt>
                <c:pt idx="7">
                  <c:v>7.125</c:v>
                </c:pt>
                <c:pt idx="8">
                  <c:v>7.2222222222222223</c:v>
                </c:pt>
                <c:pt idx="9">
                  <c:v>6.5</c:v>
                </c:pt>
                <c:pt idx="10">
                  <c:v>5.9090909090909092</c:v>
                </c:pt>
                <c:pt idx="11">
                  <c:v>6.083333333333333</c:v>
                </c:pt>
                <c:pt idx="12">
                  <c:v>6.2307692307692308</c:v>
                </c:pt>
                <c:pt idx="13">
                  <c:v>6.2857142857142856</c:v>
                </c:pt>
                <c:pt idx="14">
                  <c:v>5.8666666666666663</c:v>
                </c:pt>
                <c:pt idx="15">
                  <c:v>5.5</c:v>
                </c:pt>
                <c:pt idx="16">
                  <c:v>5.1764705882352944</c:v>
                </c:pt>
                <c:pt idx="17">
                  <c:v>4.8888888888888893</c:v>
                </c:pt>
                <c:pt idx="18">
                  <c:v>4.6315789473684212</c:v>
                </c:pt>
                <c:pt idx="19">
                  <c:v>4.4000000000000004</c:v>
                </c:pt>
                <c:pt idx="20">
                  <c:v>4.1904761904761907</c:v>
                </c:pt>
                <c:pt idx="21">
                  <c:v>4</c:v>
                </c:pt>
                <c:pt idx="22">
                  <c:v>3.8260869565217392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889200"/>
        <c:axId val="169889760"/>
      </c:lineChart>
      <c:catAx>
        <c:axId val="169889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89760"/>
        <c:crosses val="autoZero"/>
        <c:auto val="0"/>
        <c:lblAlgn val="ctr"/>
        <c:lblOffset val="100"/>
        <c:noMultiLvlLbl val="0"/>
      </c:catAx>
      <c:valAx>
        <c:axId val="169889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892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FC-4FB0-83C9-C893069E7C9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3</c:v>
                </c:pt>
                <c:pt idx="1">
                  <c:v>5</c:v>
                </c:pt>
                <c:pt idx="2">
                  <c:v>4.5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9.25</c:v>
                </c:pt>
                <c:pt idx="7">
                  <c:v>8</c:v>
                </c:pt>
                <c:pt idx="8">
                  <c:v>9.5</c:v>
                </c:pt>
                <c:pt idx="9">
                  <c:v>8.5</c:v>
                </c:pt>
                <c:pt idx="10">
                  <c:v>12</c:v>
                </c:pt>
                <c:pt idx="11">
                  <c:v>6</c:v>
                </c:pt>
                <c:pt idx="12">
                  <c:v>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106832"/>
        <c:axId val="17010627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3</c:v>
                </c:pt>
                <c:pt idx="1">
                  <c:v>4</c:v>
                </c:pt>
                <c:pt idx="2">
                  <c:v>4.5</c:v>
                </c:pt>
                <c:pt idx="3">
                  <c:v>4.625</c:v>
                </c:pt>
                <c:pt idx="4">
                  <c:v>4.0999999999999996</c:v>
                </c:pt>
                <c:pt idx="5">
                  <c:v>3.9166666666666665</c:v>
                </c:pt>
                <c:pt idx="6">
                  <c:v>4.6785714285714288</c:v>
                </c:pt>
                <c:pt idx="7">
                  <c:v>5.09375</c:v>
                </c:pt>
                <c:pt idx="8">
                  <c:v>5.583333333333333</c:v>
                </c:pt>
                <c:pt idx="9">
                  <c:v>5.875</c:v>
                </c:pt>
                <c:pt idx="10">
                  <c:v>6.4318181818181817</c:v>
                </c:pt>
                <c:pt idx="11">
                  <c:v>6.395833333333333</c:v>
                </c:pt>
                <c:pt idx="12">
                  <c:v>6.5192307692307692</c:v>
                </c:pt>
                <c:pt idx="13">
                  <c:v>6.0535714285714288</c:v>
                </c:pt>
                <c:pt idx="14">
                  <c:v>5.65</c:v>
                </c:pt>
                <c:pt idx="15">
                  <c:v>5.296875</c:v>
                </c:pt>
                <c:pt idx="16">
                  <c:v>4.9852941176470589</c:v>
                </c:pt>
                <c:pt idx="17">
                  <c:v>4.708333333333333</c:v>
                </c:pt>
                <c:pt idx="18">
                  <c:v>4.4605263157894735</c:v>
                </c:pt>
                <c:pt idx="19">
                  <c:v>4.2374999999999998</c:v>
                </c:pt>
                <c:pt idx="20">
                  <c:v>4.0357142857142856</c:v>
                </c:pt>
                <c:pt idx="21">
                  <c:v>3.8522727272727271</c:v>
                </c:pt>
                <c:pt idx="22">
                  <c:v>3.6847826086956523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06832"/>
        <c:axId val="170106272"/>
      </c:lineChart>
      <c:catAx>
        <c:axId val="170106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6272"/>
        <c:crosses val="autoZero"/>
        <c:auto val="0"/>
        <c:lblAlgn val="ctr"/>
        <c:lblOffset val="100"/>
        <c:noMultiLvlLbl val="0"/>
      </c:catAx>
      <c:valAx>
        <c:axId val="170106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68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Product!$B$83</c:f>
              <c:strCache>
                <c:ptCount val="1"/>
                <c:pt idx="0">
                  <c:v>estimatedBurn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Product!$C$83:$Y$83</c:f>
              <c:numCache>
                <c:formatCode>General</c:formatCode>
                <c:ptCount val="23"/>
                <c:pt idx="0">
                  <c:v>554.78260869565213</c:v>
                </c:pt>
                <c:pt idx="1">
                  <c:v>529.56521739130437</c:v>
                </c:pt>
                <c:pt idx="2">
                  <c:v>504.3478260869565</c:v>
                </c:pt>
                <c:pt idx="3">
                  <c:v>479.13043478260869</c:v>
                </c:pt>
                <c:pt idx="4">
                  <c:v>453.91304347826087</c:v>
                </c:pt>
                <c:pt idx="5">
                  <c:v>428.69565217391306</c:v>
                </c:pt>
                <c:pt idx="6">
                  <c:v>403.47826086956525</c:v>
                </c:pt>
                <c:pt idx="7">
                  <c:v>378.26086956521738</c:v>
                </c:pt>
                <c:pt idx="8">
                  <c:v>353.04347826086962</c:v>
                </c:pt>
                <c:pt idx="9">
                  <c:v>327.82608695652175</c:v>
                </c:pt>
                <c:pt idx="10">
                  <c:v>302.60869565217394</c:v>
                </c:pt>
                <c:pt idx="11">
                  <c:v>277.39130434782612</c:v>
                </c:pt>
                <c:pt idx="12">
                  <c:v>252.17391304347831</c:v>
                </c:pt>
                <c:pt idx="13">
                  <c:v>226.95652173913044</c:v>
                </c:pt>
                <c:pt idx="14">
                  <c:v>201.73913043478262</c:v>
                </c:pt>
                <c:pt idx="15">
                  <c:v>176.52173913043481</c:v>
                </c:pt>
                <c:pt idx="16">
                  <c:v>151.304347826087</c:v>
                </c:pt>
                <c:pt idx="17">
                  <c:v>126.08695652173918</c:v>
                </c:pt>
                <c:pt idx="18">
                  <c:v>100.86956521739131</c:v>
                </c:pt>
                <c:pt idx="19">
                  <c:v>75.652173913043498</c:v>
                </c:pt>
                <c:pt idx="20">
                  <c:v>50.434782608695741</c:v>
                </c:pt>
                <c:pt idx="21">
                  <c:v>25.217391304347871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52-4DC2-8CD6-94BB58FF6125}"/>
            </c:ext>
          </c:extLst>
        </c:ser>
        <c:ser>
          <c:idx val="1"/>
          <c:order val="1"/>
          <c:tx>
            <c:strRef>
              <c:f>Product!$B$84</c:f>
              <c:strCache>
                <c:ptCount val="1"/>
                <c:pt idx="0">
                  <c:v>Burn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Product!$C$84:$O$84</c:f>
              <c:numCache>
                <c:formatCode>0.00</c:formatCode>
                <c:ptCount val="13"/>
                <c:pt idx="0">
                  <c:v>562.75</c:v>
                </c:pt>
                <c:pt idx="1">
                  <c:v>542.75</c:v>
                </c:pt>
                <c:pt idx="2">
                  <c:v>518.25</c:v>
                </c:pt>
                <c:pt idx="3">
                  <c:v>493.25</c:v>
                </c:pt>
                <c:pt idx="4">
                  <c:v>484</c:v>
                </c:pt>
                <c:pt idx="5">
                  <c:v>458</c:v>
                </c:pt>
                <c:pt idx="6">
                  <c:v>423.5</c:v>
                </c:pt>
                <c:pt idx="7">
                  <c:v>387.75</c:v>
                </c:pt>
                <c:pt idx="8">
                  <c:v>345.75</c:v>
                </c:pt>
                <c:pt idx="9">
                  <c:v>326.75</c:v>
                </c:pt>
                <c:pt idx="10">
                  <c:v>310.75</c:v>
                </c:pt>
                <c:pt idx="11">
                  <c:v>284.75</c:v>
                </c:pt>
                <c:pt idx="12">
                  <c:v>247.75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52-4DC2-8CD6-94BB58FF6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607088"/>
        <c:axId val="169607648"/>
      </c:lineChart>
      <c:catAx>
        <c:axId val="169607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07648"/>
        <c:crosses val="autoZero"/>
        <c:auto val="1"/>
        <c:lblAlgn val="ctr"/>
        <c:lblOffset val="100"/>
        <c:noMultiLvlLbl val="0"/>
      </c:catAx>
      <c:valAx>
        <c:axId val="16960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HoursRemaining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0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FC-4CD2-88D7-AE8B0803A4A1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0.5</c:v>
                </c:pt>
                <c:pt idx="5">
                  <c:v>2.5</c:v>
                </c:pt>
                <c:pt idx="6">
                  <c:v>6.25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2.5</c:v>
                </c:pt>
                <c:pt idx="13">
                  <c:v>1.5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2</c:v>
                </c:pt>
                <c:pt idx="19">
                  <c:v>2.5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610448"/>
        <c:axId val="16961100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2.6666666666666665</c:v>
                </c:pt>
                <c:pt idx="3">
                  <c:v>2</c:v>
                </c:pt>
                <c:pt idx="4">
                  <c:v>1.7000000000000002</c:v>
                </c:pt>
                <c:pt idx="5">
                  <c:v>1.8333333333333335</c:v>
                </c:pt>
                <c:pt idx="6">
                  <c:v>2.464285714285714</c:v>
                </c:pt>
                <c:pt idx="7">
                  <c:v>2.15625</c:v>
                </c:pt>
                <c:pt idx="8">
                  <c:v>2.25</c:v>
                </c:pt>
                <c:pt idx="9">
                  <c:v>2.0249999999999999</c:v>
                </c:pt>
                <c:pt idx="10">
                  <c:v>3.0227272727272725</c:v>
                </c:pt>
                <c:pt idx="11">
                  <c:v>2.7708333333333335</c:v>
                </c:pt>
                <c:pt idx="12">
                  <c:v>2.75</c:v>
                </c:pt>
                <c:pt idx="13">
                  <c:v>2.6607142857142856</c:v>
                </c:pt>
                <c:pt idx="14">
                  <c:v>3.35</c:v>
                </c:pt>
                <c:pt idx="15">
                  <c:v>3.140625</c:v>
                </c:pt>
                <c:pt idx="16">
                  <c:v>2.9558823529411762</c:v>
                </c:pt>
                <c:pt idx="17">
                  <c:v>3.0694444444444446</c:v>
                </c:pt>
                <c:pt idx="18">
                  <c:v>3.013157894736842</c:v>
                </c:pt>
                <c:pt idx="19">
                  <c:v>2.9874999999999998</c:v>
                </c:pt>
                <c:pt idx="20">
                  <c:v>2.9404761904761902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610448"/>
        <c:axId val="169611008"/>
      </c:lineChart>
      <c:catAx>
        <c:axId val="16961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11008"/>
        <c:crosses val="autoZero"/>
        <c:auto val="1"/>
        <c:lblAlgn val="ctr"/>
        <c:lblOffset val="100"/>
        <c:noMultiLvlLbl val="1"/>
      </c:catAx>
      <c:valAx>
        <c:axId val="16961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1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9A-4956-A322-5F2412B8C56C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0.5</c:v>
                </c:pt>
                <c:pt idx="19">
                  <c:v>1.5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391088"/>
        <c:axId val="17039164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0.41666666666666669</c:v>
                </c:pt>
                <c:pt idx="6">
                  <c:v>0.6785714285714286</c:v>
                </c:pt>
                <c:pt idx="7">
                  <c:v>0.59375</c:v>
                </c:pt>
                <c:pt idx="8">
                  <c:v>0.61111111111111116</c:v>
                </c:pt>
                <c:pt idx="9">
                  <c:v>0.55000000000000004</c:v>
                </c:pt>
                <c:pt idx="10">
                  <c:v>0.79545454545454541</c:v>
                </c:pt>
                <c:pt idx="11">
                  <c:v>0.72916666666666663</c:v>
                </c:pt>
                <c:pt idx="12">
                  <c:v>0.75</c:v>
                </c:pt>
                <c:pt idx="13">
                  <c:v>0.6964285714285714</c:v>
                </c:pt>
                <c:pt idx="14">
                  <c:v>0.8666666666666667</c:v>
                </c:pt>
                <c:pt idx="15">
                  <c:v>0.8125</c:v>
                </c:pt>
                <c:pt idx="16">
                  <c:v>0.76470588235294112</c:v>
                </c:pt>
                <c:pt idx="17">
                  <c:v>0.79166666666666663</c:v>
                </c:pt>
                <c:pt idx="18">
                  <c:v>0.77631578947368418</c:v>
                </c:pt>
                <c:pt idx="19">
                  <c:v>0.8125</c:v>
                </c:pt>
                <c:pt idx="20">
                  <c:v>0.77380952380952384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91088"/>
        <c:axId val="170391648"/>
      </c:lineChart>
      <c:catAx>
        <c:axId val="17039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91648"/>
        <c:crosses val="autoZero"/>
        <c:auto val="1"/>
        <c:lblAlgn val="ctr"/>
        <c:lblOffset val="100"/>
        <c:noMultiLvlLbl val="1"/>
      </c:catAx>
      <c:valAx>
        <c:axId val="170391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91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F4-4964-B459-7CF9206F3588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1.75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1.5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396688"/>
        <c:axId val="1704584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0.41666666666666669</c:v>
                </c:pt>
                <c:pt idx="6">
                  <c:v>0.6071428571428571</c:v>
                </c:pt>
                <c:pt idx="7">
                  <c:v>0.53125</c:v>
                </c:pt>
                <c:pt idx="8">
                  <c:v>0.55555555555555558</c:v>
                </c:pt>
                <c:pt idx="9">
                  <c:v>0.5</c:v>
                </c:pt>
                <c:pt idx="10">
                  <c:v>0.75</c:v>
                </c:pt>
                <c:pt idx="11">
                  <c:v>0.6875</c:v>
                </c:pt>
                <c:pt idx="12">
                  <c:v>0.67307692307692313</c:v>
                </c:pt>
                <c:pt idx="13">
                  <c:v>0.625</c:v>
                </c:pt>
                <c:pt idx="14">
                  <c:v>0.8</c:v>
                </c:pt>
                <c:pt idx="15">
                  <c:v>0.75</c:v>
                </c:pt>
                <c:pt idx="16">
                  <c:v>0.70588235294117652</c:v>
                </c:pt>
                <c:pt idx="17">
                  <c:v>0.73611111111111116</c:v>
                </c:pt>
                <c:pt idx="18">
                  <c:v>0.77631578947368418</c:v>
                </c:pt>
                <c:pt idx="19">
                  <c:v>0.73750000000000004</c:v>
                </c:pt>
                <c:pt idx="20">
                  <c:v>0.70238095238095233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96688"/>
        <c:axId val="170458496"/>
      </c:lineChart>
      <c:catAx>
        <c:axId val="170396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58496"/>
        <c:crosses val="autoZero"/>
        <c:auto val="1"/>
        <c:lblAlgn val="ctr"/>
        <c:lblOffset val="100"/>
        <c:noMultiLvlLbl val="1"/>
      </c:catAx>
      <c:valAx>
        <c:axId val="170458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96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C3-43B2-BE59-6DA78CB7D94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463536"/>
        <c:axId val="1704640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0.75</c:v>
                </c:pt>
                <c:pt idx="7">
                  <c:v>0.65625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0.7678571428571429</c:v>
                </c:pt>
                <c:pt idx="14">
                  <c:v>0.93333333333333335</c:v>
                </c:pt>
                <c:pt idx="15">
                  <c:v>0.875</c:v>
                </c:pt>
                <c:pt idx="16">
                  <c:v>0.82352941176470584</c:v>
                </c:pt>
                <c:pt idx="17">
                  <c:v>0.84722222222222221</c:v>
                </c:pt>
                <c:pt idx="18">
                  <c:v>0.80263157894736847</c:v>
                </c:pt>
                <c:pt idx="19">
                  <c:v>0.76249999999999996</c:v>
                </c:pt>
                <c:pt idx="20">
                  <c:v>0.8214285714285714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63536"/>
        <c:axId val="170464096"/>
      </c:lineChart>
      <c:catAx>
        <c:axId val="170463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64096"/>
        <c:crosses val="autoZero"/>
        <c:auto val="1"/>
        <c:lblAlgn val="ctr"/>
        <c:lblOffset val="100"/>
        <c:noMultiLvlLbl val="1"/>
      </c:catAx>
      <c:valAx>
        <c:axId val="170464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63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D5-4875-975B-E7014AE98AD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568384"/>
        <c:axId val="17056894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0.41666666666666669</c:v>
                </c:pt>
                <c:pt idx="9">
                  <c:v>0.375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0.61538461538461542</c:v>
                </c:pt>
                <c:pt idx="13">
                  <c:v>0.5714285714285714</c:v>
                </c:pt>
                <c:pt idx="14">
                  <c:v>0.75</c:v>
                </c:pt>
                <c:pt idx="15">
                  <c:v>0.703125</c:v>
                </c:pt>
                <c:pt idx="16">
                  <c:v>0.66176470588235292</c:v>
                </c:pt>
                <c:pt idx="17">
                  <c:v>0.69444444444444442</c:v>
                </c:pt>
                <c:pt idx="18">
                  <c:v>0.65789473684210531</c:v>
                </c:pt>
                <c:pt idx="19">
                  <c:v>0.67500000000000004</c:v>
                </c:pt>
                <c:pt idx="20">
                  <c:v>0.6428571428571429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68384"/>
        <c:axId val="170568944"/>
      </c:lineChart>
      <c:catAx>
        <c:axId val="170568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68944"/>
        <c:crosses val="autoZero"/>
        <c:auto val="1"/>
        <c:lblAlgn val="ctr"/>
        <c:lblOffset val="100"/>
        <c:noMultiLvlLbl val="1"/>
      </c:catAx>
      <c:valAx>
        <c:axId val="170568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683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0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0'!$C$85:$X$85</c:f>
              <c:numCache>
                <c:formatCode>General</c:formatCode>
                <c:ptCount val="22"/>
                <c:pt idx="0">
                  <c:v>50</c:v>
                </c:pt>
                <c:pt idx="1">
                  <c:v>47.61904761904762</c:v>
                </c:pt>
                <c:pt idx="2">
                  <c:v>45.238095238095241</c:v>
                </c:pt>
                <c:pt idx="3">
                  <c:v>42.857142857142861</c:v>
                </c:pt>
                <c:pt idx="4">
                  <c:v>40.476190476190482</c:v>
                </c:pt>
                <c:pt idx="5">
                  <c:v>38.095238095238102</c:v>
                </c:pt>
                <c:pt idx="6">
                  <c:v>35.714285714285722</c:v>
                </c:pt>
                <c:pt idx="7">
                  <c:v>33.333333333333343</c:v>
                </c:pt>
                <c:pt idx="8">
                  <c:v>30.952380952380963</c:v>
                </c:pt>
                <c:pt idx="9">
                  <c:v>28.571428571428584</c:v>
                </c:pt>
                <c:pt idx="10">
                  <c:v>26.190476190476204</c:v>
                </c:pt>
                <c:pt idx="11">
                  <c:v>23.809523809523824</c:v>
                </c:pt>
                <c:pt idx="12">
                  <c:v>21.428571428571445</c:v>
                </c:pt>
                <c:pt idx="13">
                  <c:v>19.047619047619065</c:v>
                </c:pt>
                <c:pt idx="14">
                  <c:v>16.666666666666686</c:v>
                </c:pt>
                <c:pt idx="15">
                  <c:v>14.285714285714304</c:v>
                </c:pt>
                <c:pt idx="16">
                  <c:v>11.904761904761923</c:v>
                </c:pt>
                <c:pt idx="17">
                  <c:v>9.5238095238095415</c:v>
                </c:pt>
                <c:pt idx="18">
                  <c:v>7.1428571428571601</c:v>
                </c:pt>
                <c:pt idx="19">
                  <c:v>4.7619047619047787</c:v>
                </c:pt>
                <c:pt idx="20">
                  <c:v>2.3809523809523978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84-4DB1-99C4-F450AA9792D1}"/>
            </c:ext>
          </c:extLst>
        </c:ser>
        <c:ser>
          <c:idx val="1"/>
          <c:order val="1"/>
          <c:tx>
            <c:v>Actual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0'!$C$87:$X$87</c:f>
              <c:numCache>
                <c:formatCode>0.00</c:formatCode>
                <c:ptCount val="22"/>
                <c:pt idx="0">
                  <c:v>61.75</c:v>
                </c:pt>
                <c:pt idx="1">
                  <c:v>61.75</c:v>
                </c:pt>
                <c:pt idx="2">
                  <c:v>57.75</c:v>
                </c:pt>
                <c:pt idx="3">
                  <c:v>53.75</c:v>
                </c:pt>
                <c:pt idx="4">
                  <c:v>53.75</c:v>
                </c:pt>
                <c:pt idx="5">
                  <c:v>53.25</c:v>
                </c:pt>
                <c:pt idx="6">
                  <c:v>50.75</c:v>
                </c:pt>
                <c:pt idx="7">
                  <c:v>44.5</c:v>
                </c:pt>
                <c:pt idx="8">
                  <c:v>44.5</c:v>
                </c:pt>
                <c:pt idx="9">
                  <c:v>41.5</c:v>
                </c:pt>
                <c:pt idx="10">
                  <c:v>41.5</c:v>
                </c:pt>
                <c:pt idx="11">
                  <c:v>28.5</c:v>
                </c:pt>
                <c:pt idx="12">
                  <c:v>28.5</c:v>
                </c:pt>
                <c:pt idx="13">
                  <c:v>26</c:v>
                </c:pt>
                <c:pt idx="14">
                  <c:v>24.5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6.5</c:v>
                </c:pt>
                <c:pt idx="19">
                  <c:v>4.5</c:v>
                </c:pt>
                <c:pt idx="20">
                  <c:v>2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84-4DB1-99C4-F450AA979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867936"/>
        <c:axId val="170868496"/>
      </c:lineChart>
      <c:catAx>
        <c:axId val="170867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68496"/>
        <c:crosses val="autoZero"/>
        <c:auto val="1"/>
        <c:lblAlgn val="ctr"/>
        <c:lblOffset val="100"/>
        <c:noMultiLvlLbl val="0"/>
      </c:catAx>
      <c:valAx>
        <c:axId val="17086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67936"/>
        <c:crossesAt val="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2-48C5-AD24-AF35596BC133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13</c:v>
                </c:pt>
                <c:pt idx="1">
                  <c:v>2</c:v>
                </c:pt>
                <c:pt idx="2">
                  <c:v>0</c:v>
                </c:pt>
                <c:pt idx="3">
                  <c:v>6.5</c:v>
                </c:pt>
                <c:pt idx="4">
                  <c:v>2</c:v>
                </c:pt>
                <c:pt idx="5">
                  <c:v>0</c:v>
                </c:pt>
                <c:pt idx="6">
                  <c:v>1.5</c:v>
                </c:pt>
                <c:pt idx="7">
                  <c:v>0.5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869616"/>
        <c:axId val="170870176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13</c:v>
                </c:pt>
                <c:pt idx="1">
                  <c:v>7.5</c:v>
                </c:pt>
                <c:pt idx="2">
                  <c:v>5</c:v>
                </c:pt>
                <c:pt idx="3">
                  <c:v>5.375</c:v>
                </c:pt>
                <c:pt idx="4">
                  <c:v>4.6999999999999993</c:v>
                </c:pt>
                <c:pt idx="5">
                  <c:v>3.9166666666666665</c:v>
                </c:pt>
                <c:pt idx="6">
                  <c:v>3.5714285714285716</c:v>
                </c:pt>
                <c:pt idx="7">
                  <c:v>3.1875</c:v>
                </c:pt>
                <c:pt idx="8">
                  <c:v>3.8055555555555554</c:v>
                </c:pt>
                <c:pt idx="9">
                  <c:v>3.4249999999999998</c:v>
                </c:pt>
                <c:pt idx="10">
                  <c:v>3.1136363636363638</c:v>
                </c:pt>
                <c:pt idx="11">
                  <c:v>2.854166666666667</c:v>
                </c:pt>
                <c:pt idx="12">
                  <c:v>2.6346153846153846</c:v>
                </c:pt>
                <c:pt idx="13">
                  <c:v>2.4464285714285712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869616"/>
        <c:axId val="170870176"/>
      </c:lineChart>
      <c:catAx>
        <c:axId val="170869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70176"/>
        <c:crosses val="autoZero"/>
        <c:auto val="0"/>
        <c:lblAlgn val="ctr"/>
        <c:lblOffset val="100"/>
        <c:noMultiLvlLbl val="1"/>
      </c:catAx>
      <c:valAx>
        <c:axId val="17087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6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6A-4E77-8137-D280DA56F17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994640"/>
        <c:axId val="17099576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0.9285714285714286</c:v>
                </c:pt>
                <c:pt idx="7">
                  <c:v>0.8125</c:v>
                </c:pt>
                <c:pt idx="8">
                  <c:v>0.94444444444444442</c:v>
                </c:pt>
                <c:pt idx="9">
                  <c:v>0.85</c:v>
                </c:pt>
                <c:pt idx="10">
                  <c:v>0.77272727272727271</c:v>
                </c:pt>
                <c:pt idx="11">
                  <c:v>0.70833333333333337</c:v>
                </c:pt>
                <c:pt idx="12">
                  <c:v>0.65384615384615385</c:v>
                </c:pt>
                <c:pt idx="13">
                  <c:v>0.6071428571428571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94640"/>
        <c:axId val="170995760"/>
      </c:lineChart>
      <c:catAx>
        <c:axId val="170994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95760"/>
        <c:crosses val="autoZero"/>
        <c:auto val="1"/>
        <c:lblAlgn val="ctr"/>
        <c:lblOffset val="100"/>
        <c:noMultiLvlLbl val="1"/>
      </c:catAx>
      <c:valAx>
        <c:axId val="1709957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94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5F-4032-8362-09E3D9FE4BE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647040"/>
        <c:axId val="1709991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1.3</c:v>
                </c:pt>
                <c:pt idx="5">
                  <c:v>1.0833333333333333</c:v>
                </c:pt>
                <c:pt idx="6">
                  <c:v>0.9285714285714286</c:v>
                </c:pt>
                <c:pt idx="7">
                  <c:v>0.8125</c:v>
                </c:pt>
                <c:pt idx="8">
                  <c:v>1.0277777777777777</c:v>
                </c:pt>
                <c:pt idx="9">
                  <c:v>0.92500000000000004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0.6607142857142857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647040"/>
        <c:axId val="170999120"/>
      </c:lineChart>
      <c:catAx>
        <c:axId val="171647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99120"/>
        <c:crosses val="autoZero"/>
        <c:auto val="1"/>
        <c:lblAlgn val="ctr"/>
        <c:lblOffset val="100"/>
        <c:noMultiLvlLbl val="1"/>
      </c:catAx>
      <c:valAx>
        <c:axId val="170999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470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45-43EF-AD71-C92086FB5850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2.75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669760"/>
        <c:axId val="1716703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1.625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0.9375</c:v>
                </c:pt>
                <c:pt idx="8">
                  <c:v>1.0555555555555556</c:v>
                </c:pt>
                <c:pt idx="9">
                  <c:v>0.95</c:v>
                </c:pt>
                <c:pt idx="10">
                  <c:v>0.86363636363636365</c:v>
                </c:pt>
                <c:pt idx="11">
                  <c:v>0.79166666666666663</c:v>
                </c:pt>
                <c:pt idx="12">
                  <c:v>0.73076923076923073</c:v>
                </c:pt>
                <c:pt idx="13">
                  <c:v>0.6785714285714286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669760"/>
        <c:axId val="171670320"/>
      </c:lineChart>
      <c:catAx>
        <c:axId val="171669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70320"/>
        <c:crosses val="autoZero"/>
        <c:auto val="1"/>
        <c:lblAlgn val="ctr"/>
        <c:lblOffset val="100"/>
        <c:noMultiLvlLbl val="1"/>
      </c:catAx>
      <c:valAx>
        <c:axId val="1716703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697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DB-41A6-80D3-6EB86FAEDD4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987168"/>
        <c:axId val="17198772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0.625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87168"/>
        <c:axId val="171987728"/>
      </c:lineChart>
      <c:catAx>
        <c:axId val="171987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87728"/>
        <c:crosses val="autoZero"/>
        <c:auto val="1"/>
        <c:lblAlgn val="ctr"/>
        <c:lblOffset val="100"/>
        <c:noMultiLvlLbl val="1"/>
      </c:catAx>
      <c:valAx>
        <c:axId val="1719877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871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1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'Sprint 1'!$B$86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1'!$C$86:$Q$86</c:f>
              <c:numCache>
                <c:formatCode>General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E96-42BD-8080-6D0391609E9D}"/>
            </c:ext>
          </c:extLst>
        </c:ser>
        <c:ser>
          <c:idx val="5"/>
          <c:order val="1"/>
          <c:tx>
            <c:strRef>
              <c:f>'Sprint 1'!$B$88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1'!$C$88:$Q$88</c:f>
              <c:numCache>
                <c:formatCode>0.00</c:formatCode>
                <c:ptCount val="15"/>
                <c:pt idx="0">
                  <c:v>34.25</c:v>
                </c:pt>
                <c:pt idx="1">
                  <c:v>21.25</c:v>
                </c:pt>
                <c:pt idx="2">
                  <c:v>19.25</c:v>
                </c:pt>
                <c:pt idx="3">
                  <c:v>19.25</c:v>
                </c:pt>
                <c:pt idx="4">
                  <c:v>12.75</c:v>
                </c:pt>
                <c:pt idx="5">
                  <c:v>10.75</c:v>
                </c:pt>
                <c:pt idx="6">
                  <c:v>10.75</c:v>
                </c:pt>
                <c:pt idx="7">
                  <c:v>9.25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E96-42BD-8080-6D0391609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92768"/>
        <c:axId val="171993328"/>
      </c:lineChart>
      <c:catAx>
        <c:axId val="17199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3328"/>
        <c:crosses val="autoZero"/>
        <c:auto val="1"/>
        <c:lblAlgn val="ctr"/>
        <c:lblOffset val="100"/>
        <c:noMultiLvlLbl val="0"/>
      </c:catAx>
      <c:valAx>
        <c:axId val="17199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65D-4A33-B510-E59E277EFD8C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3.5</c:v>
                </c:pt>
                <c:pt idx="8">
                  <c:v>12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997248"/>
        <c:axId val="171997808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3.75</c:v>
                </c:pt>
                <c:pt idx="4">
                  <c:v>3.6</c:v>
                </c:pt>
                <c:pt idx="5">
                  <c:v>3.833333333333333</c:v>
                </c:pt>
                <c:pt idx="6">
                  <c:v>3.714285714285714</c:v>
                </c:pt>
                <c:pt idx="7">
                  <c:v>3.6875</c:v>
                </c:pt>
                <c:pt idx="8">
                  <c:v>4.6111111111111116</c:v>
                </c:pt>
                <c:pt idx="9">
                  <c:v>4.1499999999999995</c:v>
                </c:pt>
                <c:pt idx="10">
                  <c:v>4.9545454545454541</c:v>
                </c:pt>
                <c:pt idx="11">
                  <c:v>4.541666666666667</c:v>
                </c:pt>
                <c:pt idx="12">
                  <c:v>4.4230769230769234</c:v>
                </c:pt>
                <c:pt idx="13">
                  <c:v>4.3214285714285712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97248"/>
        <c:axId val="171997808"/>
      </c:lineChart>
      <c:catAx>
        <c:axId val="171997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7808"/>
        <c:crosses val="autoZero"/>
        <c:auto val="0"/>
        <c:lblAlgn val="ctr"/>
        <c:lblOffset val="100"/>
        <c:noMultiLvlLbl val="1"/>
      </c:catAx>
      <c:valAx>
        <c:axId val="17199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9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34-4D0B-95FE-15E008EA1029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552560"/>
        <c:axId val="17255312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52560"/>
        <c:axId val="172553120"/>
      </c:lineChart>
      <c:catAx>
        <c:axId val="172552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53120"/>
        <c:crosses val="autoZero"/>
        <c:auto val="1"/>
        <c:lblAlgn val="ctr"/>
        <c:lblOffset val="100"/>
        <c:noMultiLvlLbl val="1"/>
      </c:catAx>
      <c:valAx>
        <c:axId val="172553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52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1B-4BAC-9C3E-D76D4A5B579B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558160"/>
        <c:axId val="17255872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58160"/>
        <c:axId val="172558720"/>
      </c:lineChart>
      <c:catAx>
        <c:axId val="172558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58720"/>
        <c:crosses val="autoZero"/>
        <c:auto val="1"/>
        <c:lblAlgn val="ctr"/>
        <c:lblOffset val="100"/>
        <c:noMultiLvlLbl val="1"/>
      </c:catAx>
      <c:valAx>
        <c:axId val="1725587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581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55-4463-AF5C-7A562DA150C5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564320"/>
        <c:axId val="17256488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1.2</c:v>
                </c:pt>
                <c:pt idx="5">
                  <c:v>1.3333333333333333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1.5681818181818181</c:v>
                </c:pt>
                <c:pt idx="11">
                  <c:v>1.4375</c:v>
                </c:pt>
                <c:pt idx="12">
                  <c:v>1.3269230769230769</c:v>
                </c:pt>
                <c:pt idx="13">
                  <c:v>1.4464285714285714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64320"/>
        <c:axId val="172564880"/>
      </c:lineChart>
      <c:catAx>
        <c:axId val="17256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64880"/>
        <c:crosses val="autoZero"/>
        <c:auto val="1"/>
        <c:lblAlgn val="ctr"/>
        <c:lblOffset val="100"/>
        <c:noMultiLvlLbl val="1"/>
      </c:catAx>
      <c:valAx>
        <c:axId val="172564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643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3A-4B36-A3AD-E72951779BDA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79248"/>
        <c:axId val="17287980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0.94230769230769229</c:v>
                </c:pt>
                <c:pt idx="13">
                  <c:v>0.875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79248"/>
        <c:axId val="172879808"/>
      </c:lineChart>
      <c:catAx>
        <c:axId val="17287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79808"/>
        <c:crosses val="autoZero"/>
        <c:auto val="1"/>
        <c:lblAlgn val="ctr"/>
        <c:lblOffset val="100"/>
        <c:noMultiLvlLbl val="1"/>
      </c:catAx>
      <c:valAx>
        <c:axId val="172879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79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2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'Sprint 2'!$B$89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2'!$C$88:$Q$88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2'!$C$89:$Q$89</c:f>
              <c:numCache>
                <c:formatCode>General</c:formatCode>
                <c:ptCount val="15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  <c:pt idx="9">
                  <c:v>25</c:v>
                </c:pt>
                <c:pt idx="10">
                  <c:v>20</c:v>
                </c:pt>
                <c:pt idx="11">
                  <c:v>15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52-43CF-880F-0DDBC18E7B7A}"/>
            </c:ext>
          </c:extLst>
        </c:ser>
        <c:ser>
          <c:idx val="4"/>
          <c:order val="4"/>
          <c:tx>
            <c:strRef>
              <c:f>'Sprint 2'!$B$91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'Sprint 2'!$C$91:$Q$91</c:f>
              <c:numCache>
                <c:formatCode>0.00</c:formatCode>
                <c:ptCount val="15"/>
                <c:pt idx="0">
                  <c:v>60.5</c:v>
                </c:pt>
                <c:pt idx="1">
                  <c:v>60.5</c:v>
                </c:pt>
                <c:pt idx="2">
                  <c:v>48.5</c:v>
                </c:pt>
                <c:pt idx="3">
                  <c:v>48.5</c:v>
                </c:pt>
                <c:pt idx="4">
                  <c:v>45.5</c:v>
                </c:pt>
                <c:pt idx="5">
                  <c:v>42.5</c:v>
                </c:pt>
                <c:pt idx="6">
                  <c:v>37.5</c:v>
                </c:pt>
                <c:pt idx="7">
                  <c:v>34.5</c:v>
                </c:pt>
                <c:pt idx="8">
                  <c:v>31</c:v>
                </c:pt>
                <c:pt idx="9">
                  <c:v>19</c:v>
                </c:pt>
                <c:pt idx="10">
                  <c:v>19</c:v>
                </c:pt>
                <c:pt idx="11">
                  <c:v>6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52-43CF-880F-0DDBC18E7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886528"/>
        <c:axId val="172887088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2'!$B$88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D752-43CF-880F-0DDBC18E7B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2'!$C$90:$Q$90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 formatCode="0.00">
                        <c:v>60.5</c:v>
                      </c:pt>
                      <c:pt idx="1">
                        <c:v>0</c:v>
                      </c:pt>
                      <c:pt idx="2">
                        <c:v>12</c:v>
                      </c:pt>
                      <c:pt idx="3">
                        <c:v>0</c:v>
                      </c:pt>
                      <c:pt idx="4">
                        <c:v>3</c:v>
                      </c:pt>
                      <c:pt idx="5">
                        <c:v>3</c:v>
                      </c:pt>
                      <c:pt idx="6">
                        <c:v>5</c:v>
                      </c:pt>
                      <c:pt idx="7">
                        <c:v>3</c:v>
                      </c:pt>
                      <c:pt idx="8">
                        <c:v>3.5</c:v>
                      </c:pt>
                      <c:pt idx="9">
                        <c:v>12</c:v>
                      </c:pt>
                      <c:pt idx="10">
                        <c:v>0</c:v>
                      </c:pt>
                      <c:pt idx="11">
                        <c:v>13</c:v>
                      </c:pt>
                      <c:pt idx="12">
                        <c:v>0</c:v>
                      </c:pt>
                      <c:pt idx="13">
                        <c:v>3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D752-43CF-880F-0DDBC18E7B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2'!$B$91</c15:sqref>
                        </c15:formulaRef>
                      </c:ext>
                    </c:extLst>
                    <c:strCache>
                      <c:ptCount val="1"/>
                      <c:pt idx="0">
                        <c:v>Actual Hours Spent per day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2'!$C$91:$Q$91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60.5</c:v>
                      </c:pt>
                      <c:pt idx="1">
                        <c:v>60.5</c:v>
                      </c:pt>
                      <c:pt idx="2">
                        <c:v>48.5</c:v>
                      </c:pt>
                      <c:pt idx="3">
                        <c:v>48.5</c:v>
                      </c:pt>
                      <c:pt idx="4">
                        <c:v>45.5</c:v>
                      </c:pt>
                      <c:pt idx="5">
                        <c:v>42.5</c:v>
                      </c:pt>
                      <c:pt idx="6">
                        <c:v>37.5</c:v>
                      </c:pt>
                      <c:pt idx="7">
                        <c:v>34.5</c:v>
                      </c:pt>
                      <c:pt idx="8">
                        <c:v>31</c:v>
                      </c:pt>
                      <c:pt idx="9">
                        <c:v>19</c:v>
                      </c:pt>
                      <c:pt idx="10">
                        <c:v>19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3</c:v>
                      </c:pt>
                      <c:pt idx="14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D752-43CF-880F-0DDBC18E7B7A}"/>
                  </c:ext>
                </c:extLst>
              </c15:ser>
            </c15:filteredLineSeries>
          </c:ext>
        </c:extLst>
      </c:lineChart>
      <c:catAx>
        <c:axId val="17288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87088"/>
        <c:crosses val="autoZero"/>
        <c:auto val="1"/>
        <c:lblAlgn val="ctr"/>
        <c:lblOffset val="100"/>
        <c:noMultiLvlLbl val="0"/>
      </c:catAx>
      <c:valAx>
        <c:axId val="17288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86528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accent1"/>
          </a:solidFill>
          <a:prstDash val="sys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841-4BA8-AD1B-6BBD7E51D487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1.5</c:v>
                </c:pt>
                <c:pt idx="1">
                  <c:v>9.25</c:v>
                </c:pt>
                <c:pt idx="2">
                  <c:v>2.5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7.5</c:v>
                </c:pt>
                <c:pt idx="7">
                  <c:v>2.5</c:v>
                </c:pt>
                <c:pt idx="8">
                  <c:v>9.5</c:v>
                </c:pt>
                <c:pt idx="9">
                  <c:v>8.5</c:v>
                </c:pt>
                <c:pt idx="10">
                  <c:v>6.5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91008"/>
        <c:axId val="172891568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1.5</c:v>
                </c:pt>
                <c:pt idx="1">
                  <c:v>5.375</c:v>
                </c:pt>
                <c:pt idx="2">
                  <c:v>4.416666666666667</c:v>
                </c:pt>
                <c:pt idx="3">
                  <c:v>4.0625</c:v>
                </c:pt>
                <c:pt idx="4">
                  <c:v>4.25</c:v>
                </c:pt>
                <c:pt idx="5">
                  <c:v>4.7083333333333339</c:v>
                </c:pt>
                <c:pt idx="6">
                  <c:v>5.1071428571428577</c:v>
                </c:pt>
                <c:pt idx="7">
                  <c:v>4.78125</c:v>
                </c:pt>
                <c:pt idx="8">
                  <c:v>5.3055555555555554</c:v>
                </c:pt>
                <c:pt idx="9">
                  <c:v>5.625</c:v>
                </c:pt>
                <c:pt idx="10">
                  <c:v>5.7045454545454541</c:v>
                </c:pt>
                <c:pt idx="11">
                  <c:v>5.7291666666666661</c:v>
                </c:pt>
                <c:pt idx="12">
                  <c:v>5.6730769230769234</c:v>
                </c:pt>
                <c:pt idx="13">
                  <c:v>5.5535714285714288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91008"/>
        <c:axId val="172891568"/>
      </c:lineChart>
      <c:catAx>
        <c:axId val="172891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91568"/>
        <c:crosses val="autoZero"/>
        <c:auto val="0"/>
        <c:lblAlgn val="ctr"/>
        <c:lblOffset val="100"/>
        <c:noMultiLvlLbl val="1"/>
      </c:catAx>
      <c:valAx>
        <c:axId val="17289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9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97-48EF-AD09-00A1C5B077E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3.75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4.5</c:v>
                </c:pt>
                <c:pt idx="7">
                  <c:v>0.5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1.5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646944"/>
        <c:axId val="16864750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1.875</c:v>
                </c:pt>
                <c:pt idx="2">
                  <c:v>1.5833333333333333</c:v>
                </c:pt>
                <c:pt idx="3">
                  <c:v>1.1875</c:v>
                </c:pt>
                <c:pt idx="4">
                  <c:v>1.35</c:v>
                </c:pt>
                <c:pt idx="5">
                  <c:v>1.2916666666666667</c:v>
                </c:pt>
                <c:pt idx="6">
                  <c:v>1.75</c:v>
                </c:pt>
                <c:pt idx="7">
                  <c:v>1.59375</c:v>
                </c:pt>
                <c:pt idx="8">
                  <c:v>1.8611111111111112</c:v>
                </c:pt>
                <c:pt idx="9">
                  <c:v>1.875</c:v>
                </c:pt>
                <c:pt idx="10">
                  <c:v>1.7954545454545454</c:v>
                </c:pt>
                <c:pt idx="11">
                  <c:v>1.7708333333333333</c:v>
                </c:pt>
                <c:pt idx="12">
                  <c:v>1.6346153846153846</c:v>
                </c:pt>
                <c:pt idx="13">
                  <c:v>1.625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46944"/>
        <c:axId val="168647504"/>
      </c:lineChart>
      <c:catAx>
        <c:axId val="16864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47504"/>
        <c:crosses val="autoZero"/>
        <c:auto val="1"/>
        <c:lblAlgn val="ctr"/>
        <c:lblOffset val="100"/>
        <c:noMultiLvlLbl val="1"/>
      </c:catAx>
      <c:valAx>
        <c:axId val="168647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46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93-49A5-AE31-9EEE2504EF22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0.5</c:v>
                </c:pt>
                <c:pt idx="8">
                  <c:v>2.5</c:v>
                </c:pt>
                <c:pt idx="9">
                  <c:v>4</c:v>
                </c:pt>
                <c:pt idx="10">
                  <c:v>4.5</c:v>
                </c:pt>
                <c:pt idx="11">
                  <c:v>0.5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652544"/>
        <c:axId val="16865310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1</c:v>
                </c:pt>
                <c:pt idx="1">
                  <c:v>1.25</c:v>
                </c:pt>
                <c:pt idx="2">
                  <c:v>0.83333333333333337</c:v>
                </c:pt>
                <c:pt idx="3">
                  <c:v>0.625</c:v>
                </c:pt>
                <c:pt idx="4">
                  <c:v>0.9</c:v>
                </c:pt>
                <c:pt idx="5">
                  <c:v>0.91666666666666663</c:v>
                </c:pt>
                <c:pt idx="6">
                  <c:v>0.7857142857142857</c:v>
                </c:pt>
                <c:pt idx="7">
                  <c:v>0.75</c:v>
                </c:pt>
                <c:pt idx="8">
                  <c:v>0.94444444444444442</c:v>
                </c:pt>
                <c:pt idx="9">
                  <c:v>1.25</c:v>
                </c:pt>
                <c:pt idx="10">
                  <c:v>1.5454545454545454</c:v>
                </c:pt>
                <c:pt idx="11">
                  <c:v>1.4583333333333333</c:v>
                </c:pt>
                <c:pt idx="12">
                  <c:v>1.5</c:v>
                </c:pt>
                <c:pt idx="13">
                  <c:v>1.3928571428571428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52544"/>
        <c:axId val="168653104"/>
      </c:lineChart>
      <c:catAx>
        <c:axId val="168652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3104"/>
        <c:crosses val="autoZero"/>
        <c:auto val="1"/>
        <c:lblAlgn val="ctr"/>
        <c:lblOffset val="100"/>
        <c:noMultiLvlLbl val="1"/>
      </c:catAx>
      <c:valAx>
        <c:axId val="168653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25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C9B-4DE6-AA6A-D0FE1138D2A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658704"/>
        <c:axId val="16865926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1.3333333333333333</c:v>
                </c:pt>
                <c:pt idx="3">
                  <c:v>1.75</c:v>
                </c:pt>
                <c:pt idx="4">
                  <c:v>1.4</c:v>
                </c:pt>
                <c:pt idx="5">
                  <c:v>1.5</c:v>
                </c:pt>
                <c:pt idx="6">
                  <c:v>1.4285714285714286</c:v>
                </c:pt>
                <c:pt idx="7">
                  <c:v>1.375</c:v>
                </c:pt>
                <c:pt idx="8">
                  <c:v>1.4444444444444444</c:v>
                </c:pt>
                <c:pt idx="9">
                  <c:v>1.4</c:v>
                </c:pt>
                <c:pt idx="10">
                  <c:v>1.3636363636363635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58704"/>
        <c:axId val="168659264"/>
      </c:lineChart>
      <c:catAx>
        <c:axId val="168658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9264"/>
        <c:crosses val="autoZero"/>
        <c:auto val="1"/>
        <c:lblAlgn val="ctr"/>
        <c:lblOffset val="100"/>
        <c:noMultiLvlLbl val="1"/>
      </c:catAx>
      <c:valAx>
        <c:axId val="1686592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6587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D9-4A57-B843-C6B3BB5E5CDC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783824"/>
        <c:axId val="19778438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0.5</c:v>
                </c:pt>
                <c:pt idx="1">
                  <c:v>0.75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1.0625</c:v>
                </c:pt>
                <c:pt idx="8">
                  <c:v>1.0555555555555556</c:v>
                </c:pt>
                <c:pt idx="9">
                  <c:v>1.1000000000000001</c:v>
                </c:pt>
                <c:pt idx="10">
                  <c:v>1</c:v>
                </c:pt>
                <c:pt idx="11">
                  <c:v>1</c:v>
                </c:pt>
                <c:pt idx="12">
                  <c:v>1.1538461538461537</c:v>
                </c:pt>
                <c:pt idx="13">
                  <c:v>1.25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83824"/>
        <c:axId val="197784384"/>
      </c:lineChart>
      <c:catAx>
        <c:axId val="197783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84384"/>
        <c:crosses val="autoZero"/>
        <c:auto val="1"/>
        <c:lblAlgn val="ctr"/>
        <c:lblOffset val="100"/>
        <c:noMultiLvlLbl val="1"/>
      </c:catAx>
      <c:valAx>
        <c:axId val="1977843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838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3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'Sprint 3'!$B$89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3'!$C$89:$Q$89</c:f>
              <c:numCache>
                <c:formatCode>General</c:formatCode>
                <c:ptCount val="15"/>
                <c:pt idx="0">
                  <c:v>88</c:v>
                </c:pt>
                <c:pt idx="1">
                  <c:v>81.714285714285708</c:v>
                </c:pt>
                <c:pt idx="2">
                  <c:v>75.428571428571416</c:v>
                </c:pt>
                <c:pt idx="3">
                  <c:v>69.142857142857125</c:v>
                </c:pt>
                <c:pt idx="4">
                  <c:v>62.85714285714284</c:v>
                </c:pt>
                <c:pt idx="5">
                  <c:v>56.571428571428555</c:v>
                </c:pt>
                <c:pt idx="6">
                  <c:v>50.28571428571427</c:v>
                </c:pt>
                <c:pt idx="7">
                  <c:v>43.999999999999986</c:v>
                </c:pt>
                <c:pt idx="8">
                  <c:v>37.714285714285701</c:v>
                </c:pt>
                <c:pt idx="9">
                  <c:v>31.428571428571416</c:v>
                </c:pt>
                <c:pt idx="10">
                  <c:v>25.142857142857132</c:v>
                </c:pt>
                <c:pt idx="11">
                  <c:v>18.857142857142847</c:v>
                </c:pt>
                <c:pt idx="12">
                  <c:v>12.571428571428562</c:v>
                </c:pt>
                <c:pt idx="13">
                  <c:v>6.2857142857142767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C3-42DA-8DF9-AFC59C56BB5F}"/>
            </c:ext>
          </c:extLst>
        </c:ser>
        <c:ser>
          <c:idx val="5"/>
          <c:order val="5"/>
          <c:tx>
            <c:strRef>
              <c:f>'Sprint 3'!$B$91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3'!$C$91:$Q$91</c:f>
              <c:numCache>
                <c:formatCode>0.00</c:formatCode>
                <c:ptCount val="15"/>
                <c:pt idx="0">
                  <c:v>77.75</c:v>
                </c:pt>
                <c:pt idx="1">
                  <c:v>76.25</c:v>
                </c:pt>
                <c:pt idx="2">
                  <c:v>67</c:v>
                </c:pt>
                <c:pt idx="3">
                  <c:v>64.5</c:v>
                </c:pt>
                <c:pt idx="4">
                  <c:v>61.5</c:v>
                </c:pt>
                <c:pt idx="5">
                  <c:v>56.5</c:v>
                </c:pt>
                <c:pt idx="6">
                  <c:v>49.5</c:v>
                </c:pt>
                <c:pt idx="7">
                  <c:v>42</c:v>
                </c:pt>
                <c:pt idx="8">
                  <c:v>39.5</c:v>
                </c:pt>
                <c:pt idx="9">
                  <c:v>30</c:v>
                </c:pt>
                <c:pt idx="10">
                  <c:v>21.5</c:v>
                </c:pt>
                <c:pt idx="11">
                  <c:v>15</c:v>
                </c:pt>
                <c:pt idx="12">
                  <c:v>9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C3-42DA-8DF9-AFC59C56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791664"/>
        <c:axId val="197792224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3'!$B$86</c15:sqref>
                        </c15:formulaRef>
                      </c:ext>
                    </c:extLst>
                    <c:strCache>
                      <c:ptCount val="1"/>
                      <c:pt idx="0">
                        <c:v>Estimated Hours Average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3'!$C$86:$Q$86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6.2857142857142856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6EC3-42DA-8DF9-AFC59C56BB5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3'!$B$87</c15:sqref>
                        </c15:formulaRef>
                      </c:ext>
                    </c:extLst>
                    <c:strCache>
                      <c:ptCount val="1"/>
                      <c:pt idx="0">
                        <c:v>Estimated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3'!$C$87:$Q$87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88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6EC3-42DA-8DF9-AFC59C56BB5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6EC3-42DA-8DF9-AFC59C56BB5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77.75</c:v>
                      </c:pt>
                      <c:pt idx="1">
                        <c:v>1.5</c:v>
                      </c:pt>
                      <c:pt idx="2">
                        <c:v>9.25</c:v>
                      </c:pt>
                      <c:pt idx="3">
                        <c:v>2.5</c:v>
                      </c:pt>
                      <c:pt idx="4">
                        <c:v>3</c:v>
                      </c:pt>
                      <c:pt idx="5">
                        <c:v>5</c:v>
                      </c:pt>
                      <c:pt idx="6">
                        <c:v>7</c:v>
                      </c:pt>
                      <c:pt idx="7">
                        <c:v>7.5</c:v>
                      </c:pt>
                      <c:pt idx="8">
                        <c:v>2.5</c:v>
                      </c:pt>
                      <c:pt idx="9">
                        <c:v>9.5</c:v>
                      </c:pt>
                      <c:pt idx="10">
                        <c:v>8.5</c:v>
                      </c:pt>
                      <c:pt idx="11">
                        <c:v>6.5</c:v>
                      </c:pt>
                      <c:pt idx="12">
                        <c:v>6</c:v>
                      </c:pt>
                      <c:pt idx="13">
                        <c:v>5</c:v>
                      </c:pt>
                      <c:pt idx="14">
                        <c:v>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5-6EC3-42DA-8DF9-AFC59C56BB5F}"/>
                  </c:ext>
                </c:extLst>
              </c15:ser>
            </c15:filteredLineSeries>
          </c:ext>
        </c:extLst>
      </c:lineChart>
      <c:catAx>
        <c:axId val="197791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92224"/>
        <c:crosses val="autoZero"/>
        <c:auto val="1"/>
        <c:lblAlgn val="ctr"/>
        <c:lblOffset val="100"/>
        <c:noMultiLvlLbl val="0"/>
      </c:catAx>
      <c:valAx>
        <c:axId val="19779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9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00-4991-B0DE-46585FBD4DA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5.75</c:v>
                </c:pt>
                <c:pt idx="1">
                  <c:v>2.75</c:v>
                </c:pt>
                <c:pt idx="2">
                  <c:v>0</c:v>
                </c:pt>
                <c:pt idx="3">
                  <c:v>2.5</c:v>
                </c:pt>
                <c:pt idx="4">
                  <c:v>1.5</c:v>
                </c:pt>
                <c:pt idx="5">
                  <c:v>1</c:v>
                </c:pt>
                <c:pt idx="6">
                  <c:v>5.5</c:v>
                </c:pt>
                <c:pt idx="7">
                  <c:v>3</c:v>
                </c:pt>
                <c:pt idx="8">
                  <c:v>7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246608"/>
        <c:axId val="197247168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5.75</c:v>
                </c:pt>
                <c:pt idx="1">
                  <c:v>4.25</c:v>
                </c:pt>
                <c:pt idx="2">
                  <c:v>2.833333333333333</c:v>
                </c:pt>
                <c:pt idx="3">
                  <c:v>2.75</c:v>
                </c:pt>
                <c:pt idx="4">
                  <c:v>2.5</c:v>
                </c:pt>
                <c:pt idx="5">
                  <c:v>2.25</c:v>
                </c:pt>
                <c:pt idx="6">
                  <c:v>2.7142857142857144</c:v>
                </c:pt>
                <c:pt idx="7">
                  <c:v>2.75</c:v>
                </c:pt>
                <c:pt idx="8">
                  <c:v>3.2222222222222223</c:v>
                </c:pt>
                <c:pt idx="9">
                  <c:v>3.2</c:v>
                </c:pt>
                <c:pt idx="10">
                  <c:v>3</c:v>
                </c:pt>
                <c:pt idx="11">
                  <c:v>2.833333333333333</c:v>
                </c:pt>
                <c:pt idx="12">
                  <c:v>2.6923076923076925</c:v>
                </c:pt>
                <c:pt idx="13">
                  <c:v>2.5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246608"/>
        <c:axId val="197247168"/>
      </c:lineChart>
      <c:catAx>
        <c:axId val="197246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47168"/>
        <c:crosses val="autoZero"/>
        <c:auto val="0"/>
        <c:lblAlgn val="ctr"/>
        <c:lblOffset val="100"/>
        <c:noMultiLvlLbl val="1"/>
      </c:catAx>
      <c:valAx>
        <c:axId val="19724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BF-4A0C-8906-40C541157DF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4.75</c:v>
                </c:pt>
                <c:pt idx="1">
                  <c:v>0.75</c:v>
                </c:pt>
                <c:pt idx="2">
                  <c:v>0</c:v>
                </c:pt>
                <c:pt idx="3">
                  <c:v>1.5</c:v>
                </c:pt>
                <c:pt idx="4">
                  <c:v>1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252208"/>
        <c:axId val="19725276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4.75</c:v>
                </c:pt>
                <c:pt idx="1">
                  <c:v>2.75</c:v>
                </c:pt>
                <c:pt idx="2">
                  <c:v>1.8333333333333333</c:v>
                </c:pt>
                <c:pt idx="3">
                  <c:v>1.75</c:v>
                </c:pt>
                <c:pt idx="4">
                  <c:v>1.6</c:v>
                </c:pt>
                <c:pt idx="5">
                  <c:v>1.3333333333333333</c:v>
                </c:pt>
                <c:pt idx="6">
                  <c:v>1.5</c:v>
                </c:pt>
                <c:pt idx="7">
                  <c:v>1.3125</c:v>
                </c:pt>
                <c:pt idx="8">
                  <c:v>1.6111111111111112</c:v>
                </c:pt>
                <c:pt idx="9">
                  <c:v>1.45</c:v>
                </c:pt>
                <c:pt idx="10">
                  <c:v>1.3181818181818181</c:v>
                </c:pt>
                <c:pt idx="11">
                  <c:v>1.2083333333333333</c:v>
                </c:pt>
                <c:pt idx="12">
                  <c:v>1.1153846153846154</c:v>
                </c:pt>
                <c:pt idx="13">
                  <c:v>1.0357142857142858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252208"/>
        <c:axId val="197252768"/>
      </c:lineChart>
      <c:catAx>
        <c:axId val="197252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52768"/>
        <c:crosses val="autoZero"/>
        <c:auto val="1"/>
        <c:lblAlgn val="ctr"/>
        <c:lblOffset val="100"/>
        <c:noMultiLvlLbl val="1"/>
      </c:catAx>
      <c:valAx>
        <c:axId val="197252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52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F9-48BA-95BB-20D99BED0FF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47152"/>
        <c:axId val="19874771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47152"/>
        <c:axId val="198747712"/>
      </c:lineChart>
      <c:catAx>
        <c:axId val="198747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47712"/>
        <c:crosses val="autoZero"/>
        <c:auto val="1"/>
        <c:lblAlgn val="ctr"/>
        <c:lblOffset val="100"/>
        <c:noMultiLvlLbl val="1"/>
      </c:catAx>
      <c:valAx>
        <c:axId val="198747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471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5C-4ED9-9612-B560FDB49A39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53312"/>
        <c:axId val="19875387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53312"/>
        <c:axId val="198753872"/>
      </c:lineChart>
      <c:catAx>
        <c:axId val="198753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3872"/>
        <c:crosses val="autoZero"/>
        <c:auto val="1"/>
        <c:lblAlgn val="ctr"/>
        <c:lblOffset val="100"/>
        <c:noMultiLvlLbl val="1"/>
      </c:catAx>
      <c:valAx>
        <c:axId val="198753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3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D6-4396-A9F6-17ACE4939F94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58912"/>
        <c:axId val="19875947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0.9</c:v>
                </c:pt>
                <c:pt idx="5">
                  <c:v>0.91666666666666663</c:v>
                </c:pt>
                <c:pt idx="6">
                  <c:v>1.2142857142857142</c:v>
                </c:pt>
                <c:pt idx="7">
                  <c:v>1.4375</c:v>
                </c:pt>
                <c:pt idx="8">
                  <c:v>1.6111111111111112</c:v>
                </c:pt>
                <c:pt idx="9">
                  <c:v>1.75</c:v>
                </c:pt>
                <c:pt idx="10">
                  <c:v>1.6818181818181819</c:v>
                </c:pt>
                <c:pt idx="11">
                  <c:v>1.625</c:v>
                </c:pt>
                <c:pt idx="12">
                  <c:v>1.5769230769230769</c:v>
                </c:pt>
                <c:pt idx="13">
                  <c:v>1.4642857142857142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58912"/>
        <c:axId val="198759472"/>
      </c:lineChart>
      <c:catAx>
        <c:axId val="198758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9472"/>
        <c:crosses val="autoZero"/>
        <c:auto val="1"/>
        <c:lblAlgn val="ctr"/>
        <c:lblOffset val="100"/>
        <c:noMultiLvlLbl val="1"/>
      </c:catAx>
      <c:valAx>
        <c:axId val="198759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8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ED-4714-AC04-C4FBC61C22A7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2</c:v>
                </c:pt>
                <c:pt idx="11">
                  <c:v>17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560384"/>
        <c:axId val="198560944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3.333333333333333</c:v>
                </c:pt>
                <c:pt idx="3">
                  <c:v>3</c:v>
                </c:pt>
                <c:pt idx="4">
                  <c:v>3.4000000000000004</c:v>
                </c:pt>
                <c:pt idx="5">
                  <c:v>3.6666666666666665</c:v>
                </c:pt>
                <c:pt idx="6">
                  <c:v>3.714285714285714</c:v>
                </c:pt>
                <c:pt idx="7">
                  <c:v>3.5</c:v>
                </c:pt>
                <c:pt idx="8">
                  <c:v>3.333333333333333</c:v>
                </c:pt>
                <c:pt idx="9">
                  <c:v>3.5</c:v>
                </c:pt>
                <c:pt idx="10">
                  <c:v>3.3636363636363638</c:v>
                </c:pt>
                <c:pt idx="11">
                  <c:v>4.5</c:v>
                </c:pt>
                <c:pt idx="12">
                  <c:v>4.615384615384615</c:v>
                </c:pt>
                <c:pt idx="13">
                  <c:v>4.5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560384"/>
        <c:axId val="198560944"/>
      </c:lineChart>
      <c:catAx>
        <c:axId val="198560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0944"/>
        <c:crosses val="autoZero"/>
        <c:auto val="0"/>
        <c:lblAlgn val="ctr"/>
        <c:lblOffset val="100"/>
        <c:noMultiLvlLbl val="1"/>
      </c:catAx>
      <c:valAx>
        <c:axId val="19856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7B0-4A09-AE04-5163593755D3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565984"/>
        <c:axId val="19856654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1.0833333333333333</c:v>
                </c:pt>
                <c:pt idx="12">
                  <c:v>1.2307692307692308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565984"/>
        <c:axId val="198566544"/>
      </c:lineChart>
      <c:catAx>
        <c:axId val="198565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6544"/>
        <c:crosses val="autoZero"/>
        <c:auto val="1"/>
        <c:lblAlgn val="ctr"/>
        <c:lblOffset val="100"/>
        <c:noMultiLvlLbl val="1"/>
      </c:catAx>
      <c:valAx>
        <c:axId val="198566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65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62-44B4-8EA6-F22A43EDFD46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287792"/>
        <c:axId val="19928835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1.3333333333333333</c:v>
                </c:pt>
                <c:pt idx="3">
                  <c:v>1</c:v>
                </c:pt>
                <c:pt idx="4">
                  <c:v>0.8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0.77777777777777779</c:v>
                </c:pt>
                <c:pt idx="9">
                  <c:v>1.1000000000000001</c:v>
                </c:pt>
                <c:pt idx="10">
                  <c:v>1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87792"/>
        <c:axId val="199288352"/>
      </c:lineChart>
      <c:catAx>
        <c:axId val="199287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8352"/>
        <c:crosses val="autoZero"/>
        <c:auto val="1"/>
        <c:lblAlgn val="ctr"/>
        <c:lblOffset val="100"/>
        <c:noMultiLvlLbl val="1"/>
      </c:catAx>
      <c:valAx>
        <c:axId val="199288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7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DF-4011-9691-449B23C271A4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293952"/>
        <c:axId val="19929451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</c:v>
                </c:pt>
                <c:pt idx="5">
                  <c:v>0.66666666666666663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0.9</c:v>
                </c:pt>
                <c:pt idx="10">
                  <c:v>0.81818181818181823</c:v>
                </c:pt>
                <c:pt idx="11">
                  <c:v>1.0833333333333333</c:v>
                </c:pt>
                <c:pt idx="12">
                  <c:v>1.0769230769230769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93952"/>
        <c:axId val="199294512"/>
      </c:lineChart>
      <c:catAx>
        <c:axId val="199293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94512"/>
        <c:crosses val="autoZero"/>
        <c:auto val="1"/>
        <c:lblAlgn val="ctr"/>
        <c:lblOffset val="100"/>
        <c:noMultiLvlLbl val="1"/>
      </c:catAx>
      <c:valAx>
        <c:axId val="199294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93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4F-47BF-8F71-90F74722C92F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299552"/>
        <c:axId val="19930011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1</c:v>
                </c:pt>
                <c:pt idx="8">
                  <c:v>1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299552"/>
        <c:axId val="199300112"/>
      </c:lineChart>
      <c:catAx>
        <c:axId val="199299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00112"/>
        <c:crosses val="autoZero"/>
        <c:auto val="1"/>
        <c:lblAlgn val="ctr"/>
        <c:lblOffset val="100"/>
        <c:noMultiLvlLbl val="1"/>
      </c:catAx>
      <c:valAx>
        <c:axId val="19930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995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5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5'!$B$89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'Sprint 5'!$B$91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5'!$C$91:$Q$91</c:f>
              <c:numCache>
                <c:formatCode>0.00</c:formatCode>
                <c:ptCount val="15"/>
                <c:pt idx="0">
                  <c:v>63</c:v>
                </c:pt>
                <c:pt idx="1">
                  <c:v>62</c:v>
                </c:pt>
                <c:pt idx="2">
                  <c:v>57</c:v>
                </c:pt>
                <c:pt idx="3">
                  <c:v>53</c:v>
                </c:pt>
                <c:pt idx="4">
                  <c:v>51</c:v>
                </c:pt>
                <c:pt idx="5">
                  <c:v>46</c:v>
                </c:pt>
                <c:pt idx="6">
                  <c:v>41</c:v>
                </c:pt>
                <c:pt idx="7">
                  <c:v>37</c:v>
                </c:pt>
                <c:pt idx="8">
                  <c:v>35</c:v>
                </c:pt>
                <c:pt idx="9">
                  <c:v>33</c:v>
                </c:pt>
                <c:pt idx="10">
                  <c:v>28</c:v>
                </c:pt>
                <c:pt idx="11">
                  <c:v>26</c:v>
                </c:pt>
                <c:pt idx="12">
                  <c:v>9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94272"/>
        <c:axId val="19949483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'Sprint 5'!$C$88:$Q$88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'Sprint 5'!$C$90:$Q$90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63</c:v>
                      </c:pt>
                      <c:pt idx="1">
                        <c:v>1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2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4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5</c:v>
                      </c:pt>
                      <c:pt idx="11">
                        <c:v>2</c:v>
                      </c:pt>
                      <c:pt idx="12">
                        <c:v>17</c:v>
                      </c:pt>
                      <c:pt idx="13">
                        <c:v>6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9949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94832"/>
        <c:crosses val="autoZero"/>
        <c:auto val="1"/>
        <c:lblAlgn val="ctr"/>
        <c:lblOffset val="100"/>
        <c:noMultiLvlLbl val="0"/>
      </c:catAx>
      <c:valAx>
        <c:axId val="19949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 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9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E7-4C3C-A82B-1CF0BAEC82D5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498752"/>
        <c:axId val="199499312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1.5</c:v>
                </c:pt>
                <c:pt idx="6">
                  <c:v>2</c:v>
                </c:pt>
                <c:pt idx="7">
                  <c:v>1.75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1.5454545454545454</c:v>
                </c:pt>
                <c:pt idx="11">
                  <c:v>1.4166666666666667</c:v>
                </c:pt>
                <c:pt idx="12">
                  <c:v>1.6923076923076921</c:v>
                </c:pt>
                <c:pt idx="13">
                  <c:v>1.5714285714285714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498752"/>
        <c:axId val="199499312"/>
      </c:lineChart>
      <c:catAx>
        <c:axId val="19949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99312"/>
        <c:crosses val="autoZero"/>
        <c:auto val="0"/>
        <c:lblAlgn val="ctr"/>
        <c:lblOffset val="100"/>
        <c:noMultiLvlLbl val="1"/>
      </c:catAx>
      <c:valAx>
        <c:axId val="19949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9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E4-4C32-9C63-4A9A7026AABC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504352"/>
        <c:axId val="19950491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04352"/>
        <c:axId val="199504912"/>
      </c:lineChart>
      <c:catAx>
        <c:axId val="199504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04912"/>
        <c:crosses val="autoZero"/>
        <c:auto val="1"/>
        <c:lblAlgn val="ctr"/>
        <c:lblOffset val="100"/>
        <c:noMultiLvlLbl val="1"/>
      </c:catAx>
      <c:valAx>
        <c:axId val="1995049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043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6B5-4C1F-BC38-AFF6133A06D9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509952"/>
        <c:axId val="19951051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1.1538461538461537</c:v>
                </c:pt>
                <c:pt idx="13">
                  <c:v>1.0714285714285714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09952"/>
        <c:axId val="199510512"/>
      </c:lineChart>
      <c:catAx>
        <c:axId val="199509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10512"/>
        <c:crosses val="autoZero"/>
        <c:auto val="1"/>
        <c:lblAlgn val="ctr"/>
        <c:lblOffset val="100"/>
        <c:noMultiLvlLbl val="1"/>
      </c:catAx>
      <c:valAx>
        <c:axId val="199510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09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CA-4310-93DB-0138B41B53DE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516112"/>
        <c:axId val="19951667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0.83333333333333337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16112"/>
        <c:axId val="199516672"/>
      </c:lineChart>
      <c:catAx>
        <c:axId val="199516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16672"/>
        <c:crosses val="autoZero"/>
        <c:auto val="1"/>
        <c:lblAlgn val="ctr"/>
        <c:lblOffset val="100"/>
        <c:noMultiLvlLbl val="1"/>
      </c:catAx>
      <c:valAx>
        <c:axId val="199516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16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8-4E93-B779-BB39E65F061B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521712"/>
        <c:axId val="19952227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21712"/>
        <c:axId val="199522272"/>
      </c:lineChart>
      <c:catAx>
        <c:axId val="19952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22272"/>
        <c:crosses val="autoZero"/>
        <c:auto val="1"/>
        <c:lblAlgn val="ctr"/>
        <c:lblOffset val="100"/>
        <c:noMultiLvlLbl val="1"/>
      </c:catAx>
      <c:valAx>
        <c:axId val="19952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21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</a:t>
            </a:r>
            <a:r>
              <a:rPr lang="en-US" baseline="0"/>
              <a:t> 5 Burn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 Burn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6'!$C$89:$Q$89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Actual Burn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6'!$C$88:$Q$88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6'!$C$91:$Q$91</c:f>
              <c:numCache>
                <c:formatCode>0.00</c:formatCode>
                <c:ptCount val="15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13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5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131184"/>
        <c:axId val="69117184"/>
      </c:lineChart>
      <c:catAx>
        <c:axId val="6913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17184"/>
        <c:crosses val="autoZero"/>
        <c:auto val="1"/>
        <c:lblAlgn val="ctr"/>
        <c:lblOffset val="100"/>
        <c:noMultiLvlLbl val="0"/>
      </c:catAx>
      <c:valAx>
        <c:axId val="691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3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AE-4EB5-8F63-3B7A324AD208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17248"/>
        <c:axId val="200517808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17248"/>
        <c:axId val="200517808"/>
      </c:lineChart>
      <c:catAx>
        <c:axId val="200517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17808"/>
        <c:crosses val="autoZero"/>
        <c:auto val="0"/>
        <c:lblAlgn val="ctr"/>
        <c:lblOffset val="100"/>
        <c:noMultiLvlLbl val="1"/>
      </c:catAx>
      <c:valAx>
        <c:axId val="2005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1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9F-468D-92C8-3AC625601992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22848"/>
        <c:axId val="20052340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22848"/>
        <c:axId val="200523408"/>
      </c:lineChart>
      <c:catAx>
        <c:axId val="200522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3408"/>
        <c:crosses val="autoZero"/>
        <c:auto val="1"/>
        <c:lblAlgn val="ctr"/>
        <c:lblOffset val="100"/>
        <c:noMultiLvlLbl val="1"/>
      </c:catAx>
      <c:valAx>
        <c:axId val="200523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28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26-4A8F-AD43-9158D02AD6C7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28448"/>
        <c:axId val="20052900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28448"/>
        <c:axId val="200529008"/>
      </c:lineChart>
      <c:catAx>
        <c:axId val="200528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9008"/>
        <c:crosses val="autoZero"/>
        <c:auto val="1"/>
        <c:lblAlgn val="ctr"/>
        <c:lblOffset val="100"/>
        <c:noMultiLvlLbl val="1"/>
      </c:catAx>
      <c:valAx>
        <c:axId val="200529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8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9D-4EBD-BDC7-74544D4215C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34608"/>
        <c:axId val="20053516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34608"/>
        <c:axId val="200535168"/>
      </c:lineChart>
      <c:catAx>
        <c:axId val="200534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35168"/>
        <c:crosses val="autoZero"/>
        <c:auto val="1"/>
        <c:lblAlgn val="ctr"/>
        <c:lblOffset val="100"/>
        <c:noMultiLvlLbl val="1"/>
      </c:catAx>
      <c:valAx>
        <c:axId val="200535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34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B04-4467-AABD-24C416D15E1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40208"/>
        <c:axId val="20054076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40208"/>
        <c:axId val="200540768"/>
      </c:lineChart>
      <c:catAx>
        <c:axId val="200540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0768"/>
        <c:crosses val="autoZero"/>
        <c:auto val="1"/>
        <c:lblAlgn val="ctr"/>
        <c:lblOffset val="100"/>
        <c:noMultiLvlLbl val="1"/>
      </c:catAx>
      <c:valAx>
        <c:axId val="200540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0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E5-4CA3-8B46-65FEA749E604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46368"/>
        <c:axId val="201008048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46368"/>
        <c:axId val="201008048"/>
      </c:lineChart>
      <c:catAx>
        <c:axId val="20054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08048"/>
        <c:crosses val="autoZero"/>
        <c:auto val="0"/>
        <c:lblAlgn val="ctr"/>
        <c:lblOffset val="100"/>
        <c:noMultiLvlLbl val="1"/>
      </c:catAx>
      <c:valAx>
        <c:axId val="20100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4F-4B9A-A124-E761732743D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13088"/>
        <c:axId val="20101364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3088"/>
        <c:axId val="201013648"/>
      </c:lineChart>
      <c:catAx>
        <c:axId val="20101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13648"/>
        <c:crosses val="autoZero"/>
        <c:auto val="1"/>
        <c:lblAlgn val="ctr"/>
        <c:lblOffset val="100"/>
        <c:noMultiLvlLbl val="1"/>
      </c:catAx>
      <c:valAx>
        <c:axId val="201013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13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C4-4F5F-927E-76F7F6307E6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18688"/>
        <c:axId val="20101924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8688"/>
        <c:axId val="201019248"/>
      </c:lineChart>
      <c:catAx>
        <c:axId val="201018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19248"/>
        <c:crosses val="autoZero"/>
        <c:auto val="1"/>
        <c:lblAlgn val="ctr"/>
        <c:lblOffset val="100"/>
        <c:noMultiLvlLbl val="1"/>
      </c:catAx>
      <c:valAx>
        <c:axId val="201019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18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73-426D-8030-7254809E433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24848"/>
        <c:axId val="20102540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24848"/>
        <c:axId val="201025408"/>
      </c:lineChart>
      <c:catAx>
        <c:axId val="20102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25408"/>
        <c:crosses val="autoZero"/>
        <c:auto val="1"/>
        <c:lblAlgn val="ctr"/>
        <c:lblOffset val="100"/>
        <c:noMultiLvlLbl val="1"/>
      </c:catAx>
      <c:valAx>
        <c:axId val="20102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248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CD-4B86-BEA9-D75BD608B66E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30448"/>
        <c:axId val="20103100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30448"/>
        <c:axId val="201031008"/>
      </c:lineChart>
      <c:catAx>
        <c:axId val="20103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1008"/>
        <c:crosses val="autoZero"/>
        <c:auto val="1"/>
        <c:lblAlgn val="ctr"/>
        <c:lblOffset val="100"/>
        <c:noMultiLvlLbl val="1"/>
      </c:catAx>
      <c:valAx>
        <c:axId val="20103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0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21-40FC-ACF0-4C63BB9FF9D7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036608"/>
        <c:axId val="201037168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36608"/>
        <c:axId val="201037168"/>
      </c:lineChart>
      <c:catAx>
        <c:axId val="201036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7168"/>
        <c:crosses val="autoZero"/>
        <c:auto val="0"/>
        <c:lblAlgn val="ctr"/>
        <c:lblOffset val="100"/>
        <c:noMultiLvlLbl val="1"/>
      </c:catAx>
      <c:valAx>
        <c:axId val="20103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08-4056-AD15-340ABC06350A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64256"/>
        <c:axId val="20226481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64256"/>
        <c:axId val="202264816"/>
      </c:lineChart>
      <c:catAx>
        <c:axId val="20226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64816"/>
        <c:crosses val="autoZero"/>
        <c:auto val="1"/>
        <c:lblAlgn val="ctr"/>
        <c:lblOffset val="100"/>
        <c:noMultiLvlLbl val="1"/>
      </c:catAx>
      <c:valAx>
        <c:axId val="20226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642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A8-42A4-95CD-AAA31B1D410D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69856"/>
        <c:axId val="20227041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69856"/>
        <c:axId val="202270416"/>
      </c:lineChart>
      <c:catAx>
        <c:axId val="20226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70416"/>
        <c:crosses val="autoZero"/>
        <c:auto val="1"/>
        <c:lblAlgn val="ctr"/>
        <c:lblOffset val="100"/>
        <c:noMultiLvlLbl val="1"/>
      </c:catAx>
      <c:valAx>
        <c:axId val="202270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698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EF-491F-BC68-88A34EEE8966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76016"/>
        <c:axId val="20227657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76016"/>
        <c:axId val="202276576"/>
      </c:lineChart>
      <c:catAx>
        <c:axId val="20227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76576"/>
        <c:crosses val="autoZero"/>
        <c:auto val="1"/>
        <c:lblAlgn val="ctr"/>
        <c:lblOffset val="100"/>
        <c:noMultiLvlLbl val="1"/>
      </c:catAx>
      <c:valAx>
        <c:axId val="202276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760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BB-4184-9AED-1C07E7CB1154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81616"/>
        <c:axId val="20228217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81616"/>
        <c:axId val="202282176"/>
      </c:lineChart>
      <c:catAx>
        <c:axId val="20228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82176"/>
        <c:crosses val="autoZero"/>
        <c:auto val="1"/>
        <c:lblAlgn val="ctr"/>
        <c:lblOffset val="100"/>
        <c:noMultiLvlLbl val="1"/>
      </c:catAx>
      <c:valAx>
        <c:axId val="2022821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816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99-4F59-A7BE-59A1BE7E40A5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87776"/>
        <c:axId val="202288336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87776"/>
        <c:axId val="202288336"/>
      </c:lineChart>
      <c:catAx>
        <c:axId val="20228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88336"/>
        <c:crosses val="autoZero"/>
        <c:auto val="0"/>
        <c:lblAlgn val="ctr"/>
        <c:lblOffset val="100"/>
        <c:noMultiLvlLbl val="1"/>
      </c:catAx>
      <c:valAx>
        <c:axId val="20228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8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23-4495-8DC4-EE120EAC4BC8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293376"/>
        <c:axId val="20229393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93376"/>
        <c:axId val="202293936"/>
      </c:lineChart>
      <c:catAx>
        <c:axId val="20229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93936"/>
        <c:crosses val="autoZero"/>
        <c:auto val="1"/>
        <c:lblAlgn val="ctr"/>
        <c:lblOffset val="100"/>
        <c:noMultiLvlLbl val="1"/>
      </c:catAx>
      <c:valAx>
        <c:axId val="2022939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933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93-4A4F-A23D-0B7981D6C8B7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398128"/>
        <c:axId val="20139868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98128"/>
        <c:axId val="201398688"/>
      </c:lineChart>
      <c:catAx>
        <c:axId val="20139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98688"/>
        <c:crosses val="autoZero"/>
        <c:auto val="1"/>
        <c:lblAlgn val="ctr"/>
        <c:lblOffset val="100"/>
        <c:noMultiLvlLbl val="1"/>
      </c:catAx>
      <c:valAx>
        <c:axId val="2013986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981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71-4F2F-AB17-74068AEF9A8F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404288"/>
        <c:axId val="20140484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04288"/>
        <c:axId val="201404848"/>
      </c:lineChart>
      <c:catAx>
        <c:axId val="20140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4848"/>
        <c:crosses val="autoZero"/>
        <c:auto val="1"/>
        <c:lblAlgn val="ctr"/>
        <c:lblOffset val="100"/>
        <c:noMultiLvlLbl val="1"/>
      </c:catAx>
      <c:valAx>
        <c:axId val="201404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42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D9B-4589-A563-98D845478363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409888"/>
        <c:axId val="20141044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09888"/>
        <c:axId val="201410448"/>
      </c:lineChart>
      <c:catAx>
        <c:axId val="201409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10448"/>
        <c:crosses val="autoZero"/>
        <c:auto val="1"/>
        <c:lblAlgn val="ctr"/>
        <c:lblOffset val="100"/>
        <c:noMultiLvlLbl val="1"/>
      </c:catAx>
      <c:valAx>
        <c:axId val="2014104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9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4" Type="http://schemas.openxmlformats.org/officeDocument/2006/relationships/chart" Target="../charts/chart45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5" Type="http://schemas.openxmlformats.org/officeDocument/2006/relationships/chart" Target="../charts/chart57.xml"/><Relationship Id="rId4" Type="http://schemas.openxmlformats.org/officeDocument/2006/relationships/chart" Target="../charts/chart56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Relationship Id="rId5" Type="http://schemas.openxmlformats.org/officeDocument/2006/relationships/chart" Target="../charts/chart62.xml"/><Relationship Id="rId4" Type="http://schemas.openxmlformats.org/officeDocument/2006/relationships/chart" Target="../charts/chart61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5" Type="http://schemas.openxmlformats.org/officeDocument/2006/relationships/chart" Target="../charts/chart67.xml"/><Relationship Id="rId4" Type="http://schemas.openxmlformats.org/officeDocument/2006/relationships/chart" Target="../charts/chart6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966787</xdr:colOff>
      <xdr:row>84</xdr:row>
      <xdr:rowOff>100012</xdr:rowOff>
    </xdr:from>
    <xdr:to>
      <xdr:col>17</xdr:col>
      <xdr:colOff>523875</xdr:colOff>
      <xdr:row>112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78650DF-9A39-4FBA-B353-74126162CBCF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Eck, ME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01652AC-3A9F-4D57-A178-98631CB2E656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Schroeder, RS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A659505-328F-4C42-8FE7-D11526EE3D38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Martz, NM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EF4EC95-B86E-40E2-B832-E2A18E4DB870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Glosecki, MG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51</xdr:row>
      <xdr:rowOff>119062</xdr:rowOff>
    </xdr:from>
    <xdr:to>
      <xdr:col>7</xdr:col>
      <xdr:colOff>190500</xdr:colOff>
      <xdr:row>66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66675</xdr:colOff>
      <xdr:row>51</xdr:row>
      <xdr:rowOff>28575</xdr:rowOff>
    </xdr:from>
    <xdr:to>
      <xdr:col>15</xdr:col>
      <xdr:colOff>371475</xdr:colOff>
      <xdr:row>65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352425</xdr:colOff>
      <xdr:row>67</xdr:row>
      <xdr:rowOff>23812</xdr:rowOff>
    </xdr:from>
    <xdr:to>
      <xdr:col>7</xdr:col>
      <xdr:colOff>219075</xdr:colOff>
      <xdr:row>81</xdr:row>
      <xdr:rowOff>100012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67</xdr:row>
      <xdr:rowOff>0</xdr:rowOff>
    </xdr:from>
    <xdr:to>
      <xdr:col>15</xdr:col>
      <xdr:colOff>381000</xdr:colOff>
      <xdr:row>81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538162</xdr:colOff>
      <xdr:row>89</xdr:row>
      <xdr:rowOff>100012</xdr:rowOff>
    </xdr:from>
    <xdr:to>
      <xdr:col>17</xdr:col>
      <xdr:colOff>233362</xdr:colOff>
      <xdr:row>103</xdr:row>
      <xdr:rowOff>176212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3FDE8C3-0163-4EBD-A1A2-58AEA239F83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49A13DF-FE3E-4F9A-BAD1-AE9A758043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95209807-1E47-47AF-9602-A345AD433E4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F0646EA-1A3E-4CD2-BDB2-1B4CFA22BFC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D1510C7-716E-4C4C-BD01-CF5657F798D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B974EAD-FBD5-4FA7-B685-46357CABAA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5B2A1C6-F353-47C8-BB38-753DB94C31D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E9FFFA3-AFAE-4ED4-8A25-DE0A06BAD41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33A0B05-4970-4A95-86B1-6C4D3D5E04B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356152</xdr:colOff>
      <xdr:row>89</xdr:row>
      <xdr:rowOff>57149</xdr:rowOff>
    </xdr:from>
    <xdr:to>
      <xdr:col>14</xdr:col>
      <xdr:colOff>70401</xdr:colOff>
      <xdr:row>103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B2CA4D4-CD2E-4CE1-B439-80193B2DFBE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471381B-C11D-4251-82D3-580E3E5F3F1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D5C4B4A-3931-4C0B-AE83-D18609E6E79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69458CC-0A9A-4C42-886A-F5B00CBF161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AEF101EF-F5E0-4ED8-8368-44ABDE49D78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8D8ACAE-5029-4F24-974E-C0DA1D3BAEC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595DCC3-CBB5-427C-95E9-BB228E8417A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20CC1E4-A105-477E-89E4-C2893B7E0C4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59C8B65-6C30-4DE6-93C7-773508DD21F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B396BB0-820A-406A-8576-94283AFC87F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107675</xdr:colOff>
      <xdr:row>93</xdr:row>
      <xdr:rowOff>65431</xdr:rowOff>
    </xdr:from>
    <xdr:to>
      <xdr:col>14</xdr:col>
      <xdr:colOff>223630</xdr:colOff>
      <xdr:row>109</xdr:row>
      <xdr:rowOff>91108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94898B6-66F6-40E7-BFCA-2391E705DDA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43A85E5-ECDC-48F6-95F4-42228EB3348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082F4F9-41F3-4BB4-9E08-8E16FDC5128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410A77B-18D5-4FDB-8F1B-0095466751F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EE440C6-E728-4251-8FDE-2B72EB581AE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97D0DD9-ABBD-4059-83F7-AC391F5E5F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060EFC5-9A7A-4488-AF73-1A1BCCD18F9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65F0519-EB6C-4C6F-8EE6-DE6258842A9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B02389D-31DE-4725-9E19-202C72695C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8E866B4-DF17-4A24-9BF2-65F842B9960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389282</xdr:colOff>
      <xdr:row>93</xdr:row>
      <xdr:rowOff>24019</xdr:rowOff>
    </xdr:from>
    <xdr:to>
      <xdr:col>15</xdr:col>
      <xdr:colOff>505238</xdr:colOff>
      <xdr:row>109</xdr:row>
      <xdr:rowOff>66260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ADB02CFE-8FB8-4547-A44E-BC85EDCA3BF2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F47687D-2831-4B01-B3B9-90B4A4DB1B6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14967BB-78FE-4B53-BE14-66A3D82F3C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4049FF90-7E75-45E9-8617-9DD53690E109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CCA2A6D-CAC4-414E-A531-84BE9E70EA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CFFB45F2-916C-4D06-B458-5D79E7A14F2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E192C5-E90E-4975-8083-44F1CEA255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4D7D0F30-A943-4198-A67D-9FE60493C63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3C0EBF9-10C0-4DD7-942F-ACC94069E2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F516D59-81B9-4083-A32A-F8F70377B45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755F40F-7DE3-4098-BFF6-B3FD50D7E2C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0C1C5C3-3272-4EBC-BDC2-026A79A6852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FEB7A47-9CB4-44CC-AD37-E10565F385B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99E0F2D2-091C-46A5-AA34-76085AD92E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6A86994-EE85-4EC6-923C-F63BA6A784D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E1AA959-1AE7-4358-9089-69B0DDE1A0D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09C6A7E-A1B7-4500-A74B-3A60A7DA8DA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64D7B7F-BED5-4298-A226-E3821DB378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4682776-ABDD-44FB-B006-C0E3772300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E135162-D359-4ADF-BF15-7F352B16EFE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24850</xdr:colOff>
      <xdr:row>91</xdr:row>
      <xdr:rowOff>15737</xdr:rowOff>
    </xdr:from>
    <xdr:to>
      <xdr:col>14</xdr:col>
      <xdr:colOff>1</xdr:colOff>
      <xdr:row>106</xdr:row>
      <xdr:rowOff>115957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133F04E-9DA0-444C-995B-E7B427C7C75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60937F8-7209-46EF-92E7-D104F01D64DE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CBE7C73-E6EB-462C-BBAD-46896E60321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B2691C32-9043-44B4-8919-C85074E40D0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9BEBED2-2B50-4652-A697-F1B4948F4C1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C224844-F30A-4AB1-B554-159862C6020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96901AF-618E-43CE-BB9C-AA172722120C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04E4F73-70D8-4847-B048-E1971C3BAEE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1FDC649-769E-4FCF-94C7-84E8B33AEBC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9DDE338-2073-4C7F-8422-1F2AF46C536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8283</xdr:colOff>
      <xdr:row>91</xdr:row>
      <xdr:rowOff>7453</xdr:rowOff>
    </xdr:from>
    <xdr:to>
      <xdr:col>12</xdr:col>
      <xdr:colOff>165652</xdr:colOff>
      <xdr:row>107</xdr:row>
      <xdr:rowOff>173934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0E4A028-0B43-4BCB-8E6B-18FCDCF413F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02A8D09-6A14-4004-946B-598EF3F9C51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C444299-C095-446C-AAD1-43879A43B1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C22E6A59-D9CD-4225-9356-19C1617217A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5813097-02D3-44A6-A3D0-C496E58F417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76D93C67-6D6C-4D6E-929C-51397727904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A4C8DB-054E-4D5A-BB3D-1C0AC818C2E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8B91530F-3A5E-4123-B224-F600ED0D8D2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7DEB31E-56CD-414A-A5AE-C95CC6946BA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E8A832D-D8B8-4C11-A9C3-0BCD839368E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52D037F-A20A-4C59-B792-F92820699567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A56B45D-38DE-461B-B929-FEA3A9C24FF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71F9FD4-1E9B-48B7-B1B2-D4283819CCB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949692E-0796-4BDA-A509-9B35C4043C7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9BD57F3-213E-47DB-A55C-62F428ED31C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37519B2-F601-4D0C-9C90-95A216A5E53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3754964B-42F7-4CBD-B9F4-7CDBBF973ED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6FC3EACA-018B-44A5-B6ED-A8BA88B7773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50A1489-F09C-445B-92F3-A3E69DA20A0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3BEAE34-EDE9-4290-BD17-D30F3B87B3D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D847FC5-4E26-4FA5-94FB-4C72680A27C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25E5350-A588-4345-8E6F-B2F36BDD510C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BD105F0-3858-4068-91C7-5E603FBEF6B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001AE85-33F3-4010-B53C-FBD4E22281B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180063A-B174-45CE-93FB-0AA83C7691B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CAC991F-9C45-4E9B-A294-A80C4925B2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41397F1-55B0-499F-8658-2CA09C23E6A8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E122C77-D2F0-4CFC-AAEA-A0BBADC9CD07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FB35818-BD17-4571-B9DE-35B0BDD34F37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790D62ED-5021-4C1F-B641-00A6CCD4FFF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D25E466-A869-4FEF-8FB1-E72F4933768B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7841CB7-A264-4A4F-92AB-4E8BF6089C5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DF7E63A-EC53-4CA7-9926-D511120368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67191E0D-6957-4879-A58F-338641A6E5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E833948-AB75-4E15-9D26-B518BADDEA4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E9369E9-ACDC-4D34-B9DB-237058AD04A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A227A76-DE22-4DD2-9649-B8C4373A185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0AC91CC-06D7-49B4-8C77-4692BA5B8AA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5FC599-4AAA-493F-A4CF-29125C39FC0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F68BF2F-58AF-437E-992E-801249B6597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2FC5863-3302-4F85-A4FE-D310E1FA5656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AEFD2EE-FA72-4AC1-A457-0EEA326B4828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A095641-DA4F-4FA7-AB5D-D6A265306AE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B14F6B7D-D278-454A-B843-997039FE4F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2E589EB-3936-42D2-B68C-C251B7A9FA0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1E3AC29-166E-465C-8887-2432AA704EB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C8DB375-7F7E-4E96-B273-44BE2DA9406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08F1D5C-9E47-48FA-A2EF-116E5E84534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4C8D1BE-E6F2-4ACE-87E0-D57B2B5E0CF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2C540C6-9156-4E0E-8AD8-AF3BFBBF848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84"/>
  <sheetViews>
    <sheetView topLeftCell="B28" workbookViewId="0">
      <selection activeCell="O43" sqref="O43"/>
    </sheetView>
  </sheetViews>
  <sheetFormatPr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68" t="s">
        <v>0</v>
      </c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25" s="10" customFormat="1" x14ac:dyDescent="0.25">
      <c r="C2" s="27" t="s">
        <v>1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0" t="s">
        <v>2</v>
      </c>
      <c r="C3" s="76" t="s">
        <v>3</v>
      </c>
      <c r="D3" s="77"/>
      <c r="E3" s="77"/>
      <c r="F3" s="77"/>
      <c r="G3" s="77"/>
      <c r="H3" s="77"/>
      <c r="I3" s="77"/>
      <c r="J3" s="77"/>
      <c r="K3" s="77"/>
      <c r="L3" s="77"/>
      <c r="M3" s="77"/>
      <c r="N3" s="77" t="s">
        <v>4</v>
      </c>
      <c r="O3" s="77"/>
      <c r="P3" s="77"/>
      <c r="Q3" s="77"/>
      <c r="R3" s="77"/>
      <c r="S3" s="77"/>
      <c r="T3" s="77"/>
      <c r="U3" s="77"/>
      <c r="V3" s="77"/>
      <c r="W3" s="77"/>
      <c r="X3" s="77"/>
      <c r="Y3" s="78"/>
    </row>
    <row r="4" spans="1:25" ht="15.75" x14ac:dyDescent="0.25">
      <c r="C4" s="73" t="s">
        <v>5</v>
      </c>
      <c r="D4" s="73"/>
      <c r="E4" s="73"/>
      <c r="F4" s="73" t="s">
        <v>6</v>
      </c>
      <c r="G4" s="73"/>
      <c r="H4" s="73" t="s">
        <v>7</v>
      </c>
      <c r="I4" s="73"/>
      <c r="J4" s="73" t="s">
        <v>8</v>
      </c>
      <c r="K4" s="73"/>
      <c r="L4" s="70" t="s">
        <v>9</v>
      </c>
      <c r="M4" s="71"/>
      <c r="N4" s="71" t="s">
        <v>10</v>
      </c>
      <c r="O4" s="72"/>
      <c r="P4" s="73" t="s">
        <v>11</v>
      </c>
      <c r="Q4" s="73"/>
      <c r="R4" s="73" t="s">
        <v>12</v>
      </c>
      <c r="S4" s="73"/>
      <c r="T4" s="73" t="s">
        <v>13</v>
      </c>
      <c r="U4" s="73"/>
      <c r="V4" s="73" t="s">
        <v>14</v>
      </c>
      <c r="W4" s="73"/>
      <c r="X4" s="73" t="s">
        <v>15</v>
      </c>
      <c r="Y4" s="73"/>
    </row>
    <row r="5" spans="1:25" s="6" customFormat="1" ht="12.75" x14ac:dyDescent="0.2">
      <c r="B5" s="5" t="s">
        <v>16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0">
        <f t="shared" si="0"/>
        <v>42324</v>
      </c>
      <c r="N5" s="41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17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2">
        <v>11</v>
      </c>
      <c r="N6" s="43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4" t="s">
        <v>18</v>
      </c>
      <c r="B7" s="8" t="str">
        <f xml:space="preserve"> CONCATENATE(Setup!$B$7, ", ", LEFT(Setup!$C$7,2))</f>
        <v>Eck, ME</v>
      </c>
      <c r="C7" s="24">
        <f>SUM('Sprint 0'!C6:I6)</f>
        <v>4.75</v>
      </c>
      <c r="D7" s="24">
        <f>SUM('Sprint 0'!J6:P6)</f>
        <v>5</v>
      </c>
      <c r="E7" s="24">
        <f>SUM('Sprint 0'!Q6:W6)</f>
        <v>5.5</v>
      </c>
      <c r="F7" s="24">
        <f>SUM('Sprint 1'!C6:I6)</f>
        <v>6.5</v>
      </c>
      <c r="G7" s="24">
        <f>SUM('Sprint 1'!J6:P6)</f>
        <v>2</v>
      </c>
      <c r="H7" s="24">
        <f>SUM('Sprint 2'!C6:I6)</f>
        <v>6</v>
      </c>
      <c r="I7" s="24">
        <f>SUM('Sprint 2'!J6:P6)</f>
        <v>8</v>
      </c>
      <c r="J7" s="24">
        <f>SUM('Sprint 3'!C6:I6)</f>
        <v>12.25</v>
      </c>
      <c r="K7" s="24">
        <f>SUM('Sprint 3'!J6:P6)</f>
        <v>10.5</v>
      </c>
      <c r="L7" s="24">
        <f>SUM('Sprint 4'!C6:I6)</f>
        <v>10.5</v>
      </c>
      <c r="M7" s="24">
        <f>SUM('Sprint 4'!J6:P6)</f>
        <v>4</v>
      </c>
      <c r="N7" s="44">
        <f>SUM('Sprint 5'!C6:I6)</f>
        <v>6</v>
      </c>
      <c r="O7" s="22">
        <f>SUM('Sprint 5'!J6:P6)</f>
        <v>11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4"/>
      <c r="B8" s="8" t="str">
        <f xml:space="preserve"> CONCATENATE(Setup!$B$8, ", ", LEFT(Setup!$C$8,2))</f>
        <v>Schroeder, RS</v>
      </c>
      <c r="C8" s="24">
        <f>SUM('Sprint 0'!C7:I7)</f>
        <v>4.25</v>
      </c>
      <c r="D8" s="24">
        <f>SUM('Sprint 0'!J7:P7)</f>
        <v>4.5</v>
      </c>
      <c r="E8" s="24">
        <f>SUM('Sprint 0'!Q7:W7)</f>
        <v>5</v>
      </c>
      <c r="F8" s="24">
        <f>SUM('Sprint 1'!C7:I7)</f>
        <v>6.5</v>
      </c>
      <c r="G8" s="24">
        <f>SUM('Sprint 1'!J7:P7)</f>
        <v>2.75</v>
      </c>
      <c r="H8" s="24">
        <f>SUM('Sprint 2'!C7:I7)</f>
        <v>6</v>
      </c>
      <c r="I8" s="24">
        <f>SUM('Sprint 2'!J7:P7)</f>
        <v>8</v>
      </c>
      <c r="J8" s="24">
        <f>SUM('Sprint 3'!C7:I7)</f>
        <v>5.5</v>
      </c>
      <c r="K8" s="24">
        <f>SUM('Sprint 3'!J7:P7)</f>
        <v>14</v>
      </c>
      <c r="L8" s="24">
        <f>SUM('Sprint 4'!C7:I7)</f>
        <v>0</v>
      </c>
      <c r="M8" s="24">
        <f>SUM('Sprint 4'!J7:P7)</f>
        <v>0</v>
      </c>
      <c r="N8" s="44">
        <f>SUM('Sprint 5'!C7:I7)</f>
        <v>6</v>
      </c>
      <c r="O8" s="22">
        <f>SUM('Sprint 5'!J7:P7)</f>
        <v>10</v>
      </c>
      <c r="P8" s="22">
        <f>SUM('Sprint 6'!C7:I7)</f>
        <v>7</v>
      </c>
      <c r="Q8" s="22">
        <f>SUM('Sprint 6'!J7:P7)</f>
        <v>8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4"/>
      <c r="B9" s="8" t="str">
        <f xml:space="preserve"> CONCATENATE(Setup!$B$9, ", ", LEFT(Setup!$C$9,2))</f>
        <v>Martz, NM</v>
      </c>
      <c r="C9" s="24">
        <f>SUM('Sprint 0'!C8:I8)</f>
        <v>5.25</v>
      </c>
      <c r="D9" s="24">
        <f>SUM('Sprint 0'!J8:P8)</f>
        <v>5.5</v>
      </c>
      <c r="E9" s="24">
        <f>SUM('Sprint 0'!Q8:W8)</f>
        <v>5.5</v>
      </c>
      <c r="F9" s="24">
        <f>SUM('Sprint 1'!C8:I8)</f>
        <v>7</v>
      </c>
      <c r="G9" s="24">
        <f>SUM('Sprint 1'!J8:P8)</f>
        <v>2.5</v>
      </c>
      <c r="H9" s="24">
        <f>SUM('Sprint 2'!C8:I8)</f>
        <v>11</v>
      </c>
      <c r="I9" s="24">
        <f>SUM('Sprint 2'!J8:P8)</f>
        <v>9.25</v>
      </c>
      <c r="J9" s="24">
        <f>SUM('Sprint 3'!C8:I8)</f>
        <v>10</v>
      </c>
      <c r="K9" s="24">
        <f>SUM('Sprint 3'!J8:P8)</f>
        <v>8</v>
      </c>
      <c r="L9" s="24">
        <f>SUM('Sprint 4'!C8:I8)</f>
        <v>0</v>
      </c>
      <c r="M9" s="24">
        <f>SUM('Sprint 4'!J8:P8)</f>
        <v>0</v>
      </c>
      <c r="N9" s="44">
        <f>SUM('Sprint 5'!C8:I8)</f>
        <v>8</v>
      </c>
      <c r="O9" s="22">
        <f>SUM('Sprint 5'!J8:P8)</f>
        <v>8</v>
      </c>
      <c r="P9" s="22">
        <f>SUM('Sprint 6'!C8:I8)</f>
        <v>7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4"/>
      <c r="B10" s="8" t="str">
        <f xml:space="preserve"> CONCATENATE(Setup!$B$10, ", ", LEFT(Setup!$C$10,2))</f>
        <v>Glosecki, MG</v>
      </c>
      <c r="C10" s="24">
        <f>SUM('Sprint 0'!C9:I9)</f>
        <v>3</v>
      </c>
      <c r="D10" s="24">
        <f>SUM('Sprint 0'!J9:P9)</f>
        <v>5</v>
      </c>
      <c r="E10" s="24">
        <f>SUM('Sprint 0'!Q9:W9)</f>
        <v>4.5</v>
      </c>
      <c r="F10" s="24">
        <f>SUM('Sprint 1'!C9:I9)</f>
        <v>5</v>
      </c>
      <c r="G10" s="24">
        <f>SUM('Sprint 1'!J9:P9)</f>
        <v>2</v>
      </c>
      <c r="H10" s="24">
        <f>SUM('Sprint 2'!C9:I9)</f>
        <v>3</v>
      </c>
      <c r="I10" s="24">
        <f>SUM('Sprint 2'!J9:P9)</f>
        <v>9.25</v>
      </c>
      <c r="J10" s="24">
        <f>SUM('Sprint 3'!C9:I9)</f>
        <v>8</v>
      </c>
      <c r="K10" s="24">
        <f>SUM('Sprint 3'!J9:P9)</f>
        <v>9.5</v>
      </c>
      <c r="L10" s="24">
        <f>SUM('Sprint 4'!C9:I9)</f>
        <v>8.5</v>
      </c>
      <c r="M10" s="24">
        <f>SUM('Sprint 4'!J9:P9)</f>
        <v>12</v>
      </c>
      <c r="N10" s="44">
        <f>SUM('Sprint 5'!C9:I9)</f>
        <v>6</v>
      </c>
      <c r="O10" s="22">
        <f>SUM('Sprint 5'!J9:P9)</f>
        <v>8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4"/>
      <c r="B11" s="9" t="s">
        <v>19</v>
      </c>
      <c r="C11" s="21">
        <f xml:space="preserve"> SUM(C7:C10)</f>
        <v>17.25</v>
      </c>
      <c r="D11" s="21">
        <f t="shared" ref="D11:M11" si="2" xml:space="preserve"> SUM(D7:D10)</f>
        <v>20</v>
      </c>
      <c r="E11" s="21">
        <f t="shared" si="2"/>
        <v>20.5</v>
      </c>
      <c r="F11" s="21">
        <f t="shared" si="2"/>
        <v>25</v>
      </c>
      <c r="G11" s="21">
        <f t="shared" si="2"/>
        <v>9.25</v>
      </c>
      <c r="H11" s="21">
        <f t="shared" si="2"/>
        <v>26</v>
      </c>
      <c r="I11" s="21">
        <f t="shared" si="2"/>
        <v>34.5</v>
      </c>
      <c r="J11" s="21">
        <f t="shared" si="2"/>
        <v>35.75</v>
      </c>
      <c r="K11" s="21">
        <f t="shared" si="2"/>
        <v>42</v>
      </c>
      <c r="L11" s="21">
        <f t="shared" si="2"/>
        <v>19</v>
      </c>
      <c r="M11" s="21">
        <f t="shared" si="2"/>
        <v>16</v>
      </c>
      <c r="N11" s="46">
        <f>SUM(N7:N10)</f>
        <v>26</v>
      </c>
      <c r="O11" s="64">
        <f t="shared" ref="O11:Y11" si="3">SUM(O7:O10)</f>
        <v>37</v>
      </c>
      <c r="P11" s="64">
        <f t="shared" si="3"/>
        <v>14</v>
      </c>
      <c r="Q11" s="64">
        <f t="shared" si="3"/>
        <v>8</v>
      </c>
      <c r="R11" s="64">
        <f t="shared" si="3"/>
        <v>0</v>
      </c>
      <c r="S11" s="64">
        <f t="shared" si="3"/>
        <v>0</v>
      </c>
      <c r="T11" s="64">
        <f t="shared" si="3"/>
        <v>0</v>
      </c>
      <c r="U11" s="64">
        <f t="shared" si="3"/>
        <v>0</v>
      </c>
      <c r="V11" s="64">
        <f t="shared" si="3"/>
        <v>0</v>
      </c>
      <c r="W11" s="64">
        <f t="shared" si="3"/>
        <v>0</v>
      </c>
      <c r="X11" s="64">
        <f t="shared" si="3"/>
        <v>0</v>
      </c>
      <c r="Y11" s="64">
        <f t="shared" si="3"/>
        <v>0</v>
      </c>
    </row>
    <row r="12" spans="1:25" x14ac:dyDescent="0.25">
      <c r="A12" s="6"/>
      <c r="M12" s="47"/>
      <c r="N12" s="48"/>
    </row>
    <row r="13" spans="1:25" x14ac:dyDescent="0.25">
      <c r="A13" s="74" t="s">
        <v>20</v>
      </c>
      <c r="B13" s="8" t="str">
        <f xml:space="preserve"> CONCATENATE(Setup!$B$7, ", ", LEFT(Setup!$C$7,2))</f>
        <v>Eck, ME</v>
      </c>
      <c r="C13" s="24">
        <f>SUM('Sprint 0'!C18:I18)</f>
        <v>0</v>
      </c>
      <c r="D13" s="24">
        <f>SUM('Sprint 0'!J18:P18)</f>
        <v>0</v>
      </c>
      <c r="E13" s="24">
        <f>SUM('Sprint 0'!Q18:W18)</f>
        <v>1</v>
      </c>
      <c r="F13" s="24">
        <f>SUM('Sprint 1'!C18:I18)</f>
        <v>0</v>
      </c>
      <c r="G13" s="24">
        <f>SUM('Sprint 1'!J18:P18)</f>
        <v>0</v>
      </c>
      <c r="H13" s="24">
        <f>SUM('Sprint 2'!C18:I18)</f>
        <v>0</v>
      </c>
      <c r="I13" s="24">
        <f>SUM('Sprint 2'!J18:P18)</f>
        <v>0</v>
      </c>
      <c r="J13" s="24">
        <f>SUM('Sprint 3'!C18:I18)</f>
        <v>0</v>
      </c>
      <c r="K13" s="24">
        <f>SUM('Sprint 3'!J18:P18)</f>
        <v>0</v>
      </c>
      <c r="L13" s="24">
        <f>SUM('Sprint 4'!C18:I18)</f>
        <v>0</v>
      </c>
      <c r="M13" s="24">
        <f>SUM('Sprint 4'!J18:P18)</f>
        <v>0</v>
      </c>
      <c r="N13" s="44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4"/>
      <c r="B14" s="8" t="str">
        <f xml:space="preserve"> CONCATENATE(Setup!$B$8, ", ", LEFT(Setup!$C$8,2))</f>
        <v>Schroeder, RS</v>
      </c>
      <c r="C14" s="24">
        <f>SUM('Sprint 0'!C19:I19)</f>
        <v>0</v>
      </c>
      <c r="D14" s="24">
        <f>SUM('Sprint 0'!J19:P19)</f>
        <v>0</v>
      </c>
      <c r="E14" s="24">
        <f>SUM('Sprint 0'!Q19:W19)</f>
        <v>1</v>
      </c>
      <c r="F14" s="24">
        <f>SUM('Sprint 1'!C19:I19)</f>
        <v>0</v>
      </c>
      <c r="G14" s="24">
        <f>SUM('Sprint 1'!J19:P19)</f>
        <v>0</v>
      </c>
      <c r="H14" s="24">
        <f>SUM('Sprint 2'!C19:I19)</f>
        <v>0</v>
      </c>
      <c r="I14" s="24">
        <f>SUM('Sprint 2'!J19:P19)</f>
        <v>0</v>
      </c>
      <c r="J14" s="24">
        <f>SUM('Sprint 3'!C19:I19)</f>
        <v>0</v>
      </c>
      <c r="K14" s="24">
        <f>SUM('Sprint 3'!J19:P19)</f>
        <v>0</v>
      </c>
      <c r="L14" s="24">
        <f>SUM('Sprint 4'!C19:I19)</f>
        <v>0</v>
      </c>
      <c r="M14" s="24">
        <f>SUM('Sprint 4'!J19:P19)</f>
        <v>0</v>
      </c>
      <c r="N14" s="44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4"/>
      <c r="B15" s="8" t="str">
        <f xml:space="preserve"> CONCATENATE(Setup!$B$9, ", ", LEFT(Setup!$C$9,2))</f>
        <v>Martz, NM</v>
      </c>
      <c r="C15" s="24">
        <f>SUM('Sprint 0'!C20:I20)</f>
        <v>0</v>
      </c>
      <c r="D15" s="24">
        <f>SUM('Sprint 0'!J20:P20)</f>
        <v>0</v>
      </c>
      <c r="E15" s="24">
        <f>SUM('Sprint 0'!Q20:W20)</f>
        <v>1</v>
      </c>
      <c r="F15" s="24">
        <f>SUM('Sprint 1'!C20:I20)</f>
        <v>0</v>
      </c>
      <c r="G15" s="24">
        <f>SUM('Sprint 1'!J20:P20)</f>
        <v>0</v>
      </c>
      <c r="H15" s="24">
        <f>SUM('Sprint 2'!C20:I20)</f>
        <v>0</v>
      </c>
      <c r="I15" s="24">
        <f>SUM('Sprint 2'!J20:P20)</f>
        <v>0</v>
      </c>
      <c r="J15" s="24">
        <f>SUM('Sprint 3'!C20:I20)</f>
        <v>0</v>
      </c>
      <c r="K15" s="24">
        <f>SUM('Sprint 3'!J20:P20)</f>
        <v>0</v>
      </c>
      <c r="L15" s="24">
        <f>SUM('Sprint 4'!C20:I20)</f>
        <v>0</v>
      </c>
      <c r="M15" s="24">
        <f>SUM('Sprint 4'!J20:P20)</f>
        <v>0</v>
      </c>
      <c r="N15" s="44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4"/>
      <c r="B16" s="8" t="str">
        <f xml:space="preserve"> CONCATENATE(Setup!$B$10, ", ", LEFT(Setup!$C$10,2))</f>
        <v>Glosecki, MG</v>
      </c>
      <c r="C16" s="24">
        <f>SUM('Sprint 0'!C21:I21)</f>
        <v>0</v>
      </c>
      <c r="D16" s="24">
        <f>SUM('Sprint 0'!J21:P21)</f>
        <v>0</v>
      </c>
      <c r="E16" s="24">
        <f>SUM('Sprint 0'!Q21:W21)</f>
        <v>1</v>
      </c>
      <c r="F16" s="24">
        <f>SUM('Sprint 1'!C21:I21)</f>
        <v>0</v>
      </c>
      <c r="G16" s="24">
        <f>SUM('Sprint 1'!J21:P21)</f>
        <v>0</v>
      </c>
      <c r="H16" s="24">
        <f>SUM('Sprint 2'!C21:I21)</f>
        <v>0</v>
      </c>
      <c r="I16" s="24">
        <f>SUM('Sprint 2'!J21:P21)</f>
        <v>0</v>
      </c>
      <c r="J16" s="24">
        <f>SUM('Sprint 3'!C21:I21)</f>
        <v>0</v>
      </c>
      <c r="K16" s="24">
        <f>SUM('Sprint 3'!J21:P21)</f>
        <v>0</v>
      </c>
      <c r="L16" s="24">
        <f>SUM('Sprint 4'!C21:I21)</f>
        <v>0</v>
      </c>
      <c r="M16" s="24">
        <f>SUM('Sprint 4'!J21:P21)</f>
        <v>0</v>
      </c>
      <c r="N16" s="44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4"/>
      <c r="B17" s="9" t="s">
        <v>19</v>
      </c>
      <c r="C17" s="21">
        <f xml:space="preserve"> SUM(C13:C16)</f>
        <v>0</v>
      </c>
      <c r="D17" s="21">
        <f t="shared" ref="D17" si="4" xml:space="preserve"> SUM(D13:D16)</f>
        <v>0</v>
      </c>
      <c r="E17" s="21">
        <f t="shared" ref="E17" si="5" xml:space="preserve"> SUM(E13:E16)</f>
        <v>4</v>
      </c>
      <c r="F17" s="21">
        <f t="shared" ref="F17" si="6" xml:space="preserve"> SUM(F13:F16)</f>
        <v>0</v>
      </c>
      <c r="G17" s="21">
        <f t="shared" ref="G17" si="7" xml:space="preserve"> SUM(G13:G16)</f>
        <v>0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6">
        <f>SUM(N13:N16)</f>
        <v>0</v>
      </c>
      <c r="O17" s="64">
        <f t="shared" ref="O17" si="14">SUM(O13:O16)</f>
        <v>0</v>
      </c>
      <c r="P17" s="64">
        <f t="shared" ref="P17" si="15">SUM(P13:P16)</f>
        <v>0</v>
      </c>
      <c r="Q17" s="64">
        <f t="shared" ref="Q17" si="16">SUM(Q13:Q16)</f>
        <v>0</v>
      </c>
      <c r="R17" s="64">
        <f t="shared" ref="R17" si="17">SUM(R13:R16)</f>
        <v>0</v>
      </c>
      <c r="S17" s="64">
        <f t="shared" ref="S17" si="18">SUM(S13:S16)</f>
        <v>0</v>
      </c>
      <c r="T17" s="64">
        <f t="shared" ref="T17" si="19">SUM(T13:T16)</f>
        <v>0</v>
      </c>
      <c r="U17" s="64">
        <f t="shared" ref="U17" si="20">SUM(U13:U16)</f>
        <v>0</v>
      </c>
      <c r="V17" s="64">
        <f t="shared" ref="V17" si="21">SUM(V13:V16)</f>
        <v>0</v>
      </c>
      <c r="W17" s="64">
        <f t="shared" ref="W17" si="22">SUM(W13:W16)</f>
        <v>0</v>
      </c>
      <c r="X17" s="64">
        <f t="shared" ref="X17" si="23">SUM(X13:X16)</f>
        <v>0</v>
      </c>
      <c r="Y17" s="64">
        <f t="shared" ref="Y17" si="24">SUM(Y13:Y16)</f>
        <v>0</v>
      </c>
    </row>
    <row r="18" spans="1:25" x14ac:dyDescent="0.25">
      <c r="M18" s="47"/>
      <c r="N18" s="48"/>
    </row>
    <row r="19" spans="1:25" x14ac:dyDescent="0.25">
      <c r="A19" s="75" t="s">
        <v>21</v>
      </c>
      <c r="B19" s="8" t="str">
        <f xml:space="preserve"> CONCATENATE(Setup!$B$7, ", ", LEFT(Setup!$C$7,2))</f>
        <v>Eck, ME</v>
      </c>
      <c r="C19" s="24">
        <f xml:space="preserve"> C7 + C13</f>
        <v>4.75</v>
      </c>
      <c r="D19" s="24">
        <f xml:space="preserve"> C19 + D7 + D13</f>
        <v>9.75</v>
      </c>
      <c r="E19" s="24">
        <f t="shared" ref="E19:Y22" si="25" xml:space="preserve"> D19 + E7 + E13</f>
        <v>16.25</v>
      </c>
      <c r="F19" s="24">
        <f t="shared" si="25"/>
        <v>22.75</v>
      </c>
      <c r="G19" s="24">
        <f t="shared" si="25"/>
        <v>24.75</v>
      </c>
      <c r="H19" s="24">
        <f t="shared" si="25"/>
        <v>30.75</v>
      </c>
      <c r="I19" s="24">
        <f t="shared" si="25"/>
        <v>38.75</v>
      </c>
      <c r="J19" s="24">
        <f t="shared" si="25"/>
        <v>51</v>
      </c>
      <c r="K19" s="24">
        <f t="shared" si="25"/>
        <v>61.5</v>
      </c>
      <c r="L19" s="24">
        <f t="shared" si="25"/>
        <v>72</v>
      </c>
      <c r="M19" s="24">
        <f t="shared" si="25"/>
        <v>76</v>
      </c>
      <c r="N19" s="24">
        <f t="shared" si="25"/>
        <v>82</v>
      </c>
      <c r="O19" s="24">
        <f t="shared" si="25"/>
        <v>93</v>
      </c>
      <c r="P19" s="24">
        <f t="shared" si="25"/>
        <v>93</v>
      </c>
      <c r="Q19" s="24">
        <f t="shared" si="25"/>
        <v>93</v>
      </c>
      <c r="R19" s="24">
        <f t="shared" si="25"/>
        <v>93</v>
      </c>
      <c r="S19" s="24">
        <f t="shared" si="25"/>
        <v>93</v>
      </c>
      <c r="T19" s="24">
        <f t="shared" si="25"/>
        <v>93</v>
      </c>
      <c r="U19" s="24">
        <f t="shared" si="25"/>
        <v>93</v>
      </c>
      <c r="V19" s="24">
        <f t="shared" si="25"/>
        <v>93</v>
      </c>
      <c r="W19" s="24">
        <f t="shared" si="25"/>
        <v>93</v>
      </c>
      <c r="X19" s="24">
        <f t="shared" si="25"/>
        <v>93</v>
      </c>
      <c r="Y19" s="24">
        <f t="shared" si="25"/>
        <v>93</v>
      </c>
    </row>
    <row r="20" spans="1:25" x14ac:dyDescent="0.25">
      <c r="A20" s="75"/>
      <c r="B20" s="8" t="str">
        <f xml:space="preserve"> CONCATENATE(Setup!$B$8, ", ", LEFT(Setup!$C$8,2))</f>
        <v>Schroeder, RS</v>
      </c>
      <c r="C20" s="24">
        <f t="shared" ref="C20:C22" si="26" xml:space="preserve"> C8 + C14</f>
        <v>4.25</v>
      </c>
      <c r="D20" s="24">
        <f t="shared" ref="D20:S22" si="27" xml:space="preserve"> C20 + D8 + D14</f>
        <v>8.75</v>
      </c>
      <c r="E20" s="24">
        <f t="shared" si="27"/>
        <v>14.75</v>
      </c>
      <c r="F20" s="24">
        <f t="shared" si="27"/>
        <v>21.25</v>
      </c>
      <c r="G20" s="24">
        <f t="shared" si="27"/>
        <v>24</v>
      </c>
      <c r="H20" s="24">
        <f t="shared" si="27"/>
        <v>30</v>
      </c>
      <c r="I20" s="24">
        <f t="shared" si="27"/>
        <v>38</v>
      </c>
      <c r="J20" s="24">
        <f t="shared" si="27"/>
        <v>43.5</v>
      </c>
      <c r="K20" s="24">
        <f t="shared" si="27"/>
        <v>57.5</v>
      </c>
      <c r="L20" s="24">
        <f t="shared" si="27"/>
        <v>57.5</v>
      </c>
      <c r="M20" s="24">
        <f t="shared" si="27"/>
        <v>57.5</v>
      </c>
      <c r="N20" s="24">
        <f t="shared" si="27"/>
        <v>63.5</v>
      </c>
      <c r="O20" s="24">
        <f t="shared" si="27"/>
        <v>73.5</v>
      </c>
      <c r="P20" s="24">
        <f t="shared" si="27"/>
        <v>80.5</v>
      </c>
      <c r="Q20" s="24">
        <f t="shared" si="27"/>
        <v>88.5</v>
      </c>
      <c r="R20" s="24">
        <f t="shared" si="27"/>
        <v>88.5</v>
      </c>
      <c r="S20" s="24">
        <f t="shared" si="27"/>
        <v>88.5</v>
      </c>
      <c r="T20" s="24">
        <f t="shared" si="25"/>
        <v>88.5</v>
      </c>
      <c r="U20" s="24">
        <f t="shared" si="25"/>
        <v>88.5</v>
      </c>
      <c r="V20" s="24">
        <f t="shared" si="25"/>
        <v>88.5</v>
      </c>
      <c r="W20" s="24">
        <f t="shared" si="25"/>
        <v>88.5</v>
      </c>
      <c r="X20" s="24">
        <f t="shared" si="25"/>
        <v>88.5</v>
      </c>
      <c r="Y20" s="24">
        <f t="shared" si="25"/>
        <v>88.5</v>
      </c>
    </row>
    <row r="21" spans="1:25" x14ac:dyDescent="0.25">
      <c r="A21" s="75"/>
      <c r="B21" s="8" t="str">
        <f xml:space="preserve"> CONCATENATE(Setup!$B$9, ", ", LEFT(Setup!$C$9,2))</f>
        <v>Martz, NM</v>
      </c>
      <c r="C21" s="24">
        <f t="shared" si="26"/>
        <v>5.25</v>
      </c>
      <c r="D21" s="24">
        <f t="shared" si="27"/>
        <v>10.75</v>
      </c>
      <c r="E21" s="24">
        <f t="shared" si="25"/>
        <v>17.25</v>
      </c>
      <c r="F21" s="24">
        <f t="shared" si="25"/>
        <v>24.25</v>
      </c>
      <c r="G21" s="24">
        <f t="shared" si="25"/>
        <v>26.75</v>
      </c>
      <c r="H21" s="24">
        <f t="shared" si="25"/>
        <v>37.75</v>
      </c>
      <c r="I21" s="24">
        <f t="shared" si="25"/>
        <v>47</v>
      </c>
      <c r="J21" s="24">
        <f t="shared" si="25"/>
        <v>57</v>
      </c>
      <c r="K21" s="24">
        <f t="shared" si="25"/>
        <v>65</v>
      </c>
      <c r="L21" s="24">
        <f t="shared" si="25"/>
        <v>65</v>
      </c>
      <c r="M21" s="24">
        <f t="shared" si="25"/>
        <v>65</v>
      </c>
      <c r="N21" s="24">
        <f t="shared" si="25"/>
        <v>73</v>
      </c>
      <c r="O21" s="24">
        <f t="shared" si="25"/>
        <v>81</v>
      </c>
      <c r="P21" s="24">
        <f t="shared" si="25"/>
        <v>88</v>
      </c>
      <c r="Q21" s="24">
        <f t="shared" si="25"/>
        <v>88</v>
      </c>
      <c r="R21" s="24">
        <f t="shared" si="25"/>
        <v>88</v>
      </c>
      <c r="S21" s="24">
        <f t="shared" si="25"/>
        <v>88</v>
      </c>
      <c r="T21" s="24">
        <f t="shared" si="25"/>
        <v>88</v>
      </c>
      <c r="U21" s="24">
        <f t="shared" si="25"/>
        <v>88</v>
      </c>
      <c r="V21" s="24">
        <f t="shared" si="25"/>
        <v>88</v>
      </c>
      <c r="W21" s="24">
        <f t="shared" si="25"/>
        <v>88</v>
      </c>
      <c r="X21" s="24">
        <f t="shared" si="25"/>
        <v>88</v>
      </c>
      <c r="Y21" s="24">
        <f t="shared" si="25"/>
        <v>88</v>
      </c>
    </row>
    <row r="22" spans="1:25" x14ac:dyDescent="0.25">
      <c r="A22" s="75"/>
      <c r="B22" s="8" t="str">
        <f xml:space="preserve"> CONCATENATE(Setup!$B$10, ", ", LEFT(Setup!$C$10,2))</f>
        <v>Glosecki, MG</v>
      </c>
      <c r="C22" s="24">
        <f t="shared" si="26"/>
        <v>3</v>
      </c>
      <c r="D22" s="24">
        <f t="shared" si="27"/>
        <v>8</v>
      </c>
      <c r="E22" s="24">
        <f t="shared" si="25"/>
        <v>13.5</v>
      </c>
      <c r="F22" s="24">
        <f t="shared" si="25"/>
        <v>18.5</v>
      </c>
      <c r="G22" s="24">
        <f t="shared" si="25"/>
        <v>20.5</v>
      </c>
      <c r="H22" s="24">
        <f t="shared" si="25"/>
        <v>23.5</v>
      </c>
      <c r="I22" s="24">
        <f t="shared" si="25"/>
        <v>32.75</v>
      </c>
      <c r="J22" s="24">
        <f t="shared" si="25"/>
        <v>40.75</v>
      </c>
      <c r="K22" s="24">
        <f t="shared" si="25"/>
        <v>50.25</v>
      </c>
      <c r="L22" s="24">
        <f t="shared" si="25"/>
        <v>58.75</v>
      </c>
      <c r="M22" s="24">
        <f t="shared" si="25"/>
        <v>70.75</v>
      </c>
      <c r="N22" s="24">
        <f t="shared" si="25"/>
        <v>76.75</v>
      </c>
      <c r="O22" s="24">
        <f t="shared" si="25"/>
        <v>84.75</v>
      </c>
      <c r="P22" s="24">
        <f t="shared" si="25"/>
        <v>84.75</v>
      </c>
      <c r="Q22" s="24">
        <f t="shared" si="25"/>
        <v>84.75</v>
      </c>
      <c r="R22" s="24">
        <f t="shared" si="25"/>
        <v>84.75</v>
      </c>
      <c r="S22" s="24">
        <f t="shared" si="25"/>
        <v>84.75</v>
      </c>
      <c r="T22" s="24">
        <f t="shared" si="25"/>
        <v>84.75</v>
      </c>
      <c r="U22" s="24">
        <f t="shared" si="25"/>
        <v>84.75</v>
      </c>
      <c r="V22" s="24">
        <f t="shared" si="25"/>
        <v>84.75</v>
      </c>
      <c r="W22" s="24">
        <f t="shared" si="25"/>
        <v>84.75</v>
      </c>
      <c r="X22" s="24">
        <f t="shared" si="25"/>
        <v>84.75</v>
      </c>
      <c r="Y22" s="24">
        <f t="shared" si="25"/>
        <v>84.75</v>
      </c>
    </row>
    <row r="23" spans="1:25" ht="15.75" x14ac:dyDescent="0.25">
      <c r="A23" s="75"/>
      <c r="B23" s="9" t="s">
        <v>19</v>
      </c>
      <c r="C23" s="21">
        <f xml:space="preserve"> C11 + C17</f>
        <v>17.25</v>
      </c>
      <c r="D23" s="21">
        <f xml:space="preserve"> C23 + D11 + D17</f>
        <v>37.25</v>
      </c>
      <c r="E23" s="21">
        <f t="shared" ref="E23:Y23" si="28" xml:space="preserve"> D23 + E11 + E17</f>
        <v>61.75</v>
      </c>
      <c r="F23" s="21">
        <f t="shared" si="28"/>
        <v>86.75</v>
      </c>
      <c r="G23" s="21">
        <f t="shared" si="28"/>
        <v>96</v>
      </c>
      <c r="H23" s="21">
        <f t="shared" si="28"/>
        <v>122</v>
      </c>
      <c r="I23" s="21">
        <f t="shared" si="28"/>
        <v>156.5</v>
      </c>
      <c r="J23" s="21">
        <f t="shared" si="28"/>
        <v>192.25</v>
      </c>
      <c r="K23" s="21">
        <f t="shared" si="28"/>
        <v>234.25</v>
      </c>
      <c r="L23" s="21">
        <f t="shared" si="28"/>
        <v>253.25</v>
      </c>
      <c r="M23" s="45">
        <f t="shared" si="28"/>
        <v>269.25</v>
      </c>
      <c r="N23" s="46">
        <f t="shared" si="28"/>
        <v>295.25</v>
      </c>
      <c r="O23" s="21">
        <f t="shared" si="28"/>
        <v>332.25</v>
      </c>
      <c r="P23" s="21">
        <f t="shared" si="28"/>
        <v>346.25</v>
      </c>
      <c r="Q23" s="21">
        <f t="shared" si="28"/>
        <v>354.25</v>
      </c>
      <c r="R23" s="21">
        <f t="shared" si="28"/>
        <v>354.25</v>
      </c>
      <c r="S23" s="21">
        <f t="shared" si="28"/>
        <v>354.25</v>
      </c>
      <c r="T23" s="21">
        <f t="shared" si="28"/>
        <v>354.25</v>
      </c>
      <c r="U23" s="21">
        <f t="shared" si="28"/>
        <v>354.25</v>
      </c>
      <c r="V23" s="21">
        <f t="shared" si="28"/>
        <v>354.25</v>
      </c>
      <c r="W23" s="21">
        <f t="shared" si="28"/>
        <v>354.25</v>
      </c>
      <c r="X23" s="21">
        <f t="shared" si="28"/>
        <v>354.25</v>
      </c>
      <c r="Y23" s="21">
        <f t="shared" si="28"/>
        <v>354.25</v>
      </c>
    </row>
    <row r="24" spans="1:25" ht="15.75" x14ac:dyDescent="0.25">
      <c r="A24" s="19"/>
      <c r="B24" s="20"/>
      <c r="M24" s="47"/>
      <c r="N24" s="48"/>
    </row>
    <row r="25" spans="1:25" x14ac:dyDescent="0.25">
      <c r="A25" s="75" t="s">
        <v>22</v>
      </c>
      <c r="B25" s="8" t="str">
        <f xml:space="preserve"> CONCATENATE(Setup!$B$7, ", ", LEFT(Setup!$C$7,2))</f>
        <v>Eck, ME</v>
      </c>
      <c r="C25" s="28">
        <f xml:space="preserve"> C19 / C$6</f>
        <v>4.75</v>
      </c>
      <c r="D25" s="28">
        <f t="shared" ref="D25:E25" si="29" xml:space="preserve"> D19 / D$6</f>
        <v>4.875</v>
      </c>
      <c r="E25" s="28">
        <f t="shared" si="29"/>
        <v>5.416666666666667</v>
      </c>
      <c r="F25" s="28">
        <f t="shared" ref="F25:Y25" si="30" xml:space="preserve"> F19 / F$6</f>
        <v>5.6875</v>
      </c>
      <c r="G25" s="28">
        <f t="shared" si="30"/>
        <v>4.95</v>
      </c>
      <c r="H25" s="28">
        <f t="shared" si="30"/>
        <v>5.125</v>
      </c>
      <c r="I25" s="28">
        <f t="shared" si="30"/>
        <v>5.5357142857142856</v>
      </c>
      <c r="J25" s="28">
        <f t="shared" si="30"/>
        <v>6.375</v>
      </c>
      <c r="K25" s="28">
        <f t="shared" si="30"/>
        <v>6.833333333333333</v>
      </c>
      <c r="L25" s="28">
        <f t="shared" si="30"/>
        <v>7.2</v>
      </c>
      <c r="M25" s="49">
        <f t="shared" si="30"/>
        <v>6.9090909090909092</v>
      </c>
      <c r="N25" s="50">
        <f t="shared" si="30"/>
        <v>6.833333333333333</v>
      </c>
      <c r="O25" s="28">
        <f t="shared" si="30"/>
        <v>7.1538461538461542</v>
      </c>
      <c r="P25" s="28">
        <f t="shared" si="30"/>
        <v>6.6428571428571432</v>
      </c>
      <c r="Q25" s="28">
        <f t="shared" si="30"/>
        <v>6.2</v>
      </c>
      <c r="R25" s="28">
        <f t="shared" si="30"/>
        <v>5.8125</v>
      </c>
      <c r="S25" s="28">
        <f t="shared" si="30"/>
        <v>5.4705882352941178</v>
      </c>
      <c r="T25" s="28">
        <f t="shared" si="30"/>
        <v>5.166666666666667</v>
      </c>
      <c r="U25" s="28">
        <f t="shared" si="30"/>
        <v>4.8947368421052628</v>
      </c>
      <c r="V25" s="28">
        <f t="shared" si="30"/>
        <v>4.6500000000000004</v>
      </c>
      <c r="W25" s="28">
        <f t="shared" si="30"/>
        <v>4.4285714285714288</v>
      </c>
      <c r="X25" s="28">
        <f t="shared" si="30"/>
        <v>4.2272727272727275</v>
      </c>
      <c r="Y25" s="28">
        <f t="shared" si="30"/>
        <v>4.0434782608695654</v>
      </c>
    </row>
    <row r="26" spans="1:25" x14ac:dyDescent="0.25">
      <c r="A26" s="75"/>
      <c r="B26" s="8" t="str">
        <f xml:space="preserve"> CONCATENATE(Setup!$B$8, ", ", LEFT(Setup!$C$8,2))</f>
        <v>Schroeder, RS</v>
      </c>
      <c r="C26" s="28">
        <f t="shared" ref="C26:E29" si="31" xml:space="preserve"> C20 / C$6</f>
        <v>4.25</v>
      </c>
      <c r="D26" s="28">
        <f t="shared" si="31"/>
        <v>4.375</v>
      </c>
      <c r="E26" s="28">
        <f t="shared" si="31"/>
        <v>4.916666666666667</v>
      </c>
      <c r="F26" s="28">
        <f t="shared" ref="F26:Y26" si="32" xml:space="preserve"> F20 / F$6</f>
        <v>5.3125</v>
      </c>
      <c r="G26" s="28">
        <f t="shared" si="32"/>
        <v>4.8</v>
      </c>
      <c r="H26" s="28">
        <f t="shared" si="32"/>
        <v>5</v>
      </c>
      <c r="I26" s="28">
        <f t="shared" si="32"/>
        <v>5.4285714285714288</v>
      </c>
      <c r="J26" s="28">
        <f t="shared" si="32"/>
        <v>5.4375</v>
      </c>
      <c r="K26" s="28">
        <f t="shared" si="32"/>
        <v>6.3888888888888893</v>
      </c>
      <c r="L26" s="28">
        <f t="shared" si="32"/>
        <v>5.75</v>
      </c>
      <c r="M26" s="49">
        <f t="shared" si="32"/>
        <v>5.2272727272727275</v>
      </c>
      <c r="N26" s="50">
        <f t="shared" si="32"/>
        <v>5.291666666666667</v>
      </c>
      <c r="O26" s="28">
        <f t="shared" si="32"/>
        <v>5.6538461538461542</v>
      </c>
      <c r="P26" s="28">
        <f t="shared" si="32"/>
        <v>5.75</v>
      </c>
      <c r="Q26" s="28">
        <f t="shared" si="32"/>
        <v>5.9</v>
      </c>
      <c r="R26" s="28">
        <f t="shared" si="32"/>
        <v>5.53125</v>
      </c>
      <c r="S26" s="28">
        <f t="shared" si="32"/>
        <v>5.2058823529411766</v>
      </c>
      <c r="T26" s="28">
        <f t="shared" si="32"/>
        <v>4.916666666666667</v>
      </c>
      <c r="U26" s="28">
        <f t="shared" si="32"/>
        <v>4.6578947368421053</v>
      </c>
      <c r="V26" s="28">
        <f t="shared" si="32"/>
        <v>4.4249999999999998</v>
      </c>
      <c r="W26" s="28">
        <f t="shared" si="32"/>
        <v>4.2142857142857144</v>
      </c>
      <c r="X26" s="28">
        <f t="shared" si="32"/>
        <v>4.0227272727272725</v>
      </c>
      <c r="Y26" s="28">
        <f t="shared" si="32"/>
        <v>3.847826086956522</v>
      </c>
    </row>
    <row r="27" spans="1:25" x14ac:dyDescent="0.25">
      <c r="A27" s="75"/>
      <c r="B27" s="8" t="str">
        <f xml:space="preserve"> CONCATENATE(Setup!$B$9, ", ", LEFT(Setup!$C$9,2))</f>
        <v>Martz, NM</v>
      </c>
      <c r="C27" s="28">
        <f t="shared" si="31"/>
        <v>5.25</v>
      </c>
      <c r="D27" s="28">
        <f t="shared" si="31"/>
        <v>5.375</v>
      </c>
      <c r="E27" s="28">
        <f t="shared" si="31"/>
        <v>5.75</v>
      </c>
      <c r="F27" s="28">
        <f t="shared" ref="F27:Y27" si="33" xml:space="preserve"> F21 / F$6</f>
        <v>6.0625</v>
      </c>
      <c r="G27" s="28">
        <f t="shared" si="33"/>
        <v>5.35</v>
      </c>
      <c r="H27" s="28">
        <f t="shared" si="33"/>
        <v>6.291666666666667</v>
      </c>
      <c r="I27" s="28">
        <f t="shared" si="33"/>
        <v>6.7142857142857144</v>
      </c>
      <c r="J27" s="28">
        <f t="shared" si="33"/>
        <v>7.125</v>
      </c>
      <c r="K27" s="28">
        <f t="shared" si="33"/>
        <v>7.2222222222222223</v>
      </c>
      <c r="L27" s="28">
        <f t="shared" si="33"/>
        <v>6.5</v>
      </c>
      <c r="M27" s="49">
        <f t="shared" si="33"/>
        <v>5.9090909090909092</v>
      </c>
      <c r="N27" s="50">
        <f t="shared" si="33"/>
        <v>6.083333333333333</v>
      </c>
      <c r="O27" s="28">
        <f t="shared" si="33"/>
        <v>6.2307692307692308</v>
      </c>
      <c r="P27" s="28">
        <f t="shared" si="33"/>
        <v>6.2857142857142856</v>
      </c>
      <c r="Q27" s="28">
        <f t="shared" si="33"/>
        <v>5.8666666666666663</v>
      </c>
      <c r="R27" s="28">
        <f t="shared" si="33"/>
        <v>5.5</v>
      </c>
      <c r="S27" s="28">
        <f t="shared" si="33"/>
        <v>5.1764705882352944</v>
      </c>
      <c r="T27" s="28">
        <f t="shared" si="33"/>
        <v>4.8888888888888893</v>
      </c>
      <c r="U27" s="28">
        <f t="shared" si="33"/>
        <v>4.6315789473684212</v>
      </c>
      <c r="V27" s="28">
        <f t="shared" si="33"/>
        <v>4.4000000000000004</v>
      </c>
      <c r="W27" s="28">
        <f t="shared" si="33"/>
        <v>4.1904761904761907</v>
      </c>
      <c r="X27" s="28">
        <f t="shared" si="33"/>
        <v>4</v>
      </c>
      <c r="Y27" s="28">
        <f t="shared" si="33"/>
        <v>3.8260869565217392</v>
      </c>
    </row>
    <row r="28" spans="1:25" x14ac:dyDescent="0.25">
      <c r="A28" s="75"/>
      <c r="B28" s="8" t="str">
        <f xml:space="preserve"> CONCATENATE(Setup!$B$10, ", ", LEFT(Setup!$C$10,2))</f>
        <v>Glosecki, MG</v>
      </c>
      <c r="C28" s="28">
        <f t="shared" si="31"/>
        <v>3</v>
      </c>
      <c r="D28" s="28">
        <f t="shared" si="31"/>
        <v>4</v>
      </c>
      <c r="E28" s="28">
        <f t="shared" si="31"/>
        <v>4.5</v>
      </c>
      <c r="F28" s="28">
        <f t="shared" ref="F28:Y28" si="34" xml:space="preserve"> F22 / F$6</f>
        <v>4.625</v>
      </c>
      <c r="G28" s="28">
        <f t="shared" si="34"/>
        <v>4.0999999999999996</v>
      </c>
      <c r="H28" s="28">
        <f t="shared" si="34"/>
        <v>3.9166666666666665</v>
      </c>
      <c r="I28" s="28">
        <f t="shared" si="34"/>
        <v>4.6785714285714288</v>
      </c>
      <c r="J28" s="28">
        <f t="shared" si="34"/>
        <v>5.09375</v>
      </c>
      <c r="K28" s="28">
        <f t="shared" si="34"/>
        <v>5.583333333333333</v>
      </c>
      <c r="L28" s="28">
        <f t="shared" si="34"/>
        <v>5.875</v>
      </c>
      <c r="M28" s="49">
        <f t="shared" si="34"/>
        <v>6.4318181818181817</v>
      </c>
      <c r="N28" s="50">
        <f t="shared" si="34"/>
        <v>6.395833333333333</v>
      </c>
      <c r="O28" s="28">
        <f t="shared" si="34"/>
        <v>6.5192307692307692</v>
      </c>
      <c r="P28" s="28">
        <f t="shared" si="34"/>
        <v>6.0535714285714288</v>
      </c>
      <c r="Q28" s="28">
        <f t="shared" si="34"/>
        <v>5.65</v>
      </c>
      <c r="R28" s="28">
        <f t="shared" si="34"/>
        <v>5.296875</v>
      </c>
      <c r="S28" s="28">
        <f t="shared" si="34"/>
        <v>4.9852941176470589</v>
      </c>
      <c r="T28" s="28">
        <f t="shared" si="34"/>
        <v>4.708333333333333</v>
      </c>
      <c r="U28" s="28">
        <f t="shared" si="34"/>
        <v>4.4605263157894735</v>
      </c>
      <c r="V28" s="28">
        <f t="shared" si="34"/>
        <v>4.2374999999999998</v>
      </c>
      <c r="W28" s="28">
        <f t="shared" si="34"/>
        <v>4.0357142857142856</v>
      </c>
      <c r="X28" s="28">
        <f t="shared" si="34"/>
        <v>3.8522727272727271</v>
      </c>
      <c r="Y28" s="28">
        <f t="shared" si="34"/>
        <v>3.6847826086956523</v>
      </c>
    </row>
    <row r="29" spans="1:25" ht="15.75" x14ac:dyDescent="0.25">
      <c r="A29" s="75"/>
      <c r="B29" s="9" t="s">
        <v>19</v>
      </c>
      <c r="C29" s="29">
        <f t="shared" si="31"/>
        <v>17.25</v>
      </c>
      <c r="D29" s="29">
        <f t="shared" si="31"/>
        <v>18.625</v>
      </c>
      <c r="E29" s="29">
        <f t="shared" si="31"/>
        <v>20.583333333333332</v>
      </c>
      <c r="F29" s="29">
        <f t="shared" ref="F29:Y29" si="35" xml:space="preserve"> F23 / F$6</f>
        <v>21.6875</v>
      </c>
      <c r="G29" s="29">
        <f t="shared" si="35"/>
        <v>19.2</v>
      </c>
      <c r="H29" s="29">
        <f t="shared" si="35"/>
        <v>20.333333333333332</v>
      </c>
      <c r="I29" s="29">
        <f t="shared" si="35"/>
        <v>22.357142857142858</v>
      </c>
      <c r="J29" s="29">
        <f t="shared" si="35"/>
        <v>24.03125</v>
      </c>
      <c r="K29" s="29">
        <f t="shared" si="35"/>
        <v>26.027777777777779</v>
      </c>
      <c r="L29" s="29">
        <f t="shared" si="35"/>
        <v>25.324999999999999</v>
      </c>
      <c r="M29" s="51">
        <f t="shared" si="35"/>
        <v>24.477272727272727</v>
      </c>
      <c r="N29" s="52">
        <f t="shared" si="35"/>
        <v>24.604166666666668</v>
      </c>
      <c r="O29" s="29">
        <f t="shared" si="35"/>
        <v>25.557692307692307</v>
      </c>
      <c r="P29" s="29">
        <f t="shared" si="35"/>
        <v>24.732142857142858</v>
      </c>
      <c r="Q29" s="29">
        <f t="shared" si="35"/>
        <v>23.616666666666667</v>
      </c>
      <c r="R29" s="29">
        <f t="shared" si="35"/>
        <v>22.140625</v>
      </c>
      <c r="S29" s="29">
        <f t="shared" si="35"/>
        <v>20.838235294117649</v>
      </c>
      <c r="T29" s="29">
        <f t="shared" si="35"/>
        <v>19.680555555555557</v>
      </c>
      <c r="U29" s="29">
        <f t="shared" si="35"/>
        <v>18.644736842105264</v>
      </c>
      <c r="V29" s="29">
        <f t="shared" si="35"/>
        <v>17.712499999999999</v>
      </c>
      <c r="W29" s="29">
        <f t="shared" si="35"/>
        <v>16.86904761904762</v>
      </c>
      <c r="X29" s="29">
        <f t="shared" si="35"/>
        <v>16.102272727272727</v>
      </c>
      <c r="Y29" s="29">
        <f t="shared" si="35"/>
        <v>15.402173913043478</v>
      </c>
    </row>
    <row r="78" spans="2:25" x14ac:dyDescent="0.25">
      <c r="B78" t="s">
        <v>23</v>
      </c>
      <c r="C78" t="s">
        <v>24</v>
      </c>
      <c r="D78" t="s">
        <v>25</v>
      </c>
      <c r="E78" t="s">
        <v>26</v>
      </c>
    </row>
    <row r="79" spans="2:25" x14ac:dyDescent="0.25">
      <c r="C79">
        <v>580</v>
      </c>
      <c r="D79" s="24">
        <f>X23</f>
        <v>354.25</v>
      </c>
      <c r="E79">
        <f>C79/Y80</f>
        <v>25.217391304347824</v>
      </c>
    </row>
    <row r="80" spans="2:25" x14ac:dyDescent="0.25">
      <c r="B80" t="s">
        <v>27</v>
      </c>
      <c r="C80" s="7">
        <v>1</v>
      </c>
      <c r="D80" s="7">
        <v>2</v>
      </c>
      <c r="E80" s="7">
        <v>3</v>
      </c>
      <c r="F80" s="7">
        <v>4</v>
      </c>
      <c r="G80" s="7">
        <v>5</v>
      </c>
      <c r="H80" s="7">
        <v>6</v>
      </c>
      <c r="I80" s="7">
        <v>7</v>
      </c>
      <c r="J80" s="7">
        <v>8</v>
      </c>
      <c r="K80" s="7">
        <v>9</v>
      </c>
      <c r="L80" s="7">
        <v>10</v>
      </c>
      <c r="M80" s="42">
        <v>11</v>
      </c>
      <c r="N80" s="43">
        <v>12</v>
      </c>
      <c r="O80" s="7">
        <v>13</v>
      </c>
      <c r="P80" s="7">
        <v>14</v>
      </c>
      <c r="Q80" s="7">
        <v>15</v>
      </c>
      <c r="R80" s="7">
        <v>16</v>
      </c>
      <c r="S80" s="7">
        <v>17</v>
      </c>
      <c r="T80" s="7">
        <v>18</v>
      </c>
      <c r="U80" s="7">
        <v>19</v>
      </c>
      <c r="V80" s="7">
        <v>20</v>
      </c>
      <c r="W80" s="7">
        <v>21</v>
      </c>
      <c r="X80" s="7">
        <v>22</v>
      </c>
      <c r="Y80" s="7">
        <v>23</v>
      </c>
    </row>
    <row r="81" spans="2:25" x14ac:dyDescent="0.25">
      <c r="B81" t="s">
        <v>28</v>
      </c>
      <c r="C81" s="24">
        <f>C23</f>
        <v>17.25</v>
      </c>
      <c r="D81" s="24">
        <f>D23</f>
        <v>37.25</v>
      </c>
      <c r="E81" s="24">
        <f>E23</f>
        <v>61.75</v>
      </c>
      <c r="F81" s="24">
        <f t="shared" ref="F81:X81" si="36">F23</f>
        <v>86.75</v>
      </c>
      <c r="G81" s="24">
        <f t="shared" si="36"/>
        <v>96</v>
      </c>
      <c r="H81" s="24">
        <f t="shared" si="36"/>
        <v>122</v>
      </c>
      <c r="I81" s="24">
        <f t="shared" si="36"/>
        <v>156.5</v>
      </c>
      <c r="J81" s="24">
        <f t="shared" si="36"/>
        <v>192.25</v>
      </c>
      <c r="K81" s="24">
        <f t="shared" si="36"/>
        <v>234.25</v>
      </c>
      <c r="L81" s="24">
        <f t="shared" si="36"/>
        <v>253.25</v>
      </c>
      <c r="M81" s="24">
        <f t="shared" si="36"/>
        <v>269.25</v>
      </c>
      <c r="N81" s="24">
        <f t="shared" si="36"/>
        <v>295.25</v>
      </c>
      <c r="O81" s="24">
        <f t="shared" si="36"/>
        <v>332.25</v>
      </c>
      <c r="P81" s="24">
        <f t="shared" si="36"/>
        <v>346.25</v>
      </c>
      <c r="Q81" s="24">
        <f t="shared" si="36"/>
        <v>354.25</v>
      </c>
      <c r="R81" s="24">
        <f t="shared" si="36"/>
        <v>354.25</v>
      </c>
      <c r="S81" s="24">
        <f t="shared" si="36"/>
        <v>354.25</v>
      </c>
      <c r="T81" s="24">
        <f t="shared" si="36"/>
        <v>354.25</v>
      </c>
      <c r="U81" s="24">
        <f t="shared" si="36"/>
        <v>354.25</v>
      </c>
      <c r="V81" s="24">
        <f t="shared" si="36"/>
        <v>354.25</v>
      </c>
      <c r="W81" s="24">
        <f t="shared" si="36"/>
        <v>354.25</v>
      </c>
      <c r="X81" s="24">
        <f t="shared" si="36"/>
        <v>354.25</v>
      </c>
      <c r="Y81" s="24">
        <f>Y23</f>
        <v>354.25</v>
      </c>
    </row>
    <row r="82" spans="2:25" x14ac:dyDescent="0.25">
      <c r="B82" t="s">
        <v>29</v>
      </c>
      <c r="C82">
        <f>E79*C80</f>
        <v>25.217391304347824</v>
      </c>
      <c r="D82">
        <f>E79*D80</f>
        <v>50.434782608695649</v>
      </c>
      <c r="E82">
        <f>E79*E80</f>
        <v>75.65217391304347</v>
      </c>
      <c r="F82">
        <f>E79*F80</f>
        <v>100.8695652173913</v>
      </c>
      <c r="G82">
        <f>E79*G80</f>
        <v>126.08695652173913</v>
      </c>
      <c r="H82">
        <f>E79*H80</f>
        <v>151.30434782608694</v>
      </c>
      <c r="I82">
        <f>E79*I80</f>
        <v>176.52173913043478</v>
      </c>
      <c r="J82">
        <f>E79*J80</f>
        <v>201.7391304347826</v>
      </c>
      <c r="K82">
        <f>E79*K80</f>
        <v>226.95652173913041</v>
      </c>
      <c r="L82">
        <f>E79*L80</f>
        <v>252.17391304347825</v>
      </c>
      <c r="M82">
        <f>E79*M80</f>
        <v>277.39130434782606</v>
      </c>
      <c r="N82">
        <f>N80*E79</f>
        <v>302.60869565217388</v>
      </c>
      <c r="O82">
        <f>E79*O80</f>
        <v>327.82608695652169</v>
      </c>
      <c r="P82">
        <f>E79*P80</f>
        <v>353.04347826086956</v>
      </c>
      <c r="Q82">
        <f>E79*Q80</f>
        <v>378.26086956521738</v>
      </c>
      <c r="R82">
        <f>E79*R80</f>
        <v>403.47826086956519</v>
      </c>
      <c r="S82">
        <f>E79*S80</f>
        <v>428.695652173913</v>
      </c>
      <c r="T82">
        <f>E79*T80</f>
        <v>453.91304347826082</v>
      </c>
      <c r="U82">
        <f>E79*U80</f>
        <v>479.13043478260869</v>
      </c>
      <c r="V82">
        <f>E79*V80</f>
        <v>504.3478260869565</v>
      </c>
      <c r="W82">
        <f>E79*W80</f>
        <v>529.56521739130426</v>
      </c>
      <c r="X82">
        <f>E79*X80</f>
        <v>554.78260869565213</v>
      </c>
      <c r="Y82">
        <f>E79*Y80</f>
        <v>580</v>
      </c>
    </row>
    <row r="83" spans="2:25" x14ac:dyDescent="0.25">
      <c r="B83" t="s">
        <v>30</v>
      </c>
      <c r="C83">
        <f>C79-C82</f>
        <v>554.78260869565213</v>
      </c>
      <c r="D83">
        <f>C79-D82</f>
        <v>529.56521739130437</v>
      </c>
      <c r="E83">
        <f>C79-E82</f>
        <v>504.3478260869565</v>
      </c>
      <c r="F83">
        <f>C79-F82</f>
        <v>479.13043478260869</v>
      </c>
      <c r="G83">
        <f>C79-G82</f>
        <v>453.91304347826087</v>
      </c>
      <c r="H83">
        <f>C79-H82</f>
        <v>428.69565217391306</v>
      </c>
      <c r="I83">
        <f>C79-I82</f>
        <v>403.47826086956525</v>
      </c>
      <c r="J83">
        <f>C79-J82</f>
        <v>378.26086956521738</v>
      </c>
      <c r="K83">
        <f>C79-K82</f>
        <v>353.04347826086962</v>
      </c>
      <c r="L83">
        <f>C79-L82</f>
        <v>327.82608695652175</v>
      </c>
      <c r="M83">
        <f>C79-M82</f>
        <v>302.60869565217394</v>
      </c>
      <c r="N83">
        <f>C79-N82</f>
        <v>277.39130434782612</v>
      </c>
      <c r="O83">
        <f>C79-O82</f>
        <v>252.17391304347831</v>
      </c>
      <c r="P83">
        <f>C79-P82</f>
        <v>226.95652173913044</v>
      </c>
      <c r="Q83">
        <f>C79-Q82</f>
        <v>201.73913043478262</v>
      </c>
      <c r="R83">
        <f>C79-R82</f>
        <v>176.52173913043481</v>
      </c>
      <c r="S83">
        <f>C79-S82</f>
        <v>151.304347826087</v>
      </c>
      <c r="T83">
        <f>C79-T82</f>
        <v>126.08695652173918</v>
      </c>
      <c r="U83">
        <f>C79-U82</f>
        <v>100.86956521739131</v>
      </c>
      <c r="V83">
        <f>C79-V82</f>
        <v>75.652173913043498</v>
      </c>
      <c r="W83">
        <f>C79-W82</f>
        <v>50.434782608695741</v>
      </c>
      <c r="X83">
        <f>C79-X82</f>
        <v>25.217391304347871</v>
      </c>
      <c r="Y83">
        <f>C79-Y82</f>
        <v>0</v>
      </c>
    </row>
    <row r="84" spans="2:25" x14ac:dyDescent="0.25">
      <c r="B84" t="s">
        <v>31</v>
      </c>
      <c r="C84" s="24">
        <f>C79-C81</f>
        <v>562.75</v>
      </c>
      <c r="D84" s="24">
        <f>C79-D81</f>
        <v>542.75</v>
      </c>
      <c r="E84" s="24">
        <f>C79-E81</f>
        <v>518.25</v>
      </c>
      <c r="F84" s="24">
        <f>C79-F81</f>
        <v>493.25</v>
      </c>
      <c r="G84" s="24">
        <f>C79-G81</f>
        <v>484</v>
      </c>
      <c r="H84" s="24">
        <f>C79-H81</f>
        <v>458</v>
      </c>
      <c r="I84" s="24">
        <f>C79-I81</f>
        <v>423.5</v>
      </c>
      <c r="J84" s="24">
        <f>C79-J81</f>
        <v>387.75</v>
      </c>
      <c r="K84" s="24">
        <f>C79-K81</f>
        <v>345.75</v>
      </c>
      <c r="L84" s="24">
        <f>C79-L81</f>
        <v>326.75</v>
      </c>
      <c r="M84" s="24">
        <f>C79-M81</f>
        <v>310.75</v>
      </c>
      <c r="N84" s="24">
        <f>C79-N81</f>
        <v>284.75</v>
      </c>
      <c r="O84" s="24">
        <f>C79-O81</f>
        <v>247.75</v>
      </c>
      <c r="P84" s="24">
        <f>C79-P81</f>
        <v>233.75</v>
      </c>
      <c r="Q84" s="24">
        <f>C79-Q81</f>
        <v>225.75</v>
      </c>
      <c r="R84" s="24">
        <f>C79-R81</f>
        <v>225.75</v>
      </c>
      <c r="S84" s="24">
        <f>C79-S81</f>
        <v>225.75</v>
      </c>
      <c r="T84" s="24">
        <f>C79-T81</f>
        <v>225.75</v>
      </c>
      <c r="U84" s="24">
        <f>C79-U81</f>
        <v>225.75</v>
      </c>
      <c r="V84" s="24">
        <f>C79-V81</f>
        <v>225.75</v>
      </c>
      <c r="W84" s="24">
        <f>C79-W81</f>
        <v>225.75</v>
      </c>
      <c r="X84" s="24">
        <f>C79-X81</f>
        <v>225.75</v>
      </c>
      <c r="Y84" s="24">
        <f>C79-Y81</f>
        <v>225.75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87"/>
  <sheetViews>
    <sheetView topLeftCell="B70" zoomScaleNormal="100" workbookViewId="0">
      <selection activeCell="C4" sqref="C4"/>
    </sheetView>
  </sheetViews>
  <sheetFormatPr defaultRowHeight="15" x14ac:dyDescent="0.25"/>
  <cols>
    <col min="2" max="2" width="15.7109375" customWidth="1"/>
    <col min="24" max="24" width="12" bestFit="1" customWidth="1"/>
  </cols>
  <sheetData>
    <row r="1" spans="1:23" ht="18.75" x14ac:dyDescent="0.3">
      <c r="C1" s="14" t="s">
        <v>32</v>
      </c>
    </row>
    <row r="2" spans="1:23" ht="18.75" x14ac:dyDescent="0.3">
      <c r="B2" s="25" t="str">
        <f>SheetName</f>
        <v>Sprint 0</v>
      </c>
      <c r="C2" s="26" t="s">
        <v>33</v>
      </c>
    </row>
    <row r="3" spans="1:23" x14ac:dyDescent="0.25">
      <c r="B3" s="30" t="s">
        <v>2</v>
      </c>
      <c r="C3" s="80" t="s">
        <v>34</v>
      </c>
      <c r="D3" s="81"/>
      <c r="E3" s="81"/>
      <c r="F3" s="81"/>
      <c r="G3" s="81"/>
      <c r="H3" s="81"/>
      <c r="I3" s="81"/>
      <c r="J3" s="81" t="s">
        <v>35</v>
      </c>
      <c r="K3" s="81"/>
      <c r="L3" s="81"/>
      <c r="M3" s="81"/>
      <c r="N3" s="81"/>
      <c r="O3" s="81"/>
      <c r="P3" s="81"/>
      <c r="Q3" s="81" t="s">
        <v>36</v>
      </c>
      <c r="R3" s="81"/>
      <c r="S3" s="81"/>
      <c r="T3" s="81"/>
      <c r="U3" s="81"/>
      <c r="V3" s="81"/>
      <c r="W3" s="82"/>
    </row>
    <row r="4" spans="1:23" x14ac:dyDescent="0.25">
      <c r="A4" s="6"/>
      <c r="B4" s="5" t="s">
        <v>37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4">
        <f t="shared" si="0"/>
        <v>42260</v>
      </c>
      <c r="J4" s="55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4">
        <f t="shared" si="0"/>
        <v>42267</v>
      </c>
      <c r="Q4" s="55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  <c r="Q5" s="57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3" t="s">
        <v>39</v>
      </c>
      <c r="B6" s="17" t="str">
        <f xml:space="preserve"> CONCATENATE(Setup!$B$7, ", ", LEFT(Setup!$C$7,2))</f>
        <v>Eck, ME</v>
      </c>
      <c r="C6" s="33">
        <v>0</v>
      </c>
      <c r="D6" s="32">
        <v>1</v>
      </c>
      <c r="E6" s="32">
        <v>1</v>
      </c>
      <c r="F6" s="32">
        <v>0</v>
      </c>
      <c r="G6" s="32">
        <v>0.5</v>
      </c>
      <c r="H6" s="32">
        <v>0</v>
      </c>
      <c r="I6" s="58">
        <v>2.25</v>
      </c>
      <c r="J6" s="59">
        <v>0</v>
      </c>
      <c r="K6" s="32">
        <v>0.75</v>
      </c>
      <c r="L6" s="32">
        <v>0</v>
      </c>
      <c r="M6" s="32">
        <v>3.25</v>
      </c>
      <c r="N6" s="32">
        <v>0</v>
      </c>
      <c r="O6" s="32">
        <v>1</v>
      </c>
      <c r="P6" s="58">
        <v>0</v>
      </c>
      <c r="Q6" s="65">
        <v>2.25</v>
      </c>
      <c r="R6" s="34">
        <v>0</v>
      </c>
      <c r="S6" s="34">
        <v>0</v>
      </c>
      <c r="T6" s="34">
        <v>1.25</v>
      </c>
      <c r="U6" s="34">
        <v>0.5</v>
      </c>
      <c r="V6" s="34">
        <v>1.5</v>
      </c>
      <c r="W6" s="36">
        <v>0</v>
      </c>
    </row>
    <row r="7" spans="1:23" ht="16.5" thickTop="1" thickBot="1" x14ac:dyDescent="0.3">
      <c r="A7" s="83"/>
      <c r="B7" s="17" t="str">
        <f xml:space="preserve"> CONCATENATE(Setup!$B$8, ", ", LEFT(Setup!$C$8,2))</f>
        <v>Schroeder, RS</v>
      </c>
      <c r="C7" s="33">
        <v>0</v>
      </c>
      <c r="D7" s="32">
        <v>1</v>
      </c>
      <c r="E7" s="32">
        <v>1</v>
      </c>
      <c r="F7" s="32">
        <v>0</v>
      </c>
      <c r="G7" s="32">
        <v>0</v>
      </c>
      <c r="H7" s="32">
        <v>0.5</v>
      </c>
      <c r="I7" s="58">
        <v>1.75</v>
      </c>
      <c r="J7" s="59">
        <v>0</v>
      </c>
      <c r="K7" s="32">
        <v>0.75</v>
      </c>
      <c r="L7" s="32">
        <v>0</v>
      </c>
      <c r="M7" s="32">
        <v>3.25</v>
      </c>
      <c r="N7" s="32">
        <v>0</v>
      </c>
      <c r="O7" s="32">
        <v>0.5</v>
      </c>
      <c r="P7" s="58">
        <v>0</v>
      </c>
      <c r="Q7" s="66">
        <v>2.25</v>
      </c>
      <c r="R7" s="31">
        <v>0</v>
      </c>
      <c r="S7" s="31">
        <v>0</v>
      </c>
      <c r="T7" s="31">
        <v>1.25</v>
      </c>
      <c r="U7" s="31">
        <v>1.5</v>
      </c>
      <c r="V7" s="31">
        <v>0</v>
      </c>
      <c r="W7" s="37">
        <v>0</v>
      </c>
    </row>
    <row r="8" spans="1:23" ht="16.5" thickTop="1" thickBot="1" x14ac:dyDescent="0.3">
      <c r="A8" s="83"/>
      <c r="B8" s="17" t="str">
        <f xml:space="preserve"> CONCATENATE(Setup!$B$9, ", ", LEFT(Setup!$C$9,2))</f>
        <v>Martz, NM</v>
      </c>
      <c r="C8" s="33">
        <v>0</v>
      </c>
      <c r="D8" s="32">
        <v>1</v>
      </c>
      <c r="E8" s="32">
        <v>1</v>
      </c>
      <c r="F8" s="32">
        <v>0</v>
      </c>
      <c r="G8" s="32">
        <v>0</v>
      </c>
      <c r="H8" s="32">
        <v>1</v>
      </c>
      <c r="I8" s="58">
        <v>2.25</v>
      </c>
      <c r="J8" s="59">
        <v>0</v>
      </c>
      <c r="K8" s="32">
        <v>0.75</v>
      </c>
      <c r="L8" s="32">
        <v>0</v>
      </c>
      <c r="M8" s="32">
        <v>3.25</v>
      </c>
      <c r="N8" s="32">
        <v>0</v>
      </c>
      <c r="O8" s="32">
        <v>0</v>
      </c>
      <c r="P8" s="58">
        <v>1.5</v>
      </c>
      <c r="Q8" s="66">
        <v>2.25</v>
      </c>
      <c r="R8" s="31">
        <v>0</v>
      </c>
      <c r="S8" s="31">
        <v>0</v>
      </c>
      <c r="T8" s="31">
        <v>1.25</v>
      </c>
      <c r="U8" s="31">
        <v>0</v>
      </c>
      <c r="V8" s="31">
        <v>0</v>
      </c>
      <c r="W8" s="37">
        <v>2</v>
      </c>
    </row>
    <row r="9" spans="1:23" ht="16.5" thickTop="1" thickBot="1" x14ac:dyDescent="0.3">
      <c r="A9" s="83"/>
      <c r="B9" s="17" t="str">
        <f xml:space="preserve"> CONCATENATE(Setup!$B$10, ", ", LEFT(Setup!$C$10,2))</f>
        <v>Glosecki, MG</v>
      </c>
      <c r="C9" s="33">
        <v>0</v>
      </c>
      <c r="D9" s="32">
        <v>1</v>
      </c>
      <c r="E9" s="32">
        <v>1</v>
      </c>
      <c r="F9" s="32">
        <v>0</v>
      </c>
      <c r="G9" s="32">
        <v>0</v>
      </c>
      <c r="H9" s="32">
        <v>1</v>
      </c>
      <c r="I9" s="58">
        <v>0</v>
      </c>
      <c r="J9" s="59">
        <v>0</v>
      </c>
      <c r="K9" s="32">
        <v>0.75</v>
      </c>
      <c r="L9" s="32">
        <v>0</v>
      </c>
      <c r="M9" s="32">
        <v>3.25</v>
      </c>
      <c r="N9" s="32">
        <v>0</v>
      </c>
      <c r="O9" s="32">
        <v>1</v>
      </c>
      <c r="P9" s="58">
        <v>0</v>
      </c>
      <c r="Q9" s="67">
        <v>2.25</v>
      </c>
      <c r="R9" s="35">
        <v>0</v>
      </c>
      <c r="S9" s="35">
        <v>0</v>
      </c>
      <c r="T9" s="35">
        <v>1.25</v>
      </c>
      <c r="U9" s="35">
        <v>0</v>
      </c>
      <c r="V9" s="35">
        <v>1</v>
      </c>
      <c r="W9" s="38">
        <v>0</v>
      </c>
    </row>
    <row r="10" spans="1:23" ht="16.5" thickBot="1" x14ac:dyDescent="0.3">
      <c r="A10" s="83"/>
      <c r="B10" s="18" t="s">
        <v>19</v>
      </c>
      <c r="C10" s="21">
        <f xml:space="preserve"> SUM(C6:C9)</f>
        <v>0</v>
      </c>
      <c r="D10" s="21">
        <f t="shared" ref="D10:W10" si="1" xml:space="preserve"> SUM(D6:D9)</f>
        <v>4</v>
      </c>
      <c r="E10" s="21">
        <f t="shared" si="1"/>
        <v>4</v>
      </c>
      <c r="F10" s="21">
        <f t="shared" si="1"/>
        <v>0</v>
      </c>
      <c r="G10" s="21">
        <f t="shared" si="1"/>
        <v>0.5</v>
      </c>
      <c r="H10" s="21">
        <f t="shared" si="1"/>
        <v>2.5</v>
      </c>
      <c r="I10" s="60">
        <f t="shared" si="1"/>
        <v>6.25</v>
      </c>
      <c r="J10" s="61">
        <f t="shared" si="1"/>
        <v>0</v>
      </c>
      <c r="K10" s="21">
        <f t="shared" si="1"/>
        <v>3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2.5</v>
      </c>
      <c r="P10" s="60">
        <f t="shared" si="1"/>
        <v>1.5</v>
      </c>
      <c r="Q10" s="61">
        <f t="shared" si="1"/>
        <v>9</v>
      </c>
      <c r="R10" s="21">
        <f t="shared" si="1"/>
        <v>0</v>
      </c>
      <c r="S10" s="21">
        <f t="shared" si="1"/>
        <v>0</v>
      </c>
      <c r="T10" s="21">
        <f t="shared" si="1"/>
        <v>5</v>
      </c>
      <c r="U10" s="21">
        <f t="shared" si="1"/>
        <v>2</v>
      </c>
      <c r="V10" s="21">
        <f t="shared" si="1"/>
        <v>2.5</v>
      </c>
      <c r="W10" s="21">
        <f t="shared" si="1"/>
        <v>2</v>
      </c>
    </row>
    <row r="11" spans="1:23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  <c r="Q11" s="61"/>
      <c r="R11" s="21"/>
      <c r="S11" s="21"/>
      <c r="T11" s="21"/>
      <c r="U11" s="21"/>
      <c r="V11" s="21"/>
      <c r="W11" s="21"/>
    </row>
    <row r="12" spans="1:23" ht="15.75" thickBot="1" x14ac:dyDescent="0.3">
      <c r="A12" s="83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W12" si="2" xml:space="preserve"> C$12 + D$6</f>
        <v>1</v>
      </c>
      <c r="E12" s="22">
        <f t="shared" si="2"/>
        <v>2</v>
      </c>
      <c r="F12" s="22">
        <f t="shared" si="2"/>
        <v>2</v>
      </c>
      <c r="G12" s="22">
        <f t="shared" si="2"/>
        <v>2.5</v>
      </c>
      <c r="H12" s="22">
        <f t="shared" si="2"/>
        <v>2.5</v>
      </c>
      <c r="I12" s="62">
        <f t="shared" si="2"/>
        <v>4.75</v>
      </c>
      <c r="J12" s="63">
        <f t="shared" si="2"/>
        <v>4.75</v>
      </c>
      <c r="K12" s="22">
        <f t="shared" si="2"/>
        <v>5.5</v>
      </c>
      <c r="L12" s="22">
        <f t="shared" si="2"/>
        <v>5.5</v>
      </c>
      <c r="M12" s="22">
        <f t="shared" si="2"/>
        <v>8.75</v>
      </c>
      <c r="N12" s="22">
        <f t="shared" si="2"/>
        <v>8.75</v>
      </c>
      <c r="O12" s="22">
        <f t="shared" si="2"/>
        <v>9.75</v>
      </c>
      <c r="P12" s="62">
        <f t="shared" si="2"/>
        <v>9.75</v>
      </c>
      <c r="Q12" s="63">
        <f t="shared" si="2"/>
        <v>12</v>
      </c>
      <c r="R12" s="22">
        <f t="shared" si="2"/>
        <v>12</v>
      </c>
      <c r="S12" s="22">
        <f t="shared" si="2"/>
        <v>12</v>
      </c>
      <c r="T12" s="22">
        <f t="shared" si="2"/>
        <v>13.25</v>
      </c>
      <c r="U12" s="22">
        <f t="shared" si="2"/>
        <v>13.75</v>
      </c>
      <c r="V12" s="22">
        <f t="shared" si="2"/>
        <v>15.25</v>
      </c>
      <c r="W12" s="22">
        <f t="shared" si="2"/>
        <v>15.25</v>
      </c>
    </row>
    <row r="13" spans="1:23" ht="15.75" thickBot="1" x14ac:dyDescent="0.3">
      <c r="A13" s="83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W13" si="3" xml:space="preserve"> C$13 + D$7</f>
        <v>1</v>
      </c>
      <c r="E13" s="22">
        <f t="shared" si="3"/>
        <v>2</v>
      </c>
      <c r="F13" s="22">
        <f t="shared" si="3"/>
        <v>2</v>
      </c>
      <c r="G13" s="22">
        <f t="shared" si="3"/>
        <v>2</v>
      </c>
      <c r="H13" s="22">
        <f t="shared" si="3"/>
        <v>2.5</v>
      </c>
      <c r="I13" s="62">
        <f t="shared" si="3"/>
        <v>4.25</v>
      </c>
      <c r="J13" s="63">
        <f t="shared" si="3"/>
        <v>4.25</v>
      </c>
      <c r="K13" s="22">
        <f t="shared" si="3"/>
        <v>5</v>
      </c>
      <c r="L13" s="22">
        <f t="shared" si="3"/>
        <v>5</v>
      </c>
      <c r="M13" s="22">
        <f t="shared" si="3"/>
        <v>8.25</v>
      </c>
      <c r="N13" s="22">
        <f t="shared" si="3"/>
        <v>8.25</v>
      </c>
      <c r="O13" s="22">
        <f t="shared" si="3"/>
        <v>8.75</v>
      </c>
      <c r="P13" s="62">
        <f t="shared" si="3"/>
        <v>8.75</v>
      </c>
      <c r="Q13" s="63">
        <f t="shared" si="3"/>
        <v>11</v>
      </c>
      <c r="R13" s="22">
        <f t="shared" si="3"/>
        <v>11</v>
      </c>
      <c r="S13" s="22">
        <f t="shared" si="3"/>
        <v>11</v>
      </c>
      <c r="T13" s="22">
        <f t="shared" si="3"/>
        <v>12.25</v>
      </c>
      <c r="U13" s="22">
        <f t="shared" si="3"/>
        <v>13.75</v>
      </c>
      <c r="V13" s="22">
        <f t="shared" si="3"/>
        <v>13.75</v>
      </c>
      <c r="W13" s="22">
        <f t="shared" si="3"/>
        <v>13.75</v>
      </c>
    </row>
    <row r="14" spans="1:23" ht="15.75" thickBot="1" x14ac:dyDescent="0.3">
      <c r="A14" s="83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W14" si="4" xml:space="preserve"> C$14 + D$8</f>
        <v>1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3</v>
      </c>
      <c r="I14" s="62">
        <f t="shared" si="4"/>
        <v>5.25</v>
      </c>
      <c r="J14" s="63">
        <f t="shared" si="4"/>
        <v>5.25</v>
      </c>
      <c r="K14" s="22">
        <f t="shared" si="4"/>
        <v>6</v>
      </c>
      <c r="L14" s="22">
        <f t="shared" si="4"/>
        <v>6</v>
      </c>
      <c r="M14" s="22">
        <f t="shared" si="4"/>
        <v>9.25</v>
      </c>
      <c r="N14" s="22">
        <f t="shared" si="4"/>
        <v>9.25</v>
      </c>
      <c r="O14" s="22">
        <f t="shared" si="4"/>
        <v>9.25</v>
      </c>
      <c r="P14" s="62">
        <f t="shared" si="4"/>
        <v>10.75</v>
      </c>
      <c r="Q14" s="63">
        <f t="shared" si="4"/>
        <v>13</v>
      </c>
      <c r="R14" s="22">
        <f t="shared" si="4"/>
        <v>13</v>
      </c>
      <c r="S14" s="22">
        <f t="shared" si="4"/>
        <v>13</v>
      </c>
      <c r="T14" s="22">
        <f t="shared" si="4"/>
        <v>14.25</v>
      </c>
      <c r="U14" s="22">
        <f t="shared" si="4"/>
        <v>14.25</v>
      </c>
      <c r="V14" s="22">
        <f t="shared" si="4"/>
        <v>14.25</v>
      </c>
      <c r="W14" s="22">
        <f t="shared" si="4"/>
        <v>16.25</v>
      </c>
    </row>
    <row r="15" spans="1:23" ht="15.75" thickBot="1" x14ac:dyDescent="0.3">
      <c r="A15" s="83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W15" si="5" xml:space="preserve"> C$15 + D$9</f>
        <v>1</v>
      </c>
      <c r="E15" s="22">
        <f t="shared" si="5"/>
        <v>2</v>
      </c>
      <c r="F15" s="22">
        <f t="shared" si="5"/>
        <v>2</v>
      </c>
      <c r="G15" s="22">
        <f t="shared" si="5"/>
        <v>2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3.75</v>
      </c>
      <c r="L15" s="22">
        <f t="shared" si="5"/>
        <v>3.75</v>
      </c>
      <c r="M15" s="22">
        <f t="shared" si="5"/>
        <v>7</v>
      </c>
      <c r="N15" s="22">
        <f t="shared" si="5"/>
        <v>7</v>
      </c>
      <c r="O15" s="22">
        <f t="shared" si="5"/>
        <v>8</v>
      </c>
      <c r="P15" s="62">
        <f t="shared" si="5"/>
        <v>8</v>
      </c>
      <c r="Q15" s="63">
        <f t="shared" si="5"/>
        <v>10.25</v>
      </c>
      <c r="R15" s="22">
        <f t="shared" si="5"/>
        <v>10.25</v>
      </c>
      <c r="S15" s="22">
        <f t="shared" si="5"/>
        <v>10.25</v>
      </c>
      <c r="T15" s="22">
        <f t="shared" si="5"/>
        <v>11.5</v>
      </c>
      <c r="U15" s="22">
        <f t="shared" si="5"/>
        <v>11.5</v>
      </c>
      <c r="V15" s="22">
        <f t="shared" si="5"/>
        <v>12.5</v>
      </c>
      <c r="W15" s="22">
        <f t="shared" si="5"/>
        <v>12.5</v>
      </c>
    </row>
    <row r="16" spans="1:23" ht="16.5" thickBot="1" x14ac:dyDescent="0.3">
      <c r="A16" s="83"/>
      <c r="B16" s="18" t="s">
        <v>19</v>
      </c>
      <c r="C16" s="21">
        <f xml:space="preserve"> SUM(C12:C15)</f>
        <v>0</v>
      </c>
      <c r="D16" s="21">
        <f t="shared" ref="D16:W16" si="6" xml:space="preserve"> SUM(D12:D15)</f>
        <v>4</v>
      </c>
      <c r="E16" s="21">
        <f t="shared" si="6"/>
        <v>8</v>
      </c>
      <c r="F16" s="21">
        <f t="shared" si="6"/>
        <v>8</v>
      </c>
      <c r="G16" s="21">
        <f t="shared" si="6"/>
        <v>8.5</v>
      </c>
      <c r="H16" s="21">
        <f t="shared" si="6"/>
        <v>11</v>
      </c>
      <c r="I16" s="60">
        <f t="shared" si="6"/>
        <v>17.25</v>
      </c>
      <c r="J16" s="61">
        <f t="shared" si="6"/>
        <v>17.25</v>
      </c>
      <c r="K16" s="21">
        <f t="shared" si="6"/>
        <v>20.25</v>
      </c>
      <c r="L16" s="21">
        <f t="shared" si="6"/>
        <v>20.25</v>
      </c>
      <c r="M16" s="21">
        <f t="shared" si="6"/>
        <v>33.25</v>
      </c>
      <c r="N16" s="21">
        <f t="shared" si="6"/>
        <v>33.25</v>
      </c>
      <c r="O16" s="21">
        <f t="shared" si="6"/>
        <v>35.75</v>
      </c>
      <c r="P16" s="60">
        <f t="shared" si="6"/>
        <v>37.25</v>
      </c>
      <c r="Q16" s="61">
        <f t="shared" si="6"/>
        <v>46.25</v>
      </c>
      <c r="R16" s="21">
        <f t="shared" si="6"/>
        <v>46.25</v>
      </c>
      <c r="S16" s="21">
        <f t="shared" si="6"/>
        <v>46.25</v>
      </c>
      <c r="T16" s="21">
        <f t="shared" si="6"/>
        <v>51.25</v>
      </c>
      <c r="U16" s="21">
        <f t="shared" si="6"/>
        <v>53.25</v>
      </c>
      <c r="V16" s="21">
        <f t="shared" si="6"/>
        <v>55.75</v>
      </c>
      <c r="W16" s="21">
        <f t="shared" si="6"/>
        <v>57.75</v>
      </c>
    </row>
    <row r="17" spans="1:23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  <c r="Q17" s="61"/>
      <c r="R17" s="21"/>
      <c r="S17" s="21"/>
      <c r="T17" s="21"/>
      <c r="U17" s="21"/>
      <c r="V17" s="21"/>
      <c r="W17" s="21"/>
    </row>
    <row r="18" spans="1:23" ht="15.75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58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  <c r="Q18" s="65">
        <v>1</v>
      </c>
      <c r="R18" s="34">
        <v>0</v>
      </c>
      <c r="S18" s="34">
        <v>0</v>
      </c>
      <c r="T18" s="34">
        <v>0</v>
      </c>
      <c r="U18" s="34">
        <v>0</v>
      </c>
      <c r="V18" s="34">
        <v>0</v>
      </c>
      <c r="W18" s="36">
        <v>0</v>
      </c>
    </row>
    <row r="19" spans="1:23" ht="16.5" thickTop="1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58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  <c r="Q19" s="66">
        <v>1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7">
        <v>0</v>
      </c>
    </row>
    <row r="20" spans="1:23" ht="16.5" thickTop="1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58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  <c r="Q20" s="66">
        <v>1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7">
        <v>0</v>
      </c>
    </row>
    <row r="21" spans="1:23" ht="16.5" thickTop="1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58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  <c r="Q21" s="67">
        <v>1</v>
      </c>
      <c r="R21" s="35">
        <v>0</v>
      </c>
      <c r="S21" s="35">
        <v>0</v>
      </c>
      <c r="T21" s="35">
        <v>0</v>
      </c>
      <c r="U21" s="35">
        <v>0</v>
      </c>
      <c r="V21" s="35">
        <v>0</v>
      </c>
      <c r="W21" s="38">
        <v>0</v>
      </c>
    </row>
    <row r="22" spans="1:23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W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  <c r="Q22" s="61">
        <f t="shared" si="7"/>
        <v>4</v>
      </c>
      <c r="R22" s="21">
        <f t="shared" si="7"/>
        <v>0</v>
      </c>
      <c r="S22" s="21">
        <f t="shared" si="7"/>
        <v>0</v>
      </c>
      <c r="T22" s="21">
        <f t="shared" si="7"/>
        <v>0</v>
      </c>
      <c r="U22" s="21">
        <f t="shared" si="7"/>
        <v>0</v>
      </c>
      <c r="V22" s="21">
        <f t="shared" si="7"/>
        <v>0</v>
      </c>
      <c r="W22" s="21">
        <f t="shared" si="7"/>
        <v>0</v>
      </c>
    </row>
    <row r="23" spans="1:23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  <c r="Q23" s="61"/>
      <c r="R23" s="21"/>
      <c r="S23" s="21"/>
      <c r="T23" s="21"/>
      <c r="U23" s="21"/>
      <c r="V23" s="21"/>
      <c r="W23" s="21"/>
    </row>
    <row r="24" spans="1:23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2">
        <f t="shared" si="9"/>
        <v>0</v>
      </c>
      <c r="Q24" s="63">
        <f t="shared" si="9"/>
        <v>1</v>
      </c>
      <c r="R24" s="22">
        <f t="shared" si="9"/>
        <v>1</v>
      </c>
      <c r="S24" s="22">
        <f t="shared" si="9"/>
        <v>1</v>
      </c>
      <c r="T24" s="22">
        <f t="shared" si="9"/>
        <v>1</v>
      </c>
      <c r="U24" s="22">
        <f t="shared" si="9"/>
        <v>1</v>
      </c>
      <c r="V24" s="22">
        <f t="shared" si="9"/>
        <v>1</v>
      </c>
      <c r="W24" s="22">
        <f t="shared" si="9"/>
        <v>1</v>
      </c>
    </row>
    <row r="25" spans="1:23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I25" si="10" xml:space="preserve"> D$25 + E$19</f>
        <v>0</v>
      </c>
      <c r="F25" s="22">
        <f t="shared" si="10"/>
        <v>0</v>
      </c>
      <c r="G25" s="22">
        <f t="shared" si="10"/>
        <v>0</v>
      </c>
      <c r="H25" s="22">
        <f t="shared" si="10"/>
        <v>0</v>
      </c>
      <c r="I25" s="62">
        <f t="shared" si="10"/>
        <v>0</v>
      </c>
      <c r="J25" s="63">
        <f t="shared" ref="J25:W25" si="11" xml:space="preserve"> I$25 + J$19</f>
        <v>0</v>
      </c>
      <c r="K25" s="22">
        <f t="shared" si="11"/>
        <v>0</v>
      </c>
      <c r="L25" s="22">
        <f t="shared" si="11"/>
        <v>0</v>
      </c>
      <c r="M25" s="22">
        <f t="shared" si="11"/>
        <v>0</v>
      </c>
      <c r="N25" s="22">
        <f t="shared" si="11"/>
        <v>0</v>
      </c>
      <c r="O25" s="22">
        <f t="shared" si="11"/>
        <v>0</v>
      </c>
      <c r="P25" s="62">
        <f t="shared" si="11"/>
        <v>0</v>
      </c>
      <c r="Q25" s="63">
        <f t="shared" si="11"/>
        <v>1</v>
      </c>
      <c r="R25" s="22">
        <f t="shared" si="11"/>
        <v>1</v>
      </c>
      <c r="S25" s="22">
        <f t="shared" si="11"/>
        <v>1</v>
      </c>
      <c r="T25" s="22">
        <f t="shared" si="11"/>
        <v>1</v>
      </c>
      <c r="U25" s="22">
        <f t="shared" si="11"/>
        <v>1</v>
      </c>
      <c r="V25" s="22">
        <f t="shared" si="11"/>
        <v>1</v>
      </c>
      <c r="W25" s="22">
        <f t="shared" si="11"/>
        <v>1</v>
      </c>
    </row>
    <row r="26" spans="1:23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I26" si="12" xml:space="preserve"> D$26 + E$20</f>
        <v>0</v>
      </c>
      <c r="F26" s="22">
        <f t="shared" si="12"/>
        <v>0</v>
      </c>
      <c r="G26" s="22">
        <f t="shared" si="12"/>
        <v>0</v>
      </c>
      <c r="H26" s="22">
        <f t="shared" si="12"/>
        <v>0</v>
      </c>
      <c r="I26" s="62">
        <f t="shared" si="12"/>
        <v>0</v>
      </c>
      <c r="J26" s="63">
        <f t="shared" ref="J26:W26" si="13" xml:space="preserve"> I$26 + J$20</f>
        <v>0</v>
      </c>
      <c r="K26" s="22">
        <f t="shared" si="13"/>
        <v>0</v>
      </c>
      <c r="L26" s="22">
        <f t="shared" si="13"/>
        <v>0</v>
      </c>
      <c r="M26" s="22">
        <f t="shared" si="13"/>
        <v>0</v>
      </c>
      <c r="N26" s="22">
        <f t="shared" si="13"/>
        <v>0</v>
      </c>
      <c r="O26" s="22">
        <f t="shared" si="13"/>
        <v>0</v>
      </c>
      <c r="P26" s="62">
        <f t="shared" si="13"/>
        <v>0</v>
      </c>
      <c r="Q26" s="63">
        <f t="shared" si="13"/>
        <v>1</v>
      </c>
      <c r="R26" s="22">
        <f t="shared" si="13"/>
        <v>1</v>
      </c>
      <c r="S26" s="22">
        <f t="shared" si="13"/>
        <v>1</v>
      </c>
      <c r="T26" s="22">
        <f t="shared" si="13"/>
        <v>1</v>
      </c>
      <c r="U26" s="22">
        <f t="shared" si="13"/>
        <v>1</v>
      </c>
      <c r="V26" s="22">
        <f t="shared" si="13"/>
        <v>1</v>
      </c>
      <c r="W26" s="22">
        <f t="shared" si="13"/>
        <v>1</v>
      </c>
    </row>
    <row r="27" spans="1:23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2">
        <f t="shared" si="14"/>
        <v>0</v>
      </c>
      <c r="J27" s="63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2">
        <f t="shared" si="15"/>
        <v>0</v>
      </c>
      <c r="Q27" s="63">
        <f t="shared" si="15"/>
        <v>1</v>
      </c>
      <c r="R27" s="22">
        <f t="shared" si="15"/>
        <v>1</v>
      </c>
      <c r="S27" s="22">
        <f t="shared" si="15"/>
        <v>1</v>
      </c>
      <c r="T27" s="22">
        <f t="shared" si="15"/>
        <v>1</v>
      </c>
      <c r="U27" s="22">
        <f t="shared" si="15"/>
        <v>1</v>
      </c>
      <c r="V27" s="22">
        <f t="shared" si="15"/>
        <v>1</v>
      </c>
      <c r="W27" s="22">
        <f t="shared" si="15"/>
        <v>1</v>
      </c>
    </row>
    <row r="28" spans="1:23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W28" si="16" xml:space="preserve"> SUM(D24:D27)</f>
        <v>0</v>
      </c>
      <c r="E28" s="21">
        <f t="shared" si="16"/>
        <v>0</v>
      </c>
      <c r="F28" s="21">
        <f t="shared" si="16"/>
        <v>0</v>
      </c>
      <c r="G28" s="21">
        <f t="shared" si="16"/>
        <v>0</v>
      </c>
      <c r="H28" s="21">
        <f t="shared" si="16"/>
        <v>0</v>
      </c>
      <c r="I28" s="60">
        <f t="shared" si="16"/>
        <v>0</v>
      </c>
      <c r="J28" s="61">
        <f t="shared" si="16"/>
        <v>0</v>
      </c>
      <c r="K28" s="21">
        <f t="shared" si="16"/>
        <v>0</v>
      </c>
      <c r="L28" s="21">
        <f t="shared" si="16"/>
        <v>0</v>
      </c>
      <c r="M28" s="21">
        <f t="shared" si="16"/>
        <v>0</v>
      </c>
      <c r="N28" s="21">
        <f t="shared" si="16"/>
        <v>0</v>
      </c>
      <c r="O28" s="21">
        <f t="shared" si="16"/>
        <v>0</v>
      </c>
      <c r="P28" s="60">
        <f t="shared" si="16"/>
        <v>0</v>
      </c>
      <c r="Q28" s="61">
        <f t="shared" si="16"/>
        <v>4</v>
      </c>
      <c r="R28" s="21">
        <f t="shared" si="16"/>
        <v>4</v>
      </c>
      <c r="S28" s="21">
        <f t="shared" si="16"/>
        <v>4</v>
      </c>
      <c r="T28" s="21">
        <f t="shared" si="16"/>
        <v>4</v>
      </c>
      <c r="U28" s="21">
        <f t="shared" si="16"/>
        <v>4</v>
      </c>
      <c r="V28" s="21">
        <f t="shared" si="16"/>
        <v>4</v>
      </c>
      <c r="W28" s="21">
        <f t="shared" si="16"/>
        <v>4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  <c r="Q29" s="61"/>
      <c r="R29" s="21"/>
      <c r="S29" s="21"/>
      <c r="T29" s="21"/>
      <c r="U29" s="21"/>
      <c r="V29" s="21"/>
      <c r="W29" s="21"/>
    </row>
    <row r="30" spans="1:23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0.5</v>
      </c>
      <c r="E30" s="22">
        <f t="shared" ref="E30:W30" si="17" xml:space="preserve"> (E$12 + E$24) / E$5</f>
        <v>0.66666666666666663</v>
      </c>
      <c r="F30" s="22">
        <f t="shared" si="17"/>
        <v>0.5</v>
      </c>
      <c r="G30" s="22">
        <f t="shared" si="17"/>
        <v>0.5</v>
      </c>
      <c r="H30" s="22">
        <f t="shared" si="17"/>
        <v>0.41666666666666669</v>
      </c>
      <c r="I30" s="62">
        <f t="shared" si="17"/>
        <v>0.6785714285714286</v>
      </c>
      <c r="J30" s="63">
        <f t="shared" si="17"/>
        <v>0.59375</v>
      </c>
      <c r="K30" s="22">
        <f t="shared" si="17"/>
        <v>0.61111111111111116</v>
      </c>
      <c r="L30" s="22">
        <f t="shared" si="17"/>
        <v>0.55000000000000004</v>
      </c>
      <c r="M30" s="22">
        <f t="shared" si="17"/>
        <v>0.79545454545454541</v>
      </c>
      <c r="N30" s="22">
        <f t="shared" si="17"/>
        <v>0.72916666666666663</v>
      </c>
      <c r="O30" s="22">
        <f t="shared" si="17"/>
        <v>0.75</v>
      </c>
      <c r="P30" s="62">
        <f t="shared" si="17"/>
        <v>0.6964285714285714</v>
      </c>
      <c r="Q30" s="63">
        <f t="shared" si="17"/>
        <v>0.8666666666666667</v>
      </c>
      <c r="R30" s="22">
        <f t="shared" si="17"/>
        <v>0.8125</v>
      </c>
      <c r="S30" s="22">
        <f t="shared" si="17"/>
        <v>0.76470588235294112</v>
      </c>
      <c r="T30" s="22">
        <f t="shared" si="17"/>
        <v>0.79166666666666663</v>
      </c>
      <c r="U30" s="22">
        <f t="shared" si="17"/>
        <v>0.77631578947368418</v>
      </c>
      <c r="V30" s="22">
        <f t="shared" si="17"/>
        <v>0.8125</v>
      </c>
      <c r="W30" s="22">
        <f t="shared" si="17"/>
        <v>0.77380952380952384</v>
      </c>
    </row>
    <row r="31" spans="1:23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W31" si="18" xml:space="preserve"> (E$13 + E$25) / E$5</f>
        <v>0.66666666666666663</v>
      </c>
      <c r="F31" s="22">
        <f t="shared" si="18"/>
        <v>0.5</v>
      </c>
      <c r="G31" s="22">
        <f t="shared" si="18"/>
        <v>0.4</v>
      </c>
      <c r="H31" s="22">
        <f t="shared" si="18"/>
        <v>0.41666666666666669</v>
      </c>
      <c r="I31" s="62">
        <f t="shared" si="18"/>
        <v>0.6071428571428571</v>
      </c>
      <c r="J31" s="63">
        <f t="shared" si="18"/>
        <v>0.53125</v>
      </c>
      <c r="K31" s="22">
        <f t="shared" si="18"/>
        <v>0.55555555555555558</v>
      </c>
      <c r="L31" s="22">
        <f t="shared" si="18"/>
        <v>0.5</v>
      </c>
      <c r="M31" s="22">
        <f t="shared" si="18"/>
        <v>0.75</v>
      </c>
      <c r="N31" s="22">
        <f t="shared" si="18"/>
        <v>0.6875</v>
      </c>
      <c r="O31" s="22">
        <f t="shared" si="18"/>
        <v>0.67307692307692313</v>
      </c>
      <c r="P31" s="62">
        <f t="shared" si="18"/>
        <v>0.625</v>
      </c>
      <c r="Q31" s="63">
        <f t="shared" si="18"/>
        <v>0.8</v>
      </c>
      <c r="R31" s="22">
        <f t="shared" si="18"/>
        <v>0.75</v>
      </c>
      <c r="S31" s="22">
        <f t="shared" si="18"/>
        <v>0.70588235294117652</v>
      </c>
      <c r="T31" s="22">
        <f t="shared" si="18"/>
        <v>0.73611111111111116</v>
      </c>
      <c r="U31" s="22">
        <f t="shared" si="18"/>
        <v>0.77631578947368418</v>
      </c>
      <c r="V31" s="22">
        <f t="shared" si="18"/>
        <v>0.73750000000000004</v>
      </c>
      <c r="W31" s="22">
        <f t="shared" si="18"/>
        <v>0.70238095238095233</v>
      </c>
    </row>
    <row r="32" spans="1:23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0.5</v>
      </c>
      <c r="E32" s="22">
        <f t="shared" ref="E32:W32" si="19" xml:space="preserve"> (E$14 + E$26) / E$5</f>
        <v>0.66666666666666663</v>
      </c>
      <c r="F32" s="22">
        <f t="shared" si="19"/>
        <v>0.5</v>
      </c>
      <c r="G32" s="22">
        <f t="shared" si="19"/>
        <v>0.4</v>
      </c>
      <c r="H32" s="22">
        <f t="shared" si="19"/>
        <v>0.5</v>
      </c>
      <c r="I32" s="62">
        <f t="shared" si="19"/>
        <v>0.75</v>
      </c>
      <c r="J32" s="63">
        <f t="shared" si="19"/>
        <v>0.65625</v>
      </c>
      <c r="K32" s="22">
        <f t="shared" si="19"/>
        <v>0.66666666666666663</v>
      </c>
      <c r="L32" s="22">
        <f t="shared" si="19"/>
        <v>0.6</v>
      </c>
      <c r="M32" s="22">
        <f t="shared" si="19"/>
        <v>0.84090909090909094</v>
      </c>
      <c r="N32" s="22">
        <f t="shared" si="19"/>
        <v>0.77083333333333337</v>
      </c>
      <c r="O32" s="22">
        <f t="shared" si="19"/>
        <v>0.71153846153846156</v>
      </c>
      <c r="P32" s="62">
        <f t="shared" si="19"/>
        <v>0.7678571428571429</v>
      </c>
      <c r="Q32" s="63">
        <f t="shared" si="19"/>
        <v>0.93333333333333335</v>
      </c>
      <c r="R32" s="22">
        <f t="shared" si="19"/>
        <v>0.875</v>
      </c>
      <c r="S32" s="22">
        <f t="shared" si="19"/>
        <v>0.82352941176470584</v>
      </c>
      <c r="T32" s="22">
        <f t="shared" si="19"/>
        <v>0.84722222222222221</v>
      </c>
      <c r="U32" s="22">
        <f t="shared" si="19"/>
        <v>0.80263157894736847</v>
      </c>
      <c r="V32" s="22">
        <f t="shared" si="19"/>
        <v>0.76249999999999996</v>
      </c>
      <c r="W32" s="22">
        <f t="shared" si="19"/>
        <v>0.8214285714285714</v>
      </c>
    </row>
    <row r="33" spans="1:23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0.5</v>
      </c>
      <c r="E33" s="22">
        <f t="shared" ref="E33:W33" si="20" xml:space="preserve"> (E$15 + E$27) / E$5</f>
        <v>0.66666666666666663</v>
      </c>
      <c r="F33" s="22">
        <f t="shared" si="20"/>
        <v>0.5</v>
      </c>
      <c r="G33" s="22">
        <f t="shared" si="20"/>
        <v>0.4</v>
      </c>
      <c r="H33" s="22">
        <f t="shared" si="20"/>
        <v>0.5</v>
      </c>
      <c r="I33" s="62">
        <f t="shared" si="20"/>
        <v>0.42857142857142855</v>
      </c>
      <c r="J33" s="63">
        <f t="shared" si="20"/>
        <v>0.375</v>
      </c>
      <c r="K33" s="22">
        <f t="shared" si="20"/>
        <v>0.41666666666666669</v>
      </c>
      <c r="L33" s="22">
        <f t="shared" si="20"/>
        <v>0.375</v>
      </c>
      <c r="M33" s="22">
        <f t="shared" si="20"/>
        <v>0.63636363636363635</v>
      </c>
      <c r="N33" s="22">
        <f t="shared" si="20"/>
        <v>0.58333333333333337</v>
      </c>
      <c r="O33" s="22">
        <f t="shared" si="20"/>
        <v>0.61538461538461542</v>
      </c>
      <c r="P33" s="62">
        <f t="shared" si="20"/>
        <v>0.5714285714285714</v>
      </c>
      <c r="Q33" s="63">
        <f t="shared" si="20"/>
        <v>0.75</v>
      </c>
      <c r="R33" s="22">
        <f t="shared" si="20"/>
        <v>0.703125</v>
      </c>
      <c r="S33" s="22">
        <f t="shared" si="20"/>
        <v>0.66176470588235292</v>
      </c>
      <c r="T33" s="22">
        <f t="shared" si="20"/>
        <v>0.69444444444444442</v>
      </c>
      <c r="U33" s="22">
        <f t="shared" si="20"/>
        <v>0.65789473684210531</v>
      </c>
      <c r="V33" s="22">
        <f t="shared" si="20"/>
        <v>0.67500000000000004</v>
      </c>
      <c r="W33" s="22">
        <f t="shared" si="20"/>
        <v>0.6428571428571429</v>
      </c>
    </row>
    <row r="34" spans="1:23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W34" si="21" xml:space="preserve"> SUM(D30:D33)</f>
        <v>2</v>
      </c>
      <c r="E34" s="21">
        <f t="shared" si="21"/>
        <v>2.6666666666666665</v>
      </c>
      <c r="F34" s="21">
        <f t="shared" si="21"/>
        <v>2</v>
      </c>
      <c r="G34" s="21">
        <f t="shared" si="21"/>
        <v>1.7000000000000002</v>
      </c>
      <c r="H34" s="21">
        <f t="shared" si="21"/>
        <v>1.8333333333333335</v>
      </c>
      <c r="I34" s="60">
        <f t="shared" si="21"/>
        <v>2.464285714285714</v>
      </c>
      <c r="J34" s="61">
        <f t="shared" si="21"/>
        <v>2.15625</v>
      </c>
      <c r="K34" s="21">
        <f t="shared" si="21"/>
        <v>2.25</v>
      </c>
      <c r="L34" s="21">
        <f t="shared" si="21"/>
        <v>2.0249999999999999</v>
      </c>
      <c r="M34" s="21">
        <f t="shared" si="21"/>
        <v>3.0227272727272725</v>
      </c>
      <c r="N34" s="21">
        <f t="shared" si="21"/>
        <v>2.7708333333333335</v>
      </c>
      <c r="O34" s="21">
        <f t="shared" si="21"/>
        <v>2.75</v>
      </c>
      <c r="P34" s="60">
        <f t="shared" si="21"/>
        <v>2.6607142857142856</v>
      </c>
      <c r="Q34" s="61">
        <f t="shared" si="21"/>
        <v>3.35</v>
      </c>
      <c r="R34" s="21">
        <f t="shared" si="21"/>
        <v>3.140625</v>
      </c>
      <c r="S34" s="21">
        <f t="shared" si="21"/>
        <v>2.9558823529411762</v>
      </c>
      <c r="T34" s="21">
        <f t="shared" si="21"/>
        <v>3.0694444444444446</v>
      </c>
      <c r="U34" s="21">
        <f t="shared" si="21"/>
        <v>3.013157894736842</v>
      </c>
      <c r="V34" s="21">
        <f t="shared" si="21"/>
        <v>2.9874999999999998</v>
      </c>
      <c r="W34" s="21">
        <f t="shared" si="21"/>
        <v>2.9404761904761902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44</v>
      </c>
      <c r="C36" s="23">
        <v>1</v>
      </c>
      <c r="D36" s="23">
        <v>2</v>
      </c>
      <c r="E36" s="23">
        <v>3</v>
      </c>
      <c r="F36" s="23" t="s">
        <v>45</v>
      </c>
    </row>
    <row r="37" spans="1:23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4.75</v>
      </c>
      <c r="D37" s="24">
        <f xml:space="preserve"> SUM(J6:P6) + SUM(J18:P18)</f>
        <v>5</v>
      </c>
      <c r="E37" s="24">
        <f xml:space="preserve"> SUM(Q6:W6) + SUM(Q18:W18)</f>
        <v>6.5</v>
      </c>
      <c r="F37" s="24">
        <f xml:space="preserve"> SUM(C37:E37)</f>
        <v>16.25</v>
      </c>
    </row>
    <row r="38" spans="1:23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22" xml:space="preserve"> SUM(C7:I7) + SUM(C19:I19)</f>
        <v>4.25</v>
      </c>
      <c r="D38" s="24">
        <f t="shared" ref="D38:D40" si="23" xml:space="preserve"> SUM(J7:P7) + SUM(J19:P19)</f>
        <v>4.5</v>
      </c>
      <c r="E38" s="24">
        <f t="shared" ref="E38:E40" si="24" xml:space="preserve"> SUM(Q7:W7) + SUM(Q19:W19)</f>
        <v>6</v>
      </c>
      <c r="F38" s="24">
        <f t="shared" ref="F38:F41" si="25" xml:space="preserve"> SUM(C38:E38)</f>
        <v>14.75</v>
      </c>
    </row>
    <row r="39" spans="1:23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22"/>
        <v>5.25</v>
      </c>
      <c r="D39" s="24">
        <f t="shared" si="23"/>
        <v>5.5</v>
      </c>
      <c r="E39" s="24">
        <f t="shared" si="24"/>
        <v>6.5</v>
      </c>
      <c r="F39" s="24">
        <f t="shared" si="25"/>
        <v>17.25</v>
      </c>
    </row>
    <row r="40" spans="1:23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22"/>
        <v>3</v>
      </c>
      <c r="D40" s="24">
        <f t="shared" si="23"/>
        <v>5</v>
      </c>
      <c r="E40" s="24">
        <f t="shared" si="24"/>
        <v>5.5</v>
      </c>
      <c r="F40" s="24">
        <f t="shared" si="25"/>
        <v>13.5</v>
      </c>
    </row>
    <row r="41" spans="1:23" ht="16.5" thickBot="1" x14ac:dyDescent="0.3">
      <c r="A41" s="79"/>
      <c r="B41" s="18" t="s">
        <v>19</v>
      </c>
      <c r="C41" s="21">
        <f xml:space="preserve"> SUM(C37:C40)</f>
        <v>17.25</v>
      </c>
      <c r="D41" s="21">
        <f t="shared" ref="D41:E41" si="26" xml:space="preserve"> SUM(D37:D40)</f>
        <v>20</v>
      </c>
      <c r="E41" s="21">
        <f t="shared" si="26"/>
        <v>24.5</v>
      </c>
      <c r="F41" s="21">
        <f t="shared" si="25"/>
        <v>61.75</v>
      </c>
    </row>
    <row r="42" spans="1:23" ht="15.75" thickBot="1" x14ac:dyDescent="0.3">
      <c r="A42" s="19"/>
    </row>
    <row r="43" spans="1:23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C36</f>
        <v>4.75</v>
      </c>
      <c r="D43" s="24">
        <f xml:space="preserve"> SUM(C37:D37) / D$36</f>
        <v>4.875</v>
      </c>
      <c r="E43" s="24">
        <f xml:space="preserve"> SUM(C37:E37) / E$36</f>
        <v>5.416666666666667</v>
      </c>
    </row>
    <row r="44" spans="1:23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C36</f>
        <v>4.25</v>
      </c>
      <c r="D44" s="24">
        <f t="shared" ref="D44:D46" si="27" xml:space="preserve"> SUM(C38:D38) / D$36</f>
        <v>4.375</v>
      </c>
      <c r="E44" s="24">
        <f t="shared" ref="E44:E46" si="28" xml:space="preserve"> SUM(C38:E38) / E$36</f>
        <v>4.916666666666667</v>
      </c>
    </row>
    <row r="45" spans="1:23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C36</f>
        <v>5.25</v>
      </c>
      <c r="D45" s="24">
        <f t="shared" si="27"/>
        <v>5.375</v>
      </c>
      <c r="E45" s="24">
        <f t="shared" si="28"/>
        <v>5.75</v>
      </c>
    </row>
    <row r="46" spans="1:23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C36</f>
        <v>3</v>
      </c>
      <c r="D46" s="24">
        <f t="shared" si="27"/>
        <v>4</v>
      </c>
      <c r="E46" s="24">
        <f t="shared" si="28"/>
        <v>4.5</v>
      </c>
    </row>
    <row r="47" spans="1:23" ht="16.5" thickBot="1" x14ac:dyDescent="0.3">
      <c r="A47" s="79"/>
      <c r="B47" s="18" t="s">
        <v>19</v>
      </c>
      <c r="C47" s="21">
        <f xml:space="preserve"> SUM(C43:C46)</f>
        <v>17.25</v>
      </c>
      <c r="D47" s="21">
        <f t="shared" ref="D47:E47" si="29" xml:space="preserve"> SUM(D43:D46)</f>
        <v>18.625</v>
      </c>
      <c r="E47" s="21">
        <f t="shared" si="29"/>
        <v>20.583333333333336</v>
      </c>
    </row>
    <row r="79" spans="18:20" x14ac:dyDescent="0.25">
      <c r="R79" t="s">
        <v>47</v>
      </c>
      <c r="S79">
        <v>50</v>
      </c>
      <c r="T79">
        <v>0</v>
      </c>
    </row>
    <row r="80" spans="18:20" x14ac:dyDescent="0.25">
      <c r="R80" t="s">
        <v>48</v>
      </c>
      <c r="S80" s="24">
        <f>(F41)</f>
        <v>61.75</v>
      </c>
    </row>
    <row r="81" spans="3:24" x14ac:dyDescent="0.25">
      <c r="R81" t="s">
        <v>49</v>
      </c>
      <c r="S81">
        <v>21</v>
      </c>
    </row>
    <row r="82" spans="3:24" x14ac:dyDescent="0.25">
      <c r="R82" t="s">
        <v>50</v>
      </c>
      <c r="S82">
        <f>(50/21)</f>
        <v>2.3809523809523809</v>
      </c>
    </row>
    <row r="85" spans="3:24" x14ac:dyDescent="0.25">
      <c r="C85">
        <v>50</v>
      </c>
      <c r="D85">
        <f>(C85-S82)</f>
        <v>47.61904761904762</v>
      </c>
      <c r="E85">
        <f>(D85-S82)</f>
        <v>45.238095238095241</v>
      </c>
      <c r="F85">
        <f>(E85-S82)</f>
        <v>42.857142857142861</v>
      </c>
      <c r="G85">
        <f>F85-S82</f>
        <v>40.476190476190482</v>
      </c>
      <c r="H85">
        <f>G85-S82</f>
        <v>38.095238095238102</v>
      </c>
      <c r="I85">
        <f>H85-S82</f>
        <v>35.714285714285722</v>
      </c>
      <c r="J85">
        <f>I85-S82</f>
        <v>33.333333333333343</v>
      </c>
      <c r="K85">
        <f>J85-S82</f>
        <v>30.952380952380963</v>
      </c>
      <c r="L85">
        <f>K85-S82</f>
        <v>28.571428571428584</v>
      </c>
      <c r="M85">
        <f>L85-S82</f>
        <v>26.190476190476204</v>
      </c>
      <c r="N85">
        <f>M85-S82</f>
        <v>23.809523809523824</v>
      </c>
      <c r="O85">
        <f>N85-S82</f>
        <v>21.428571428571445</v>
      </c>
      <c r="P85">
        <f>O85-S82</f>
        <v>19.047619047619065</v>
      </c>
      <c r="Q85">
        <f>P85-S82</f>
        <v>16.666666666666686</v>
      </c>
      <c r="R85">
        <f>Q85-S82</f>
        <v>14.285714285714304</v>
      </c>
      <c r="S85">
        <f>R85-S82</f>
        <v>11.904761904761923</v>
      </c>
      <c r="T85">
        <f>S85-S82</f>
        <v>9.5238095238095415</v>
      </c>
      <c r="U85">
        <f>T85-S82</f>
        <v>7.1428571428571601</v>
      </c>
      <c r="V85">
        <f>U85-S82</f>
        <v>4.7619047619047787</v>
      </c>
      <c r="W85">
        <f>V85-S82</f>
        <v>2.3809523809523978</v>
      </c>
      <c r="X85">
        <v>0</v>
      </c>
    </row>
    <row r="86" spans="3:24" x14ac:dyDescent="0.25">
      <c r="C86">
        <v>0</v>
      </c>
      <c r="D86">
        <v>1</v>
      </c>
      <c r="E86">
        <v>2</v>
      </c>
      <c r="F86">
        <v>3</v>
      </c>
      <c r="G86">
        <v>4</v>
      </c>
      <c r="H86">
        <v>5</v>
      </c>
      <c r="I86">
        <v>6</v>
      </c>
      <c r="J86">
        <v>7</v>
      </c>
      <c r="K86">
        <v>8</v>
      </c>
      <c r="L86">
        <v>9</v>
      </c>
      <c r="M86">
        <v>10</v>
      </c>
      <c r="N86">
        <v>11</v>
      </c>
      <c r="O86">
        <v>12</v>
      </c>
      <c r="P86">
        <v>13</v>
      </c>
      <c r="Q86">
        <v>14</v>
      </c>
      <c r="R86">
        <v>15</v>
      </c>
      <c r="S86">
        <v>16</v>
      </c>
      <c r="T86">
        <v>17</v>
      </c>
      <c r="U86">
        <v>18</v>
      </c>
      <c r="V86">
        <v>19</v>
      </c>
      <c r="W86">
        <v>20</v>
      </c>
      <c r="X86">
        <v>21</v>
      </c>
    </row>
    <row r="87" spans="3:24" x14ac:dyDescent="0.25">
      <c r="C87" s="24">
        <f>F41</f>
        <v>61.75</v>
      </c>
      <c r="D87" s="24">
        <f>C87</f>
        <v>61.75</v>
      </c>
      <c r="E87" s="24">
        <f t="shared" ref="E87:X87" si="30">D87-D10-D22</f>
        <v>57.75</v>
      </c>
      <c r="F87" s="24">
        <f t="shared" si="30"/>
        <v>53.75</v>
      </c>
      <c r="G87" s="24">
        <f t="shared" si="30"/>
        <v>53.75</v>
      </c>
      <c r="H87" s="24">
        <f t="shared" si="30"/>
        <v>53.25</v>
      </c>
      <c r="I87" s="24">
        <f t="shared" si="30"/>
        <v>50.75</v>
      </c>
      <c r="J87" s="24">
        <f t="shared" si="30"/>
        <v>44.5</v>
      </c>
      <c r="K87" s="24">
        <f t="shared" si="30"/>
        <v>44.5</v>
      </c>
      <c r="L87" s="24">
        <f t="shared" si="30"/>
        <v>41.5</v>
      </c>
      <c r="M87" s="24">
        <f t="shared" si="30"/>
        <v>41.5</v>
      </c>
      <c r="N87" s="24">
        <f t="shared" si="30"/>
        <v>28.5</v>
      </c>
      <c r="O87" s="24">
        <f t="shared" si="30"/>
        <v>28.5</v>
      </c>
      <c r="P87" s="24">
        <f t="shared" si="30"/>
        <v>26</v>
      </c>
      <c r="Q87" s="24">
        <f t="shared" si="30"/>
        <v>24.5</v>
      </c>
      <c r="R87" s="24">
        <f t="shared" si="30"/>
        <v>11.5</v>
      </c>
      <c r="S87" s="24">
        <f t="shared" si="30"/>
        <v>11.5</v>
      </c>
      <c r="T87" s="24">
        <f t="shared" si="30"/>
        <v>11.5</v>
      </c>
      <c r="U87" s="24">
        <f t="shared" si="30"/>
        <v>6.5</v>
      </c>
      <c r="V87" s="24">
        <f t="shared" si="30"/>
        <v>4.5</v>
      </c>
      <c r="W87" s="24">
        <f t="shared" si="30"/>
        <v>2</v>
      </c>
      <c r="X87" s="24">
        <f t="shared" si="30"/>
        <v>0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8"/>
  <sheetViews>
    <sheetView topLeftCell="A73" zoomScale="115" zoomScaleNormal="115" workbookViewId="0">
      <selection activeCell="C4" sqref="C4"/>
    </sheetView>
  </sheetViews>
  <sheetFormatPr defaultRowHeight="15" x14ac:dyDescent="0.25"/>
  <cols>
    <col min="1" max="1" width="9.140625" style="6" customWidth="1"/>
    <col min="2" max="2" width="15.7109375" customWidth="1"/>
    <col min="17" max="17" width="13.85546875" bestFit="1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4">
        <f t="shared" si="0"/>
        <v>42281</v>
      </c>
      <c r="J4" s="55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4">
        <f t="shared" si="0"/>
        <v>42288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3.25</v>
      </c>
      <c r="D6" s="33">
        <v>0.5</v>
      </c>
      <c r="E6" s="33">
        <v>0</v>
      </c>
      <c r="F6" s="33">
        <v>1.25</v>
      </c>
      <c r="G6" s="33">
        <v>0</v>
      </c>
      <c r="H6" s="33">
        <v>0</v>
      </c>
      <c r="I6" s="33">
        <v>1.5</v>
      </c>
      <c r="J6" s="59">
        <v>0</v>
      </c>
      <c r="K6" s="32">
        <v>2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3.25</v>
      </c>
      <c r="D7" s="33">
        <v>0.5</v>
      </c>
      <c r="E7" s="33">
        <v>0</v>
      </c>
      <c r="F7" s="33">
        <v>1.25</v>
      </c>
      <c r="G7" s="33">
        <v>1.5</v>
      </c>
      <c r="H7" s="33">
        <v>0</v>
      </c>
      <c r="I7" s="33">
        <v>0</v>
      </c>
      <c r="J7" s="59">
        <v>0</v>
      </c>
      <c r="K7" s="32">
        <v>2.75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3.25</v>
      </c>
      <c r="D8" s="33">
        <v>0.5</v>
      </c>
      <c r="E8" s="33">
        <v>0</v>
      </c>
      <c r="F8" s="33">
        <v>2.75</v>
      </c>
      <c r="G8" s="33">
        <v>0.5</v>
      </c>
      <c r="H8" s="33">
        <v>0</v>
      </c>
      <c r="I8" s="33">
        <v>0</v>
      </c>
      <c r="J8" s="59">
        <v>0.5</v>
      </c>
      <c r="K8" s="32">
        <v>2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3.25</v>
      </c>
      <c r="D9" s="33">
        <v>0.5</v>
      </c>
      <c r="E9" s="33">
        <v>0</v>
      </c>
      <c r="F9" s="33">
        <v>1.25</v>
      </c>
      <c r="G9" s="33">
        <v>0</v>
      </c>
      <c r="H9" s="33">
        <v>0</v>
      </c>
      <c r="I9" s="33">
        <v>0</v>
      </c>
      <c r="J9" s="59">
        <v>0</v>
      </c>
      <c r="K9" s="32">
        <v>2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13</v>
      </c>
      <c r="D10" s="21">
        <f t="shared" ref="D10:P10" si="1" xml:space="preserve"> SUM(D6:D9)</f>
        <v>2</v>
      </c>
      <c r="E10" s="21">
        <f t="shared" si="1"/>
        <v>0</v>
      </c>
      <c r="F10" s="21">
        <f t="shared" si="1"/>
        <v>6.5</v>
      </c>
      <c r="G10" s="21">
        <f t="shared" si="1"/>
        <v>2</v>
      </c>
      <c r="H10" s="21">
        <f t="shared" si="1"/>
        <v>0</v>
      </c>
      <c r="I10" s="60">
        <f t="shared" si="1"/>
        <v>1.5</v>
      </c>
      <c r="J10" s="61">
        <f t="shared" si="1"/>
        <v>0.5</v>
      </c>
      <c r="K10" s="21">
        <f t="shared" si="1"/>
        <v>8.75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3.25</v>
      </c>
      <c r="D12" s="22">
        <f t="shared" ref="D12:P12" si="2" xml:space="preserve"> C$12 + D$6</f>
        <v>3.75</v>
      </c>
      <c r="E12" s="22">
        <f t="shared" si="2"/>
        <v>3.75</v>
      </c>
      <c r="F12" s="22">
        <f t="shared" si="2"/>
        <v>5</v>
      </c>
      <c r="G12" s="22">
        <f t="shared" si="2"/>
        <v>5</v>
      </c>
      <c r="H12" s="22">
        <f t="shared" si="2"/>
        <v>5</v>
      </c>
      <c r="I12" s="62">
        <f t="shared" si="2"/>
        <v>6.5</v>
      </c>
      <c r="J12" s="63">
        <f t="shared" si="2"/>
        <v>6.5</v>
      </c>
      <c r="K12" s="22">
        <f t="shared" si="2"/>
        <v>8.5</v>
      </c>
      <c r="L12" s="22">
        <f t="shared" si="2"/>
        <v>8.5</v>
      </c>
      <c r="M12" s="22">
        <f t="shared" si="2"/>
        <v>8.5</v>
      </c>
      <c r="N12" s="22">
        <f t="shared" si="2"/>
        <v>8.5</v>
      </c>
      <c r="O12" s="22">
        <f t="shared" si="2"/>
        <v>8.5</v>
      </c>
      <c r="P12" s="62">
        <f t="shared" si="2"/>
        <v>8.5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3.25</v>
      </c>
      <c r="D13" s="22">
        <f t="shared" ref="D13:P13" si="3" xml:space="preserve"> C$13 + D$7</f>
        <v>3.75</v>
      </c>
      <c r="E13" s="22">
        <f t="shared" si="3"/>
        <v>3.75</v>
      </c>
      <c r="F13" s="22">
        <f t="shared" si="3"/>
        <v>5</v>
      </c>
      <c r="G13" s="22">
        <f t="shared" si="3"/>
        <v>6.5</v>
      </c>
      <c r="H13" s="22">
        <f t="shared" si="3"/>
        <v>6.5</v>
      </c>
      <c r="I13" s="62">
        <f t="shared" si="3"/>
        <v>6.5</v>
      </c>
      <c r="J13" s="63">
        <f t="shared" si="3"/>
        <v>6.5</v>
      </c>
      <c r="K13" s="22">
        <f t="shared" si="3"/>
        <v>9.25</v>
      </c>
      <c r="L13" s="22">
        <f t="shared" si="3"/>
        <v>9.25</v>
      </c>
      <c r="M13" s="22">
        <f t="shared" si="3"/>
        <v>9.25</v>
      </c>
      <c r="N13" s="22">
        <f t="shared" si="3"/>
        <v>9.25</v>
      </c>
      <c r="O13" s="22">
        <f t="shared" si="3"/>
        <v>9.25</v>
      </c>
      <c r="P13" s="62">
        <f t="shared" si="3"/>
        <v>9.25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3.25</v>
      </c>
      <c r="D14" s="22">
        <f t="shared" ref="D14:P14" si="4" xml:space="preserve"> C$14 + D$8</f>
        <v>3.75</v>
      </c>
      <c r="E14" s="22">
        <f t="shared" si="4"/>
        <v>3.75</v>
      </c>
      <c r="F14" s="22">
        <f t="shared" si="4"/>
        <v>6.5</v>
      </c>
      <c r="G14" s="22">
        <f t="shared" si="4"/>
        <v>7</v>
      </c>
      <c r="H14" s="22">
        <f t="shared" si="4"/>
        <v>7</v>
      </c>
      <c r="I14" s="62">
        <f t="shared" si="4"/>
        <v>7</v>
      </c>
      <c r="J14" s="63">
        <f t="shared" si="4"/>
        <v>7.5</v>
      </c>
      <c r="K14" s="22">
        <f t="shared" si="4"/>
        <v>9.5</v>
      </c>
      <c r="L14" s="22">
        <f t="shared" si="4"/>
        <v>9.5</v>
      </c>
      <c r="M14" s="22">
        <f t="shared" si="4"/>
        <v>9.5</v>
      </c>
      <c r="N14" s="22">
        <f t="shared" si="4"/>
        <v>9.5</v>
      </c>
      <c r="O14" s="22">
        <f t="shared" si="4"/>
        <v>9.5</v>
      </c>
      <c r="P14" s="62">
        <f t="shared" si="4"/>
        <v>9.5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3.25</v>
      </c>
      <c r="D15" s="22">
        <f t="shared" ref="D15:P15" si="5" xml:space="preserve"> C$15 + D$9</f>
        <v>3.75</v>
      </c>
      <c r="E15" s="22">
        <f t="shared" si="5"/>
        <v>3.75</v>
      </c>
      <c r="F15" s="22">
        <f t="shared" si="5"/>
        <v>5</v>
      </c>
      <c r="G15" s="22">
        <f t="shared" si="5"/>
        <v>5</v>
      </c>
      <c r="H15" s="22">
        <f t="shared" si="5"/>
        <v>5</v>
      </c>
      <c r="I15" s="62">
        <f t="shared" si="5"/>
        <v>5</v>
      </c>
      <c r="J15" s="63">
        <f t="shared" si="5"/>
        <v>5</v>
      </c>
      <c r="K15" s="22">
        <f t="shared" si="5"/>
        <v>7</v>
      </c>
      <c r="L15" s="22">
        <f t="shared" si="5"/>
        <v>7</v>
      </c>
      <c r="M15" s="22">
        <f t="shared" si="5"/>
        <v>7</v>
      </c>
      <c r="N15" s="22">
        <f t="shared" si="5"/>
        <v>7</v>
      </c>
      <c r="O15" s="22">
        <f t="shared" si="5"/>
        <v>7</v>
      </c>
      <c r="P15" s="62">
        <f t="shared" si="5"/>
        <v>7</v>
      </c>
    </row>
    <row r="16" spans="1:16" ht="16.5" thickBot="1" x14ac:dyDescent="0.3">
      <c r="A16" s="85"/>
      <c r="B16" s="18" t="s">
        <v>19</v>
      </c>
      <c r="C16" s="21">
        <f xml:space="preserve"> SUM(C12:C15)</f>
        <v>13</v>
      </c>
      <c r="D16" s="21">
        <f t="shared" ref="D16:P16" si="6" xml:space="preserve"> SUM(D12:D15)</f>
        <v>15</v>
      </c>
      <c r="E16" s="21">
        <f t="shared" si="6"/>
        <v>15</v>
      </c>
      <c r="F16" s="21">
        <f t="shared" si="6"/>
        <v>21.5</v>
      </c>
      <c r="G16" s="21">
        <f t="shared" si="6"/>
        <v>23.5</v>
      </c>
      <c r="H16" s="21">
        <f t="shared" si="6"/>
        <v>23.5</v>
      </c>
      <c r="I16" s="60">
        <f t="shared" si="6"/>
        <v>25</v>
      </c>
      <c r="J16" s="61">
        <f t="shared" si="6"/>
        <v>25.5</v>
      </c>
      <c r="K16" s="21">
        <f t="shared" si="6"/>
        <v>34.25</v>
      </c>
      <c r="L16" s="21">
        <f t="shared" si="6"/>
        <v>34.25</v>
      </c>
      <c r="M16" s="21">
        <f t="shared" si="6"/>
        <v>34.25</v>
      </c>
      <c r="N16" s="21">
        <f t="shared" si="6"/>
        <v>34.25</v>
      </c>
      <c r="O16" s="21">
        <f t="shared" si="6"/>
        <v>34.25</v>
      </c>
      <c r="P16" s="60">
        <f t="shared" si="6"/>
        <v>34.25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3.25</v>
      </c>
      <c r="D30" s="22">
        <f xml:space="preserve"> (D$12 + D$24) / D$5</f>
        <v>1.875</v>
      </c>
      <c r="E30" s="22">
        <f t="shared" ref="E30:P30" si="13" xml:space="preserve"> (E$12 + E$24) / E$5</f>
        <v>1.25</v>
      </c>
      <c r="F30" s="22">
        <f t="shared" si="13"/>
        <v>1.25</v>
      </c>
      <c r="G30" s="22">
        <f t="shared" si="13"/>
        <v>1</v>
      </c>
      <c r="H30" s="22">
        <f t="shared" si="13"/>
        <v>0.83333333333333337</v>
      </c>
      <c r="I30" s="62">
        <f t="shared" si="13"/>
        <v>0.9285714285714286</v>
      </c>
      <c r="J30" s="63">
        <f t="shared" si="13"/>
        <v>0.8125</v>
      </c>
      <c r="K30" s="22">
        <f t="shared" si="13"/>
        <v>0.94444444444444442</v>
      </c>
      <c r="L30" s="22">
        <f t="shared" si="13"/>
        <v>0.85</v>
      </c>
      <c r="M30" s="22">
        <f t="shared" si="13"/>
        <v>0.77272727272727271</v>
      </c>
      <c r="N30" s="22">
        <f t="shared" si="13"/>
        <v>0.70833333333333337</v>
      </c>
      <c r="O30" s="22">
        <f t="shared" si="13"/>
        <v>0.65384615384615385</v>
      </c>
      <c r="P30" s="62">
        <f t="shared" si="13"/>
        <v>0.6071428571428571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3.25</v>
      </c>
      <c r="D31" s="22">
        <f xml:space="preserve"> (D$13 + D$25) / D$5</f>
        <v>1.875</v>
      </c>
      <c r="E31" s="22">
        <f t="shared" ref="E31:P31" si="14" xml:space="preserve"> (E$13 + E$25) / E$5</f>
        <v>1.25</v>
      </c>
      <c r="F31" s="22">
        <f t="shared" si="14"/>
        <v>1.25</v>
      </c>
      <c r="G31" s="22">
        <f t="shared" si="14"/>
        <v>1.3</v>
      </c>
      <c r="H31" s="22">
        <f t="shared" si="14"/>
        <v>1.0833333333333333</v>
      </c>
      <c r="I31" s="62">
        <f t="shared" si="14"/>
        <v>0.9285714285714286</v>
      </c>
      <c r="J31" s="63">
        <f t="shared" si="14"/>
        <v>0.8125</v>
      </c>
      <c r="K31" s="22">
        <f t="shared" si="14"/>
        <v>1.0277777777777777</v>
      </c>
      <c r="L31" s="22">
        <f t="shared" si="14"/>
        <v>0.92500000000000004</v>
      </c>
      <c r="M31" s="22">
        <f t="shared" si="14"/>
        <v>0.84090909090909094</v>
      </c>
      <c r="N31" s="22">
        <f t="shared" si="14"/>
        <v>0.77083333333333337</v>
      </c>
      <c r="O31" s="22">
        <f t="shared" si="14"/>
        <v>0.71153846153846156</v>
      </c>
      <c r="P31" s="62">
        <f t="shared" si="14"/>
        <v>0.6607142857142857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3.25</v>
      </c>
      <c r="D32" s="22">
        <f xml:space="preserve"> (D$14 + D$26) / D$5</f>
        <v>1.875</v>
      </c>
      <c r="E32" s="22">
        <f t="shared" ref="E32:P32" si="15" xml:space="preserve"> (E$14 + E$26) / E$5</f>
        <v>1.25</v>
      </c>
      <c r="F32" s="22">
        <f t="shared" si="15"/>
        <v>1.625</v>
      </c>
      <c r="G32" s="22">
        <f t="shared" si="15"/>
        <v>1.4</v>
      </c>
      <c r="H32" s="22">
        <f t="shared" si="15"/>
        <v>1.1666666666666667</v>
      </c>
      <c r="I32" s="62">
        <f t="shared" si="15"/>
        <v>1</v>
      </c>
      <c r="J32" s="63">
        <f t="shared" si="15"/>
        <v>0.9375</v>
      </c>
      <c r="K32" s="22">
        <f t="shared" si="15"/>
        <v>1.0555555555555556</v>
      </c>
      <c r="L32" s="22">
        <f t="shared" si="15"/>
        <v>0.95</v>
      </c>
      <c r="M32" s="22">
        <f t="shared" si="15"/>
        <v>0.86363636363636365</v>
      </c>
      <c r="N32" s="22">
        <f t="shared" si="15"/>
        <v>0.79166666666666663</v>
      </c>
      <c r="O32" s="22">
        <f t="shared" si="15"/>
        <v>0.73076923076923073</v>
      </c>
      <c r="P32" s="62">
        <f t="shared" si="15"/>
        <v>0.6785714285714286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3.25</v>
      </c>
      <c r="D33" s="22">
        <f xml:space="preserve"> (D$15 + D$27) / D$5</f>
        <v>1.875</v>
      </c>
      <c r="E33" s="22">
        <f t="shared" ref="E33:P33" si="16" xml:space="preserve"> (E$15 + E$27) / E$5</f>
        <v>1.25</v>
      </c>
      <c r="F33" s="22">
        <f t="shared" si="16"/>
        <v>1.25</v>
      </c>
      <c r="G33" s="22">
        <f t="shared" si="16"/>
        <v>1</v>
      </c>
      <c r="H33" s="22">
        <f t="shared" si="16"/>
        <v>0.83333333333333337</v>
      </c>
      <c r="I33" s="62">
        <f t="shared" si="16"/>
        <v>0.7142857142857143</v>
      </c>
      <c r="J33" s="63">
        <f t="shared" si="16"/>
        <v>0.625</v>
      </c>
      <c r="K33" s="22">
        <f t="shared" si="16"/>
        <v>0.77777777777777779</v>
      </c>
      <c r="L33" s="22">
        <f t="shared" si="16"/>
        <v>0.7</v>
      </c>
      <c r="M33" s="22">
        <f t="shared" si="16"/>
        <v>0.63636363636363635</v>
      </c>
      <c r="N33" s="22">
        <f t="shared" si="16"/>
        <v>0.58333333333333337</v>
      </c>
      <c r="O33" s="22">
        <f t="shared" si="16"/>
        <v>0.53846153846153844</v>
      </c>
      <c r="P33" s="62">
        <f t="shared" si="16"/>
        <v>0.5</v>
      </c>
    </row>
    <row r="34" spans="1:16" ht="16.5" thickBot="1" x14ac:dyDescent="0.3">
      <c r="A34" s="79"/>
      <c r="B34" s="18" t="s">
        <v>19</v>
      </c>
      <c r="C34" s="21">
        <f xml:space="preserve"> SUM(C30:C33)</f>
        <v>13</v>
      </c>
      <c r="D34" s="21">
        <f t="shared" ref="D34:P34" si="17" xml:space="preserve"> SUM(D30:D33)</f>
        <v>7.5</v>
      </c>
      <c r="E34" s="21">
        <f t="shared" si="17"/>
        <v>5</v>
      </c>
      <c r="F34" s="21">
        <f t="shared" si="17"/>
        <v>5.375</v>
      </c>
      <c r="G34" s="21">
        <f t="shared" si="17"/>
        <v>4.6999999999999993</v>
      </c>
      <c r="H34" s="21">
        <f t="shared" si="17"/>
        <v>3.9166666666666665</v>
      </c>
      <c r="I34" s="60">
        <f t="shared" si="17"/>
        <v>3.5714285714285716</v>
      </c>
      <c r="J34" s="61">
        <f t="shared" si="17"/>
        <v>3.1875</v>
      </c>
      <c r="K34" s="21">
        <f t="shared" si="17"/>
        <v>3.8055555555555554</v>
      </c>
      <c r="L34" s="21">
        <f t="shared" si="17"/>
        <v>3.4249999999999998</v>
      </c>
      <c r="M34" s="21">
        <f t="shared" si="17"/>
        <v>3.1136363636363638</v>
      </c>
      <c r="N34" s="21">
        <f t="shared" si="17"/>
        <v>2.854166666666667</v>
      </c>
      <c r="O34" s="21">
        <f t="shared" si="17"/>
        <v>2.6346153846153846</v>
      </c>
      <c r="P34" s="60">
        <f t="shared" si="17"/>
        <v>2.4464285714285712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6.5</v>
      </c>
      <c r="D37" s="24">
        <f xml:space="preserve"> SUM(J6:P6) + SUM(J18:P18)</f>
        <v>2</v>
      </c>
      <c r="E37" s="24">
        <f xml:space="preserve"> SUM(C37:D37)</f>
        <v>8.5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6.5</v>
      </c>
      <c r="D38" s="24">
        <f t="shared" ref="D38:D40" si="19" xml:space="preserve"> SUM(J7:P7) + SUM(J19:P19)</f>
        <v>2.75</v>
      </c>
      <c r="E38" s="24">
        <f xml:space="preserve"> SUM(C38:D38)</f>
        <v>9.25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7</v>
      </c>
      <c r="D39" s="24">
        <f t="shared" si="19"/>
        <v>2.5</v>
      </c>
      <c r="E39" s="24">
        <f xml:space="preserve"> SUM(C39:D39)</f>
        <v>9.5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5</v>
      </c>
      <c r="D40" s="24">
        <f t="shared" si="19"/>
        <v>2</v>
      </c>
      <c r="E40" s="24">
        <f xml:space="preserve"> SUM(C40:D40)</f>
        <v>7</v>
      </c>
    </row>
    <row r="41" spans="1:16" ht="16.5" thickBot="1" x14ac:dyDescent="0.3">
      <c r="A41" s="79"/>
      <c r="B41" s="18" t="s">
        <v>19</v>
      </c>
      <c r="C41" s="21">
        <f xml:space="preserve"> SUM(C37:C40)</f>
        <v>25</v>
      </c>
      <c r="D41" s="21">
        <f t="shared" ref="D41" si="20" xml:space="preserve"> SUM(D37:D40)</f>
        <v>9.25</v>
      </c>
      <c r="E41" s="21">
        <f xml:space="preserve"> SUM(C41:D41)</f>
        <v>34.25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6.5</v>
      </c>
      <c r="D43" s="24">
        <f xml:space="preserve"> SUM(C37:D37) / D$36</f>
        <v>4.25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6.5</v>
      </c>
      <c r="D44" s="24">
        <f t="shared" ref="D44:D46" si="22" xml:space="preserve"> SUM(C38:D38) / D$36</f>
        <v>4.625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7</v>
      </c>
      <c r="D45" s="24">
        <f t="shared" si="22"/>
        <v>4.75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5</v>
      </c>
      <c r="D46" s="24">
        <f t="shared" si="22"/>
        <v>3.5</v>
      </c>
    </row>
    <row r="47" spans="1:16" ht="16.5" thickBot="1" x14ac:dyDescent="0.3">
      <c r="A47" s="79"/>
      <c r="B47" s="18" t="s">
        <v>19</v>
      </c>
      <c r="C47" s="21">
        <f xml:space="preserve"> SUM(C43:C46)</f>
        <v>25</v>
      </c>
      <c r="D47" s="21">
        <f t="shared" ref="D47" si="23" xml:space="preserve"> SUM(D43:D46)</f>
        <v>17.125</v>
      </c>
    </row>
    <row r="83" spans="2:17" x14ac:dyDescent="0.25">
      <c r="B83" t="s">
        <v>51</v>
      </c>
      <c r="C83">
        <f>C84/14</f>
        <v>2.7142857142857144</v>
      </c>
    </row>
    <row r="84" spans="2:17" x14ac:dyDescent="0.25">
      <c r="B84" t="s">
        <v>52</v>
      </c>
      <c r="C84">
        <v>38</v>
      </c>
    </row>
    <row r="85" spans="2:17" x14ac:dyDescent="0.25">
      <c r="B85" t="s">
        <v>49</v>
      </c>
      <c r="C85">
        <v>0</v>
      </c>
      <c r="D85">
        <v>1</v>
      </c>
      <c r="E85">
        <v>2</v>
      </c>
      <c r="F85">
        <v>3</v>
      </c>
      <c r="G85">
        <v>4</v>
      </c>
      <c r="H85">
        <v>5</v>
      </c>
      <c r="I85">
        <v>6</v>
      </c>
      <c r="J85">
        <v>7</v>
      </c>
      <c r="K85">
        <v>8</v>
      </c>
      <c r="L85">
        <v>9</v>
      </c>
      <c r="M85">
        <v>10</v>
      </c>
      <c r="N85">
        <v>11</v>
      </c>
      <c r="O85">
        <v>12</v>
      </c>
      <c r="P85">
        <v>13</v>
      </c>
      <c r="Q85">
        <v>14</v>
      </c>
    </row>
    <row r="86" spans="2:17" x14ac:dyDescent="0.25">
      <c r="B86" t="s">
        <v>53</v>
      </c>
      <c r="C86">
        <f>C84</f>
        <v>38</v>
      </c>
      <c r="D86">
        <f>C86-C83</f>
        <v>35.285714285714285</v>
      </c>
      <c r="E86">
        <f>D86-C83</f>
        <v>32.571428571428569</v>
      </c>
      <c r="F86">
        <f>E86-C83</f>
        <v>29.857142857142854</v>
      </c>
      <c r="G86">
        <f>F86-C83</f>
        <v>27.142857142857139</v>
      </c>
      <c r="H86">
        <f>G86-C83</f>
        <v>24.428571428571423</v>
      </c>
      <c r="I86">
        <f>H86-C83</f>
        <v>21.714285714285708</v>
      </c>
      <c r="J86">
        <f>I86-C83</f>
        <v>18.999999999999993</v>
      </c>
      <c r="K86">
        <f>J86-C83</f>
        <v>16.285714285714278</v>
      </c>
      <c r="L86">
        <f>K86-C83</f>
        <v>13.571428571428562</v>
      </c>
      <c r="M86">
        <f>L86-C83</f>
        <v>10.857142857142847</v>
      </c>
      <c r="N86">
        <f>M86-C83</f>
        <v>8.1428571428571317</v>
      </c>
      <c r="O86">
        <f>N86-C83</f>
        <v>5.4285714285714173</v>
      </c>
      <c r="P86">
        <f>O86-C83</f>
        <v>2.7142857142857029</v>
      </c>
      <c r="Q86">
        <v>0</v>
      </c>
    </row>
    <row r="87" spans="2:17" x14ac:dyDescent="0.25">
      <c r="B87" t="s">
        <v>54</v>
      </c>
      <c r="C87" s="24">
        <f>E41</f>
        <v>34.25</v>
      </c>
    </row>
    <row r="88" spans="2:17" x14ac:dyDescent="0.25">
      <c r="B88" t="s">
        <v>55</v>
      </c>
      <c r="C88" s="24">
        <f>C87</f>
        <v>34.25</v>
      </c>
      <c r="D88" s="24">
        <f t="shared" ref="D88:Q88" si="24">C88-C10-C22</f>
        <v>21.25</v>
      </c>
      <c r="E88" s="24">
        <f t="shared" si="24"/>
        <v>19.25</v>
      </c>
      <c r="F88" s="24">
        <f t="shared" si="24"/>
        <v>19.25</v>
      </c>
      <c r="G88" s="24">
        <f t="shared" si="24"/>
        <v>12.75</v>
      </c>
      <c r="H88" s="24">
        <f t="shared" si="24"/>
        <v>10.75</v>
      </c>
      <c r="I88" s="24">
        <f t="shared" si="24"/>
        <v>10.75</v>
      </c>
      <c r="J88" s="24">
        <f t="shared" si="24"/>
        <v>9.25</v>
      </c>
      <c r="K88" s="24">
        <f t="shared" si="24"/>
        <v>8.75</v>
      </c>
      <c r="L88" s="24">
        <f t="shared" si="24"/>
        <v>0</v>
      </c>
      <c r="M88" s="24">
        <f t="shared" si="24"/>
        <v>0</v>
      </c>
      <c r="N88" s="24">
        <f t="shared" si="24"/>
        <v>0</v>
      </c>
      <c r="O88" s="24">
        <f t="shared" si="24"/>
        <v>0</v>
      </c>
      <c r="P88" s="24">
        <f t="shared" si="24"/>
        <v>0</v>
      </c>
      <c r="Q88" s="24">
        <f t="shared" si="24"/>
        <v>0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2" zoomScale="115" zoomScaleNormal="115" workbookViewId="0">
      <selection activeCell="H112" sqref="H112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2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4">
        <f t="shared" si="0"/>
        <v>42295</v>
      </c>
      <c r="J4" s="55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4">
        <f t="shared" si="0"/>
        <v>42302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</v>
      </c>
      <c r="E6" s="33">
        <v>0</v>
      </c>
      <c r="F6" s="33">
        <v>0</v>
      </c>
      <c r="G6" s="33">
        <v>3</v>
      </c>
      <c r="H6" s="33">
        <v>0</v>
      </c>
      <c r="I6" s="33">
        <v>0</v>
      </c>
      <c r="J6" s="59">
        <v>1.75</v>
      </c>
      <c r="K6" s="32">
        <v>3</v>
      </c>
      <c r="L6" s="32">
        <v>0</v>
      </c>
      <c r="M6" s="32">
        <v>3.25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3</v>
      </c>
      <c r="E7" s="33">
        <v>0</v>
      </c>
      <c r="F7" s="33">
        <v>0</v>
      </c>
      <c r="G7" s="33">
        <v>0</v>
      </c>
      <c r="H7" s="33">
        <v>3</v>
      </c>
      <c r="I7" s="33">
        <v>0</v>
      </c>
      <c r="J7" s="59">
        <v>1.75</v>
      </c>
      <c r="K7" s="32">
        <v>3</v>
      </c>
      <c r="L7" s="32">
        <v>0</v>
      </c>
      <c r="M7" s="32">
        <v>3.25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0</v>
      </c>
      <c r="F8" s="33">
        <v>3</v>
      </c>
      <c r="G8" s="33">
        <v>0</v>
      </c>
      <c r="H8" s="33">
        <v>2</v>
      </c>
      <c r="I8" s="33">
        <v>3</v>
      </c>
      <c r="J8" s="59">
        <v>0</v>
      </c>
      <c r="K8" s="32">
        <v>3</v>
      </c>
      <c r="L8" s="32">
        <v>0</v>
      </c>
      <c r="M8" s="32">
        <v>3.25</v>
      </c>
      <c r="N8" s="32">
        <v>0</v>
      </c>
      <c r="O8" s="32">
        <v>0</v>
      </c>
      <c r="P8" s="58">
        <v>3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3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3</v>
      </c>
      <c r="L9" s="32">
        <v>0</v>
      </c>
      <c r="M9" s="32">
        <v>3.25</v>
      </c>
      <c r="N9" s="32">
        <v>0</v>
      </c>
      <c r="O9" s="32">
        <v>3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12</v>
      </c>
      <c r="E10" s="21">
        <f t="shared" si="1"/>
        <v>0</v>
      </c>
      <c r="F10" s="21">
        <f t="shared" si="1"/>
        <v>3</v>
      </c>
      <c r="G10" s="21">
        <f t="shared" si="1"/>
        <v>3</v>
      </c>
      <c r="H10" s="21">
        <f t="shared" si="1"/>
        <v>5</v>
      </c>
      <c r="I10" s="60">
        <f t="shared" si="1"/>
        <v>3</v>
      </c>
      <c r="J10" s="61">
        <f t="shared" si="1"/>
        <v>3.5</v>
      </c>
      <c r="K10" s="21">
        <f t="shared" si="1"/>
        <v>12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3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7.75</v>
      </c>
      <c r="K12" s="22">
        <f t="shared" si="2"/>
        <v>10.75</v>
      </c>
      <c r="L12" s="22">
        <f t="shared" si="2"/>
        <v>10.75</v>
      </c>
      <c r="M12" s="22">
        <f t="shared" si="2"/>
        <v>14</v>
      </c>
      <c r="N12" s="22">
        <f t="shared" si="2"/>
        <v>14</v>
      </c>
      <c r="O12" s="22">
        <f t="shared" si="2"/>
        <v>14</v>
      </c>
      <c r="P12" s="62">
        <f t="shared" si="2"/>
        <v>14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6</v>
      </c>
      <c r="I13" s="62">
        <f t="shared" si="3"/>
        <v>6</v>
      </c>
      <c r="J13" s="63">
        <f t="shared" si="3"/>
        <v>7.75</v>
      </c>
      <c r="K13" s="22">
        <f t="shared" si="3"/>
        <v>10.75</v>
      </c>
      <c r="L13" s="22">
        <f t="shared" si="3"/>
        <v>10.75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2">
        <f t="shared" si="3"/>
        <v>14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3</v>
      </c>
      <c r="F14" s="22">
        <f t="shared" si="4"/>
        <v>6</v>
      </c>
      <c r="G14" s="22">
        <f t="shared" si="4"/>
        <v>6</v>
      </c>
      <c r="H14" s="22">
        <f t="shared" si="4"/>
        <v>8</v>
      </c>
      <c r="I14" s="62">
        <f t="shared" si="4"/>
        <v>11</v>
      </c>
      <c r="J14" s="63">
        <f t="shared" si="4"/>
        <v>11</v>
      </c>
      <c r="K14" s="22">
        <f t="shared" si="4"/>
        <v>14</v>
      </c>
      <c r="L14" s="22">
        <f t="shared" si="4"/>
        <v>14</v>
      </c>
      <c r="M14" s="22">
        <f t="shared" si="4"/>
        <v>17.25</v>
      </c>
      <c r="N14" s="22">
        <f t="shared" si="4"/>
        <v>17.25</v>
      </c>
      <c r="O14" s="22">
        <f t="shared" si="4"/>
        <v>17.25</v>
      </c>
      <c r="P14" s="62">
        <f t="shared" si="4"/>
        <v>20.25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6</v>
      </c>
      <c r="L15" s="22">
        <f t="shared" si="5"/>
        <v>6</v>
      </c>
      <c r="M15" s="22">
        <f t="shared" si="5"/>
        <v>9.25</v>
      </c>
      <c r="N15" s="22">
        <f t="shared" si="5"/>
        <v>9.25</v>
      </c>
      <c r="O15" s="22">
        <f t="shared" si="5"/>
        <v>12.25</v>
      </c>
      <c r="P15" s="62">
        <f t="shared" si="5"/>
        <v>12.25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12</v>
      </c>
      <c r="E16" s="21">
        <f t="shared" si="6"/>
        <v>12</v>
      </c>
      <c r="F16" s="21">
        <f t="shared" si="6"/>
        <v>15</v>
      </c>
      <c r="G16" s="21">
        <f t="shared" si="6"/>
        <v>18</v>
      </c>
      <c r="H16" s="21">
        <f t="shared" si="6"/>
        <v>23</v>
      </c>
      <c r="I16" s="60">
        <f t="shared" si="6"/>
        <v>26</v>
      </c>
      <c r="J16" s="61">
        <f t="shared" si="6"/>
        <v>29.5</v>
      </c>
      <c r="K16" s="21">
        <f t="shared" si="6"/>
        <v>41.5</v>
      </c>
      <c r="L16" s="21">
        <f t="shared" si="6"/>
        <v>41.5</v>
      </c>
      <c r="M16" s="21">
        <f t="shared" si="6"/>
        <v>54.5</v>
      </c>
      <c r="N16" s="21">
        <f t="shared" si="6"/>
        <v>54.5</v>
      </c>
      <c r="O16" s="21">
        <f t="shared" si="6"/>
        <v>57.5</v>
      </c>
      <c r="P16" s="60">
        <f t="shared" si="6"/>
        <v>60.5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1.5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0.96875</v>
      </c>
      <c r="K30" s="22">
        <f t="shared" si="13"/>
        <v>1.1944444444444444</v>
      </c>
      <c r="L30" s="22">
        <f t="shared" si="13"/>
        <v>1.075</v>
      </c>
      <c r="M30" s="22">
        <f t="shared" si="13"/>
        <v>1.2727272727272727</v>
      </c>
      <c r="N30" s="22">
        <f t="shared" si="13"/>
        <v>1.1666666666666667</v>
      </c>
      <c r="O30" s="22">
        <f t="shared" si="13"/>
        <v>1.0769230769230769</v>
      </c>
      <c r="P30" s="62">
        <f t="shared" si="13"/>
        <v>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1</v>
      </c>
      <c r="I31" s="62">
        <f t="shared" si="14"/>
        <v>0.8571428571428571</v>
      </c>
      <c r="J31" s="63">
        <f t="shared" si="14"/>
        <v>0.96875</v>
      </c>
      <c r="K31" s="22">
        <f t="shared" si="14"/>
        <v>1.1944444444444444</v>
      </c>
      <c r="L31" s="22">
        <f t="shared" si="14"/>
        <v>1.075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2">
        <f t="shared" si="14"/>
        <v>1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</v>
      </c>
      <c r="F32" s="22">
        <f t="shared" si="15"/>
        <v>1.5</v>
      </c>
      <c r="G32" s="22">
        <f t="shared" si="15"/>
        <v>1.2</v>
      </c>
      <c r="H32" s="22">
        <f t="shared" si="15"/>
        <v>1.3333333333333333</v>
      </c>
      <c r="I32" s="62">
        <f t="shared" si="15"/>
        <v>1.5714285714285714</v>
      </c>
      <c r="J32" s="63">
        <f t="shared" si="15"/>
        <v>1.375</v>
      </c>
      <c r="K32" s="22">
        <f t="shared" si="15"/>
        <v>1.5555555555555556</v>
      </c>
      <c r="L32" s="22">
        <f t="shared" si="15"/>
        <v>1.4</v>
      </c>
      <c r="M32" s="22">
        <f t="shared" si="15"/>
        <v>1.5681818181818181</v>
      </c>
      <c r="N32" s="22">
        <f t="shared" si="15"/>
        <v>1.4375</v>
      </c>
      <c r="O32" s="22">
        <f t="shared" si="15"/>
        <v>1.3269230769230769</v>
      </c>
      <c r="P32" s="62">
        <f t="shared" si="15"/>
        <v>1.4464285714285714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0.5</v>
      </c>
      <c r="I33" s="62">
        <f t="shared" si="16"/>
        <v>0.42857142857142855</v>
      </c>
      <c r="J33" s="63">
        <f t="shared" si="16"/>
        <v>0.375</v>
      </c>
      <c r="K33" s="22">
        <f t="shared" si="16"/>
        <v>0.66666666666666663</v>
      </c>
      <c r="L33" s="22">
        <f t="shared" si="16"/>
        <v>0.6</v>
      </c>
      <c r="M33" s="22">
        <f t="shared" si="16"/>
        <v>0.84090909090909094</v>
      </c>
      <c r="N33" s="22">
        <f t="shared" si="16"/>
        <v>0.77083333333333337</v>
      </c>
      <c r="O33" s="22">
        <f t="shared" si="16"/>
        <v>0.94230769230769229</v>
      </c>
      <c r="P33" s="62">
        <f t="shared" si="16"/>
        <v>0.875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6</v>
      </c>
      <c r="E34" s="21">
        <f t="shared" si="17"/>
        <v>4</v>
      </c>
      <c r="F34" s="21">
        <f t="shared" si="17"/>
        <v>3.75</v>
      </c>
      <c r="G34" s="21">
        <f t="shared" si="17"/>
        <v>3.6</v>
      </c>
      <c r="H34" s="21">
        <f t="shared" si="17"/>
        <v>3.833333333333333</v>
      </c>
      <c r="I34" s="60">
        <f t="shared" si="17"/>
        <v>3.714285714285714</v>
      </c>
      <c r="J34" s="61">
        <f t="shared" si="17"/>
        <v>3.6875</v>
      </c>
      <c r="K34" s="21">
        <f t="shared" si="17"/>
        <v>4.6111111111111116</v>
      </c>
      <c r="L34" s="21">
        <f t="shared" si="17"/>
        <v>4.1499999999999995</v>
      </c>
      <c r="M34" s="21">
        <f t="shared" si="17"/>
        <v>4.9545454545454541</v>
      </c>
      <c r="N34" s="21">
        <f t="shared" si="17"/>
        <v>4.541666666666667</v>
      </c>
      <c r="O34" s="21">
        <f t="shared" si="17"/>
        <v>4.4230769230769234</v>
      </c>
      <c r="P34" s="60">
        <f t="shared" si="17"/>
        <v>4.3214285714285712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8</v>
      </c>
      <c r="E37" s="24">
        <f xml:space="preserve"> SUM(C37:D37)</f>
        <v>14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8</v>
      </c>
      <c r="E38" s="24">
        <f xml:space="preserve"> SUM(C38:D38)</f>
        <v>14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11</v>
      </c>
      <c r="D39" s="24">
        <f t="shared" si="19"/>
        <v>9.25</v>
      </c>
      <c r="E39" s="24">
        <f xml:space="preserve"> SUM(C39:D39)</f>
        <v>20.25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3</v>
      </c>
      <c r="D40" s="24">
        <f t="shared" si="19"/>
        <v>9.25</v>
      </c>
      <c r="E40" s="24">
        <f xml:space="preserve"> SUM(C40:D40)</f>
        <v>12.25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34.5</v>
      </c>
      <c r="E41" s="21">
        <f xml:space="preserve"> SUM(C41:D41)</f>
        <v>60.5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7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7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11</v>
      </c>
      <c r="D45" s="24">
        <f t="shared" si="22"/>
        <v>10.125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3</v>
      </c>
      <c r="D46" s="24">
        <f t="shared" si="22"/>
        <v>6.125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30.25</v>
      </c>
    </row>
    <row r="86" spans="2:17" x14ac:dyDescent="0.25">
      <c r="B86" t="s">
        <v>51</v>
      </c>
      <c r="C86">
        <f>C87/14</f>
        <v>5</v>
      </c>
    </row>
    <row r="87" spans="2:17" x14ac:dyDescent="0.25">
      <c r="B87" t="s">
        <v>52</v>
      </c>
      <c r="C87">
        <v>70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70</v>
      </c>
      <c r="D89">
        <f>C89-C86</f>
        <v>65</v>
      </c>
      <c r="E89">
        <f>D89-C86</f>
        <v>60</v>
      </c>
      <c r="F89">
        <f>E89-C86</f>
        <v>55</v>
      </c>
      <c r="G89">
        <f>F89-C86</f>
        <v>50</v>
      </c>
      <c r="H89">
        <f>G89-C86</f>
        <v>45</v>
      </c>
      <c r="I89">
        <f>H89-C86</f>
        <v>40</v>
      </c>
      <c r="J89">
        <f>I89-C86</f>
        <v>35</v>
      </c>
      <c r="K89">
        <f>J89-C86</f>
        <v>30</v>
      </c>
      <c r="L89">
        <f>K89-C86</f>
        <v>25</v>
      </c>
      <c r="M89">
        <f>L89-C86</f>
        <v>20</v>
      </c>
      <c r="N89">
        <f>M89-C86</f>
        <v>15</v>
      </c>
      <c r="O89">
        <f>N89-C86</f>
        <v>10</v>
      </c>
      <c r="P89">
        <f>O89-C86</f>
        <v>5</v>
      </c>
      <c r="Q89">
        <v>0</v>
      </c>
    </row>
    <row r="90" spans="2:17" x14ac:dyDescent="0.25">
      <c r="B90" t="s">
        <v>54</v>
      </c>
      <c r="C90" s="24">
        <f>E41</f>
        <v>60.5</v>
      </c>
      <c r="D90">
        <v>0</v>
      </c>
      <c r="E90">
        <v>12</v>
      </c>
      <c r="F90">
        <v>0</v>
      </c>
      <c r="G90">
        <v>3</v>
      </c>
      <c r="H90">
        <v>3</v>
      </c>
      <c r="I90">
        <v>5</v>
      </c>
      <c r="J90">
        <v>3</v>
      </c>
      <c r="K90">
        <v>3.5</v>
      </c>
      <c r="L90">
        <v>12</v>
      </c>
      <c r="M90">
        <v>0</v>
      </c>
      <c r="N90">
        <v>13</v>
      </c>
      <c r="O90">
        <v>0</v>
      </c>
      <c r="P90">
        <v>3</v>
      </c>
      <c r="Q90">
        <v>3</v>
      </c>
    </row>
    <row r="91" spans="2:17" x14ac:dyDescent="0.25">
      <c r="B91" t="s">
        <v>55</v>
      </c>
      <c r="C91" s="24">
        <f>C90</f>
        <v>60.5</v>
      </c>
      <c r="D91" s="24">
        <f>C91-D90</f>
        <v>60.5</v>
      </c>
      <c r="E91" s="24">
        <f>D91-E90</f>
        <v>48.5</v>
      </c>
      <c r="F91" s="24">
        <f t="shared" ref="F91:Q91" si="24">E91-F90</f>
        <v>48.5</v>
      </c>
      <c r="G91" s="24">
        <f t="shared" si="24"/>
        <v>45.5</v>
      </c>
      <c r="H91" s="24">
        <f t="shared" si="24"/>
        <v>42.5</v>
      </c>
      <c r="I91" s="24">
        <f t="shared" si="24"/>
        <v>37.5</v>
      </c>
      <c r="J91" s="24">
        <f t="shared" si="24"/>
        <v>34.5</v>
      </c>
      <c r="K91" s="24">
        <f t="shared" si="24"/>
        <v>31</v>
      </c>
      <c r="L91" s="24">
        <f t="shared" si="24"/>
        <v>19</v>
      </c>
      <c r="M91" s="24">
        <f t="shared" si="24"/>
        <v>19</v>
      </c>
      <c r="N91" s="24">
        <f t="shared" si="24"/>
        <v>6</v>
      </c>
      <c r="O91" s="24">
        <f t="shared" si="24"/>
        <v>6</v>
      </c>
      <c r="P91" s="24">
        <f t="shared" si="24"/>
        <v>3</v>
      </c>
      <c r="Q91" s="24">
        <f t="shared" si="24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68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3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4">
        <f t="shared" si="0"/>
        <v>42309</v>
      </c>
      <c r="J4" s="55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4">
        <f t="shared" si="0"/>
        <v>42316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3.75</v>
      </c>
      <c r="E6" s="33">
        <v>1</v>
      </c>
      <c r="F6" s="33">
        <v>0</v>
      </c>
      <c r="G6" s="33">
        <v>2</v>
      </c>
      <c r="H6" s="33">
        <v>1</v>
      </c>
      <c r="I6" s="33">
        <v>4.5</v>
      </c>
      <c r="J6" s="59">
        <v>0.5</v>
      </c>
      <c r="K6" s="32">
        <v>4</v>
      </c>
      <c r="L6" s="32">
        <v>2</v>
      </c>
      <c r="M6" s="32">
        <v>1</v>
      </c>
      <c r="N6" s="32">
        <v>1.5</v>
      </c>
      <c r="O6" s="32">
        <v>0</v>
      </c>
      <c r="P6" s="58">
        <v>1.5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1</v>
      </c>
      <c r="D7" s="33">
        <v>1.5</v>
      </c>
      <c r="E7" s="33">
        <v>0</v>
      </c>
      <c r="F7" s="33">
        <v>0</v>
      </c>
      <c r="G7" s="33">
        <v>2</v>
      </c>
      <c r="H7" s="33">
        <v>1</v>
      </c>
      <c r="I7" s="33">
        <v>0</v>
      </c>
      <c r="J7" s="59">
        <v>0.5</v>
      </c>
      <c r="K7" s="32">
        <v>2.5</v>
      </c>
      <c r="L7" s="32">
        <v>4</v>
      </c>
      <c r="M7" s="32">
        <v>4.5</v>
      </c>
      <c r="N7" s="32">
        <v>0.5</v>
      </c>
      <c r="O7" s="32">
        <v>2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1</v>
      </c>
      <c r="F8" s="33">
        <v>3</v>
      </c>
      <c r="G8" s="33">
        <v>0</v>
      </c>
      <c r="H8" s="33">
        <v>2</v>
      </c>
      <c r="I8" s="33">
        <v>1</v>
      </c>
      <c r="J8" s="59">
        <v>1</v>
      </c>
      <c r="K8" s="32">
        <v>2</v>
      </c>
      <c r="L8" s="32">
        <v>1</v>
      </c>
      <c r="M8" s="32">
        <v>1</v>
      </c>
      <c r="N8" s="32">
        <v>3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0.5</v>
      </c>
      <c r="D9" s="33">
        <v>1</v>
      </c>
      <c r="E9" s="33">
        <v>0.5</v>
      </c>
      <c r="F9" s="33">
        <v>0</v>
      </c>
      <c r="G9" s="33">
        <v>1</v>
      </c>
      <c r="H9" s="33">
        <v>3</v>
      </c>
      <c r="I9" s="33">
        <v>2</v>
      </c>
      <c r="J9" s="59">
        <v>0.5</v>
      </c>
      <c r="K9" s="32">
        <v>1</v>
      </c>
      <c r="L9" s="32">
        <v>1.5</v>
      </c>
      <c r="M9" s="32">
        <v>0</v>
      </c>
      <c r="N9" s="32">
        <v>1</v>
      </c>
      <c r="O9" s="32">
        <v>3</v>
      </c>
      <c r="P9" s="58">
        <v>2.5</v>
      </c>
    </row>
    <row r="10" spans="1:16" ht="16.5" thickBot="1" x14ac:dyDescent="0.3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9.25</v>
      </c>
      <c r="E10" s="21">
        <f t="shared" si="1"/>
        <v>2.5</v>
      </c>
      <c r="F10" s="21">
        <f t="shared" si="1"/>
        <v>3</v>
      </c>
      <c r="G10" s="21">
        <f t="shared" si="1"/>
        <v>5</v>
      </c>
      <c r="H10" s="21">
        <f t="shared" si="1"/>
        <v>7</v>
      </c>
      <c r="I10" s="60">
        <f t="shared" si="1"/>
        <v>7.5</v>
      </c>
      <c r="J10" s="61">
        <f t="shared" si="1"/>
        <v>2.5</v>
      </c>
      <c r="K10" s="21">
        <f t="shared" si="1"/>
        <v>9.5</v>
      </c>
      <c r="L10" s="21">
        <f t="shared" si="1"/>
        <v>8.5</v>
      </c>
      <c r="M10" s="21">
        <f t="shared" si="1"/>
        <v>6.5</v>
      </c>
      <c r="N10" s="21">
        <f t="shared" si="1"/>
        <v>6</v>
      </c>
      <c r="O10" s="21">
        <f t="shared" si="1"/>
        <v>5</v>
      </c>
      <c r="P10" s="60">
        <f t="shared" si="1"/>
        <v>4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3.75</v>
      </c>
      <c r="E12" s="22">
        <f t="shared" si="2"/>
        <v>4.75</v>
      </c>
      <c r="F12" s="22">
        <f t="shared" si="2"/>
        <v>4.75</v>
      </c>
      <c r="G12" s="22">
        <f t="shared" si="2"/>
        <v>6.75</v>
      </c>
      <c r="H12" s="22">
        <f t="shared" si="2"/>
        <v>7.75</v>
      </c>
      <c r="I12" s="62">
        <f t="shared" si="2"/>
        <v>12.25</v>
      </c>
      <c r="J12" s="63">
        <f t="shared" si="2"/>
        <v>12.75</v>
      </c>
      <c r="K12" s="22">
        <f t="shared" si="2"/>
        <v>16.75</v>
      </c>
      <c r="L12" s="22">
        <f t="shared" si="2"/>
        <v>18.75</v>
      </c>
      <c r="M12" s="22">
        <f t="shared" si="2"/>
        <v>19.75</v>
      </c>
      <c r="N12" s="22">
        <f t="shared" si="2"/>
        <v>21.25</v>
      </c>
      <c r="O12" s="22">
        <f t="shared" si="2"/>
        <v>21.25</v>
      </c>
      <c r="P12" s="62">
        <f t="shared" si="2"/>
        <v>22.75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1</v>
      </c>
      <c r="D13" s="22">
        <f t="shared" ref="D13:P13" si="3" xml:space="preserve"> C$13 + D$7</f>
        <v>2.5</v>
      </c>
      <c r="E13" s="22">
        <f t="shared" si="3"/>
        <v>2.5</v>
      </c>
      <c r="F13" s="22">
        <f t="shared" si="3"/>
        <v>2.5</v>
      </c>
      <c r="G13" s="22">
        <f t="shared" si="3"/>
        <v>4.5</v>
      </c>
      <c r="H13" s="22">
        <f t="shared" si="3"/>
        <v>5.5</v>
      </c>
      <c r="I13" s="62">
        <f t="shared" si="3"/>
        <v>5.5</v>
      </c>
      <c r="J13" s="63">
        <f t="shared" si="3"/>
        <v>6</v>
      </c>
      <c r="K13" s="22">
        <f t="shared" si="3"/>
        <v>8.5</v>
      </c>
      <c r="L13" s="22">
        <f t="shared" si="3"/>
        <v>12.5</v>
      </c>
      <c r="M13" s="22">
        <f t="shared" si="3"/>
        <v>17</v>
      </c>
      <c r="N13" s="22">
        <f t="shared" si="3"/>
        <v>17.5</v>
      </c>
      <c r="O13" s="22">
        <f t="shared" si="3"/>
        <v>19.5</v>
      </c>
      <c r="P13" s="62">
        <f t="shared" si="3"/>
        <v>19.5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4</v>
      </c>
      <c r="F14" s="22">
        <f t="shared" si="4"/>
        <v>7</v>
      </c>
      <c r="G14" s="22">
        <f t="shared" si="4"/>
        <v>7</v>
      </c>
      <c r="H14" s="22">
        <f t="shared" si="4"/>
        <v>9</v>
      </c>
      <c r="I14" s="62">
        <f t="shared" si="4"/>
        <v>10</v>
      </c>
      <c r="J14" s="63">
        <f t="shared" si="4"/>
        <v>11</v>
      </c>
      <c r="K14" s="22">
        <f t="shared" si="4"/>
        <v>13</v>
      </c>
      <c r="L14" s="22">
        <f t="shared" si="4"/>
        <v>14</v>
      </c>
      <c r="M14" s="22">
        <f t="shared" si="4"/>
        <v>15</v>
      </c>
      <c r="N14" s="22">
        <f t="shared" si="4"/>
        <v>18</v>
      </c>
      <c r="O14" s="22">
        <f t="shared" si="4"/>
        <v>18</v>
      </c>
      <c r="P14" s="62">
        <f t="shared" si="4"/>
        <v>18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0.5</v>
      </c>
      <c r="D15" s="22">
        <f t="shared" ref="D15:P15" si="5" xml:space="preserve"> C$15 + D$9</f>
        <v>1.5</v>
      </c>
      <c r="E15" s="22">
        <f t="shared" si="5"/>
        <v>2</v>
      </c>
      <c r="F15" s="22">
        <f t="shared" si="5"/>
        <v>2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8.5</v>
      </c>
      <c r="K15" s="22">
        <f t="shared" si="5"/>
        <v>9.5</v>
      </c>
      <c r="L15" s="22">
        <f t="shared" si="5"/>
        <v>11</v>
      </c>
      <c r="M15" s="22">
        <f t="shared" si="5"/>
        <v>11</v>
      </c>
      <c r="N15" s="22">
        <f t="shared" si="5"/>
        <v>12</v>
      </c>
      <c r="O15" s="22">
        <f t="shared" si="5"/>
        <v>15</v>
      </c>
      <c r="P15" s="62">
        <f t="shared" si="5"/>
        <v>17.5</v>
      </c>
    </row>
    <row r="16" spans="1:16" ht="16.5" thickBot="1" x14ac:dyDescent="0.3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10.75</v>
      </c>
      <c r="E16" s="21">
        <f t="shared" si="6"/>
        <v>13.25</v>
      </c>
      <c r="F16" s="21">
        <f t="shared" si="6"/>
        <v>16.25</v>
      </c>
      <c r="G16" s="21">
        <f t="shared" si="6"/>
        <v>21.25</v>
      </c>
      <c r="H16" s="21">
        <f t="shared" si="6"/>
        <v>28.25</v>
      </c>
      <c r="I16" s="60">
        <f t="shared" si="6"/>
        <v>35.75</v>
      </c>
      <c r="J16" s="61">
        <f t="shared" si="6"/>
        <v>38.25</v>
      </c>
      <c r="K16" s="21">
        <f t="shared" si="6"/>
        <v>47.75</v>
      </c>
      <c r="L16" s="21">
        <f t="shared" si="6"/>
        <v>56.25</v>
      </c>
      <c r="M16" s="21">
        <f t="shared" si="6"/>
        <v>62.75</v>
      </c>
      <c r="N16" s="21">
        <f t="shared" si="6"/>
        <v>68.75</v>
      </c>
      <c r="O16" s="21">
        <f t="shared" si="6"/>
        <v>73.75</v>
      </c>
      <c r="P16" s="60">
        <f t="shared" si="6"/>
        <v>77.75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1.875</v>
      </c>
      <c r="E30" s="22">
        <f t="shared" ref="E30:P30" si="13" xml:space="preserve"> (E$12 + E$24) / E$5</f>
        <v>1.5833333333333333</v>
      </c>
      <c r="F30" s="22">
        <f t="shared" si="13"/>
        <v>1.1875</v>
      </c>
      <c r="G30" s="22">
        <f t="shared" si="13"/>
        <v>1.35</v>
      </c>
      <c r="H30" s="22">
        <f t="shared" si="13"/>
        <v>1.2916666666666667</v>
      </c>
      <c r="I30" s="62">
        <f t="shared" si="13"/>
        <v>1.75</v>
      </c>
      <c r="J30" s="63">
        <f t="shared" si="13"/>
        <v>1.59375</v>
      </c>
      <c r="K30" s="22">
        <f t="shared" si="13"/>
        <v>1.8611111111111112</v>
      </c>
      <c r="L30" s="22">
        <f t="shared" si="13"/>
        <v>1.875</v>
      </c>
      <c r="M30" s="22">
        <f t="shared" si="13"/>
        <v>1.7954545454545454</v>
      </c>
      <c r="N30" s="22">
        <f t="shared" si="13"/>
        <v>1.7708333333333333</v>
      </c>
      <c r="O30" s="22">
        <f t="shared" si="13"/>
        <v>1.6346153846153846</v>
      </c>
      <c r="P30" s="62">
        <f t="shared" si="13"/>
        <v>1.625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1</v>
      </c>
      <c r="D31" s="22">
        <f xml:space="preserve"> (D$13 + D$25) / D$5</f>
        <v>1.25</v>
      </c>
      <c r="E31" s="22">
        <f t="shared" ref="E31:P31" si="14" xml:space="preserve"> (E$13 + E$25) / E$5</f>
        <v>0.83333333333333337</v>
      </c>
      <c r="F31" s="22">
        <f t="shared" si="14"/>
        <v>0.625</v>
      </c>
      <c r="G31" s="22">
        <f t="shared" si="14"/>
        <v>0.9</v>
      </c>
      <c r="H31" s="22">
        <f t="shared" si="14"/>
        <v>0.91666666666666663</v>
      </c>
      <c r="I31" s="62">
        <f t="shared" si="14"/>
        <v>0.7857142857142857</v>
      </c>
      <c r="J31" s="63">
        <f t="shared" si="14"/>
        <v>0.75</v>
      </c>
      <c r="K31" s="22">
        <f t="shared" si="14"/>
        <v>0.94444444444444442</v>
      </c>
      <c r="L31" s="22">
        <f t="shared" si="14"/>
        <v>1.25</v>
      </c>
      <c r="M31" s="22">
        <f t="shared" si="14"/>
        <v>1.5454545454545454</v>
      </c>
      <c r="N31" s="22">
        <f t="shared" si="14"/>
        <v>1.4583333333333333</v>
      </c>
      <c r="O31" s="22">
        <f t="shared" si="14"/>
        <v>1.5</v>
      </c>
      <c r="P31" s="62">
        <f t="shared" si="14"/>
        <v>1.3928571428571428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1.3333333333333333</v>
      </c>
      <c r="F32" s="22">
        <f t="shared" si="15"/>
        <v>1.75</v>
      </c>
      <c r="G32" s="22">
        <f t="shared" si="15"/>
        <v>1.4</v>
      </c>
      <c r="H32" s="22">
        <f t="shared" si="15"/>
        <v>1.5</v>
      </c>
      <c r="I32" s="62">
        <f t="shared" si="15"/>
        <v>1.4285714285714286</v>
      </c>
      <c r="J32" s="63">
        <f t="shared" si="15"/>
        <v>1.375</v>
      </c>
      <c r="K32" s="22">
        <f t="shared" si="15"/>
        <v>1.4444444444444444</v>
      </c>
      <c r="L32" s="22">
        <f t="shared" si="15"/>
        <v>1.4</v>
      </c>
      <c r="M32" s="22">
        <f t="shared" si="15"/>
        <v>1.3636363636363635</v>
      </c>
      <c r="N32" s="22">
        <f t="shared" si="15"/>
        <v>1.5</v>
      </c>
      <c r="O32" s="22">
        <f t="shared" si="15"/>
        <v>1.3846153846153846</v>
      </c>
      <c r="P32" s="62">
        <f t="shared" si="15"/>
        <v>1.2857142857142858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0.5</v>
      </c>
      <c r="D33" s="22">
        <f xml:space="preserve"> (D$15 + D$27) / D$5</f>
        <v>0.75</v>
      </c>
      <c r="E33" s="22">
        <f t="shared" ref="E33:P33" si="16" xml:space="preserve"> (E$15 + E$27) / E$5</f>
        <v>0.66666666666666663</v>
      </c>
      <c r="F33" s="22">
        <f t="shared" si="16"/>
        <v>0.5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1.0625</v>
      </c>
      <c r="K33" s="22">
        <f t="shared" si="16"/>
        <v>1.0555555555555556</v>
      </c>
      <c r="L33" s="22">
        <f t="shared" si="16"/>
        <v>1.1000000000000001</v>
      </c>
      <c r="M33" s="22">
        <f t="shared" si="16"/>
        <v>1</v>
      </c>
      <c r="N33" s="22">
        <f t="shared" si="16"/>
        <v>1</v>
      </c>
      <c r="O33" s="22">
        <f t="shared" si="16"/>
        <v>1.1538461538461537</v>
      </c>
      <c r="P33" s="62">
        <f t="shared" si="16"/>
        <v>1.25</v>
      </c>
    </row>
    <row r="34" spans="1:16" ht="16.5" thickBot="1" x14ac:dyDescent="0.3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5.375</v>
      </c>
      <c r="E34" s="21">
        <f t="shared" si="17"/>
        <v>4.416666666666667</v>
      </c>
      <c r="F34" s="21">
        <f t="shared" si="17"/>
        <v>4.0625</v>
      </c>
      <c r="G34" s="21">
        <f t="shared" si="17"/>
        <v>4.25</v>
      </c>
      <c r="H34" s="21">
        <f t="shared" si="17"/>
        <v>4.7083333333333339</v>
      </c>
      <c r="I34" s="60">
        <f t="shared" si="17"/>
        <v>5.1071428571428577</v>
      </c>
      <c r="J34" s="61">
        <f t="shared" si="17"/>
        <v>4.78125</v>
      </c>
      <c r="K34" s="21">
        <f t="shared" si="17"/>
        <v>5.3055555555555554</v>
      </c>
      <c r="L34" s="21">
        <f t="shared" si="17"/>
        <v>5.625</v>
      </c>
      <c r="M34" s="21">
        <f t="shared" si="17"/>
        <v>5.7045454545454541</v>
      </c>
      <c r="N34" s="21">
        <f t="shared" si="17"/>
        <v>5.7291666666666661</v>
      </c>
      <c r="O34" s="21">
        <f t="shared" si="17"/>
        <v>5.6730769230769234</v>
      </c>
      <c r="P34" s="60">
        <f t="shared" si="17"/>
        <v>5.5535714285714288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12.25</v>
      </c>
      <c r="D37" s="24">
        <f xml:space="preserve"> SUM(J6:P6) + SUM(J18:P18)</f>
        <v>10.5</v>
      </c>
      <c r="E37" s="24">
        <f xml:space="preserve"> SUM(C37:D37)</f>
        <v>22.75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5.5</v>
      </c>
      <c r="D38" s="24">
        <f t="shared" ref="D38:D40" si="19" xml:space="preserve"> SUM(J7:P7) + SUM(J19:P19)</f>
        <v>14</v>
      </c>
      <c r="E38" s="24">
        <f xml:space="preserve"> SUM(C38:D38)</f>
        <v>19.5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10</v>
      </c>
      <c r="D39" s="24">
        <f t="shared" si="19"/>
        <v>8</v>
      </c>
      <c r="E39" s="24">
        <f xml:space="preserve"> SUM(C39:D39)</f>
        <v>18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</v>
      </c>
      <c r="D40" s="24">
        <f t="shared" si="19"/>
        <v>9.5</v>
      </c>
      <c r="E40" s="24">
        <f xml:space="preserve"> SUM(C40:D40)</f>
        <v>17.5</v>
      </c>
    </row>
    <row r="41" spans="1:16" ht="16.5" thickBot="1" x14ac:dyDescent="0.3">
      <c r="A41" s="79"/>
      <c r="B41" s="18" t="s">
        <v>19</v>
      </c>
      <c r="C41" s="21">
        <f xml:space="preserve"> SUM(C37:C40)</f>
        <v>35.75</v>
      </c>
      <c r="D41" s="21">
        <f t="shared" ref="D41" si="20" xml:space="preserve"> SUM(D37:D40)</f>
        <v>42</v>
      </c>
      <c r="E41" s="21">
        <f xml:space="preserve"> SUM(C41:D41)</f>
        <v>77.75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12.25</v>
      </c>
      <c r="D43" s="24">
        <f xml:space="preserve"> SUM(C37:D37) / D$36</f>
        <v>11.375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5.5</v>
      </c>
      <c r="D44" s="24">
        <f t="shared" ref="D44:D46" si="22" xml:space="preserve"> SUM(C38:D38) / D$36</f>
        <v>9.75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10</v>
      </c>
      <c r="D45" s="24">
        <f t="shared" si="22"/>
        <v>9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</v>
      </c>
      <c r="D46" s="24">
        <f t="shared" si="22"/>
        <v>8.75</v>
      </c>
    </row>
    <row r="47" spans="1:16" ht="16.5" thickBot="1" x14ac:dyDescent="0.3">
      <c r="A47" s="79"/>
      <c r="B47" s="18" t="s">
        <v>19</v>
      </c>
      <c r="C47" s="21">
        <f xml:space="preserve"> SUM(C43:C46)</f>
        <v>35.75</v>
      </c>
      <c r="D47" s="21">
        <f t="shared" ref="D47" si="23" xml:space="preserve"> SUM(D43:D46)</f>
        <v>38.875</v>
      </c>
    </row>
    <row r="86" spans="2:17" x14ac:dyDescent="0.25">
      <c r="B86" t="s">
        <v>51</v>
      </c>
      <c r="C86">
        <f>C87/14</f>
        <v>6.2857142857142856</v>
      </c>
    </row>
    <row r="87" spans="2:17" x14ac:dyDescent="0.25">
      <c r="B87" t="s">
        <v>52</v>
      </c>
      <c r="C87">
        <v>88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88</v>
      </c>
      <c r="D89">
        <f>C89-C86</f>
        <v>81.714285714285708</v>
      </c>
      <c r="E89">
        <f>D89-C86</f>
        <v>75.428571428571416</v>
      </c>
      <c r="F89">
        <f>E89-C86</f>
        <v>69.142857142857125</v>
      </c>
      <c r="G89">
        <f>F89-C86</f>
        <v>62.85714285714284</v>
      </c>
      <c r="H89">
        <f>G89-C86</f>
        <v>56.571428571428555</v>
      </c>
      <c r="I89">
        <f>H89-C86</f>
        <v>50.28571428571427</v>
      </c>
      <c r="J89">
        <f>I89-C86</f>
        <v>43.999999999999986</v>
      </c>
      <c r="K89">
        <f>J89-C86</f>
        <v>37.714285714285701</v>
      </c>
      <c r="L89">
        <f>K89-C86</f>
        <v>31.428571428571416</v>
      </c>
      <c r="M89">
        <f>L89-C86</f>
        <v>25.142857142857132</v>
      </c>
      <c r="N89">
        <f>M89-C86</f>
        <v>18.857142857142847</v>
      </c>
      <c r="O89">
        <f>N89-C86</f>
        <v>12.571428571428562</v>
      </c>
      <c r="P89">
        <f>O89-C86</f>
        <v>6.2857142857142767</v>
      </c>
      <c r="Q89">
        <v>0</v>
      </c>
    </row>
    <row r="90" spans="2:17" x14ac:dyDescent="0.25">
      <c r="B90" t="s">
        <v>54</v>
      </c>
      <c r="C90" s="24">
        <f>E41</f>
        <v>77.75</v>
      </c>
      <c r="D90" s="24">
        <f>C10</f>
        <v>1.5</v>
      </c>
      <c r="E90" s="24">
        <f>D10</f>
        <v>9.25</v>
      </c>
      <c r="F90" s="24">
        <f t="shared" ref="F90:Q90" si="24">E10</f>
        <v>2.5</v>
      </c>
      <c r="G90" s="24">
        <f t="shared" si="24"/>
        <v>3</v>
      </c>
      <c r="H90" s="24">
        <f t="shared" si="24"/>
        <v>5</v>
      </c>
      <c r="I90" s="24">
        <f t="shared" si="24"/>
        <v>7</v>
      </c>
      <c r="J90" s="24">
        <f t="shared" si="24"/>
        <v>7.5</v>
      </c>
      <c r="K90" s="24">
        <f t="shared" si="24"/>
        <v>2.5</v>
      </c>
      <c r="L90" s="24">
        <f t="shared" si="24"/>
        <v>9.5</v>
      </c>
      <c r="M90" s="24">
        <f t="shared" si="24"/>
        <v>8.5</v>
      </c>
      <c r="N90" s="24">
        <f t="shared" si="24"/>
        <v>6.5</v>
      </c>
      <c r="O90" s="24">
        <f t="shared" si="24"/>
        <v>6</v>
      </c>
      <c r="P90" s="24">
        <f t="shared" si="24"/>
        <v>5</v>
      </c>
      <c r="Q90" s="24">
        <f t="shared" si="24"/>
        <v>4</v>
      </c>
    </row>
    <row r="91" spans="2:17" x14ac:dyDescent="0.25">
      <c r="B91" t="s">
        <v>55</v>
      </c>
      <c r="C91" s="24">
        <f>C90</f>
        <v>77.75</v>
      </c>
      <c r="D91" s="24">
        <f>C91-D90</f>
        <v>76.25</v>
      </c>
      <c r="E91" s="24">
        <f>D91-E90</f>
        <v>67</v>
      </c>
      <c r="F91" s="24">
        <f t="shared" ref="F91:Q91" si="25">E91-F90</f>
        <v>64.5</v>
      </c>
      <c r="G91" s="24">
        <f t="shared" si="25"/>
        <v>61.5</v>
      </c>
      <c r="H91" s="24">
        <f t="shared" si="25"/>
        <v>56.5</v>
      </c>
      <c r="I91" s="24">
        <f t="shared" si="25"/>
        <v>49.5</v>
      </c>
      <c r="J91" s="24">
        <f t="shared" si="25"/>
        <v>42</v>
      </c>
      <c r="K91" s="24">
        <f t="shared" si="25"/>
        <v>39.5</v>
      </c>
      <c r="L91" s="24">
        <f t="shared" si="25"/>
        <v>30</v>
      </c>
      <c r="M91" s="24">
        <f t="shared" si="25"/>
        <v>21.5</v>
      </c>
      <c r="N91" s="24">
        <f t="shared" si="25"/>
        <v>15</v>
      </c>
      <c r="O91" s="24">
        <f t="shared" si="25"/>
        <v>9</v>
      </c>
      <c r="P91" s="24">
        <f t="shared" si="25"/>
        <v>4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B45" zoomScale="115" zoomScaleNormal="115" workbookViewId="0">
      <selection activeCell="G11" sqref="G1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4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4">
        <f t="shared" si="0"/>
        <v>42323</v>
      </c>
      <c r="J4" s="55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4">
        <f t="shared" si="0"/>
        <v>42330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4.75</v>
      </c>
      <c r="D6" s="33">
        <v>0.75</v>
      </c>
      <c r="E6" s="33">
        <v>0</v>
      </c>
      <c r="F6" s="33">
        <v>1.5</v>
      </c>
      <c r="G6" s="33">
        <v>1</v>
      </c>
      <c r="H6" s="33">
        <v>0</v>
      </c>
      <c r="I6" s="33">
        <v>2.5</v>
      </c>
      <c r="J6" s="59">
        <v>0</v>
      </c>
      <c r="K6" s="32">
        <v>4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0.5</v>
      </c>
      <c r="H9" s="33">
        <v>1</v>
      </c>
      <c r="I9" s="33">
        <v>3</v>
      </c>
      <c r="J9" s="59">
        <v>3</v>
      </c>
      <c r="K9" s="32">
        <v>3</v>
      </c>
      <c r="L9" s="32">
        <v>3</v>
      </c>
      <c r="M9" s="32">
        <v>1</v>
      </c>
      <c r="N9" s="32">
        <v>1</v>
      </c>
      <c r="O9" s="32">
        <v>1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5.75</v>
      </c>
      <c r="D10" s="21">
        <f t="shared" ref="D10:P10" si="1" xml:space="preserve"> SUM(D6:D9)</f>
        <v>2.75</v>
      </c>
      <c r="E10" s="21">
        <f t="shared" si="1"/>
        <v>0</v>
      </c>
      <c r="F10" s="21">
        <f t="shared" si="1"/>
        <v>2.5</v>
      </c>
      <c r="G10" s="21">
        <f t="shared" si="1"/>
        <v>1.5</v>
      </c>
      <c r="H10" s="21">
        <f t="shared" si="1"/>
        <v>1</v>
      </c>
      <c r="I10" s="60">
        <f t="shared" si="1"/>
        <v>5.5</v>
      </c>
      <c r="J10" s="61">
        <f t="shared" si="1"/>
        <v>3</v>
      </c>
      <c r="K10" s="21">
        <f t="shared" si="1"/>
        <v>7</v>
      </c>
      <c r="L10" s="21">
        <f t="shared" si="1"/>
        <v>3</v>
      </c>
      <c r="M10" s="21">
        <f t="shared" si="1"/>
        <v>1</v>
      </c>
      <c r="N10" s="21">
        <f t="shared" si="1"/>
        <v>1</v>
      </c>
      <c r="O10" s="21">
        <f t="shared" si="1"/>
        <v>1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4.75</v>
      </c>
      <c r="D12" s="22">
        <f t="shared" ref="D12:P12" si="2" xml:space="preserve"> C$12 + D$6</f>
        <v>5.5</v>
      </c>
      <c r="E12" s="22">
        <f t="shared" si="2"/>
        <v>5.5</v>
      </c>
      <c r="F12" s="22">
        <f t="shared" si="2"/>
        <v>7</v>
      </c>
      <c r="G12" s="22">
        <f t="shared" si="2"/>
        <v>8</v>
      </c>
      <c r="H12" s="22">
        <f t="shared" si="2"/>
        <v>8</v>
      </c>
      <c r="I12" s="62">
        <f t="shared" si="2"/>
        <v>10.5</v>
      </c>
      <c r="J12" s="63">
        <f t="shared" si="2"/>
        <v>10.5</v>
      </c>
      <c r="K12" s="22">
        <f t="shared" si="2"/>
        <v>14.5</v>
      </c>
      <c r="L12" s="22">
        <f t="shared" si="2"/>
        <v>14.5</v>
      </c>
      <c r="M12" s="22">
        <f t="shared" si="2"/>
        <v>14.5</v>
      </c>
      <c r="N12" s="22">
        <f t="shared" si="2"/>
        <v>14.5</v>
      </c>
      <c r="O12" s="22">
        <f t="shared" si="2"/>
        <v>14.5</v>
      </c>
      <c r="P12" s="62">
        <f t="shared" si="2"/>
        <v>14.5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4.5</v>
      </c>
      <c r="H15" s="22">
        <f t="shared" si="5"/>
        <v>5.5</v>
      </c>
      <c r="I15" s="62">
        <f t="shared" si="5"/>
        <v>8.5</v>
      </c>
      <c r="J15" s="63">
        <f t="shared" si="5"/>
        <v>11.5</v>
      </c>
      <c r="K15" s="22">
        <f t="shared" si="5"/>
        <v>14.5</v>
      </c>
      <c r="L15" s="22">
        <f t="shared" si="5"/>
        <v>17.5</v>
      </c>
      <c r="M15" s="22">
        <f t="shared" si="5"/>
        <v>18.5</v>
      </c>
      <c r="N15" s="22">
        <f t="shared" si="5"/>
        <v>19.5</v>
      </c>
      <c r="O15" s="22">
        <f t="shared" si="5"/>
        <v>20.5</v>
      </c>
      <c r="P15" s="62">
        <f t="shared" si="5"/>
        <v>20.5</v>
      </c>
    </row>
    <row r="16" spans="1:16" ht="16.5" thickBot="1" x14ac:dyDescent="0.3">
      <c r="A16" s="85"/>
      <c r="B16" s="18" t="s">
        <v>19</v>
      </c>
      <c r="C16" s="21">
        <f xml:space="preserve"> SUM(C12:C15)</f>
        <v>5.75</v>
      </c>
      <c r="D16" s="21">
        <f t="shared" ref="D16:P16" si="6" xml:space="preserve"> SUM(D12:D15)</f>
        <v>8.5</v>
      </c>
      <c r="E16" s="21">
        <f t="shared" si="6"/>
        <v>8.5</v>
      </c>
      <c r="F16" s="21">
        <f t="shared" si="6"/>
        <v>11</v>
      </c>
      <c r="G16" s="21">
        <f t="shared" si="6"/>
        <v>12.5</v>
      </c>
      <c r="H16" s="21">
        <f t="shared" si="6"/>
        <v>13.5</v>
      </c>
      <c r="I16" s="60">
        <f t="shared" si="6"/>
        <v>19</v>
      </c>
      <c r="J16" s="61">
        <f t="shared" si="6"/>
        <v>22</v>
      </c>
      <c r="K16" s="21">
        <f t="shared" si="6"/>
        <v>29</v>
      </c>
      <c r="L16" s="21">
        <f t="shared" si="6"/>
        <v>32</v>
      </c>
      <c r="M16" s="21">
        <f t="shared" si="6"/>
        <v>33</v>
      </c>
      <c r="N16" s="21">
        <f t="shared" si="6"/>
        <v>34</v>
      </c>
      <c r="O16" s="21">
        <f t="shared" si="6"/>
        <v>35</v>
      </c>
      <c r="P16" s="60">
        <f t="shared" si="6"/>
        <v>35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4.75</v>
      </c>
      <c r="D30" s="22">
        <f xml:space="preserve"> (D$12 + D$24) / D$5</f>
        <v>2.75</v>
      </c>
      <c r="E30" s="22">
        <f t="shared" ref="E30:P30" si="13" xml:space="preserve"> (E$12 + E$24) / E$5</f>
        <v>1.8333333333333333</v>
      </c>
      <c r="F30" s="22">
        <f t="shared" si="13"/>
        <v>1.75</v>
      </c>
      <c r="G30" s="22">
        <f t="shared" si="13"/>
        <v>1.6</v>
      </c>
      <c r="H30" s="22">
        <f t="shared" si="13"/>
        <v>1.3333333333333333</v>
      </c>
      <c r="I30" s="62">
        <f t="shared" si="13"/>
        <v>1.5</v>
      </c>
      <c r="J30" s="63">
        <f t="shared" si="13"/>
        <v>1.3125</v>
      </c>
      <c r="K30" s="22">
        <f t="shared" si="13"/>
        <v>1.6111111111111112</v>
      </c>
      <c r="L30" s="22">
        <f t="shared" si="13"/>
        <v>1.45</v>
      </c>
      <c r="M30" s="22">
        <f t="shared" si="13"/>
        <v>1.3181818181818181</v>
      </c>
      <c r="N30" s="22">
        <f t="shared" si="13"/>
        <v>1.2083333333333333</v>
      </c>
      <c r="O30" s="22">
        <f t="shared" si="13"/>
        <v>1.1153846153846154</v>
      </c>
      <c r="P30" s="62">
        <f t="shared" si="13"/>
        <v>1.0357142857142858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0.9</v>
      </c>
      <c r="H33" s="22">
        <f t="shared" si="16"/>
        <v>0.91666666666666663</v>
      </c>
      <c r="I33" s="62">
        <f t="shared" si="16"/>
        <v>1.2142857142857142</v>
      </c>
      <c r="J33" s="63">
        <f t="shared" si="16"/>
        <v>1.4375</v>
      </c>
      <c r="K33" s="22">
        <f t="shared" si="16"/>
        <v>1.6111111111111112</v>
      </c>
      <c r="L33" s="22">
        <f t="shared" si="16"/>
        <v>1.75</v>
      </c>
      <c r="M33" s="22">
        <f t="shared" si="16"/>
        <v>1.6818181818181819</v>
      </c>
      <c r="N33" s="22">
        <f t="shared" si="16"/>
        <v>1.625</v>
      </c>
      <c r="O33" s="22">
        <f t="shared" si="16"/>
        <v>1.5769230769230769</v>
      </c>
      <c r="P33" s="62">
        <f t="shared" si="16"/>
        <v>1.4642857142857142</v>
      </c>
    </row>
    <row r="34" spans="1:16" ht="16.5" thickBot="1" x14ac:dyDescent="0.3">
      <c r="A34" s="79"/>
      <c r="B34" s="18" t="s">
        <v>19</v>
      </c>
      <c r="C34" s="21">
        <f xml:space="preserve"> SUM(C30:C33)</f>
        <v>5.75</v>
      </c>
      <c r="D34" s="21">
        <f t="shared" ref="D34:P34" si="17" xml:space="preserve"> SUM(D30:D33)</f>
        <v>4.25</v>
      </c>
      <c r="E34" s="21">
        <f t="shared" si="17"/>
        <v>2.833333333333333</v>
      </c>
      <c r="F34" s="21">
        <f t="shared" si="17"/>
        <v>2.75</v>
      </c>
      <c r="G34" s="21">
        <f t="shared" si="17"/>
        <v>2.5</v>
      </c>
      <c r="H34" s="21">
        <f t="shared" si="17"/>
        <v>2.25</v>
      </c>
      <c r="I34" s="60">
        <f t="shared" si="17"/>
        <v>2.7142857142857144</v>
      </c>
      <c r="J34" s="61">
        <f t="shared" si="17"/>
        <v>2.75</v>
      </c>
      <c r="K34" s="21">
        <f t="shared" si="17"/>
        <v>3.2222222222222223</v>
      </c>
      <c r="L34" s="21">
        <f t="shared" si="17"/>
        <v>3.2</v>
      </c>
      <c r="M34" s="21">
        <f t="shared" si="17"/>
        <v>3</v>
      </c>
      <c r="N34" s="21">
        <f t="shared" si="17"/>
        <v>2.833333333333333</v>
      </c>
      <c r="O34" s="21">
        <f t="shared" si="17"/>
        <v>2.6923076923076925</v>
      </c>
      <c r="P34" s="60">
        <f t="shared" si="17"/>
        <v>2.5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10.5</v>
      </c>
      <c r="D37" s="24">
        <f xml:space="preserve"> SUM(J6:P6) + SUM(J18:P18)</f>
        <v>4</v>
      </c>
      <c r="E37" s="24">
        <f xml:space="preserve"> SUM(C37:D37)</f>
        <v>14.5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8.5</v>
      </c>
      <c r="D40" s="24">
        <f t="shared" si="19"/>
        <v>12</v>
      </c>
      <c r="E40" s="24">
        <f xml:space="preserve"> SUM(C40:D40)</f>
        <v>20.5</v>
      </c>
    </row>
    <row r="41" spans="1:16" ht="16.5" thickBot="1" x14ac:dyDescent="0.3">
      <c r="A41" s="79"/>
      <c r="B41" s="18" t="s">
        <v>19</v>
      </c>
      <c r="C41" s="21">
        <f xml:space="preserve"> SUM(C37:C40)</f>
        <v>19</v>
      </c>
      <c r="D41" s="21">
        <f t="shared" ref="D41" si="20" xml:space="preserve"> SUM(D37:D40)</f>
        <v>16</v>
      </c>
      <c r="E41" s="21">
        <f xml:space="preserve"> SUM(C41:D41)</f>
        <v>35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10.5</v>
      </c>
      <c r="D43" s="24">
        <f xml:space="preserve"> SUM(C37:D37) / D$36</f>
        <v>7.25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8.5</v>
      </c>
      <c r="D46" s="24">
        <f t="shared" si="22"/>
        <v>10.25</v>
      </c>
    </row>
    <row r="47" spans="1:16" ht="16.5" thickBot="1" x14ac:dyDescent="0.3">
      <c r="A47" s="79"/>
      <c r="B47" s="18" t="s">
        <v>19</v>
      </c>
      <c r="C47" s="21">
        <f xml:space="preserve"> SUM(C43:C46)</f>
        <v>19</v>
      </c>
      <c r="D47" s="21">
        <f t="shared" ref="D47" si="23" xml:space="preserve"> SUM(D43:D46)</f>
        <v>17.5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70" zoomScale="115" zoomScaleNormal="115" workbookViewId="0">
      <selection activeCell="D103" sqref="D10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5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4">
        <f t="shared" si="0"/>
        <v>42386</v>
      </c>
      <c r="J4" s="55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4">
        <f t="shared" si="0"/>
        <v>42393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2</v>
      </c>
      <c r="E6" s="33">
        <v>1</v>
      </c>
      <c r="F6" s="33">
        <v>0</v>
      </c>
      <c r="G6" s="33">
        <v>3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7</v>
      </c>
      <c r="O6" s="32">
        <v>3</v>
      </c>
      <c r="P6" s="58">
        <v>1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1</v>
      </c>
      <c r="E7" s="33">
        <v>3</v>
      </c>
      <c r="F7" s="33">
        <v>0</v>
      </c>
      <c r="G7" s="33">
        <v>0</v>
      </c>
      <c r="H7" s="33">
        <v>2</v>
      </c>
      <c r="I7" s="33">
        <v>0</v>
      </c>
      <c r="J7" s="59">
        <v>0</v>
      </c>
      <c r="K7" s="32">
        <v>1</v>
      </c>
      <c r="L7" s="32">
        <v>4</v>
      </c>
      <c r="M7" s="32">
        <v>0</v>
      </c>
      <c r="N7" s="32">
        <v>5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1</v>
      </c>
      <c r="G8" s="33">
        <v>0</v>
      </c>
      <c r="H8" s="33">
        <v>3</v>
      </c>
      <c r="I8" s="33">
        <v>4</v>
      </c>
      <c r="J8" s="59">
        <v>0</v>
      </c>
      <c r="K8" s="32">
        <v>0</v>
      </c>
      <c r="L8" s="32">
        <v>1</v>
      </c>
      <c r="M8" s="32">
        <v>0</v>
      </c>
      <c r="N8" s="32">
        <v>4</v>
      </c>
      <c r="O8" s="32">
        <v>1</v>
      </c>
      <c r="P8" s="58">
        <v>2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2</v>
      </c>
      <c r="H9" s="33">
        <v>0</v>
      </c>
      <c r="I9" s="33">
        <v>0</v>
      </c>
      <c r="J9" s="59">
        <v>2</v>
      </c>
      <c r="K9" s="32">
        <v>1</v>
      </c>
      <c r="L9" s="32">
        <v>0</v>
      </c>
      <c r="M9" s="32">
        <v>2</v>
      </c>
      <c r="N9" s="32">
        <v>1</v>
      </c>
      <c r="O9" s="32">
        <v>2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</v>
      </c>
      <c r="D10" s="21">
        <f t="shared" ref="D10:P10" si="1" xml:space="preserve"> SUM(D6:D9)</f>
        <v>5</v>
      </c>
      <c r="E10" s="21">
        <f t="shared" si="1"/>
        <v>4</v>
      </c>
      <c r="F10" s="21">
        <f t="shared" si="1"/>
        <v>2</v>
      </c>
      <c r="G10" s="21">
        <f t="shared" si="1"/>
        <v>5</v>
      </c>
      <c r="H10" s="21">
        <f t="shared" si="1"/>
        <v>5</v>
      </c>
      <c r="I10" s="60">
        <f t="shared" si="1"/>
        <v>4</v>
      </c>
      <c r="J10" s="61">
        <f t="shared" si="1"/>
        <v>2</v>
      </c>
      <c r="K10" s="21">
        <f t="shared" si="1"/>
        <v>2</v>
      </c>
      <c r="L10" s="21">
        <f t="shared" si="1"/>
        <v>5</v>
      </c>
      <c r="M10" s="21">
        <f t="shared" si="1"/>
        <v>2</v>
      </c>
      <c r="N10" s="21">
        <f t="shared" si="1"/>
        <v>17</v>
      </c>
      <c r="O10" s="21">
        <f t="shared" si="1"/>
        <v>6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2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6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13</v>
      </c>
      <c r="O12" s="22">
        <f t="shared" si="2"/>
        <v>16</v>
      </c>
      <c r="P12" s="62">
        <f t="shared" si="2"/>
        <v>17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1</v>
      </c>
      <c r="E13" s="22">
        <f t="shared" si="3"/>
        <v>4</v>
      </c>
      <c r="F13" s="22">
        <f t="shared" si="3"/>
        <v>4</v>
      </c>
      <c r="G13" s="22">
        <f t="shared" si="3"/>
        <v>4</v>
      </c>
      <c r="H13" s="22">
        <f t="shared" si="3"/>
        <v>6</v>
      </c>
      <c r="I13" s="62">
        <f t="shared" si="3"/>
        <v>6</v>
      </c>
      <c r="J13" s="63">
        <f t="shared" si="3"/>
        <v>6</v>
      </c>
      <c r="K13" s="22">
        <f t="shared" si="3"/>
        <v>7</v>
      </c>
      <c r="L13" s="22">
        <f t="shared" si="3"/>
        <v>11</v>
      </c>
      <c r="M13" s="22">
        <f t="shared" si="3"/>
        <v>11</v>
      </c>
      <c r="N13" s="22">
        <f t="shared" si="3"/>
        <v>16</v>
      </c>
      <c r="O13" s="22">
        <f t="shared" si="3"/>
        <v>16</v>
      </c>
      <c r="P13" s="62">
        <f t="shared" si="3"/>
        <v>16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4</v>
      </c>
      <c r="I14" s="62">
        <f t="shared" si="4"/>
        <v>8</v>
      </c>
      <c r="J14" s="63">
        <f t="shared" si="4"/>
        <v>8</v>
      </c>
      <c r="K14" s="22">
        <f t="shared" si="4"/>
        <v>8</v>
      </c>
      <c r="L14" s="22">
        <f t="shared" si="4"/>
        <v>9</v>
      </c>
      <c r="M14" s="22">
        <f t="shared" si="4"/>
        <v>9</v>
      </c>
      <c r="N14" s="22">
        <f t="shared" si="4"/>
        <v>13</v>
      </c>
      <c r="O14" s="22">
        <f t="shared" si="4"/>
        <v>14</v>
      </c>
      <c r="P14" s="62">
        <f t="shared" si="4"/>
        <v>16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6</v>
      </c>
      <c r="H15" s="22">
        <f t="shared" si="5"/>
        <v>6</v>
      </c>
      <c r="I15" s="62">
        <f t="shared" si="5"/>
        <v>6</v>
      </c>
      <c r="J15" s="63">
        <f t="shared" si="5"/>
        <v>8</v>
      </c>
      <c r="K15" s="22">
        <f t="shared" si="5"/>
        <v>9</v>
      </c>
      <c r="L15" s="22">
        <f t="shared" si="5"/>
        <v>9</v>
      </c>
      <c r="M15" s="22">
        <f t="shared" si="5"/>
        <v>11</v>
      </c>
      <c r="N15" s="22">
        <f t="shared" si="5"/>
        <v>12</v>
      </c>
      <c r="O15" s="22">
        <f t="shared" si="5"/>
        <v>14</v>
      </c>
      <c r="P15" s="62">
        <f t="shared" si="5"/>
        <v>14</v>
      </c>
    </row>
    <row r="16" spans="1:16" ht="16.5" thickBot="1" x14ac:dyDescent="0.3">
      <c r="A16" s="85"/>
      <c r="B16" s="18" t="s">
        <v>19</v>
      </c>
      <c r="C16" s="21">
        <f xml:space="preserve"> SUM(C12:C15)</f>
        <v>1</v>
      </c>
      <c r="D16" s="21">
        <f t="shared" ref="D16:P16" si="6" xml:space="preserve"> SUM(D12:D15)</f>
        <v>6</v>
      </c>
      <c r="E16" s="21">
        <f t="shared" si="6"/>
        <v>10</v>
      </c>
      <c r="F16" s="21">
        <f t="shared" si="6"/>
        <v>12</v>
      </c>
      <c r="G16" s="21">
        <f t="shared" si="6"/>
        <v>17</v>
      </c>
      <c r="H16" s="21">
        <f t="shared" si="6"/>
        <v>22</v>
      </c>
      <c r="I16" s="60">
        <f t="shared" si="6"/>
        <v>26</v>
      </c>
      <c r="J16" s="61">
        <f t="shared" si="6"/>
        <v>28</v>
      </c>
      <c r="K16" s="21">
        <f t="shared" si="6"/>
        <v>30</v>
      </c>
      <c r="L16" s="21">
        <f t="shared" si="6"/>
        <v>35</v>
      </c>
      <c r="M16" s="21">
        <f t="shared" si="6"/>
        <v>37</v>
      </c>
      <c r="N16" s="21">
        <f t="shared" si="6"/>
        <v>54</v>
      </c>
      <c r="O16" s="21">
        <f t="shared" si="6"/>
        <v>60</v>
      </c>
      <c r="P16" s="60">
        <f t="shared" si="6"/>
        <v>63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1.0833333333333333</v>
      </c>
      <c r="O30" s="22">
        <f t="shared" si="13"/>
        <v>1.2307692307692308</v>
      </c>
      <c r="P30" s="62">
        <f t="shared" si="13"/>
        <v>1.2142857142857142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P31" si="14" xml:space="preserve"> (E$13 + E$25) / E$5</f>
        <v>1.3333333333333333</v>
      </c>
      <c r="F31" s="22">
        <f t="shared" si="14"/>
        <v>1</v>
      </c>
      <c r="G31" s="22">
        <f t="shared" si="14"/>
        <v>0.8</v>
      </c>
      <c r="H31" s="22">
        <f t="shared" si="14"/>
        <v>1</v>
      </c>
      <c r="I31" s="62">
        <f t="shared" si="14"/>
        <v>0.8571428571428571</v>
      </c>
      <c r="J31" s="63">
        <f t="shared" si="14"/>
        <v>0.75</v>
      </c>
      <c r="K31" s="22">
        <f t="shared" si="14"/>
        <v>0.77777777777777779</v>
      </c>
      <c r="L31" s="22">
        <f t="shared" si="14"/>
        <v>1.1000000000000001</v>
      </c>
      <c r="M31" s="22">
        <f t="shared" si="14"/>
        <v>1</v>
      </c>
      <c r="N31" s="22">
        <f t="shared" si="14"/>
        <v>1.3333333333333333</v>
      </c>
      <c r="O31" s="22">
        <f t="shared" si="14"/>
        <v>1.2307692307692308</v>
      </c>
      <c r="P31" s="62">
        <f t="shared" si="14"/>
        <v>1.1428571428571428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0.25</v>
      </c>
      <c r="G32" s="22">
        <f t="shared" si="15"/>
        <v>0.2</v>
      </c>
      <c r="H32" s="22">
        <f t="shared" si="15"/>
        <v>0.66666666666666663</v>
      </c>
      <c r="I32" s="62">
        <f t="shared" si="15"/>
        <v>1.1428571428571428</v>
      </c>
      <c r="J32" s="63">
        <f t="shared" si="15"/>
        <v>1</v>
      </c>
      <c r="K32" s="22">
        <f t="shared" si="15"/>
        <v>0.88888888888888884</v>
      </c>
      <c r="L32" s="22">
        <f t="shared" si="15"/>
        <v>0.9</v>
      </c>
      <c r="M32" s="22">
        <f t="shared" si="15"/>
        <v>0.81818181818181823</v>
      </c>
      <c r="N32" s="22">
        <f t="shared" si="15"/>
        <v>1.0833333333333333</v>
      </c>
      <c r="O32" s="22">
        <f t="shared" si="15"/>
        <v>1.0769230769230769</v>
      </c>
      <c r="P32" s="62">
        <f t="shared" si="15"/>
        <v>1.1428571428571428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1.2</v>
      </c>
      <c r="H33" s="22">
        <f t="shared" si="16"/>
        <v>1</v>
      </c>
      <c r="I33" s="62">
        <f t="shared" si="16"/>
        <v>0.8571428571428571</v>
      </c>
      <c r="J33" s="63">
        <f t="shared" si="16"/>
        <v>1</v>
      </c>
      <c r="K33" s="22">
        <f t="shared" si="16"/>
        <v>1</v>
      </c>
      <c r="L33" s="22">
        <f t="shared" si="16"/>
        <v>0.9</v>
      </c>
      <c r="M33" s="22">
        <f t="shared" si="16"/>
        <v>1</v>
      </c>
      <c r="N33" s="22">
        <f t="shared" si="16"/>
        <v>1</v>
      </c>
      <c r="O33" s="22">
        <f t="shared" si="16"/>
        <v>1.0769230769230769</v>
      </c>
      <c r="P33" s="62">
        <f t="shared" si="16"/>
        <v>1</v>
      </c>
    </row>
    <row r="34" spans="1:16" ht="16.5" thickBot="1" x14ac:dyDescent="0.3">
      <c r="A34" s="79"/>
      <c r="B34" s="18" t="s">
        <v>19</v>
      </c>
      <c r="C34" s="21">
        <f xml:space="preserve"> SUM(C30:C33)</f>
        <v>1</v>
      </c>
      <c r="D34" s="21">
        <f t="shared" ref="D34:P34" si="17" xml:space="preserve"> SUM(D30:D33)</f>
        <v>3</v>
      </c>
      <c r="E34" s="21">
        <f t="shared" si="17"/>
        <v>3.333333333333333</v>
      </c>
      <c r="F34" s="21">
        <f t="shared" si="17"/>
        <v>3</v>
      </c>
      <c r="G34" s="21">
        <f t="shared" si="17"/>
        <v>3.4000000000000004</v>
      </c>
      <c r="H34" s="21">
        <f t="shared" si="17"/>
        <v>3.6666666666666665</v>
      </c>
      <c r="I34" s="60">
        <f t="shared" si="17"/>
        <v>3.714285714285714</v>
      </c>
      <c r="J34" s="61">
        <f t="shared" si="17"/>
        <v>3.5</v>
      </c>
      <c r="K34" s="21">
        <f t="shared" si="17"/>
        <v>3.333333333333333</v>
      </c>
      <c r="L34" s="21">
        <f t="shared" si="17"/>
        <v>3.5</v>
      </c>
      <c r="M34" s="21">
        <f t="shared" si="17"/>
        <v>3.3636363636363638</v>
      </c>
      <c r="N34" s="21">
        <f t="shared" si="17"/>
        <v>4.5</v>
      </c>
      <c r="O34" s="21">
        <f t="shared" si="17"/>
        <v>4.615384615384615</v>
      </c>
      <c r="P34" s="60">
        <f t="shared" si="17"/>
        <v>4.5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11</v>
      </c>
      <c r="E37" s="24">
        <f xml:space="preserve"> SUM(C37:D37)</f>
        <v>17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10</v>
      </c>
      <c r="E38" s="24">
        <f xml:space="preserve"> SUM(C38:D38)</f>
        <v>16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8</v>
      </c>
      <c r="D39" s="24">
        <f t="shared" si="19"/>
        <v>8</v>
      </c>
      <c r="E39" s="24">
        <f xml:space="preserve"> SUM(C39:D39)</f>
        <v>16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6</v>
      </c>
      <c r="D40" s="24">
        <f t="shared" si="19"/>
        <v>8</v>
      </c>
      <c r="E40" s="24">
        <f xml:space="preserve"> SUM(C40:D40)</f>
        <v>14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37</v>
      </c>
      <c r="E41" s="21">
        <f xml:space="preserve"> SUM(C41:D41)</f>
        <v>63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8.5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8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8</v>
      </c>
      <c r="D45" s="24">
        <f t="shared" si="22"/>
        <v>8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6</v>
      </c>
      <c r="D46" s="24">
        <f t="shared" si="22"/>
        <v>7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31.5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63</v>
      </c>
      <c r="D90" s="24">
        <f>C10</f>
        <v>1</v>
      </c>
      <c r="E90" s="24">
        <f>D10</f>
        <v>5</v>
      </c>
      <c r="F90" s="24">
        <f t="shared" ref="F90:Q90" si="24">E10</f>
        <v>4</v>
      </c>
      <c r="G90" s="24">
        <f t="shared" si="24"/>
        <v>2</v>
      </c>
      <c r="H90" s="24">
        <f t="shared" si="24"/>
        <v>5</v>
      </c>
      <c r="I90" s="24">
        <f t="shared" si="24"/>
        <v>5</v>
      </c>
      <c r="J90" s="24">
        <f t="shared" si="24"/>
        <v>4</v>
      </c>
      <c r="K90" s="24">
        <f t="shared" si="24"/>
        <v>2</v>
      </c>
      <c r="L90" s="24">
        <f t="shared" si="24"/>
        <v>2</v>
      </c>
      <c r="M90" s="24">
        <f t="shared" si="24"/>
        <v>5</v>
      </c>
      <c r="N90" s="24">
        <f t="shared" si="24"/>
        <v>2</v>
      </c>
      <c r="O90" s="24">
        <f t="shared" si="24"/>
        <v>17</v>
      </c>
      <c r="P90" s="24">
        <f t="shared" si="24"/>
        <v>6</v>
      </c>
      <c r="Q90" s="24">
        <f t="shared" si="24"/>
        <v>3</v>
      </c>
    </row>
    <row r="91" spans="2:17" x14ac:dyDescent="0.25">
      <c r="B91" t="s">
        <v>55</v>
      </c>
      <c r="C91" s="24">
        <f>C90</f>
        <v>63</v>
      </c>
      <c r="D91" s="24">
        <f>C91-D90</f>
        <v>62</v>
      </c>
      <c r="E91" s="24">
        <f>D91-E90</f>
        <v>57</v>
      </c>
      <c r="F91" s="24">
        <f t="shared" ref="F91:Q91" si="25">E91-F90</f>
        <v>53</v>
      </c>
      <c r="G91" s="24">
        <f t="shared" si="25"/>
        <v>51</v>
      </c>
      <c r="H91" s="24">
        <f t="shared" si="25"/>
        <v>46</v>
      </c>
      <c r="I91" s="24">
        <f t="shared" si="25"/>
        <v>41</v>
      </c>
      <c r="J91" s="24">
        <f t="shared" si="25"/>
        <v>37</v>
      </c>
      <c r="K91" s="24">
        <f t="shared" si="25"/>
        <v>35</v>
      </c>
      <c r="L91" s="24">
        <f t="shared" si="25"/>
        <v>33</v>
      </c>
      <c r="M91" s="24">
        <f t="shared" si="25"/>
        <v>28</v>
      </c>
      <c r="N91" s="24">
        <f t="shared" si="25"/>
        <v>26</v>
      </c>
      <c r="O91" s="24">
        <f t="shared" si="25"/>
        <v>9</v>
      </c>
      <c r="P91" s="24">
        <f t="shared" si="25"/>
        <v>3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abSelected="1" topLeftCell="A73" zoomScale="115" zoomScaleNormal="115" workbookViewId="0">
      <selection activeCell="O95" sqref="O9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6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4">
        <f t="shared" si="0"/>
        <v>42400</v>
      </c>
      <c r="J4" s="55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4">
        <f t="shared" si="0"/>
        <v>42407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4</v>
      </c>
      <c r="I7" s="33">
        <v>3</v>
      </c>
      <c r="J7" s="59">
        <v>0</v>
      </c>
      <c r="K7" s="32">
        <v>0</v>
      </c>
      <c r="L7" s="32">
        <v>0</v>
      </c>
      <c r="M7" s="32">
        <v>3</v>
      </c>
      <c r="N7" s="32">
        <v>0</v>
      </c>
      <c r="O7" s="32">
        <v>5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2</v>
      </c>
      <c r="F8" s="33">
        <v>0</v>
      </c>
      <c r="G8" s="33">
        <v>0</v>
      </c>
      <c r="H8" s="33">
        <v>3</v>
      </c>
      <c r="I8" s="33">
        <v>2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2</v>
      </c>
      <c r="F10" s="21">
        <f t="shared" si="1"/>
        <v>0</v>
      </c>
      <c r="G10" s="21">
        <f t="shared" si="1"/>
        <v>0</v>
      </c>
      <c r="H10" s="21">
        <f t="shared" si="1"/>
        <v>7</v>
      </c>
      <c r="I10" s="60">
        <f t="shared" si="1"/>
        <v>5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5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4</v>
      </c>
      <c r="I13" s="62">
        <f t="shared" si="3"/>
        <v>7</v>
      </c>
      <c r="J13" s="63">
        <f t="shared" si="3"/>
        <v>7</v>
      </c>
      <c r="K13" s="22">
        <f t="shared" si="3"/>
        <v>7</v>
      </c>
      <c r="L13" s="22">
        <f t="shared" si="3"/>
        <v>7</v>
      </c>
      <c r="M13" s="22">
        <f t="shared" si="3"/>
        <v>10</v>
      </c>
      <c r="N13" s="22">
        <f t="shared" si="3"/>
        <v>10</v>
      </c>
      <c r="O13" s="22">
        <f t="shared" si="3"/>
        <v>15</v>
      </c>
      <c r="P13" s="62">
        <f t="shared" si="3"/>
        <v>15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5</v>
      </c>
      <c r="I14" s="62">
        <f t="shared" si="4"/>
        <v>7</v>
      </c>
      <c r="J14" s="63">
        <f t="shared" si="4"/>
        <v>7</v>
      </c>
      <c r="K14" s="22">
        <f t="shared" si="4"/>
        <v>7</v>
      </c>
      <c r="L14" s="22">
        <f t="shared" si="4"/>
        <v>7</v>
      </c>
      <c r="M14" s="22">
        <f t="shared" si="4"/>
        <v>7</v>
      </c>
      <c r="N14" s="22">
        <f t="shared" si="4"/>
        <v>7</v>
      </c>
      <c r="O14" s="22">
        <f t="shared" si="4"/>
        <v>7</v>
      </c>
      <c r="P14" s="62">
        <f t="shared" si="4"/>
        <v>7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2</v>
      </c>
      <c r="F16" s="21">
        <f t="shared" si="6"/>
        <v>2</v>
      </c>
      <c r="G16" s="21">
        <f t="shared" si="6"/>
        <v>2</v>
      </c>
      <c r="H16" s="21">
        <f t="shared" si="6"/>
        <v>9</v>
      </c>
      <c r="I16" s="60">
        <f t="shared" si="6"/>
        <v>14</v>
      </c>
      <c r="J16" s="61">
        <f t="shared" si="6"/>
        <v>14</v>
      </c>
      <c r="K16" s="21">
        <f t="shared" si="6"/>
        <v>14</v>
      </c>
      <c r="L16" s="21">
        <f t="shared" si="6"/>
        <v>14</v>
      </c>
      <c r="M16" s="21">
        <f t="shared" si="6"/>
        <v>17</v>
      </c>
      <c r="N16" s="21">
        <f t="shared" si="6"/>
        <v>17</v>
      </c>
      <c r="O16" s="21">
        <f t="shared" si="6"/>
        <v>22</v>
      </c>
      <c r="P16" s="60">
        <f t="shared" si="6"/>
        <v>22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0.66666666666666663</v>
      </c>
      <c r="I31" s="62">
        <f t="shared" si="14"/>
        <v>1</v>
      </c>
      <c r="J31" s="63">
        <f t="shared" si="14"/>
        <v>0.875</v>
      </c>
      <c r="K31" s="22">
        <f t="shared" si="14"/>
        <v>0.77777777777777779</v>
      </c>
      <c r="L31" s="22">
        <f t="shared" si="14"/>
        <v>0.7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1.1538461538461537</v>
      </c>
      <c r="P31" s="62">
        <f t="shared" si="14"/>
        <v>1.0714285714285714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0.4</v>
      </c>
      <c r="H32" s="22">
        <f t="shared" si="15"/>
        <v>0.83333333333333337</v>
      </c>
      <c r="I32" s="62">
        <f t="shared" si="15"/>
        <v>1</v>
      </c>
      <c r="J32" s="63">
        <f t="shared" si="15"/>
        <v>0.875</v>
      </c>
      <c r="K32" s="22">
        <f t="shared" si="15"/>
        <v>0.77777777777777779</v>
      </c>
      <c r="L32" s="22">
        <f t="shared" si="15"/>
        <v>0.7</v>
      </c>
      <c r="M32" s="22">
        <f t="shared" si="15"/>
        <v>0.63636363636363635</v>
      </c>
      <c r="N32" s="22">
        <f t="shared" si="15"/>
        <v>0.58333333333333337</v>
      </c>
      <c r="O32" s="22">
        <f t="shared" si="15"/>
        <v>0.53846153846153844</v>
      </c>
      <c r="P32" s="62">
        <f t="shared" si="15"/>
        <v>0.5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0.66666666666666663</v>
      </c>
      <c r="F34" s="21">
        <f t="shared" si="17"/>
        <v>0.5</v>
      </c>
      <c r="G34" s="21">
        <f t="shared" si="17"/>
        <v>0.4</v>
      </c>
      <c r="H34" s="21">
        <f t="shared" si="17"/>
        <v>1.5</v>
      </c>
      <c r="I34" s="60">
        <f t="shared" si="17"/>
        <v>2</v>
      </c>
      <c r="J34" s="61">
        <f t="shared" si="17"/>
        <v>1.75</v>
      </c>
      <c r="K34" s="21">
        <f t="shared" si="17"/>
        <v>1.5555555555555556</v>
      </c>
      <c r="L34" s="21">
        <f t="shared" si="17"/>
        <v>1.4</v>
      </c>
      <c r="M34" s="21">
        <f t="shared" si="17"/>
        <v>1.5454545454545454</v>
      </c>
      <c r="N34" s="21">
        <f t="shared" si="17"/>
        <v>1.4166666666666667</v>
      </c>
      <c r="O34" s="21">
        <f t="shared" si="17"/>
        <v>1.6923076923076921</v>
      </c>
      <c r="P34" s="60">
        <f t="shared" si="17"/>
        <v>1.5714285714285714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7</v>
      </c>
      <c r="D38" s="24">
        <f t="shared" ref="D38:D40" si="19" xml:space="preserve"> SUM(J7:P7) + SUM(J19:P19)</f>
        <v>8</v>
      </c>
      <c r="E38" s="24">
        <f xml:space="preserve"> SUM(C38:D38)</f>
        <v>15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7</v>
      </c>
      <c r="D39" s="24">
        <f t="shared" si="19"/>
        <v>0</v>
      </c>
      <c r="E39" s="24">
        <f xml:space="preserve"> SUM(C39:D39)</f>
        <v>7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14</v>
      </c>
      <c r="D41" s="21">
        <f t="shared" ref="D41" si="20" xml:space="preserve"> SUM(D37:D40)</f>
        <v>8</v>
      </c>
      <c r="E41" s="21">
        <f xml:space="preserve"> SUM(C41:D41)</f>
        <v>22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7</v>
      </c>
      <c r="D44" s="24">
        <f t="shared" ref="D44:D46" si="22" xml:space="preserve"> SUM(C38:D38) / D$36</f>
        <v>7.5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7</v>
      </c>
      <c r="D45" s="24">
        <f t="shared" si="22"/>
        <v>3.5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14</v>
      </c>
      <c r="D47" s="21">
        <f t="shared" ref="D47" si="23" xml:space="preserve"> SUM(D43:D46)</f>
        <v>11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22</v>
      </c>
      <c r="D90" s="24">
        <f>C10</f>
        <v>0</v>
      </c>
      <c r="E90" s="24">
        <f>D10</f>
        <v>0</v>
      </c>
      <c r="F90" s="24">
        <f t="shared" ref="F90:Q90" si="24">E10</f>
        <v>2</v>
      </c>
      <c r="G90" s="24">
        <f t="shared" si="24"/>
        <v>0</v>
      </c>
      <c r="H90" s="24">
        <f t="shared" si="24"/>
        <v>0</v>
      </c>
      <c r="I90" s="24">
        <f t="shared" si="24"/>
        <v>7</v>
      </c>
      <c r="J90" s="24">
        <f t="shared" si="24"/>
        <v>5</v>
      </c>
      <c r="K90" s="24">
        <f t="shared" si="24"/>
        <v>0</v>
      </c>
      <c r="L90" s="24">
        <f t="shared" si="24"/>
        <v>0</v>
      </c>
      <c r="M90" s="24">
        <f t="shared" si="24"/>
        <v>0</v>
      </c>
      <c r="N90" s="24">
        <f t="shared" si="24"/>
        <v>3</v>
      </c>
      <c r="O90" s="24">
        <f t="shared" si="24"/>
        <v>0</v>
      </c>
      <c r="P90" s="24">
        <f t="shared" si="24"/>
        <v>5</v>
      </c>
      <c r="Q90" s="24">
        <f t="shared" si="24"/>
        <v>0</v>
      </c>
    </row>
    <row r="91" spans="2:17" x14ac:dyDescent="0.25">
      <c r="B91" t="s">
        <v>55</v>
      </c>
      <c r="C91" s="24">
        <f>C90</f>
        <v>22</v>
      </c>
      <c r="D91" s="24">
        <f>C91-D90</f>
        <v>22</v>
      </c>
      <c r="E91" s="24">
        <f>D91-E90</f>
        <v>22</v>
      </c>
      <c r="F91" s="24">
        <f t="shared" ref="F91:Q91" si="25">E91-F90</f>
        <v>20</v>
      </c>
      <c r="G91" s="24">
        <f t="shared" si="25"/>
        <v>20</v>
      </c>
      <c r="H91" s="24">
        <f t="shared" si="25"/>
        <v>20</v>
      </c>
      <c r="I91" s="24">
        <f t="shared" si="25"/>
        <v>13</v>
      </c>
      <c r="J91" s="24">
        <f t="shared" si="25"/>
        <v>8</v>
      </c>
      <c r="K91" s="24">
        <f t="shared" si="25"/>
        <v>8</v>
      </c>
      <c r="L91" s="24">
        <f t="shared" si="25"/>
        <v>8</v>
      </c>
      <c r="M91" s="24">
        <f t="shared" si="25"/>
        <v>8</v>
      </c>
      <c r="N91" s="24">
        <f t="shared" si="25"/>
        <v>5</v>
      </c>
      <c r="O91" s="24">
        <f t="shared" si="25"/>
        <v>5</v>
      </c>
      <c r="P91" s="24">
        <f t="shared" si="25"/>
        <v>0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7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4">
        <f t="shared" si="0"/>
        <v>42414</v>
      </c>
      <c r="J4" s="55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4">
        <f t="shared" si="0"/>
        <v>42421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8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4">
        <f t="shared" si="0"/>
        <v>42428</v>
      </c>
      <c r="J4" s="55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4">
        <f t="shared" si="0"/>
        <v>42435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9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+56</f>
        <v>42436</v>
      </c>
      <c r="D4" s="15">
        <f xml:space="preserve"> C$4 + 1</f>
        <v>42437</v>
      </c>
      <c r="E4" s="15">
        <f t="shared" ref="E4:P4" si="0" xml:space="preserve"> D$4 + 1</f>
        <v>42438</v>
      </c>
      <c r="F4" s="15">
        <f t="shared" si="0"/>
        <v>42439</v>
      </c>
      <c r="G4" s="15">
        <f t="shared" si="0"/>
        <v>42440</v>
      </c>
      <c r="H4" s="15">
        <f t="shared" si="0"/>
        <v>42441</v>
      </c>
      <c r="I4" s="54">
        <f t="shared" si="0"/>
        <v>42442</v>
      </c>
      <c r="J4" s="55">
        <f t="shared" si="0"/>
        <v>42443</v>
      </c>
      <c r="K4" s="15">
        <f t="shared" si="0"/>
        <v>42444</v>
      </c>
      <c r="L4" s="15">
        <f t="shared" si="0"/>
        <v>42445</v>
      </c>
      <c r="M4" s="15">
        <f t="shared" si="0"/>
        <v>42446</v>
      </c>
      <c r="N4" s="15">
        <f t="shared" si="0"/>
        <v>42447</v>
      </c>
      <c r="O4" s="15">
        <f t="shared" si="0"/>
        <v>42448</v>
      </c>
      <c r="P4" s="54">
        <f t="shared" si="0"/>
        <v>42449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10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+70</f>
        <v>42450</v>
      </c>
      <c r="D4" s="15">
        <f xml:space="preserve"> C$4 + 1</f>
        <v>42451</v>
      </c>
      <c r="E4" s="15">
        <f t="shared" ref="E4:P4" si="0" xml:space="preserve"> D$4 + 1</f>
        <v>42452</v>
      </c>
      <c r="F4" s="15">
        <f t="shared" si="0"/>
        <v>42453</v>
      </c>
      <c r="G4" s="15">
        <f t="shared" si="0"/>
        <v>42454</v>
      </c>
      <c r="H4" s="15">
        <f t="shared" si="0"/>
        <v>42455</v>
      </c>
      <c r="I4" s="54">
        <f t="shared" si="0"/>
        <v>42456</v>
      </c>
      <c r="J4" s="55">
        <f t="shared" si="0"/>
        <v>42457</v>
      </c>
      <c r="K4" s="15">
        <f t="shared" si="0"/>
        <v>42458</v>
      </c>
      <c r="L4" s="15">
        <f t="shared" si="0"/>
        <v>42459</v>
      </c>
      <c r="M4" s="15">
        <f t="shared" si="0"/>
        <v>42460</v>
      </c>
      <c r="N4" s="15">
        <f t="shared" si="0"/>
        <v>42461</v>
      </c>
      <c r="O4" s="15">
        <f t="shared" si="0"/>
        <v>42462</v>
      </c>
      <c r="P4" s="54">
        <f t="shared" si="0"/>
        <v>42463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B4" sqref="B4"/>
    </sheetView>
  </sheetViews>
  <sheetFormatPr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56</v>
      </c>
    </row>
    <row r="3" spans="1:3" x14ac:dyDescent="0.25">
      <c r="A3" s="3" t="s">
        <v>57</v>
      </c>
      <c r="B3" s="39">
        <v>42254</v>
      </c>
    </row>
    <row r="4" spans="1:3" x14ac:dyDescent="0.25">
      <c r="A4" s="3" t="s">
        <v>58</v>
      </c>
      <c r="B4" s="39">
        <v>42380</v>
      </c>
    </row>
    <row r="5" spans="1:3" x14ac:dyDescent="0.25">
      <c r="A5" s="3"/>
    </row>
    <row r="6" spans="1:3" ht="15.75" thickBot="1" x14ac:dyDescent="0.3">
      <c r="B6" s="2" t="s">
        <v>59</v>
      </c>
      <c r="C6" s="2" t="s">
        <v>60</v>
      </c>
    </row>
    <row r="7" spans="1:3" ht="15.75" thickBot="1" x14ac:dyDescent="0.3">
      <c r="A7" s="3" t="s">
        <v>61</v>
      </c>
      <c r="B7" s="13" t="s">
        <v>62</v>
      </c>
      <c r="C7" s="16" t="s">
        <v>63</v>
      </c>
    </row>
    <row r="8" spans="1:3" ht="15.75" thickBot="1" x14ac:dyDescent="0.3">
      <c r="A8" s="3" t="s">
        <v>64</v>
      </c>
      <c r="B8" s="13" t="s">
        <v>65</v>
      </c>
      <c r="C8" s="16" t="s">
        <v>66</v>
      </c>
    </row>
    <row r="9" spans="1:3" ht="15.75" thickBot="1" x14ac:dyDescent="0.3">
      <c r="A9" s="3" t="s">
        <v>67</v>
      </c>
      <c r="B9" s="13" t="s">
        <v>68</v>
      </c>
      <c r="C9" s="16" t="s">
        <v>69</v>
      </c>
    </row>
    <row r="10" spans="1:3" ht="15.75" thickBot="1" x14ac:dyDescent="0.3">
      <c r="A10" s="3" t="s">
        <v>70</v>
      </c>
      <c r="B10" s="13" t="s">
        <v>71</v>
      </c>
      <c r="C10" s="16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2016-02-16T18:00:49Z</dcterms:modified>
</cp:coreProperties>
</file>