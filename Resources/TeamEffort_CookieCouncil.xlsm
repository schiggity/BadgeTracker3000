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8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2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3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4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7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Q90" i="46" l="1"/>
  <c r="P90" i="46"/>
  <c r="O90" i="46"/>
  <c r="N90" i="46"/>
  <c r="M90" i="46"/>
  <c r="L90" i="46"/>
  <c r="K90" i="46"/>
  <c r="J90" i="46"/>
  <c r="I90" i="46"/>
  <c r="H90" i="46"/>
  <c r="G90" i="46"/>
  <c r="F90" i="46"/>
  <c r="E90" i="46"/>
  <c r="D90" i="46"/>
  <c r="C90" i="46"/>
  <c r="C91" i="46" s="1"/>
  <c r="D91" i="46" s="1"/>
  <c r="E91" i="46" s="1"/>
  <c r="F91" i="46" s="1"/>
  <c r="G91" i="46" s="1"/>
  <c r="H91" i="46" s="1"/>
  <c r="I91" i="46" s="1"/>
  <c r="J91" i="46" s="1"/>
  <c r="K91" i="46" s="1"/>
  <c r="L91" i="46" s="1"/>
  <c r="M91" i="46" s="1"/>
  <c r="N91" i="46" s="1"/>
  <c r="O91" i="46" s="1"/>
  <c r="P91" i="46" s="1"/>
  <c r="Q91" i="46" s="1"/>
  <c r="C89" i="46"/>
  <c r="D89" i="46" s="1"/>
  <c r="E89" i="46" s="1"/>
  <c r="F89" i="46" s="1"/>
  <c r="G89" i="46" s="1"/>
  <c r="H89" i="46" s="1"/>
  <c r="I89" i="46" s="1"/>
  <c r="J89" i="46" s="1"/>
  <c r="K89" i="46" s="1"/>
  <c r="L89" i="46" s="1"/>
  <c r="M89" i="46" s="1"/>
  <c r="N89" i="46" s="1"/>
  <c r="O89" i="46" s="1"/>
  <c r="P89" i="46" s="1"/>
  <c r="C86" i="46"/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P11" i="1" s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 s="1"/>
  <c r="B39" i="46"/>
  <c r="C38" i="46"/>
  <c r="D44" i="46" s="1"/>
  <c r="B38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F14" i="46" s="1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E34" i="46" s="1"/>
  <c r="D12" i="46"/>
  <c r="E13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D24" i="46"/>
  <c r="C31" i="46"/>
  <c r="C34" i="46"/>
  <c r="D46" i="46"/>
  <c r="D43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E31" i="46"/>
  <c r="F13" i="46"/>
  <c r="E24" i="46"/>
  <c r="D28" i="46"/>
  <c r="D30" i="46"/>
  <c r="D34" i="46"/>
  <c r="D16" i="46"/>
  <c r="E12" i="46"/>
  <c r="E33" i="46"/>
  <c r="F15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F33" i="46"/>
  <c r="G15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H12" i="46"/>
  <c r="G30" i="46"/>
  <c r="H31" i="46"/>
  <c r="G28" i="46"/>
  <c r="H24" i="46"/>
  <c r="H33" i="46"/>
  <c r="I15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I12" i="46"/>
  <c r="J15" i="46"/>
  <c r="I33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J12" i="46"/>
  <c r="I30" i="46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J30" i="46"/>
  <c r="K12" i="46"/>
  <c r="J28" i="46"/>
  <c r="K24" i="46"/>
  <c r="K33" i="46"/>
  <c r="L15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L12" i="46"/>
  <c r="M15" i="46"/>
  <c r="L33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L30" i="46"/>
  <c r="M12" i="46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24" i="46"/>
  <c r="M28" i="46"/>
  <c r="N33" i="46"/>
  <c r="O15" i="46"/>
  <c r="M30" i="46"/>
  <c r="N12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O12" i="46"/>
  <c r="N30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P12" i="46"/>
  <c r="O30" i="46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50"/>
  <c r="B2" i="49"/>
  <c r="B2" i="44"/>
  <c r="B2" i="42"/>
  <c r="B2" i="47"/>
  <c r="B2" i="15"/>
  <c r="B2" i="2"/>
  <c r="B2" i="46"/>
  <c r="B2" i="45"/>
  <c r="B2" i="48"/>
  <c r="B2" i="43"/>
  <c r="I31" i="46" l="1"/>
  <c r="J13" i="46"/>
  <c r="D47" i="46"/>
  <c r="E38" i="46"/>
  <c r="C44" i="46"/>
  <c r="C47" i="46" s="1"/>
  <c r="F32" i="46"/>
  <c r="F34" i="46" s="1"/>
  <c r="F16" i="46"/>
  <c r="G14" i="46"/>
  <c r="E16" i="46"/>
  <c r="C41" i="46"/>
  <c r="E4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J31" i="46" l="1"/>
  <c r="K13" i="46"/>
  <c r="G32" i="46"/>
  <c r="G34" i="46" s="1"/>
  <c r="G16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L13" i="46" l="1"/>
  <c r="K31" i="46"/>
  <c r="H32" i="46"/>
  <c r="H34" i="46" s="1"/>
  <c r="H16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M13" i="46" l="1"/>
  <c r="L31" i="46"/>
  <c r="J14" i="46"/>
  <c r="I32" i="46"/>
  <c r="I34" i="46" s="1"/>
  <c r="I16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N13" i="46" l="1"/>
  <c r="M31" i="46"/>
  <c r="K14" i="46"/>
  <c r="J32" i="46"/>
  <c r="J34" i="46" s="1"/>
  <c r="J16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N31" i="46" l="1"/>
  <c r="O13" i="46"/>
  <c r="L14" i="46"/>
  <c r="K16" i="46"/>
  <c r="K32" i="46"/>
  <c r="K34" i="46" s="1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P13" i="46" l="1"/>
  <c r="P31" i="46" s="1"/>
  <c r="O31" i="46"/>
  <c r="L32" i="46"/>
  <c r="L34" i="46" s="1"/>
  <c r="M14" i="46"/>
  <c r="L16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M32" i="46" l="1"/>
  <c r="M34" i="46" s="1"/>
  <c r="M16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N32" i="46" l="1"/>
  <c r="N34" i="46" s="1"/>
  <c r="N16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P14" i="46" l="1"/>
  <c r="O16" i="46"/>
  <c r="O32" i="46"/>
  <c r="O34" i="46" s="1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P16" i="46" l="1"/>
  <c r="P32" i="46"/>
  <c r="P34" i="46" s="1"/>
  <c r="N33" i="45"/>
  <c r="O15" i="45"/>
  <c r="O12" i="45"/>
  <c r="N30" i="45"/>
  <c r="N16" i="45"/>
  <c r="Y23" i="1"/>
  <c r="X81" i="1"/>
  <c r="X84" i="1" s="1"/>
  <c r="D79" i="1"/>
  <c r="X29" i="1"/>
  <c r="N34" i="45" l="1"/>
  <c r="O33" i="45"/>
  <c r="P15" i="45"/>
  <c r="P33" i="45" s="1"/>
  <c r="Y29" i="1"/>
  <c r="Y81" i="1"/>
  <c r="Y84" i="1" s="1"/>
  <c r="P12" i="45"/>
  <c r="O16" i="45"/>
  <c r="O30" i="45"/>
  <c r="O34" i="45" s="1"/>
  <c r="P30" i="45" l="1"/>
  <c r="P34" i="45" s="1"/>
  <c r="P16" i="45"/>
</calcChain>
</file>

<file path=xl/sharedStrings.xml><?xml version="1.0" encoding="utf-8"?>
<sst xmlns="http://schemas.openxmlformats.org/spreadsheetml/2006/main" count="340" uniqueCount="73">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</sst>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14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77552"/>
        <c:axId val="1683781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24.732142857142858</c:v>
                </c:pt>
                <c:pt idx="14">
                  <c:v>23.616666666666667</c:v>
                </c:pt>
                <c:pt idx="15">
                  <c:v>22.140625</c:v>
                </c:pt>
                <c:pt idx="16">
                  <c:v>20.838235294117649</c:v>
                </c:pt>
                <c:pt idx="17">
                  <c:v>19.680555555555557</c:v>
                </c:pt>
                <c:pt idx="18">
                  <c:v>18.644736842105264</c:v>
                </c:pt>
                <c:pt idx="19">
                  <c:v>17.712499999999999</c:v>
                </c:pt>
                <c:pt idx="20">
                  <c:v>16.86904761904762</c:v>
                </c:pt>
                <c:pt idx="21">
                  <c:v>16.102272727272727</c:v>
                </c:pt>
                <c:pt idx="22">
                  <c:v>15.402173913043478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77552"/>
        <c:axId val="168378112"/>
      </c:lineChart>
      <c:catAx>
        <c:axId val="16837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8112"/>
        <c:crosses val="autoZero"/>
        <c:auto val="0"/>
        <c:lblAlgn val="ctr"/>
        <c:lblOffset val="100"/>
        <c:noMultiLvlLbl val="0"/>
      </c:catAx>
      <c:valAx>
        <c:axId val="1683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83152"/>
        <c:axId val="168383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6.6428571428571432</c:v>
                </c:pt>
                <c:pt idx="14">
                  <c:v>6.2</c:v>
                </c:pt>
                <c:pt idx="15">
                  <c:v>5.8125</c:v>
                </c:pt>
                <c:pt idx="16">
                  <c:v>5.4705882352941178</c:v>
                </c:pt>
                <c:pt idx="17">
                  <c:v>5.166666666666667</c:v>
                </c:pt>
                <c:pt idx="18">
                  <c:v>4.8947368421052628</c:v>
                </c:pt>
                <c:pt idx="19">
                  <c:v>4.6500000000000004</c:v>
                </c:pt>
                <c:pt idx="20">
                  <c:v>4.4285714285714288</c:v>
                </c:pt>
                <c:pt idx="21">
                  <c:v>4.2272727272727275</c:v>
                </c:pt>
                <c:pt idx="22">
                  <c:v>4.0434782608695654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3152"/>
        <c:axId val="168383712"/>
      </c:lineChart>
      <c:catAx>
        <c:axId val="1683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712"/>
        <c:crosses val="autoZero"/>
        <c:auto val="0"/>
        <c:lblAlgn val="ctr"/>
        <c:lblOffset val="100"/>
        <c:noMultiLvlLbl val="0"/>
      </c:catAx>
      <c:valAx>
        <c:axId val="168383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3472"/>
        <c:axId val="1701040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5.9</c:v>
                </c:pt>
                <c:pt idx="15">
                  <c:v>5.53125</c:v>
                </c:pt>
                <c:pt idx="16">
                  <c:v>5.2058823529411766</c:v>
                </c:pt>
                <c:pt idx="17">
                  <c:v>4.916666666666667</c:v>
                </c:pt>
                <c:pt idx="18">
                  <c:v>4.6578947368421053</c:v>
                </c:pt>
                <c:pt idx="19">
                  <c:v>4.4249999999999998</c:v>
                </c:pt>
                <c:pt idx="20">
                  <c:v>4.2142857142857144</c:v>
                </c:pt>
                <c:pt idx="21">
                  <c:v>4.0227272727272725</c:v>
                </c:pt>
                <c:pt idx="22">
                  <c:v>3.847826086956522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3472"/>
        <c:axId val="170104032"/>
      </c:lineChart>
      <c:catAx>
        <c:axId val="17010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4032"/>
        <c:crosses val="autoZero"/>
        <c:auto val="0"/>
        <c:lblAlgn val="ctr"/>
        <c:lblOffset val="100"/>
        <c:noMultiLvlLbl val="0"/>
      </c:catAx>
      <c:valAx>
        <c:axId val="17010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3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889200"/>
        <c:axId val="1698897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5.8666666666666663</c:v>
                </c:pt>
                <c:pt idx="15">
                  <c:v>5.5</c:v>
                </c:pt>
                <c:pt idx="16">
                  <c:v>5.1764705882352944</c:v>
                </c:pt>
                <c:pt idx="17">
                  <c:v>4.8888888888888893</c:v>
                </c:pt>
                <c:pt idx="18">
                  <c:v>4.6315789473684212</c:v>
                </c:pt>
                <c:pt idx="19">
                  <c:v>4.4000000000000004</c:v>
                </c:pt>
                <c:pt idx="20">
                  <c:v>4.1904761904761907</c:v>
                </c:pt>
                <c:pt idx="21">
                  <c:v>4</c:v>
                </c:pt>
                <c:pt idx="22">
                  <c:v>3.8260869565217392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89200"/>
        <c:axId val="169889760"/>
      </c:lineChart>
      <c:catAx>
        <c:axId val="16988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760"/>
        <c:crosses val="autoZero"/>
        <c:auto val="0"/>
        <c:lblAlgn val="ctr"/>
        <c:lblOffset val="100"/>
        <c:noMultiLvlLbl val="0"/>
      </c:catAx>
      <c:valAx>
        <c:axId val="169889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6832"/>
        <c:axId val="1701062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6.0535714285714288</c:v>
                </c:pt>
                <c:pt idx="14">
                  <c:v>5.65</c:v>
                </c:pt>
                <c:pt idx="15">
                  <c:v>5.296875</c:v>
                </c:pt>
                <c:pt idx="16">
                  <c:v>4.9852941176470589</c:v>
                </c:pt>
                <c:pt idx="17">
                  <c:v>4.708333333333333</c:v>
                </c:pt>
                <c:pt idx="18">
                  <c:v>4.4605263157894735</c:v>
                </c:pt>
                <c:pt idx="19">
                  <c:v>4.2374999999999998</c:v>
                </c:pt>
                <c:pt idx="20">
                  <c:v>4.0357142857142856</c:v>
                </c:pt>
                <c:pt idx="21">
                  <c:v>3.8522727272727271</c:v>
                </c:pt>
                <c:pt idx="22">
                  <c:v>3.6847826086956523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6832"/>
        <c:axId val="170106272"/>
      </c:lineChart>
      <c:catAx>
        <c:axId val="17010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272"/>
        <c:crosses val="autoZero"/>
        <c:auto val="0"/>
        <c:lblAlgn val="ctr"/>
        <c:lblOffset val="100"/>
        <c:noMultiLvlLbl val="0"/>
      </c:catAx>
      <c:valAx>
        <c:axId val="170106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Product!$C$84:$O$84</c:f>
              <c:numCache>
                <c:formatCode>0.00</c:formatCode>
                <c:ptCount val="13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07088"/>
        <c:axId val="169607648"/>
      </c:lineChart>
      <c:catAx>
        <c:axId val="16960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648"/>
        <c:crosses val="autoZero"/>
        <c:auto val="1"/>
        <c:lblAlgn val="ctr"/>
        <c:lblOffset val="100"/>
        <c:noMultiLvlLbl val="0"/>
      </c:catAx>
      <c:valAx>
        <c:axId val="1696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610448"/>
        <c:axId val="1696110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10448"/>
        <c:axId val="169611008"/>
      </c:lineChart>
      <c:catAx>
        <c:axId val="16961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1008"/>
        <c:crosses val="autoZero"/>
        <c:auto val="1"/>
        <c:lblAlgn val="ctr"/>
        <c:lblOffset val="100"/>
        <c:noMultiLvlLbl val="1"/>
      </c:catAx>
      <c:valAx>
        <c:axId val="16961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1088"/>
        <c:axId val="1703916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1088"/>
        <c:axId val="170391648"/>
      </c:lineChart>
      <c:catAx>
        <c:axId val="170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648"/>
        <c:crosses val="autoZero"/>
        <c:auto val="1"/>
        <c:lblAlgn val="ctr"/>
        <c:lblOffset val="100"/>
        <c:noMultiLvlLbl val="1"/>
      </c:catAx>
      <c:valAx>
        <c:axId val="170391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6688"/>
        <c:axId val="170458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6688"/>
        <c:axId val="170458496"/>
      </c:lineChart>
      <c:catAx>
        <c:axId val="17039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8496"/>
        <c:crosses val="autoZero"/>
        <c:auto val="1"/>
        <c:lblAlgn val="ctr"/>
        <c:lblOffset val="100"/>
        <c:noMultiLvlLbl val="1"/>
      </c:catAx>
      <c:valAx>
        <c:axId val="17045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6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63536"/>
        <c:axId val="1704640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63536"/>
        <c:axId val="170464096"/>
      </c:lineChart>
      <c:catAx>
        <c:axId val="17046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4096"/>
        <c:crosses val="autoZero"/>
        <c:auto val="1"/>
        <c:lblAlgn val="ctr"/>
        <c:lblOffset val="100"/>
        <c:noMultiLvlLbl val="1"/>
      </c:catAx>
      <c:valAx>
        <c:axId val="170464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3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568384"/>
        <c:axId val="1705689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68384"/>
        <c:axId val="170568944"/>
      </c:lineChart>
      <c:catAx>
        <c:axId val="17056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944"/>
        <c:crosses val="autoZero"/>
        <c:auto val="1"/>
        <c:lblAlgn val="ctr"/>
        <c:lblOffset val="100"/>
        <c:noMultiLvlLbl val="1"/>
      </c:catAx>
      <c:valAx>
        <c:axId val="170568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67936"/>
        <c:axId val="170868496"/>
      </c:lineChart>
      <c:catAx>
        <c:axId val="17086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8496"/>
        <c:crosses val="autoZero"/>
        <c:auto val="1"/>
        <c:lblAlgn val="ctr"/>
        <c:lblOffset val="100"/>
        <c:noMultiLvlLbl val="0"/>
      </c:catAx>
      <c:valAx>
        <c:axId val="1708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7936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869616"/>
        <c:axId val="170870176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69616"/>
        <c:axId val="170870176"/>
      </c:lineChart>
      <c:catAx>
        <c:axId val="17086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70176"/>
        <c:crosses val="autoZero"/>
        <c:auto val="0"/>
        <c:lblAlgn val="ctr"/>
        <c:lblOffset val="100"/>
        <c:noMultiLvlLbl val="1"/>
      </c:catAx>
      <c:valAx>
        <c:axId val="1708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4640"/>
        <c:axId val="1709957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4640"/>
        <c:axId val="170995760"/>
      </c:lineChart>
      <c:catAx>
        <c:axId val="17099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5760"/>
        <c:crosses val="autoZero"/>
        <c:auto val="1"/>
        <c:lblAlgn val="ctr"/>
        <c:lblOffset val="100"/>
        <c:noMultiLvlLbl val="1"/>
      </c:catAx>
      <c:valAx>
        <c:axId val="170995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4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47040"/>
        <c:axId val="1709991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47040"/>
        <c:axId val="170999120"/>
      </c:lineChart>
      <c:catAx>
        <c:axId val="17164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9120"/>
        <c:crosses val="autoZero"/>
        <c:auto val="1"/>
        <c:lblAlgn val="ctr"/>
        <c:lblOffset val="100"/>
        <c:noMultiLvlLbl val="1"/>
      </c:catAx>
      <c:valAx>
        <c:axId val="170999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4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69760"/>
        <c:axId val="1716703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69760"/>
        <c:axId val="171670320"/>
      </c:lineChart>
      <c:catAx>
        <c:axId val="17166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70320"/>
        <c:crosses val="autoZero"/>
        <c:auto val="1"/>
        <c:lblAlgn val="ctr"/>
        <c:lblOffset val="100"/>
        <c:noMultiLvlLbl val="1"/>
      </c:catAx>
      <c:valAx>
        <c:axId val="171670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9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87168"/>
        <c:axId val="17198772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87168"/>
        <c:axId val="171987728"/>
      </c:lineChart>
      <c:catAx>
        <c:axId val="17198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728"/>
        <c:crosses val="autoZero"/>
        <c:auto val="1"/>
        <c:lblAlgn val="ctr"/>
        <c:lblOffset val="100"/>
        <c:noMultiLvlLbl val="1"/>
      </c:catAx>
      <c:valAx>
        <c:axId val="171987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92768"/>
        <c:axId val="171993328"/>
      </c:lineChart>
      <c:catAx>
        <c:axId val="17199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3328"/>
        <c:crosses val="autoZero"/>
        <c:auto val="1"/>
        <c:lblAlgn val="ctr"/>
        <c:lblOffset val="100"/>
        <c:noMultiLvlLbl val="0"/>
      </c:catAx>
      <c:valAx>
        <c:axId val="17199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97248"/>
        <c:axId val="17199780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97248"/>
        <c:axId val="171997808"/>
      </c:lineChart>
      <c:catAx>
        <c:axId val="17199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808"/>
        <c:crosses val="autoZero"/>
        <c:auto val="0"/>
        <c:lblAlgn val="ctr"/>
        <c:lblOffset val="100"/>
        <c:noMultiLvlLbl val="1"/>
      </c:catAx>
      <c:valAx>
        <c:axId val="17199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2560"/>
        <c:axId val="1725531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2560"/>
        <c:axId val="172553120"/>
      </c:lineChart>
      <c:catAx>
        <c:axId val="17255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3120"/>
        <c:crosses val="autoZero"/>
        <c:auto val="1"/>
        <c:lblAlgn val="ctr"/>
        <c:lblOffset val="100"/>
        <c:noMultiLvlLbl val="1"/>
      </c:catAx>
      <c:valAx>
        <c:axId val="172553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2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8160"/>
        <c:axId val="1725587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8160"/>
        <c:axId val="172558720"/>
      </c:lineChart>
      <c:catAx>
        <c:axId val="17255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720"/>
        <c:crosses val="autoZero"/>
        <c:auto val="1"/>
        <c:lblAlgn val="ctr"/>
        <c:lblOffset val="100"/>
        <c:noMultiLvlLbl val="1"/>
      </c:catAx>
      <c:valAx>
        <c:axId val="172558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64320"/>
        <c:axId val="1725648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64320"/>
        <c:axId val="172564880"/>
      </c:lineChart>
      <c:catAx>
        <c:axId val="17256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880"/>
        <c:crosses val="autoZero"/>
        <c:auto val="1"/>
        <c:lblAlgn val="ctr"/>
        <c:lblOffset val="100"/>
        <c:noMultiLvlLbl val="1"/>
      </c:catAx>
      <c:valAx>
        <c:axId val="172564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79248"/>
        <c:axId val="17287980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79248"/>
        <c:axId val="172879808"/>
      </c:lineChart>
      <c:catAx>
        <c:axId val="17287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808"/>
        <c:crosses val="autoZero"/>
        <c:auto val="1"/>
        <c:lblAlgn val="ctr"/>
        <c:lblOffset val="100"/>
        <c:noMultiLvlLbl val="1"/>
      </c:catAx>
      <c:valAx>
        <c:axId val="172879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886528"/>
        <c:axId val="17288708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1728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7088"/>
        <c:crosses val="autoZero"/>
        <c:auto val="1"/>
        <c:lblAlgn val="ctr"/>
        <c:lblOffset val="100"/>
        <c:noMultiLvlLbl val="0"/>
      </c:catAx>
      <c:valAx>
        <c:axId val="17288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652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91008"/>
        <c:axId val="17289156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91008"/>
        <c:axId val="172891568"/>
      </c:lineChart>
      <c:catAx>
        <c:axId val="17289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568"/>
        <c:crosses val="autoZero"/>
        <c:auto val="0"/>
        <c:lblAlgn val="ctr"/>
        <c:lblOffset val="100"/>
        <c:noMultiLvlLbl val="1"/>
      </c:catAx>
      <c:valAx>
        <c:axId val="17289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46944"/>
        <c:axId val="1686475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46944"/>
        <c:axId val="168647504"/>
      </c:lineChart>
      <c:catAx>
        <c:axId val="16864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7504"/>
        <c:crosses val="autoZero"/>
        <c:auto val="1"/>
        <c:lblAlgn val="ctr"/>
        <c:lblOffset val="100"/>
        <c:noMultiLvlLbl val="1"/>
      </c:catAx>
      <c:valAx>
        <c:axId val="16864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2544"/>
        <c:axId val="1686531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2544"/>
        <c:axId val="168653104"/>
      </c:lineChart>
      <c:catAx>
        <c:axId val="16865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3104"/>
        <c:crosses val="autoZero"/>
        <c:auto val="1"/>
        <c:lblAlgn val="ctr"/>
        <c:lblOffset val="100"/>
        <c:noMultiLvlLbl val="1"/>
      </c:catAx>
      <c:valAx>
        <c:axId val="168653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2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8704"/>
        <c:axId val="16865926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8704"/>
        <c:axId val="168659264"/>
      </c:lineChart>
      <c:catAx>
        <c:axId val="1686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9264"/>
        <c:crosses val="autoZero"/>
        <c:auto val="1"/>
        <c:lblAlgn val="ctr"/>
        <c:lblOffset val="100"/>
        <c:noMultiLvlLbl val="1"/>
      </c:catAx>
      <c:valAx>
        <c:axId val="168659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8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783824"/>
        <c:axId val="19778438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3824"/>
        <c:axId val="197784384"/>
      </c:lineChart>
      <c:catAx>
        <c:axId val="19778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4384"/>
        <c:crosses val="autoZero"/>
        <c:auto val="1"/>
        <c:lblAlgn val="ctr"/>
        <c:lblOffset val="100"/>
        <c:noMultiLvlLbl val="1"/>
      </c:catAx>
      <c:valAx>
        <c:axId val="19778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3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91664"/>
        <c:axId val="19779222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19779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2224"/>
        <c:crosses val="autoZero"/>
        <c:auto val="1"/>
        <c:lblAlgn val="ctr"/>
        <c:lblOffset val="100"/>
        <c:noMultiLvlLbl val="0"/>
      </c:catAx>
      <c:valAx>
        <c:axId val="1977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46608"/>
        <c:axId val="19724716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46608"/>
        <c:axId val="197247168"/>
      </c:lineChart>
      <c:catAx>
        <c:axId val="19724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7168"/>
        <c:crosses val="autoZero"/>
        <c:auto val="0"/>
        <c:lblAlgn val="ctr"/>
        <c:lblOffset val="100"/>
        <c:noMultiLvlLbl val="1"/>
      </c:catAx>
      <c:valAx>
        <c:axId val="1972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52208"/>
        <c:axId val="1972527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52208"/>
        <c:axId val="197252768"/>
      </c:lineChart>
      <c:catAx>
        <c:axId val="19725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768"/>
        <c:crosses val="autoZero"/>
        <c:auto val="1"/>
        <c:lblAlgn val="ctr"/>
        <c:lblOffset val="100"/>
        <c:noMultiLvlLbl val="1"/>
      </c:catAx>
      <c:valAx>
        <c:axId val="197252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47152"/>
        <c:axId val="1987477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47152"/>
        <c:axId val="198747712"/>
      </c:lineChart>
      <c:catAx>
        <c:axId val="19874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712"/>
        <c:crosses val="autoZero"/>
        <c:auto val="1"/>
        <c:lblAlgn val="ctr"/>
        <c:lblOffset val="100"/>
        <c:noMultiLvlLbl val="1"/>
      </c:catAx>
      <c:valAx>
        <c:axId val="198747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3312"/>
        <c:axId val="1987538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3312"/>
        <c:axId val="198753872"/>
      </c:lineChart>
      <c:catAx>
        <c:axId val="19875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872"/>
        <c:crosses val="autoZero"/>
        <c:auto val="1"/>
        <c:lblAlgn val="ctr"/>
        <c:lblOffset val="100"/>
        <c:noMultiLvlLbl val="1"/>
      </c:catAx>
      <c:valAx>
        <c:axId val="198753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8912"/>
        <c:axId val="1987594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8912"/>
        <c:axId val="198759472"/>
      </c:lineChart>
      <c:catAx>
        <c:axId val="19875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9472"/>
        <c:crosses val="autoZero"/>
        <c:auto val="1"/>
        <c:lblAlgn val="ctr"/>
        <c:lblOffset val="100"/>
        <c:noMultiLvlLbl val="1"/>
      </c:catAx>
      <c:valAx>
        <c:axId val="198759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0384"/>
        <c:axId val="19856094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0384"/>
        <c:axId val="198560944"/>
      </c:lineChart>
      <c:catAx>
        <c:axId val="19856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944"/>
        <c:crosses val="autoZero"/>
        <c:auto val="0"/>
        <c:lblAlgn val="ctr"/>
        <c:lblOffset val="100"/>
        <c:noMultiLvlLbl val="1"/>
      </c:catAx>
      <c:valAx>
        <c:axId val="1985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5984"/>
        <c:axId val="1985665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5984"/>
        <c:axId val="198566544"/>
      </c:lineChart>
      <c:catAx>
        <c:axId val="19856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6544"/>
        <c:crosses val="autoZero"/>
        <c:auto val="1"/>
        <c:lblAlgn val="ctr"/>
        <c:lblOffset val="100"/>
        <c:noMultiLvlLbl val="1"/>
      </c:catAx>
      <c:valAx>
        <c:axId val="19856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87792"/>
        <c:axId val="1992883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87792"/>
        <c:axId val="199288352"/>
      </c:lineChart>
      <c:catAx>
        <c:axId val="19928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8352"/>
        <c:crosses val="autoZero"/>
        <c:auto val="1"/>
        <c:lblAlgn val="ctr"/>
        <c:lblOffset val="100"/>
        <c:noMultiLvlLbl val="1"/>
      </c:catAx>
      <c:valAx>
        <c:axId val="19928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3952"/>
        <c:axId val="1992945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3952"/>
        <c:axId val="199294512"/>
      </c:lineChart>
      <c:catAx>
        <c:axId val="19929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4512"/>
        <c:crosses val="autoZero"/>
        <c:auto val="1"/>
        <c:lblAlgn val="ctr"/>
        <c:lblOffset val="100"/>
        <c:noMultiLvlLbl val="1"/>
      </c:catAx>
      <c:valAx>
        <c:axId val="199294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3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9552"/>
        <c:axId val="1993001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9552"/>
        <c:axId val="199300112"/>
      </c:lineChart>
      <c:catAx>
        <c:axId val="19929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00112"/>
        <c:crosses val="autoZero"/>
        <c:auto val="1"/>
        <c:lblAlgn val="ctr"/>
        <c:lblOffset val="100"/>
        <c:noMultiLvlLbl val="1"/>
      </c:catAx>
      <c:valAx>
        <c:axId val="19930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9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94272"/>
        <c:axId val="1994948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9949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832"/>
        <c:crosses val="autoZero"/>
        <c:auto val="1"/>
        <c:lblAlgn val="ctr"/>
        <c:lblOffset val="100"/>
        <c:noMultiLvlLbl val="0"/>
      </c:catAx>
      <c:valAx>
        <c:axId val="19949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498752"/>
        <c:axId val="1994993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1.5</c:v>
                </c:pt>
                <c:pt idx="6">
                  <c:v>2</c:v>
                </c:pt>
                <c:pt idx="7">
                  <c:v>1.75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1.5454545454545454</c:v>
                </c:pt>
                <c:pt idx="11">
                  <c:v>1.4166666666666667</c:v>
                </c:pt>
                <c:pt idx="12">
                  <c:v>1.6923076923076921</c:v>
                </c:pt>
                <c:pt idx="13">
                  <c:v>1.5714285714285714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98752"/>
        <c:axId val="199499312"/>
      </c:lineChart>
      <c:catAx>
        <c:axId val="19949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9312"/>
        <c:crosses val="autoZero"/>
        <c:auto val="0"/>
        <c:lblAlgn val="ctr"/>
        <c:lblOffset val="100"/>
        <c:noMultiLvlLbl val="1"/>
      </c:catAx>
      <c:valAx>
        <c:axId val="1994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4352"/>
        <c:axId val="1995049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4352"/>
        <c:axId val="199504912"/>
      </c:lineChart>
      <c:catAx>
        <c:axId val="19950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912"/>
        <c:crosses val="autoZero"/>
        <c:auto val="1"/>
        <c:lblAlgn val="ctr"/>
        <c:lblOffset val="100"/>
        <c:noMultiLvlLbl val="1"/>
      </c:catAx>
      <c:valAx>
        <c:axId val="199504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9952"/>
        <c:axId val="1995105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9952"/>
        <c:axId val="199510512"/>
      </c:lineChart>
      <c:catAx>
        <c:axId val="19950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0512"/>
        <c:crosses val="autoZero"/>
        <c:auto val="1"/>
        <c:lblAlgn val="ctr"/>
        <c:lblOffset val="100"/>
        <c:noMultiLvlLbl val="1"/>
      </c:catAx>
      <c:valAx>
        <c:axId val="199510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9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16112"/>
        <c:axId val="1995166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16112"/>
        <c:axId val="199516672"/>
      </c:lineChart>
      <c:catAx>
        <c:axId val="19951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672"/>
        <c:crosses val="autoZero"/>
        <c:auto val="1"/>
        <c:lblAlgn val="ctr"/>
        <c:lblOffset val="100"/>
        <c:noMultiLvlLbl val="1"/>
      </c:catAx>
      <c:valAx>
        <c:axId val="19951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21712"/>
        <c:axId val="1995222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21712"/>
        <c:axId val="199522272"/>
      </c:lineChart>
      <c:catAx>
        <c:axId val="19952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2272"/>
        <c:crosses val="autoZero"/>
        <c:auto val="1"/>
        <c:lblAlgn val="ctr"/>
        <c:lblOffset val="100"/>
        <c:noMultiLvlLbl val="1"/>
      </c:catAx>
      <c:valAx>
        <c:axId val="19952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17248"/>
        <c:axId val="200517808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17248"/>
        <c:axId val="200517808"/>
      </c:lineChart>
      <c:catAx>
        <c:axId val="20051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808"/>
        <c:crosses val="autoZero"/>
        <c:auto val="0"/>
        <c:lblAlgn val="ctr"/>
        <c:lblOffset val="100"/>
        <c:noMultiLvlLbl val="1"/>
      </c:catAx>
      <c:valAx>
        <c:axId val="2005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2848"/>
        <c:axId val="2005234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2848"/>
        <c:axId val="200523408"/>
      </c:lineChart>
      <c:catAx>
        <c:axId val="20052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3408"/>
        <c:crosses val="autoZero"/>
        <c:auto val="1"/>
        <c:lblAlgn val="ctr"/>
        <c:lblOffset val="100"/>
        <c:noMultiLvlLbl val="1"/>
      </c:catAx>
      <c:valAx>
        <c:axId val="200523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2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8448"/>
        <c:axId val="2005290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8448"/>
        <c:axId val="200529008"/>
      </c:lineChart>
      <c:catAx>
        <c:axId val="20052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9008"/>
        <c:crosses val="autoZero"/>
        <c:auto val="1"/>
        <c:lblAlgn val="ctr"/>
        <c:lblOffset val="100"/>
        <c:noMultiLvlLbl val="1"/>
      </c:catAx>
      <c:valAx>
        <c:axId val="200529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8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34608"/>
        <c:axId val="2005351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34608"/>
        <c:axId val="200535168"/>
      </c:lineChart>
      <c:catAx>
        <c:axId val="20053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5168"/>
        <c:crosses val="autoZero"/>
        <c:auto val="1"/>
        <c:lblAlgn val="ctr"/>
        <c:lblOffset val="100"/>
        <c:noMultiLvlLbl val="1"/>
      </c:catAx>
      <c:valAx>
        <c:axId val="20053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4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0208"/>
        <c:axId val="2005407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0208"/>
        <c:axId val="200540768"/>
      </c:lineChart>
      <c:catAx>
        <c:axId val="200540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768"/>
        <c:crosses val="autoZero"/>
        <c:auto val="1"/>
        <c:lblAlgn val="ctr"/>
        <c:lblOffset val="100"/>
        <c:noMultiLvlLbl val="1"/>
      </c:catAx>
      <c:valAx>
        <c:axId val="200540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6368"/>
        <c:axId val="20100804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6368"/>
        <c:axId val="201008048"/>
      </c:lineChart>
      <c:catAx>
        <c:axId val="20054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08048"/>
        <c:crosses val="autoZero"/>
        <c:auto val="0"/>
        <c:lblAlgn val="ctr"/>
        <c:lblOffset val="100"/>
        <c:noMultiLvlLbl val="1"/>
      </c:catAx>
      <c:valAx>
        <c:axId val="20100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3088"/>
        <c:axId val="2010136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3088"/>
        <c:axId val="201013648"/>
      </c:lineChart>
      <c:catAx>
        <c:axId val="20101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648"/>
        <c:crosses val="autoZero"/>
        <c:auto val="1"/>
        <c:lblAlgn val="ctr"/>
        <c:lblOffset val="100"/>
        <c:noMultiLvlLbl val="1"/>
      </c:catAx>
      <c:valAx>
        <c:axId val="20101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8688"/>
        <c:axId val="2010192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8688"/>
        <c:axId val="201019248"/>
      </c:lineChart>
      <c:catAx>
        <c:axId val="20101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9248"/>
        <c:crosses val="autoZero"/>
        <c:auto val="1"/>
        <c:lblAlgn val="ctr"/>
        <c:lblOffset val="100"/>
        <c:noMultiLvlLbl val="1"/>
      </c:catAx>
      <c:valAx>
        <c:axId val="201019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8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24848"/>
        <c:axId val="2010254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24848"/>
        <c:axId val="201025408"/>
      </c:lineChart>
      <c:catAx>
        <c:axId val="20102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5408"/>
        <c:crosses val="autoZero"/>
        <c:auto val="1"/>
        <c:lblAlgn val="ctr"/>
        <c:lblOffset val="100"/>
        <c:noMultiLvlLbl val="1"/>
      </c:catAx>
      <c:valAx>
        <c:axId val="20102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4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0448"/>
        <c:axId val="2010310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0448"/>
        <c:axId val="201031008"/>
      </c:lineChart>
      <c:catAx>
        <c:axId val="20103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1008"/>
        <c:crosses val="autoZero"/>
        <c:auto val="1"/>
        <c:lblAlgn val="ctr"/>
        <c:lblOffset val="100"/>
        <c:noMultiLvlLbl val="1"/>
      </c:catAx>
      <c:valAx>
        <c:axId val="2010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0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6608"/>
        <c:axId val="201037168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6608"/>
        <c:axId val="201037168"/>
      </c:lineChart>
      <c:catAx>
        <c:axId val="20103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7168"/>
        <c:crosses val="autoZero"/>
        <c:auto val="0"/>
        <c:lblAlgn val="ctr"/>
        <c:lblOffset val="100"/>
        <c:noMultiLvlLbl val="1"/>
      </c:catAx>
      <c:valAx>
        <c:axId val="20103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4256"/>
        <c:axId val="2022648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4256"/>
        <c:axId val="202264816"/>
      </c:lineChart>
      <c:catAx>
        <c:axId val="20226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816"/>
        <c:crosses val="autoZero"/>
        <c:auto val="1"/>
        <c:lblAlgn val="ctr"/>
        <c:lblOffset val="100"/>
        <c:noMultiLvlLbl val="1"/>
      </c:catAx>
      <c:valAx>
        <c:axId val="20226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9856"/>
        <c:axId val="2022704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9856"/>
        <c:axId val="202270416"/>
      </c:lineChart>
      <c:catAx>
        <c:axId val="20226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0416"/>
        <c:crosses val="autoZero"/>
        <c:auto val="1"/>
        <c:lblAlgn val="ctr"/>
        <c:lblOffset val="100"/>
        <c:noMultiLvlLbl val="1"/>
      </c:catAx>
      <c:valAx>
        <c:axId val="202270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9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76016"/>
        <c:axId val="2022765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76016"/>
        <c:axId val="202276576"/>
      </c:lineChart>
      <c:catAx>
        <c:axId val="20227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576"/>
        <c:crosses val="autoZero"/>
        <c:auto val="1"/>
        <c:lblAlgn val="ctr"/>
        <c:lblOffset val="100"/>
        <c:noMultiLvlLbl val="1"/>
      </c:catAx>
      <c:valAx>
        <c:axId val="202276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1616"/>
        <c:axId val="2022821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1616"/>
        <c:axId val="202282176"/>
      </c:lineChart>
      <c:catAx>
        <c:axId val="20228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2176"/>
        <c:crosses val="autoZero"/>
        <c:auto val="1"/>
        <c:lblAlgn val="ctr"/>
        <c:lblOffset val="100"/>
        <c:noMultiLvlLbl val="1"/>
      </c:catAx>
      <c:valAx>
        <c:axId val="202282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1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7776"/>
        <c:axId val="20228833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7776"/>
        <c:axId val="202288336"/>
      </c:lineChart>
      <c:catAx>
        <c:axId val="20228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8336"/>
        <c:crosses val="autoZero"/>
        <c:auto val="0"/>
        <c:lblAlgn val="ctr"/>
        <c:lblOffset val="100"/>
        <c:noMultiLvlLbl val="1"/>
      </c:catAx>
      <c:valAx>
        <c:axId val="2022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93376"/>
        <c:axId val="2022939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93376"/>
        <c:axId val="202293936"/>
      </c:lineChart>
      <c:catAx>
        <c:axId val="20229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936"/>
        <c:crosses val="autoZero"/>
        <c:auto val="1"/>
        <c:lblAlgn val="ctr"/>
        <c:lblOffset val="100"/>
        <c:noMultiLvlLbl val="1"/>
      </c:catAx>
      <c:valAx>
        <c:axId val="2022939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98128"/>
        <c:axId val="20139868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98128"/>
        <c:axId val="201398688"/>
      </c:lineChart>
      <c:catAx>
        <c:axId val="20139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688"/>
        <c:crosses val="autoZero"/>
        <c:auto val="1"/>
        <c:lblAlgn val="ctr"/>
        <c:lblOffset val="100"/>
        <c:noMultiLvlLbl val="1"/>
      </c:catAx>
      <c:valAx>
        <c:axId val="20139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4288"/>
        <c:axId val="2014048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4288"/>
        <c:axId val="201404848"/>
      </c:lineChart>
      <c:catAx>
        <c:axId val="20140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848"/>
        <c:crosses val="autoZero"/>
        <c:auto val="1"/>
        <c:lblAlgn val="ctr"/>
        <c:lblOffset val="100"/>
        <c:noMultiLvlLbl val="1"/>
      </c:catAx>
      <c:valAx>
        <c:axId val="201404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9888"/>
        <c:axId val="2014104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9888"/>
        <c:axId val="201410448"/>
      </c:lineChart>
      <c:catAx>
        <c:axId val="20140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10448"/>
        <c:crosses val="autoZero"/>
        <c:auto val="1"/>
        <c:lblAlgn val="ctr"/>
        <c:lblOffset val="100"/>
        <c:noMultiLvlLbl val="1"/>
      </c:catAx>
      <c:valAx>
        <c:axId val="20141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9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28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8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14</v>
      </c>
      <c r="Q11" s="64">
        <f t="shared" si="3"/>
        <v>8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82</v>
      </c>
      <c r="O19" s="24">
        <f t="shared" si="25"/>
        <v>93</v>
      </c>
      <c r="P19" s="24">
        <f t="shared" si="25"/>
        <v>93</v>
      </c>
      <c r="Q19" s="24">
        <f t="shared" si="25"/>
        <v>93</v>
      </c>
      <c r="R19" s="24">
        <f t="shared" si="25"/>
        <v>93</v>
      </c>
      <c r="S19" s="24">
        <f t="shared" si="25"/>
        <v>93</v>
      </c>
      <c r="T19" s="24">
        <f t="shared" si="25"/>
        <v>93</v>
      </c>
      <c r="U19" s="24">
        <f t="shared" si="25"/>
        <v>93</v>
      </c>
      <c r="V19" s="24">
        <f t="shared" si="25"/>
        <v>93</v>
      </c>
      <c r="W19" s="24">
        <f t="shared" si="25"/>
        <v>93</v>
      </c>
      <c r="X19" s="24">
        <f t="shared" si="25"/>
        <v>93</v>
      </c>
      <c r="Y19" s="24">
        <f t="shared" si="25"/>
        <v>93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63.5</v>
      </c>
      <c r="O20" s="24">
        <f t="shared" si="27"/>
        <v>73.5</v>
      </c>
      <c r="P20" s="24">
        <f t="shared" si="27"/>
        <v>80.5</v>
      </c>
      <c r="Q20" s="24">
        <f t="shared" si="27"/>
        <v>88.5</v>
      </c>
      <c r="R20" s="24">
        <f t="shared" si="27"/>
        <v>88.5</v>
      </c>
      <c r="S20" s="24">
        <f t="shared" si="27"/>
        <v>88.5</v>
      </c>
      <c r="T20" s="24">
        <f t="shared" si="25"/>
        <v>88.5</v>
      </c>
      <c r="U20" s="24">
        <f t="shared" si="25"/>
        <v>88.5</v>
      </c>
      <c r="V20" s="24">
        <f t="shared" si="25"/>
        <v>88.5</v>
      </c>
      <c r="W20" s="24">
        <f t="shared" si="25"/>
        <v>88.5</v>
      </c>
      <c r="X20" s="24">
        <f t="shared" si="25"/>
        <v>88.5</v>
      </c>
      <c r="Y20" s="24">
        <f t="shared" si="25"/>
        <v>88.5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73</v>
      </c>
      <c r="O21" s="24">
        <f t="shared" si="25"/>
        <v>81</v>
      </c>
      <c r="P21" s="24">
        <f t="shared" si="25"/>
        <v>88</v>
      </c>
      <c r="Q21" s="24">
        <f t="shared" si="25"/>
        <v>88</v>
      </c>
      <c r="R21" s="24">
        <f t="shared" si="25"/>
        <v>88</v>
      </c>
      <c r="S21" s="24">
        <f t="shared" si="25"/>
        <v>88</v>
      </c>
      <c r="T21" s="24">
        <f t="shared" si="25"/>
        <v>88</v>
      </c>
      <c r="U21" s="24">
        <f t="shared" si="25"/>
        <v>88</v>
      </c>
      <c r="V21" s="24">
        <f t="shared" si="25"/>
        <v>88</v>
      </c>
      <c r="W21" s="24">
        <f t="shared" si="25"/>
        <v>88</v>
      </c>
      <c r="X21" s="24">
        <f t="shared" si="25"/>
        <v>88</v>
      </c>
      <c r="Y21" s="24">
        <f t="shared" si="25"/>
        <v>88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76.75</v>
      </c>
      <c r="O22" s="24">
        <f t="shared" si="25"/>
        <v>84.75</v>
      </c>
      <c r="P22" s="24">
        <f t="shared" si="25"/>
        <v>84.75</v>
      </c>
      <c r="Q22" s="24">
        <f t="shared" si="25"/>
        <v>84.75</v>
      </c>
      <c r="R22" s="24">
        <f t="shared" si="25"/>
        <v>84.75</v>
      </c>
      <c r="S22" s="24">
        <f t="shared" si="25"/>
        <v>84.75</v>
      </c>
      <c r="T22" s="24">
        <f t="shared" si="25"/>
        <v>84.75</v>
      </c>
      <c r="U22" s="24">
        <f t="shared" si="25"/>
        <v>84.75</v>
      </c>
      <c r="V22" s="24">
        <f t="shared" si="25"/>
        <v>84.75</v>
      </c>
      <c r="W22" s="24">
        <f t="shared" si="25"/>
        <v>84.75</v>
      </c>
      <c r="X22" s="24">
        <f t="shared" si="25"/>
        <v>84.75</v>
      </c>
      <c r="Y22" s="24">
        <f t="shared" si="25"/>
        <v>84.75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295.25</v>
      </c>
      <c r="O23" s="21">
        <f t="shared" si="28"/>
        <v>332.25</v>
      </c>
      <c r="P23" s="21">
        <f t="shared" si="28"/>
        <v>346.25</v>
      </c>
      <c r="Q23" s="21">
        <f t="shared" si="28"/>
        <v>354.25</v>
      </c>
      <c r="R23" s="21">
        <f t="shared" si="28"/>
        <v>354.25</v>
      </c>
      <c r="S23" s="21">
        <f t="shared" si="28"/>
        <v>354.25</v>
      </c>
      <c r="T23" s="21">
        <f t="shared" si="28"/>
        <v>354.25</v>
      </c>
      <c r="U23" s="21">
        <f t="shared" si="28"/>
        <v>354.25</v>
      </c>
      <c r="V23" s="21">
        <f t="shared" si="28"/>
        <v>354.25</v>
      </c>
      <c r="W23" s="21">
        <f t="shared" si="28"/>
        <v>354.25</v>
      </c>
      <c r="X23" s="21">
        <f t="shared" si="28"/>
        <v>354.25</v>
      </c>
      <c r="Y23" s="21">
        <f t="shared" si="28"/>
        <v>354.25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6.833333333333333</v>
      </c>
      <c r="O25" s="28">
        <f t="shared" si="30"/>
        <v>7.1538461538461542</v>
      </c>
      <c r="P25" s="28">
        <f t="shared" si="30"/>
        <v>6.6428571428571432</v>
      </c>
      <c r="Q25" s="28">
        <f t="shared" si="30"/>
        <v>6.2</v>
      </c>
      <c r="R25" s="28">
        <f t="shared" si="30"/>
        <v>5.8125</v>
      </c>
      <c r="S25" s="28">
        <f t="shared" si="30"/>
        <v>5.4705882352941178</v>
      </c>
      <c r="T25" s="28">
        <f t="shared" si="30"/>
        <v>5.166666666666667</v>
      </c>
      <c r="U25" s="28">
        <f t="shared" si="30"/>
        <v>4.8947368421052628</v>
      </c>
      <c r="V25" s="28">
        <f t="shared" si="30"/>
        <v>4.6500000000000004</v>
      </c>
      <c r="W25" s="28">
        <f t="shared" si="30"/>
        <v>4.4285714285714288</v>
      </c>
      <c r="X25" s="28">
        <f t="shared" si="30"/>
        <v>4.2272727272727275</v>
      </c>
      <c r="Y25" s="28">
        <f t="shared" si="30"/>
        <v>4.0434782608695654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5.291666666666667</v>
      </c>
      <c r="O26" s="28">
        <f t="shared" si="32"/>
        <v>5.6538461538461542</v>
      </c>
      <c r="P26" s="28">
        <f t="shared" si="32"/>
        <v>5.75</v>
      </c>
      <c r="Q26" s="28">
        <f t="shared" si="32"/>
        <v>5.9</v>
      </c>
      <c r="R26" s="28">
        <f t="shared" si="32"/>
        <v>5.53125</v>
      </c>
      <c r="S26" s="28">
        <f t="shared" si="32"/>
        <v>5.2058823529411766</v>
      </c>
      <c r="T26" s="28">
        <f t="shared" si="32"/>
        <v>4.916666666666667</v>
      </c>
      <c r="U26" s="28">
        <f t="shared" si="32"/>
        <v>4.6578947368421053</v>
      </c>
      <c r="V26" s="28">
        <f t="shared" si="32"/>
        <v>4.4249999999999998</v>
      </c>
      <c r="W26" s="28">
        <f t="shared" si="32"/>
        <v>4.2142857142857144</v>
      </c>
      <c r="X26" s="28">
        <f t="shared" si="32"/>
        <v>4.0227272727272725</v>
      </c>
      <c r="Y26" s="28">
        <f t="shared" si="32"/>
        <v>3.847826086956522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6.083333333333333</v>
      </c>
      <c r="O27" s="28">
        <f t="shared" si="33"/>
        <v>6.2307692307692308</v>
      </c>
      <c r="P27" s="28">
        <f t="shared" si="33"/>
        <v>6.2857142857142856</v>
      </c>
      <c r="Q27" s="28">
        <f t="shared" si="33"/>
        <v>5.8666666666666663</v>
      </c>
      <c r="R27" s="28">
        <f t="shared" si="33"/>
        <v>5.5</v>
      </c>
      <c r="S27" s="28">
        <f t="shared" si="33"/>
        <v>5.1764705882352944</v>
      </c>
      <c r="T27" s="28">
        <f t="shared" si="33"/>
        <v>4.8888888888888893</v>
      </c>
      <c r="U27" s="28">
        <f t="shared" si="33"/>
        <v>4.6315789473684212</v>
      </c>
      <c r="V27" s="28">
        <f t="shared" si="33"/>
        <v>4.4000000000000004</v>
      </c>
      <c r="W27" s="28">
        <f t="shared" si="33"/>
        <v>4.1904761904761907</v>
      </c>
      <c r="X27" s="28">
        <f t="shared" si="33"/>
        <v>4</v>
      </c>
      <c r="Y27" s="28">
        <f t="shared" si="33"/>
        <v>3.8260869565217392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6.395833333333333</v>
      </c>
      <c r="O28" s="28">
        <f t="shared" si="34"/>
        <v>6.5192307692307692</v>
      </c>
      <c r="P28" s="28">
        <f t="shared" si="34"/>
        <v>6.0535714285714288</v>
      </c>
      <c r="Q28" s="28">
        <f t="shared" si="34"/>
        <v>5.65</v>
      </c>
      <c r="R28" s="28">
        <f t="shared" si="34"/>
        <v>5.296875</v>
      </c>
      <c r="S28" s="28">
        <f t="shared" si="34"/>
        <v>4.9852941176470589</v>
      </c>
      <c r="T28" s="28">
        <f t="shared" si="34"/>
        <v>4.708333333333333</v>
      </c>
      <c r="U28" s="28">
        <f t="shared" si="34"/>
        <v>4.4605263157894735</v>
      </c>
      <c r="V28" s="28">
        <f t="shared" si="34"/>
        <v>4.2374999999999998</v>
      </c>
      <c r="W28" s="28">
        <f t="shared" si="34"/>
        <v>4.0357142857142856</v>
      </c>
      <c r="X28" s="28">
        <f t="shared" si="34"/>
        <v>3.8522727272727271</v>
      </c>
      <c r="Y28" s="28">
        <f t="shared" si="34"/>
        <v>3.6847826086956523</v>
      </c>
    </row>
    <row r="29" spans="1:25" ht="15.75" x14ac:dyDescent="0.25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24.604166666666668</v>
      </c>
      <c r="O29" s="29">
        <f t="shared" si="35"/>
        <v>25.557692307692307</v>
      </c>
      <c r="P29" s="29">
        <f t="shared" si="35"/>
        <v>24.732142857142858</v>
      </c>
      <c r="Q29" s="29">
        <f t="shared" si="35"/>
        <v>23.616666666666667</v>
      </c>
      <c r="R29" s="29">
        <f t="shared" si="35"/>
        <v>22.140625</v>
      </c>
      <c r="S29" s="29">
        <f t="shared" si="35"/>
        <v>20.838235294117649</v>
      </c>
      <c r="T29" s="29">
        <f t="shared" si="35"/>
        <v>19.680555555555557</v>
      </c>
      <c r="U29" s="29">
        <f t="shared" si="35"/>
        <v>18.644736842105264</v>
      </c>
      <c r="V29" s="29">
        <f t="shared" si="35"/>
        <v>17.712499999999999</v>
      </c>
      <c r="W29" s="29">
        <f t="shared" si="35"/>
        <v>16.86904761904762</v>
      </c>
      <c r="X29" s="29">
        <f t="shared" si="35"/>
        <v>16.102272727272727</v>
      </c>
      <c r="Y29" s="29">
        <f t="shared" si="35"/>
        <v>15.402173913043478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354.25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295.25</v>
      </c>
      <c r="O81" s="24">
        <f t="shared" si="36"/>
        <v>332.25</v>
      </c>
      <c r="P81" s="24">
        <f t="shared" si="36"/>
        <v>346.25</v>
      </c>
      <c r="Q81" s="24">
        <f t="shared" si="36"/>
        <v>354.25</v>
      </c>
      <c r="R81" s="24">
        <f t="shared" si="36"/>
        <v>354.25</v>
      </c>
      <c r="S81" s="24">
        <f t="shared" si="36"/>
        <v>354.25</v>
      </c>
      <c r="T81" s="24">
        <f t="shared" si="36"/>
        <v>354.25</v>
      </c>
      <c r="U81" s="24">
        <f t="shared" si="36"/>
        <v>354.25</v>
      </c>
      <c r="V81" s="24">
        <f t="shared" si="36"/>
        <v>354.25</v>
      </c>
      <c r="W81" s="24">
        <f t="shared" si="36"/>
        <v>354.25</v>
      </c>
      <c r="X81" s="24">
        <f t="shared" si="36"/>
        <v>354.25</v>
      </c>
      <c r="Y81" s="24">
        <f>Y23</f>
        <v>354.25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233.75</v>
      </c>
      <c r="Q84" s="24">
        <f>C79-Q81</f>
        <v>225.75</v>
      </c>
      <c r="R84" s="24">
        <f>C79-R81</f>
        <v>225.75</v>
      </c>
      <c r="S84" s="24">
        <f>C79-S81</f>
        <v>225.75</v>
      </c>
      <c r="T84" s="24">
        <f>C79-T81</f>
        <v>225.75</v>
      </c>
      <c r="U84" s="24">
        <f>C79-U81</f>
        <v>225.75</v>
      </c>
      <c r="V84" s="24">
        <f>C79-V81</f>
        <v>225.75</v>
      </c>
      <c r="W84" s="24">
        <f>C79-W81</f>
        <v>225.75</v>
      </c>
      <c r="X84" s="24">
        <f>C79-X81</f>
        <v>225.75</v>
      </c>
      <c r="Y84" s="24">
        <f>C79-Y81</f>
        <v>225.75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0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8</v>
      </c>
      <c r="D39" s="24">
        <f t="shared" si="19"/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6</v>
      </c>
      <c r="D40" s="24">
        <f t="shared" si="19"/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8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6</v>
      </c>
      <c r="D46" s="24">
        <f t="shared" si="22"/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24">E10</f>
        <v>4</v>
      </c>
      <c r="G90" s="24">
        <f t="shared" si="24"/>
        <v>2</v>
      </c>
      <c r="H90" s="24">
        <f t="shared" si="24"/>
        <v>5</v>
      </c>
      <c r="I90" s="24">
        <f t="shared" si="24"/>
        <v>5</v>
      </c>
      <c r="J90" s="24">
        <f t="shared" si="24"/>
        <v>4</v>
      </c>
      <c r="K90" s="24">
        <f t="shared" si="24"/>
        <v>2</v>
      </c>
      <c r="L90" s="24">
        <f t="shared" si="24"/>
        <v>2</v>
      </c>
      <c r="M90" s="24">
        <f t="shared" si="24"/>
        <v>5</v>
      </c>
      <c r="N90" s="24">
        <f t="shared" si="24"/>
        <v>2</v>
      </c>
      <c r="O90" s="24">
        <f t="shared" si="24"/>
        <v>17</v>
      </c>
      <c r="P90" s="24">
        <f t="shared" si="24"/>
        <v>6</v>
      </c>
      <c r="Q90" s="24">
        <f t="shared" si="24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25">E91-F90</f>
        <v>53</v>
      </c>
      <c r="G91" s="24">
        <f t="shared" si="25"/>
        <v>51</v>
      </c>
      <c r="H91" s="24">
        <f t="shared" si="25"/>
        <v>46</v>
      </c>
      <c r="I91" s="24">
        <f t="shared" si="25"/>
        <v>41</v>
      </c>
      <c r="J91" s="24">
        <f t="shared" si="25"/>
        <v>37</v>
      </c>
      <c r="K91" s="24">
        <f t="shared" si="25"/>
        <v>35</v>
      </c>
      <c r="L91" s="24">
        <f t="shared" si="25"/>
        <v>33</v>
      </c>
      <c r="M91" s="24">
        <f t="shared" si="25"/>
        <v>28</v>
      </c>
      <c r="N91" s="24">
        <f t="shared" si="25"/>
        <v>26</v>
      </c>
      <c r="O91" s="24">
        <f t="shared" si="25"/>
        <v>9</v>
      </c>
      <c r="P91" s="24">
        <f t="shared" si="25"/>
        <v>3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A55" zoomScale="115" zoomScaleNormal="115" workbookViewId="0">
      <selection activeCell="C87" sqref="C8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3</v>
      </c>
      <c r="N7" s="32">
        <v>0</v>
      </c>
      <c r="O7" s="32">
        <v>5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0</v>
      </c>
      <c r="H10" s="21">
        <f t="shared" si="1"/>
        <v>7</v>
      </c>
      <c r="I10" s="60">
        <f t="shared" si="1"/>
        <v>5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5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15</v>
      </c>
      <c r="P13" s="62">
        <f t="shared" si="3"/>
        <v>15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7</v>
      </c>
      <c r="L14" s="22">
        <f t="shared" si="4"/>
        <v>7</v>
      </c>
      <c r="M14" s="22">
        <f t="shared" si="4"/>
        <v>7</v>
      </c>
      <c r="N14" s="22">
        <f t="shared" si="4"/>
        <v>7</v>
      </c>
      <c r="O14" s="22">
        <f t="shared" si="4"/>
        <v>7</v>
      </c>
      <c r="P14" s="62">
        <f t="shared" si="4"/>
        <v>7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2</v>
      </c>
      <c r="H16" s="21">
        <f t="shared" si="6"/>
        <v>9</v>
      </c>
      <c r="I16" s="60">
        <f t="shared" si="6"/>
        <v>14</v>
      </c>
      <c r="J16" s="61">
        <f t="shared" si="6"/>
        <v>14</v>
      </c>
      <c r="K16" s="21">
        <f t="shared" si="6"/>
        <v>14</v>
      </c>
      <c r="L16" s="21">
        <f t="shared" si="6"/>
        <v>14</v>
      </c>
      <c r="M16" s="21">
        <f t="shared" si="6"/>
        <v>17</v>
      </c>
      <c r="N16" s="21">
        <f t="shared" si="6"/>
        <v>17</v>
      </c>
      <c r="O16" s="21">
        <f t="shared" si="6"/>
        <v>22</v>
      </c>
      <c r="P16" s="60">
        <f t="shared" si="6"/>
        <v>22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1.1538461538461537</v>
      </c>
      <c r="P31" s="62">
        <f t="shared" si="14"/>
        <v>1.0714285714285714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0.77777777777777779</v>
      </c>
      <c r="L32" s="22">
        <f t="shared" si="15"/>
        <v>0.7</v>
      </c>
      <c r="M32" s="22">
        <f t="shared" si="15"/>
        <v>0.63636363636363635</v>
      </c>
      <c r="N32" s="22">
        <f t="shared" si="15"/>
        <v>0.58333333333333337</v>
      </c>
      <c r="O32" s="22">
        <f t="shared" si="15"/>
        <v>0.53846153846153844</v>
      </c>
      <c r="P32" s="62">
        <f t="shared" si="15"/>
        <v>0.5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0.4</v>
      </c>
      <c r="H34" s="21">
        <f t="shared" si="17"/>
        <v>1.5</v>
      </c>
      <c r="I34" s="60">
        <f t="shared" si="17"/>
        <v>2</v>
      </c>
      <c r="J34" s="61">
        <f t="shared" si="17"/>
        <v>1.75</v>
      </c>
      <c r="K34" s="21">
        <f t="shared" si="17"/>
        <v>1.5555555555555556</v>
      </c>
      <c r="L34" s="21">
        <f t="shared" si="17"/>
        <v>1.4</v>
      </c>
      <c r="M34" s="21">
        <f t="shared" si="17"/>
        <v>1.5454545454545454</v>
      </c>
      <c r="N34" s="21">
        <f t="shared" si="17"/>
        <v>1.4166666666666667</v>
      </c>
      <c r="O34" s="21">
        <f t="shared" si="17"/>
        <v>1.6923076923076921</v>
      </c>
      <c r="P34" s="60">
        <f t="shared" si="17"/>
        <v>1.5714285714285714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7</v>
      </c>
      <c r="D38" s="24">
        <f t="shared" ref="D38:D40" si="19" xml:space="preserve"> SUM(J7:P7) + SUM(J19:P19)</f>
        <v>8</v>
      </c>
      <c r="E38" s="24">
        <f xml:space="preserve"> SUM(C38:D38)</f>
        <v>15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0</v>
      </c>
      <c r="E39" s="24">
        <f xml:space="preserve"> SUM(C39:D39)</f>
        <v>7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14</v>
      </c>
      <c r="D41" s="21">
        <f t="shared" ref="D41" si="20" xml:space="preserve"> SUM(D37:D40)</f>
        <v>8</v>
      </c>
      <c r="E41" s="21">
        <f xml:space="preserve"> SUM(C41:D41)</f>
        <v>22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7</v>
      </c>
      <c r="D44" s="24">
        <f t="shared" ref="D44:D46" si="22" xml:space="preserve"> SUM(C38:D38) / D$36</f>
        <v>7.5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3.5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14</v>
      </c>
      <c r="D47" s="21">
        <f t="shared" ref="D47" si="23" xml:space="preserve"> SUM(D43:D46)</f>
        <v>11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22</v>
      </c>
      <c r="D90" s="24">
        <f>C10</f>
        <v>0</v>
      </c>
      <c r="E90" s="24">
        <f>D10</f>
        <v>0</v>
      </c>
      <c r="F90" s="24">
        <f t="shared" ref="F90:Q90" si="24">E10</f>
        <v>2</v>
      </c>
      <c r="G90" s="24">
        <f t="shared" si="24"/>
        <v>0</v>
      </c>
      <c r="H90" s="24">
        <f t="shared" si="24"/>
        <v>0</v>
      </c>
      <c r="I90" s="24">
        <f t="shared" si="24"/>
        <v>7</v>
      </c>
      <c r="J90" s="24">
        <f t="shared" si="24"/>
        <v>5</v>
      </c>
      <c r="K90" s="24">
        <f t="shared" si="24"/>
        <v>0</v>
      </c>
      <c r="L90" s="24">
        <f t="shared" si="24"/>
        <v>0</v>
      </c>
      <c r="M90" s="24">
        <f t="shared" si="24"/>
        <v>0</v>
      </c>
      <c r="N90" s="24">
        <f t="shared" si="24"/>
        <v>3</v>
      </c>
      <c r="O90" s="24">
        <f t="shared" si="24"/>
        <v>0</v>
      </c>
      <c r="P90" s="24">
        <f t="shared" si="24"/>
        <v>5</v>
      </c>
      <c r="Q90" s="24">
        <f t="shared" si="24"/>
        <v>0</v>
      </c>
    </row>
    <row r="91" spans="2:17" x14ac:dyDescent="0.25">
      <c r="B91" t="s">
        <v>55</v>
      </c>
      <c r="C91" s="24">
        <f>C90</f>
        <v>22</v>
      </c>
      <c r="D91" s="24">
        <f>C91-D90</f>
        <v>22</v>
      </c>
      <c r="E91" s="24">
        <f>D91-E90</f>
        <v>22</v>
      </c>
      <c r="F91" s="24">
        <f t="shared" ref="F91:Q91" si="25">E91-F90</f>
        <v>20</v>
      </c>
      <c r="G91" s="24">
        <f t="shared" si="25"/>
        <v>20</v>
      </c>
      <c r="H91" s="24">
        <f t="shared" si="25"/>
        <v>20</v>
      </c>
      <c r="I91" s="24">
        <f t="shared" si="25"/>
        <v>13</v>
      </c>
      <c r="J91" s="24">
        <f t="shared" si="25"/>
        <v>8</v>
      </c>
      <c r="K91" s="24">
        <f t="shared" si="25"/>
        <v>8</v>
      </c>
      <c r="L91" s="24">
        <f t="shared" si="25"/>
        <v>8</v>
      </c>
      <c r="M91" s="24">
        <f t="shared" si="25"/>
        <v>8</v>
      </c>
      <c r="N91" s="24">
        <f t="shared" si="25"/>
        <v>5</v>
      </c>
      <c r="O91" s="24">
        <f t="shared" si="25"/>
        <v>5</v>
      </c>
      <c r="P91" s="24">
        <f t="shared" si="25"/>
        <v>0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2016-02-16T17:39:15Z</dcterms:modified>
</cp:coreProperties>
</file>