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5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6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9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0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1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2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5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6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7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8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1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2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3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4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7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8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9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70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3040" windowHeight="9372" tabRatio="695" firstSheet="5" activeTab="5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62912"/>
</workbook>
</file>

<file path=xl/calcChain.xml><?xml version="1.0" encoding="utf-8"?>
<calcChain xmlns="http://schemas.openxmlformats.org/spreadsheetml/2006/main">
  <c r="E10" i="43" l="1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D84" i="1"/>
  <c r="E11" i="1"/>
  <c r="E17" i="1"/>
  <c r="E23" i="1"/>
  <c r="E81" i="1"/>
  <c r="E84" i="1"/>
  <c r="F11" i="1"/>
  <c r="F17" i="1"/>
  <c r="F23" i="1"/>
  <c r="F81" i="1"/>
  <c r="F84" i="1"/>
  <c r="G11" i="1"/>
  <c r="G17" i="1"/>
  <c r="G23" i="1"/>
  <c r="G81" i="1"/>
  <c r="G84" i="1"/>
  <c r="C81" i="1"/>
  <c r="C84" i="1"/>
  <c r="E79" i="1"/>
  <c r="Y82" i="1"/>
  <c r="Y83" i="1"/>
  <c r="M82" i="1"/>
  <c r="M83" i="1"/>
  <c r="X82" i="1"/>
  <c r="X83" i="1"/>
  <c r="V82" i="1"/>
  <c r="V83" i="1"/>
  <c r="T82" i="1"/>
  <c r="T83" i="1"/>
  <c r="R82" i="1"/>
  <c r="R83" i="1"/>
  <c r="P82" i="1"/>
  <c r="P83" i="1"/>
  <c r="N82" i="1"/>
  <c r="N83" i="1"/>
  <c r="K82" i="1"/>
  <c r="K83" i="1"/>
  <c r="I82" i="1"/>
  <c r="I83" i="1"/>
  <c r="G82" i="1"/>
  <c r="G83" i="1"/>
  <c r="E82" i="1"/>
  <c r="E83" i="1"/>
  <c r="C82" i="1"/>
  <c r="C83" i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/>
  <c r="F82" i="1"/>
  <c r="F83" i="1"/>
  <c r="H82" i="1"/>
  <c r="H83" i="1"/>
  <c r="J82" i="1"/>
  <c r="J83" i="1"/>
  <c r="L82" i="1"/>
  <c r="L83" i="1"/>
  <c r="O82" i="1"/>
  <c r="O83" i="1"/>
  <c r="Q82" i="1"/>
  <c r="Q83" i="1"/>
  <c r="S82" i="1"/>
  <c r="S83" i="1"/>
  <c r="U82" i="1"/>
  <c r="U83" i="1"/>
  <c r="W82" i="1"/>
  <c r="W83" i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/>
  <c r="F14" i="47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C15" i="46"/>
  <c r="C27" i="46"/>
  <c r="C33" i="46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D15" i="46"/>
  <c r="B15" i="46"/>
  <c r="E14" i="46"/>
  <c r="B14" i="46"/>
  <c r="D13" i="46"/>
  <c r="D31" i="46"/>
  <c r="B13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D15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D45" i="44"/>
  <c r="B39" i="44"/>
  <c r="D38" i="44"/>
  <c r="C38" i="44"/>
  <c r="D44" i="44"/>
  <c r="B38" i="44"/>
  <c r="D37" i="44"/>
  <c r="D41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6"/>
  <c r="B2" i="49"/>
  <c r="B2" i="45"/>
  <c r="B2" i="44"/>
  <c r="B2" i="48"/>
  <c r="B2" i="42"/>
  <c r="B2" i="43"/>
  <c r="B2" i="47"/>
  <c r="E41" i="44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D44" i="43"/>
  <c r="D45" i="43"/>
  <c r="D46" i="43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C33" i="43"/>
  <c r="C34" i="43"/>
  <c r="C16" i="43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24" i="47"/>
  <c r="D30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16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15" i="46"/>
  <c r="D33" i="46"/>
  <c r="E26" i="46"/>
  <c r="E32" i="46"/>
  <c r="D12" i="46"/>
  <c r="E13" i="46"/>
  <c r="F14" i="46"/>
  <c r="C45" i="46"/>
  <c r="E37" i="46"/>
  <c r="E39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B2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E31" i="47"/>
  <c r="E32" i="47"/>
  <c r="E34" i="47"/>
  <c r="D28" i="47"/>
  <c r="H14" i="47"/>
  <c r="G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31" i="48"/>
  <c r="G34" i="48"/>
  <c r="G16" i="48"/>
  <c r="H12" i="48"/>
  <c r="F34" i="48"/>
  <c r="H13" i="48"/>
  <c r="F28" i="47"/>
  <c r="G24" i="47"/>
  <c r="I32" i="47"/>
  <c r="J14" i="47"/>
  <c r="I13" i="47"/>
  <c r="H31" i="47"/>
  <c r="G33" i="47"/>
  <c r="H15" i="47"/>
  <c r="F30" i="47"/>
  <c r="F34" i="47"/>
  <c r="G16" i="47"/>
  <c r="H12" i="47"/>
  <c r="G30" i="47"/>
  <c r="G34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/>
  <c r="M14" i="47"/>
  <c r="L32" i="47"/>
  <c r="K12" i="47"/>
  <c r="J30" i="47"/>
  <c r="J34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H84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I84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J84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L23" i="1"/>
  <c r="K81" i="1"/>
  <c r="K84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N33" i="47"/>
  <c r="N34" i="47"/>
  <c r="M28" i="47"/>
  <c r="M30" i="47"/>
  <c r="M34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M23" i="1"/>
  <c r="L81" i="1"/>
  <c r="L84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N28" i="44"/>
  <c r="O33" i="44"/>
  <c r="P15" i="44"/>
  <c r="P33" i="44"/>
  <c r="M34" i="44"/>
  <c r="N31" i="44"/>
  <c r="P13" i="44"/>
  <c r="O31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N23" i="1"/>
  <c r="M81" i="1"/>
  <c r="M84" i="1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O23" i="1"/>
  <c r="N81" i="1"/>
  <c r="N84" i="1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P23" i="1"/>
  <c r="O81" i="1"/>
  <c r="O84" i="1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Q23" i="1"/>
  <c r="P81" i="1"/>
  <c r="P84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R23" i="1"/>
  <c r="Q81" i="1"/>
  <c r="Q84" i="1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S23" i="1"/>
  <c r="R81" i="1"/>
  <c r="R84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T23" i="1"/>
  <c r="S81" i="1"/>
  <c r="S84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U23" i="1"/>
  <c r="T81" i="1"/>
  <c r="T84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V23" i="1"/>
  <c r="U81" i="1"/>
  <c r="U84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W23" i="1"/>
  <c r="V81" i="1"/>
  <c r="V84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X23" i="1"/>
  <c r="W81" i="1"/>
  <c r="W84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Y23" i="1"/>
  <c r="Y81" i="1"/>
  <c r="Y84" i="1"/>
  <c r="D79" i="1"/>
  <c r="X81" i="1"/>
  <c r="X84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<sst xmlns="http://schemas.openxmlformats.org/spreadsheetml/2006/main" count="328" uniqueCount="73">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</sst>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d\-mmm;@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19</c:v>
                </c:pt>
                <c:pt idx="10">
                  <c:v>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20096"/>
        <c:axId val="11722244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25.324999999999999</c:v>
                </c:pt>
                <c:pt idx="10">
                  <c:v>24.477272727272727</c:v>
                </c:pt>
                <c:pt idx="11">
                  <c:v>22.4375</c:v>
                </c:pt>
                <c:pt idx="12">
                  <c:v>20.71153846153846</c:v>
                </c:pt>
                <c:pt idx="13">
                  <c:v>19.232142857142858</c:v>
                </c:pt>
                <c:pt idx="14">
                  <c:v>17.95</c:v>
                </c:pt>
                <c:pt idx="15">
                  <c:v>16.828125</c:v>
                </c:pt>
                <c:pt idx="16">
                  <c:v>15.838235294117647</c:v>
                </c:pt>
                <c:pt idx="17">
                  <c:v>14.958333333333334</c:v>
                </c:pt>
                <c:pt idx="18">
                  <c:v>14.171052631578947</c:v>
                </c:pt>
                <c:pt idx="19">
                  <c:v>13.4625</c:v>
                </c:pt>
                <c:pt idx="20">
                  <c:v>12.821428571428571</c:v>
                </c:pt>
                <c:pt idx="21">
                  <c:v>12.238636363636363</c:v>
                </c:pt>
                <c:pt idx="22">
                  <c:v>11.706521739130435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20096"/>
        <c:axId val="117222448"/>
      </c:lineChart>
      <c:catAx>
        <c:axId val="117220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22448"/>
        <c:crosses val="autoZero"/>
        <c:auto val="0"/>
        <c:lblAlgn val="ctr"/>
        <c:lblOffset val="100"/>
        <c:noMultiLvlLbl val="0"/>
      </c:catAx>
      <c:valAx>
        <c:axId val="11722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2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21272"/>
        <c:axId val="11721578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6.333333333333333</c:v>
                </c:pt>
                <c:pt idx="12">
                  <c:v>5.8461538461538458</c:v>
                </c:pt>
                <c:pt idx="13">
                  <c:v>5.4285714285714288</c:v>
                </c:pt>
                <c:pt idx="14">
                  <c:v>5.0666666666666664</c:v>
                </c:pt>
                <c:pt idx="15">
                  <c:v>4.75</c:v>
                </c:pt>
                <c:pt idx="16">
                  <c:v>4.4705882352941178</c:v>
                </c:pt>
                <c:pt idx="17">
                  <c:v>4.2222222222222223</c:v>
                </c:pt>
                <c:pt idx="18">
                  <c:v>4</c:v>
                </c:pt>
                <c:pt idx="19">
                  <c:v>3.8</c:v>
                </c:pt>
                <c:pt idx="20">
                  <c:v>3.6190476190476191</c:v>
                </c:pt>
                <c:pt idx="21">
                  <c:v>3.4545454545454546</c:v>
                </c:pt>
                <c:pt idx="22">
                  <c:v>3.3043478260869565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21272"/>
        <c:axId val="117215784"/>
      </c:lineChart>
      <c:catAx>
        <c:axId val="117221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15784"/>
        <c:crosses val="autoZero"/>
        <c:auto val="0"/>
        <c:lblAlgn val="ctr"/>
        <c:lblOffset val="100"/>
        <c:noMultiLvlLbl val="0"/>
      </c:catAx>
      <c:valAx>
        <c:axId val="117215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21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16568"/>
        <c:axId val="11721696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4.791666666666667</c:v>
                </c:pt>
                <c:pt idx="12">
                  <c:v>4.4230769230769234</c:v>
                </c:pt>
                <c:pt idx="13">
                  <c:v>4.1071428571428568</c:v>
                </c:pt>
                <c:pt idx="14">
                  <c:v>3.8333333333333335</c:v>
                </c:pt>
                <c:pt idx="15">
                  <c:v>3.59375</c:v>
                </c:pt>
                <c:pt idx="16">
                  <c:v>3.3823529411764706</c:v>
                </c:pt>
                <c:pt idx="17">
                  <c:v>3.1944444444444446</c:v>
                </c:pt>
                <c:pt idx="18">
                  <c:v>3.0263157894736841</c:v>
                </c:pt>
                <c:pt idx="19">
                  <c:v>2.875</c:v>
                </c:pt>
                <c:pt idx="20">
                  <c:v>2.7380952380952381</c:v>
                </c:pt>
                <c:pt idx="21">
                  <c:v>2.6136363636363638</c:v>
                </c:pt>
                <c:pt idx="2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16568"/>
        <c:axId val="117216960"/>
      </c:lineChart>
      <c:catAx>
        <c:axId val="117216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16960"/>
        <c:crosses val="autoZero"/>
        <c:auto val="0"/>
        <c:lblAlgn val="ctr"/>
        <c:lblOffset val="100"/>
        <c:noMultiLvlLbl val="0"/>
      </c:catAx>
      <c:valAx>
        <c:axId val="117216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16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902856"/>
        <c:axId val="20489893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6.5</c:v>
                </c:pt>
                <c:pt idx="10">
                  <c:v>5.9090909090909092</c:v>
                </c:pt>
                <c:pt idx="11">
                  <c:v>5.416666666666667</c:v>
                </c:pt>
                <c:pt idx="12">
                  <c:v>5</c:v>
                </c:pt>
                <c:pt idx="13">
                  <c:v>4.6428571428571432</c:v>
                </c:pt>
                <c:pt idx="14">
                  <c:v>4.333333333333333</c:v>
                </c:pt>
                <c:pt idx="15">
                  <c:v>4.0625</c:v>
                </c:pt>
                <c:pt idx="16">
                  <c:v>3.8235294117647061</c:v>
                </c:pt>
                <c:pt idx="17">
                  <c:v>3.6111111111111112</c:v>
                </c:pt>
                <c:pt idx="18">
                  <c:v>3.4210526315789473</c:v>
                </c:pt>
                <c:pt idx="19">
                  <c:v>3.25</c:v>
                </c:pt>
                <c:pt idx="20">
                  <c:v>3.0952380952380953</c:v>
                </c:pt>
                <c:pt idx="21">
                  <c:v>2.9545454545454546</c:v>
                </c:pt>
                <c:pt idx="22">
                  <c:v>2.8260869565217392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02856"/>
        <c:axId val="204898936"/>
      </c:lineChart>
      <c:catAx>
        <c:axId val="204902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8936"/>
        <c:crosses val="autoZero"/>
        <c:auto val="0"/>
        <c:lblAlgn val="ctr"/>
        <c:lblOffset val="100"/>
        <c:noMultiLvlLbl val="0"/>
      </c:catAx>
      <c:valAx>
        <c:axId val="204898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028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897368"/>
        <c:axId val="20489776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5.895833333333333</c:v>
                </c:pt>
                <c:pt idx="12">
                  <c:v>5.4423076923076925</c:v>
                </c:pt>
                <c:pt idx="13">
                  <c:v>5.0535714285714288</c:v>
                </c:pt>
                <c:pt idx="14">
                  <c:v>4.7166666666666668</c:v>
                </c:pt>
                <c:pt idx="15">
                  <c:v>4.421875</c:v>
                </c:pt>
                <c:pt idx="16">
                  <c:v>4.1617647058823533</c:v>
                </c:pt>
                <c:pt idx="17">
                  <c:v>3.9305555555555554</c:v>
                </c:pt>
                <c:pt idx="18">
                  <c:v>3.7236842105263159</c:v>
                </c:pt>
                <c:pt idx="19">
                  <c:v>3.5375000000000001</c:v>
                </c:pt>
                <c:pt idx="20">
                  <c:v>3.3690476190476191</c:v>
                </c:pt>
                <c:pt idx="21">
                  <c:v>3.2159090909090908</c:v>
                </c:pt>
                <c:pt idx="22">
                  <c:v>3.0760869565217392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97368"/>
        <c:axId val="204897760"/>
      </c:lineChart>
      <c:catAx>
        <c:axId val="204897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7760"/>
        <c:crosses val="autoZero"/>
        <c:auto val="0"/>
        <c:lblAlgn val="ctr"/>
        <c:lblOffset val="100"/>
        <c:noMultiLvlLbl val="0"/>
      </c:catAx>
      <c:valAx>
        <c:axId val="204897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73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346.26086956521738</c:v>
                </c:pt>
                <c:pt idx="1">
                  <c:v>330.52173913043475</c:v>
                </c:pt>
                <c:pt idx="2">
                  <c:v>314.78260869565219</c:v>
                </c:pt>
                <c:pt idx="3">
                  <c:v>299.04347826086956</c:v>
                </c:pt>
                <c:pt idx="4">
                  <c:v>283.30434782608694</c:v>
                </c:pt>
                <c:pt idx="5">
                  <c:v>267.56521739130437</c:v>
                </c:pt>
                <c:pt idx="6">
                  <c:v>251.82608695652175</c:v>
                </c:pt>
                <c:pt idx="7">
                  <c:v>236.08695652173913</c:v>
                </c:pt>
                <c:pt idx="8">
                  <c:v>220.3478260869565</c:v>
                </c:pt>
                <c:pt idx="9">
                  <c:v>204.60869565217391</c:v>
                </c:pt>
                <c:pt idx="10">
                  <c:v>188.86956521739131</c:v>
                </c:pt>
                <c:pt idx="11">
                  <c:v>173.13043478260869</c:v>
                </c:pt>
                <c:pt idx="12">
                  <c:v>157.39130434782606</c:v>
                </c:pt>
                <c:pt idx="13">
                  <c:v>141.65217391304347</c:v>
                </c:pt>
                <c:pt idx="14">
                  <c:v>125.91304347826087</c:v>
                </c:pt>
                <c:pt idx="15">
                  <c:v>110.17391304347825</c:v>
                </c:pt>
                <c:pt idx="16">
                  <c:v>94.434782608695627</c:v>
                </c:pt>
                <c:pt idx="17">
                  <c:v>78.695652173913004</c:v>
                </c:pt>
                <c:pt idx="18">
                  <c:v>62.956521739130437</c:v>
                </c:pt>
                <c:pt idx="19">
                  <c:v>47.217391304347814</c:v>
                </c:pt>
                <c:pt idx="20">
                  <c:v>31.47826086956519</c:v>
                </c:pt>
                <c:pt idx="21">
                  <c:v>15.739130434782624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Product!$C$84:$K$84</c:f>
              <c:numCache>
                <c:formatCode>0.00</c:formatCode>
                <c:ptCount val="9"/>
                <c:pt idx="0">
                  <c:v>344.75</c:v>
                </c:pt>
                <c:pt idx="1">
                  <c:v>324.75</c:v>
                </c:pt>
                <c:pt idx="2">
                  <c:v>300.25</c:v>
                </c:pt>
                <c:pt idx="3">
                  <c:v>275.25</c:v>
                </c:pt>
                <c:pt idx="4">
                  <c:v>266</c:v>
                </c:pt>
                <c:pt idx="5">
                  <c:v>240</c:v>
                </c:pt>
                <c:pt idx="6">
                  <c:v>205.5</c:v>
                </c:pt>
                <c:pt idx="7">
                  <c:v>169.75</c:v>
                </c:pt>
                <c:pt idx="8">
                  <c:v>127.75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901288"/>
        <c:axId val="204902072"/>
      </c:lineChart>
      <c:catAx>
        <c:axId val="204901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02072"/>
        <c:crosses val="autoZero"/>
        <c:auto val="1"/>
        <c:lblAlgn val="ctr"/>
        <c:lblOffset val="100"/>
        <c:noMultiLvlLbl val="0"/>
      </c:catAx>
      <c:valAx>
        <c:axId val="20490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0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896584"/>
        <c:axId val="20489854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96584"/>
        <c:axId val="204898544"/>
      </c:lineChart>
      <c:catAx>
        <c:axId val="204896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8544"/>
        <c:crosses val="autoZero"/>
        <c:auto val="1"/>
        <c:lblAlgn val="ctr"/>
        <c:lblOffset val="100"/>
        <c:noMultiLvlLbl val="1"/>
      </c:catAx>
      <c:valAx>
        <c:axId val="20489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6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899328"/>
        <c:axId val="2049008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99328"/>
        <c:axId val="204900896"/>
      </c:lineChart>
      <c:catAx>
        <c:axId val="20489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00896"/>
        <c:crosses val="autoZero"/>
        <c:auto val="1"/>
        <c:lblAlgn val="ctr"/>
        <c:lblOffset val="100"/>
        <c:noMultiLvlLbl val="1"/>
      </c:catAx>
      <c:valAx>
        <c:axId val="204900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9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899720"/>
        <c:axId val="20489540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99720"/>
        <c:axId val="204895408"/>
      </c:lineChart>
      <c:catAx>
        <c:axId val="204899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5408"/>
        <c:crosses val="autoZero"/>
        <c:auto val="1"/>
        <c:lblAlgn val="ctr"/>
        <c:lblOffset val="100"/>
        <c:noMultiLvlLbl val="1"/>
      </c:catAx>
      <c:valAx>
        <c:axId val="20489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9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896192"/>
        <c:axId val="20489697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96192"/>
        <c:axId val="204896976"/>
      </c:lineChart>
      <c:catAx>
        <c:axId val="20489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6976"/>
        <c:crosses val="autoZero"/>
        <c:auto val="1"/>
        <c:lblAlgn val="ctr"/>
        <c:lblOffset val="100"/>
        <c:noMultiLvlLbl val="1"/>
      </c:catAx>
      <c:valAx>
        <c:axId val="2048969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961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18136"/>
        <c:axId val="2046468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18136"/>
        <c:axId val="204646832"/>
      </c:lineChart>
      <c:catAx>
        <c:axId val="117218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6832"/>
        <c:crosses val="autoZero"/>
        <c:auto val="1"/>
        <c:lblAlgn val="ctr"/>
        <c:lblOffset val="100"/>
        <c:noMultiLvlLbl val="1"/>
      </c:catAx>
      <c:valAx>
        <c:axId val="204646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18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646048"/>
        <c:axId val="204644480"/>
      </c:lineChart>
      <c:catAx>
        <c:axId val="20464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4480"/>
        <c:crosses val="autoZero"/>
        <c:auto val="1"/>
        <c:lblAlgn val="ctr"/>
        <c:lblOffset val="100"/>
        <c:noMultiLvlLbl val="0"/>
      </c:catAx>
      <c:valAx>
        <c:axId val="20464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6048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42520"/>
        <c:axId val="204640560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42520"/>
        <c:axId val="204640560"/>
      </c:lineChart>
      <c:catAx>
        <c:axId val="204642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0560"/>
        <c:crosses val="autoZero"/>
        <c:auto val="0"/>
        <c:lblAlgn val="ctr"/>
        <c:lblOffset val="100"/>
        <c:noMultiLvlLbl val="1"/>
      </c:catAx>
      <c:valAx>
        <c:axId val="20464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2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40952"/>
        <c:axId val="20464722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40952"/>
        <c:axId val="204647224"/>
      </c:lineChart>
      <c:catAx>
        <c:axId val="204640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7224"/>
        <c:crosses val="autoZero"/>
        <c:auto val="1"/>
        <c:lblAlgn val="ctr"/>
        <c:lblOffset val="100"/>
        <c:noMultiLvlLbl val="1"/>
      </c:catAx>
      <c:valAx>
        <c:axId val="204647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0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42912"/>
        <c:axId val="20464330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42912"/>
        <c:axId val="204643304"/>
      </c:lineChart>
      <c:catAx>
        <c:axId val="204642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3304"/>
        <c:crosses val="autoZero"/>
        <c:auto val="1"/>
        <c:lblAlgn val="ctr"/>
        <c:lblOffset val="100"/>
        <c:noMultiLvlLbl val="1"/>
      </c:catAx>
      <c:valAx>
        <c:axId val="204643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2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41736"/>
        <c:axId val="20464369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41736"/>
        <c:axId val="204643696"/>
      </c:lineChart>
      <c:catAx>
        <c:axId val="204641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3696"/>
        <c:crosses val="autoZero"/>
        <c:auto val="1"/>
        <c:lblAlgn val="ctr"/>
        <c:lblOffset val="100"/>
        <c:noMultiLvlLbl val="1"/>
      </c:catAx>
      <c:valAx>
        <c:axId val="204643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17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44088"/>
        <c:axId val="20464487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44088"/>
        <c:axId val="204644872"/>
      </c:lineChart>
      <c:catAx>
        <c:axId val="204644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4872"/>
        <c:crosses val="autoZero"/>
        <c:auto val="1"/>
        <c:lblAlgn val="ctr"/>
        <c:lblOffset val="100"/>
        <c:noMultiLvlLbl val="1"/>
      </c:catAx>
      <c:valAx>
        <c:axId val="204644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4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5392"/>
        <c:axId val="205413800"/>
      </c:lineChart>
      <c:catAx>
        <c:axId val="117215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3800"/>
        <c:crosses val="autoZero"/>
        <c:auto val="1"/>
        <c:lblAlgn val="ctr"/>
        <c:lblOffset val="100"/>
        <c:noMultiLvlLbl val="0"/>
      </c:catAx>
      <c:valAx>
        <c:axId val="20541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1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411840"/>
        <c:axId val="205411056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11840"/>
        <c:axId val="205411056"/>
      </c:lineChart>
      <c:catAx>
        <c:axId val="20541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1056"/>
        <c:crosses val="autoZero"/>
        <c:auto val="0"/>
        <c:lblAlgn val="ctr"/>
        <c:lblOffset val="100"/>
        <c:noMultiLvlLbl val="1"/>
      </c:catAx>
      <c:valAx>
        <c:axId val="20541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412232"/>
        <c:axId val="20541497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12232"/>
        <c:axId val="205414976"/>
      </c:lineChart>
      <c:catAx>
        <c:axId val="205412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4976"/>
        <c:crosses val="autoZero"/>
        <c:auto val="1"/>
        <c:lblAlgn val="ctr"/>
        <c:lblOffset val="100"/>
        <c:noMultiLvlLbl val="1"/>
      </c:catAx>
      <c:valAx>
        <c:axId val="2054149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22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410272"/>
        <c:axId val="20541262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10272"/>
        <c:axId val="205412624"/>
      </c:lineChart>
      <c:catAx>
        <c:axId val="205410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2624"/>
        <c:crosses val="autoZero"/>
        <c:auto val="1"/>
        <c:lblAlgn val="ctr"/>
        <c:lblOffset val="100"/>
        <c:noMultiLvlLbl val="1"/>
      </c:catAx>
      <c:valAx>
        <c:axId val="205412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0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415760"/>
        <c:axId val="20540988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15760"/>
        <c:axId val="205409880"/>
      </c:lineChart>
      <c:catAx>
        <c:axId val="20541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09880"/>
        <c:crosses val="autoZero"/>
        <c:auto val="1"/>
        <c:lblAlgn val="ctr"/>
        <c:lblOffset val="100"/>
        <c:noMultiLvlLbl val="1"/>
      </c:catAx>
      <c:valAx>
        <c:axId val="205409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5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417328"/>
        <c:axId val="20541301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17328"/>
        <c:axId val="205413016"/>
      </c:lineChart>
      <c:catAx>
        <c:axId val="20541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3016"/>
        <c:crosses val="autoZero"/>
        <c:auto val="1"/>
        <c:lblAlgn val="ctr"/>
        <c:lblOffset val="100"/>
        <c:noMultiLvlLbl val="1"/>
      </c:catAx>
      <c:valAx>
        <c:axId val="2054130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7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416152"/>
        <c:axId val="2054114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205416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1448"/>
        <c:crosses val="autoZero"/>
        <c:auto val="1"/>
        <c:lblAlgn val="ctr"/>
        <c:lblOffset val="100"/>
        <c:noMultiLvlLbl val="0"/>
      </c:catAx>
      <c:valAx>
        <c:axId val="20541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6152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66504"/>
        <c:axId val="117264544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66504"/>
        <c:axId val="117264544"/>
      </c:lineChart>
      <c:catAx>
        <c:axId val="117266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4544"/>
        <c:crosses val="autoZero"/>
        <c:auto val="0"/>
        <c:lblAlgn val="ctr"/>
        <c:lblOffset val="100"/>
        <c:noMultiLvlLbl val="1"/>
      </c:catAx>
      <c:valAx>
        <c:axId val="11726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6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70424"/>
        <c:axId val="11726415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70424"/>
        <c:axId val="117264152"/>
      </c:lineChart>
      <c:catAx>
        <c:axId val="1172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4152"/>
        <c:crosses val="autoZero"/>
        <c:auto val="1"/>
        <c:lblAlgn val="ctr"/>
        <c:lblOffset val="100"/>
        <c:noMultiLvlLbl val="1"/>
      </c:catAx>
      <c:valAx>
        <c:axId val="117264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704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70816"/>
        <c:axId val="11727120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70816"/>
        <c:axId val="117271208"/>
      </c:lineChart>
      <c:catAx>
        <c:axId val="117270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71208"/>
        <c:crosses val="autoZero"/>
        <c:auto val="1"/>
        <c:lblAlgn val="ctr"/>
        <c:lblOffset val="100"/>
        <c:noMultiLvlLbl val="1"/>
      </c:catAx>
      <c:valAx>
        <c:axId val="117271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708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65720"/>
        <c:axId val="11726728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65720"/>
        <c:axId val="117267288"/>
      </c:lineChart>
      <c:catAx>
        <c:axId val="117265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7288"/>
        <c:crosses val="autoZero"/>
        <c:auto val="1"/>
        <c:lblAlgn val="ctr"/>
        <c:lblOffset val="100"/>
        <c:noMultiLvlLbl val="1"/>
      </c:catAx>
      <c:valAx>
        <c:axId val="1172672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5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64936"/>
        <c:axId val="11726532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64936"/>
        <c:axId val="117265328"/>
      </c:lineChart>
      <c:catAx>
        <c:axId val="117264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5328"/>
        <c:crosses val="autoZero"/>
        <c:auto val="1"/>
        <c:lblAlgn val="ctr"/>
        <c:lblOffset val="100"/>
        <c:noMultiLvlLbl val="1"/>
      </c:catAx>
      <c:valAx>
        <c:axId val="117265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49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68464"/>
        <c:axId val="1172696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117268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9640"/>
        <c:crosses val="autoZero"/>
        <c:auto val="1"/>
        <c:lblAlgn val="ctr"/>
        <c:lblOffset val="100"/>
        <c:noMultiLvlLbl val="0"/>
      </c:catAx>
      <c:valAx>
        <c:axId val="11726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5.75</c:v>
                </c:pt>
                <c:pt idx="1">
                  <c:v>2.75</c:v>
                </c:pt>
                <c:pt idx="2">
                  <c:v>0</c:v>
                </c:pt>
                <c:pt idx="3">
                  <c:v>2.5</c:v>
                </c:pt>
                <c:pt idx="4">
                  <c:v>1.5</c:v>
                </c:pt>
                <c:pt idx="5">
                  <c:v>1</c:v>
                </c:pt>
                <c:pt idx="6">
                  <c:v>5.5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68856"/>
        <c:axId val="11726924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5.75</c:v>
                </c:pt>
                <c:pt idx="1">
                  <c:v>4.25</c:v>
                </c:pt>
                <c:pt idx="2">
                  <c:v>2.833333333333333</c:v>
                </c:pt>
                <c:pt idx="3">
                  <c:v>2.75</c:v>
                </c:pt>
                <c:pt idx="4">
                  <c:v>2.5</c:v>
                </c:pt>
                <c:pt idx="5">
                  <c:v>2.25</c:v>
                </c:pt>
                <c:pt idx="6">
                  <c:v>2.7142857142857144</c:v>
                </c:pt>
                <c:pt idx="7">
                  <c:v>2.75</c:v>
                </c:pt>
                <c:pt idx="8">
                  <c:v>3.2222222222222223</c:v>
                </c:pt>
                <c:pt idx="9">
                  <c:v>3.2</c:v>
                </c:pt>
                <c:pt idx="10">
                  <c:v>3</c:v>
                </c:pt>
                <c:pt idx="11">
                  <c:v>2.833333333333333</c:v>
                </c:pt>
                <c:pt idx="12">
                  <c:v>2.6923076923076925</c:v>
                </c:pt>
                <c:pt idx="13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68856"/>
        <c:axId val="117269248"/>
      </c:lineChart>
      <c:catAx>
        <c:axId val="117268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9248"/>
        <c:crosses val="autoZero"/>
        <c:auto val="0"/>
        <c:lblAlgn val="ctr"/>
        <c:lblOffset val="100"/>
        <c:noMultiLvlLbl val="1"/>
      </c:catAx>
      <c:valAx>
        <c:axId val="1172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68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77280"/>
        <c:axId val="20717688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77280"/>
        <c:axId val="207176888"/>
      </c:lineChart>
      <c:catAx>
        <c:axId val="20717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6888"/>
        <c:crosses val="autoZero"/>
        <c:auto val="1"/>
        <c:lblAlgn val="ctr"/>
        <c:lblOffset val="100"/>
        <c:noMultiLvlLbl val="1"/>
      </c:catAx>
      <c:valAx>
        <c:axId val="2071768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72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79632"/>
        <c:axId val="20717845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79632"/>
        <c:axId val="207178456"/>
      </c:lineChart>
      <c:catAx>
        <c:axId val="207179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8456"/>
        <c:crosses val="autoZero"/>
        <c:auto val="1"/>
        <c:lblAlgn val="ctr"/>
        <c:lblOffset val="100"/>
        <c:noMultiLvlLbl val="1"/>
      </c:catAx>
      <c:valAx>
        <c:axId val="2071784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9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78848"/>
        <c:axId val="20717336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78848"/>
        <c:axId val="207173360"/>
      </c:lineChart>
      <c:catAx>
        <c:axId val="207178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3360"/>
        <c:crosses val="autoZero"/>
        <c:auto val="1"/>
        <c:lblAlgn val="ctr"/>
        <c:lblOffset val="100"/>
        <c:noMultiLvlLbl val="1"/>
      </c:catAx>
      <c:valAx>
        <c:axId val="207173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8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78064"/>
        <c:axId val="20717296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78064"/>
        <c:axId val="207172968"/>
      </c:lineChart>
      <c:catAx>
        <c:axId val="20717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2968"/>
        <c:crosses val="autoZero"/>
        <c:auto val="1"/>
        <c:lblAlgn val="ctr"/>
        <c:lblOffset val="100"/>
        <c:noMultiLvlLbl val="1"/>
      </c:catAx>
      <c:valAx>
        <c:axId val="207172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80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73752"/>
        <c:axId val="207174536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73752"/>
        <c:axId val="207174536"/>
      </c:lineChart>
      <c:catAx>
        <c:axId val="207173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4536"/>
        <c:crosses val="autoZero"/>
        <c:auto val="0"/>
        <c:lblAlgn val="ctr"/>
        <c:lblOffset val="100"/>
        <c:noMultiLvlLbl val="1"/>
      </c:catAx>
      <c:valAx>
        <c:axId val="20717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74928"/>
        <c:axId val="20717532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74928"/>
        <c:axId val="207175320"/>
      </c:lineChart>
      <c:catAx>
        <c:axId val="20717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5320"/>
        <c:crosses val="autoZero"/>
        <c:auto val="1"/>
        <c:lblAlgn val="ctr"/>
        <c:lblOffset val="100"/>
        <c:noMultiLvlLbl val="1"/>
      </c:catAx>
      <c:valAx>
        <c:axId val="207175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4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76496"/>
        <c:axId val="20763485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76496"/>
        <c:axId val="207634856"/>
      </c:lineChart>
      <c:catAx>
        <c:axId val="207176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4856"/>
        <c:crosses val="autoZero"/>
        <c:auto val="1"/>
        <c:lblAlgn val="ctr"/>
        <c:lblOffset val="100"/>
        <c:noMultiLvlLbl val="1"/>
      </c:catAx>
      <c:valAx>
        <c:axId val="2076348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764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641128"/>
        <c:axId val="20763642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41128"/>
        <c:axId val="207636424"/>
      </c:lineChart>
      <c:catAx>
        <c:axId val="207641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6424"/>
        <c:crosses val="autoZero"/>
        <c:auto val="1"/>
        <c:lblAlgn val="ctr"/>
        <c:lblOffset val="100"/>
        <c:noMultiLvlLbl val="1"/>
      </c:catAx>
      <c:valAx>
        <c:axId val="2076364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411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641520"/>
        <c:axId val="20764034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41520"/>
        <c:axId val="207640344"/>
      </c:lineChart>
      <c:catAx>
        <c:axId val="20764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40344"/>
        <c:crosses val="autoZero"/>
        <c:auto val="1"/>
        <c:lblAlgn val="ctr"/>
        <c:lblOffset val="100"/>
        <c:noMultiLvlLbl val="1"/>
      </c:catAx>
      <c:valAx>
        <c:axId val="2076403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41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639168"/>
        <c:axId val="207639560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39168"/>
        <c:axId val="207639560"/>
      </c:lineChart>
      <c:catAx>
        <c:axId val="207639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9560"/>
        <c:crosses val="autoZero"/>
        <c:auto val="0"/>
        <c:lblAlgn val="ctr"/>
        <c:lblOffset val="100"/>
        <c:noMultiLvlLbl val="1"/>
      </c:catAx>
      <c:valAx>
        <c:axId val="20763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635640"/>
        <c:axId val="20763877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35640"/>
        <c:axId val="207638776"/>
      </c:lineChart>
      <c:catAx>
        <c:axId val="207635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8776"/>
        <c:crosses val="autoZero"/>
        <c:auto val="1"/>
        <c:lblAlgn val="ctr"/>
        <c:lblOffset val="100"/>
        <c:noMultiLvlLbl val="1"/>
      </c:catAx>
      <c:valAx>
        <c:axId val="2076387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5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636032"/>
        <c:axId val="20763995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36032"/>
        <c:axId val="207639952"/>
      </c:lineChart>
      <c:catAx>
        <c:axId val="207636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9952"/>
        <c:crosses val="autoZero"/>
        <c:auto val="1"/>
        <c:lblAlgn val="ctr"/>
        <c:lblOffset val="100"/>
        <c:noMultiLvlLbl val="1"/>
      </c:catAx>
      <c:valAx>
        <c:axId val="2076399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6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637208"/>
        <c:axId val="20763760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37208"/>
        <c:axId val="207637600"/>
      </c:lineChart>
      <c:catAx>
        <c:axId val="207637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7600"/>
        <c:crosses val="autoZero"/>
        <c:auto val="1"/>
        <c:lblAlgn val="ctr"/>
        <c:lblOffset val="100"/>
        <c:noMultiLvlLbl val="1"/>
      </c:catAx>
      <c:valAx>
        <c:axId val="2076376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37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76680"/>
        <c:axId val="20887236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76680"/>
        <c:axId val="208872368"/>
      </c:lineChart>
      <c:catAx>
        <c:axId val="20887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2368"/>
        <c:crosses val="autoZero"/>
        <c:auto val="1"/>
        <c:lblAlgn val="ctr"/>
        <c:lblOffset val="100"/>
        <c:noMultiLvlLbl val="1"/>
      </c:catAx>
      <c:valAx>
        <c:axId val="208872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66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78248"/>
        <c:axId val="208881384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78248"/>
        <c:axId val="208881384"/>
      </c:lineChart>
      <c:catAx>
        <c:axId val="208878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1384"/>
        <c:crosses val="autoZero"/>
        <c:auto val="0"/>
        <c:lblAlgn val="ctr"/>
        <c:lblOffset val="100"/>
        <c:noMultiLvlLbl val="1"/>
      </c:catAx>
      <c:valAx>
        <c:axId val="20888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8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71976"/>
        <c:axId val="20887707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71976"/>
        <c:axId val="208877072"/>
      </c:lineChart>
      <c:catAx>
        <c:axId val="208871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7072"/>
        <c:crosses val="autoZero"/>
        <c:auto val="1"/>
        <c:lblAlgn val="ctr"/>
        <c:lblOffset val="100"/>
        <c:noMultiLvlLbl val="1"/>
      </c:catAx>
      <c:valAx>
        <c:axId val="2088770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1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79424"/>
        <c:axId val="20888295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79424"/>
        <c:axId val="208882952"/>
      </c:lineChart>
      <c:catAx>
        <c:axId val="208879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2952"/>
        <c:crosses val="autoZero"/>
        <c:auto val="1"/>
        <c:lblAlgn val="ctr"/>
        <c:lblOffset val="100"/>
        <c:noMultiLvlLbl val="1"/>
      </c:catAx>
      <c:valAx>
        <c:axId val="2088829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94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80992"/>
        <c:axId val="20887354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80992"/>
        <c:axId val="208873544"/>
      </c:lineChart>
      <c:catAx>
        <c:axId val="208880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3544"/>
        <c:crosses val="autoZero"/>
        <c:auto val="1"/>
        <c:lblAlgn val="ctr"/>
        <c:lblOffset val="100"/>
        <c:noMultiLvlLbl val="1"/>
      </c:catAx>
      <c:valAx>
        <c:axId val="208873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09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83344"/>
        <c:axId val="20888216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83344"/>
        <c:axId val="208882168"/>
      </c:lineChart>
      <c:catAx>
        <c:axId val="20888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2168"/>
        <c:crosses val="autoZero"/>
        <c:auto val="1"/>
        <c:lblAlgn val="ctr"/>
        <c:lblOffset val="100"/>
        <c:noMultiLvlLbl val="1"/>
      </c:catAx>
      <c:valAx>
        <c:axId val="208882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3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73936"/>
        <c:axId val="208872760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73936"/>
        <c:axId val="208872760"/>
      </c:lineChart>
      <c:catAx>
        <c:axId val="20887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2760"/>
        <c:crosses val="autoZero"/>
        <c:auto val="0"/>
        <c:lblAlgn val="ctr"/>
        <c:lblOffset val="100"/>
        <c:noMultiLvlLbl val="1"/>
      </c:catAx>
      <c:valAx>
        <c:axId val="20887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79816"/>
        <c:axId val="20887903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79816"/>
        <c:axId val="208879032"/>
      </c:lineChart>
      <c:catAx>
        <c:axId val="208879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9032"/>
        <c:crosses val="autoZero"/>
        <c:auto val="1"/>
        <c:lblAlgn val="ctr"/>
        <c:lblOffset val="100"/>
        <c:noMultiLvlLbl val="1"/>
      </c:catAx>
      <c:valAx>
        <c:axId val="2088790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98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78640"/>
        <c:axId val="2088802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78640"/>
        <c:axId val="208880208"/>
      </c:lineChart>
      <c:catAx>
        <c:axId val="208878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0208"/>
        <c:crosses val="autoZero"/>
        <c:auto val="1"/>
        <c:lblAlgn val="ctr"/>
        <c:lblOffset val="100"/>
        <c:noMultiLvlLbl val="1"/>
      </c:catAx>
      <c:valAx>
        <c:axId val="208880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8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75896"/>
        <c:axId val="20887432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75896"/>
        <c:axId val="208874328"/>
      </c:lineChart>
      <c:catAx>
        <c:axId val="208875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4328"/>
        <c:crosses val="autoZero"/>
        <c:auto val="1"/>
        <c:lblAlgn val="ctr"/>
        <c:lblOffset val="100"/>
        <c:noMultiLvlLbl val="1"/>
      </c:catAx>
      <c:valAx>
        <c:axId val="208874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5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82560"/>
        <c:axId val="20887628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82560"/>
        <c:axId val="208876288"/>
      </c:lineChart>
      <c:catAx>
        <c:axId val="20888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6288"/>
        <c:crosses val="autoZero"/>
        <c:auto val="1"/>
        <c:lblAlgn val="ctr"/>
        <c:lblOffset val="100"/>
        <c:noMultiLvlLbl val="1"/>
      </c:catAx>
      <c:valAx>
        <c:axId val="2088762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2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86872"/>
        <c:axId val="208885696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86872"/>
        <c:axId val="208885696"/>
      </c:lineChart>
      <c:catAx>
        <c:axId val="20888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5696"/>
        <c:crosses val="autoZero"/>
        <c:auto val="0"/>
        <c:lblAlgn val="ctr"/>
        <c:lblOffset val="100"/>
        <c:noMultiLvlLbl val="1"/>
      </c:catAx>
      <c:valAx>
        <c:axId val="20888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86088"/>
        <c:axId val="2088872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86088"/>
        <c:axId val="208887264"/>
      </c:lineChart>
      <c:catAx>
        <c:axId val="208886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7264"/>
        <c:crosses val="autoZero"/>
        <c:auto val="1"/>
        <c:lblAlgn val="ctr"/>
        <c:lblOffset val="100"/>
        <c:noMultiLvlLbl val="1"/>
      </c:catAx>
      <c:valAx>
        <c:axId val="208887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6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884912"/>
        <c:axId val="20888648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84912"/>
        <c:axId val="208886480"/>
      </c:lineChart>
      <c:catAx>
        <c:axId val="20888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6480"/>
        <c:crosses val="autoZero"/>
        <c:auto val="1"/>
        <c:lblAlgn val="ctr"/>
        <c:lblOffset val="100"/>
        <c:noMultiLvlLbl val="1"/>
      </c:catAx>
      <c:valAx>
        <c:axId val="2088864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4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271032"/>
        <c:axId val="20927064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1032"/>
        <c:axId val="209270640"/>
      </c:lineChart>
      <c:catAx>
        <c:axId val="209271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0640"/>
        <c:crosses val="autoZero"/>
        <c:auto val="1"/>
        <c:lblAlgn val="ctr"/>
        <c:lblOffset val="100"/>
        <c:noMultiLvlLbl val="1"/>
      </c:catAx>
      <c:valAx>
        <c:axId val="209270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1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270248"/>
        <c:axId val="20926789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0248"/>
        <c:axId val="209267896"/>
      </c:lineChart>
      <c:catAx>
        <c:axId val="209270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67896"/>
        <c:crosses val="autoZero"/>
        <c:auto val="1"/>
        <c:lblAlgn val="ctr"/>
        <c:lblOffset val="100"/>
        <c:noMultiLvlLbl val="1"/>
      </c:catAx>
      <c:valAx>
        <c:axId val="209267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0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271424"/>
        <c:axId val="20927338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1424"/>
        <c:axId val="209273384"/>
      </c:lineChart>
      <c:catAx>
        <c:axId val="209271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3384"/>
        <c:crosses val="autoZero"/>
        <c:auto val="0"/>
        <c:lblAlgn val="ctr"/>
        <c:lblOffset val="100"/>
        <c:noMultiLvlLbl val="1"/>
      </c:catAx>
      <c:valAx>
        <c:axId val="20927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271816"/>
        <c:axId val="20927220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1816"/>
        <c:axId val="209272208"/>
      </c:lineChart>
      <c:catAx>
        <c:axId val="209271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2208"/>
        <c:crosses val="autoZero"/>
        <c:auto val="1"/>
        <c:lblAlgn val="ctr"/>
        <c:lblOffset val="100"/>
        <c:noMultiLvlLbl val="1"/>
      </c:catAx>
      <c:valAx>
        <c:axId val="209272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18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275344"/>
        <c:axId val="20926868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5344"/>
        <c:axId val="209268680"/>
      </c:lineChart>
      <c:catAx>
        <c:axId val="209275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68680"/>
        <c:crosses val="autoZero"/>
        <c:auto val="1"/>
        <c:lblAlgn val="ctr"/>
        <c:lblOffset val="100"/>
        <c:noMultiLvlLbl val="1"/>
      </c:catAx>
      <c:valAx>
        <c:axId val="209268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5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274168"/>
        <c:axId val="20926946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4168"/>
        <c:axId val="209269464"/>
      </c:lineChart>
      <c:catAx>
        <c:axId val="209274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69464"/>
        <c:crosses val="autoZero"/>
        <c:auto val="1"/>
        <c:lblAlgn val="ctr"/>
        <c:lblOffset val="100"/>
        <c:noMultiLvlLbl val="1"/>
      </c:catAx>
      <c:valAx>
        <c:axId val="2092694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41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274952"/>
        <c:axId val="21930180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4952"/>
        <c:axId val="219301800"/>
      </c:lineChart>
      <c:catAx>
        <c:axId val="209274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301800"/>
        <c:crosses val="autoZero"/>
        <c:auto val="1"/>
        <c:lblAlgn val="ctr"/>
        <c:lblOffset val="100"/>
        <c:noMultiLvlLbl val="1"/>
      </c:catAx>
      <c:valAx>
        <c:axId val="219301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4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4762</xdr:colOff>
      <xdr:row>84</xdr:row>
      <xdr:rowOff>14287</xdr:rowOff>
    </xdr:from>
    <xdr:to>
      <xdr:col>18</xdr:col>
      <xdr:colOff>0</xdr:colOff>
      <xdr:row>111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A46" workbookViewId="0">
      <selection activeCell="Y99" sqref="Y99"/>
    </sheetView>
  </sheetViews>
  <sheetFormatPr defaultRowHeight="14.45"/>
  <cols>
    <col min="1" max="1" width="9.140625" customWidth="1"/>
    <col min="2" max="2" width="15.7109375" customWidth="1"/>
    <col min="3" max="3" width="9.140625" customWidth="1"/>
  </cols>
  <sheetData>
    <row r="1" spans="1:25" ht="18">
      <c r="C1" s="68" t="s">
        <v>0</v>
      </c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25" s="10" customFormat="1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">
      <c r="B3" s="30" t="s">
        <v>2</v>
      </c>
      <c r="C3" s="76" t="s">
        <v>3</v>
      </c>
      <c r="D3" s="77"/>
      <c r="E3" s="77"/>
      <c r="F3" s="77"/>
      <c r="G3" s="77"/>
      <c r="H3" s="77"/>
      <c r="I3" s="77"/>
      <c r="J3" s="77"/>
      <c r="K3" s="77"/>
      <c r="L3" s="77"/>
      <c r="M3" s="77"/>
      <c r="N3" s="77" t="s">
        <v>4</v>
      </c>
      <c r="O3" s="77"/>
      <c r="P3" s="77"/>
      <c r="Q3" s="77"/>
      <c r="R3" s="77"/>
      <c r="S3" s="77"/>
      <c r="T3" s="77"/>
      <c r="U3" s="77"/>
      <c r="V3" s="77"/>
      <c r="W3" s="77"/>
      <c r="X3" s="77"/>
      <c r="Y3" s="78"/>
    </row>
    <row r="4" spans="1:25" ht="15.6">
      <c r="C4" s="73" t="s">
        <v>5</v>
      </c>
      <c r="D4" s="73"/>
      <c r="E4" s="73"/>
      <c r="F4" s="73" t="s">
        <v>6</v>
      </c>
      <c r="G4" s="73"/>
      <c r="H4" s="73" t="s">
        <v>7</v>
      </c>
      <c r="I4" s="73"/>
      <c r="J4" s="73" t="s">
        <v>8</v>
      </c>
      <c r="K4" s="73"/>
      <c r="L4" s="70" t="s">
        <v>9</v>
      </c>
      <c r="M4" s="71"/>
      <c r="N4" s="71" t="s">
        <v>10</v>
      </c>
      <c r="O4" s="72"/>
      <c r="P4" s="73" t="s">
        <v>11</v>
      </c>
      <c r="Q4" s="73"/>
      <c r="R4" s="73" t="s">
        <v>12</v>
      </c>
      <c r="S4" s="73"/>
      <c r="T4" s="73" t="s">
        <v>13</v>
      </c>
      <c r="U4" s="73"/>
      <c r="V4" s="73" t="s">
        <v>14</v>
      </c>
      <c r="W4" s="73"/>
      <c r="X4" s="73" t="s">
        <v>15</v>
      </c>
      <c r="Y4" s="73"/>
    </row>
    <row r="5" spans="1:25" s="6" customFormat="1" ht="13.9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3.9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>
      <c r="A7" s="74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>
      <c r="A8" s="74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>
      <c r="A9" s="74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0</v>
      </c>
      <c r="M9" s="24">
        <f>SUM('Sprint 4'!J8:P8)</f>
        <v>0</v>
      </c>
      <c r="N9" s="44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>
      <c r="A10" s="74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6">
      <c r="A11" s="74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19</v>
      </c>
      <c r="M11" s="21">
        <f t="shared" si="2"/>
        <v>16</v>
      </c>
      <c r="N11" s="46">
        <f>SUM(N7:N10)</f>
        <v>0</v>
      </c>
      <c r="O11" s="64">
        <f t="shared" ref="O11:Y11" si="3">SUM(O7:O10)</f>
        <v>0</v>
      </c>
      <c r="P11" s="64">
        <f t="shared" si="3"/>
        <v>0</v>
      </c>
      <c r="Q11" s="64">
        <f t="shared" si="3"/>
        <v>0</v>
      </c>
      <c r="R11" s="64">
        <f t="shared" si="3"/>
        <v>0</v>
      </c>
      <c r="S11" s="64">
        <f t="shared" si="3"/>
        <v>0</v>
      </c>
      <c r="T11" s="64">
        <f t="shared" si="3"/>
        <v>0</v>
      </c>
      <c r="U11" s="64">
        <f t="shared" si="3"/>
        <v>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>
      <c r="A12" s="6"/>
      <c r="M12" s="47"/>
      <c r="N12" s="48"/>
    </row>
    <row r="13" spans="1:25">
      <c r="A13" s="74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>
      <c r="A14" s="74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>
      <c r="A15" s="74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>
      <c r="A16" s="74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6">
      <c r="A17" s="74"/>
      <c r="B17" s="9" t="s">
        <v>19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4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6">
        <f>SUM(N13:N16)</f>
        <v>0</v>
      </c>
      <c r="O17" s="64">
        <f t="shared" ref="O17" si="14">SUM(O13:O16)</f>
        <v>0</v>
      </c>
      <c r="P17" s="64">
        <f t="shared" ref="P17" si="15">SUM(P13:P16)</f>
        <v>0</v>
      </c>
      <c r="Q17" s="64">
        <f t="shared" ref="Q17" si="16">SUM(Q13:Q16)</f>
        <v>0</v>
      </c>
      <c r="R17" s="64">
        <f t="shared" ref="R17" si="17">SUM(R13:R16)</f>
        <v>0</v>
      </c>
      <c r="S17" s="64">
        <f t="shared" ref="S17" si="18">SUM(S13:S16)</f>
        <v>0</v>
      </c>
      <c r="T17" s="64">
        <f t="shared" ref="T17" si="19">SUM(T13:T16)</f>
        <v>0</v>
      </c>
      <c r="U17" s="64">
        <f t="shared" ref="U17" si="20">SUM(U13:U16)</f>
        <v>0</v>
      </c>
      <c r="V17" s="64">
        <f t="shared" ref="V17" si="21">SUM(V13:V16)</f>
        <v>0</v>
      </c>
      <c r="W17" s="64">
        <f t="shared" ref="W17" si="22">SUM(W13:W16)</f>
        <v>0</v>
      </c>
      <c r="X17" s="64">
        <f t="shared" ref="X17" si="23">SUM(X13:X16)</f>
        <v>0</v>
      </c>
      <c r="Y17" s="64">
        <f t="shared" ref="Y17" si="24">SUM(Y13:Y16)</f>
        <v>0</v>
      </c>
    </row>
    <row r="18" spans="1:25">
      <c r="M18" s="47"/>
      <c r="N18" s="48"/>
    </row>
    <row r="19" spans="1:25">
      <c r="A19" s="75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25" xml:space="preserve"> D19 + E7 + E13</f>
        <v>16.25</v>
      </c>
      <c r="F19" s="24">
        <f t="shared" si="25"/>
        <v>22.75</v>
      </c>
      <c r="G19" s="24">
        <f t="shared" si="25"/>
        <v>24.75</v>
      </c>
      <c r="H19" s="24">
        <f t="shared" si="25"/>
        <v>30.75</v>
      </c>
      <c r="I19" s="24">
        <f t="shared" si="25"/>
        <v>38.75</v>
      </c>
      <c r="J19" s="24">
        <f t="shared" si="25"/>
        <v>51</v>
      </c>
      <c r="K19" s="24">
        <f t="shared" si="25"/>
        <v>61.5</v>
      </c>
      <c r="L19" s="24">
        <f t="shared" si="25"/>
        <v>72</v>
      </c>
      <c r="M19" s="24">
        <f t="shared" si="25"/>
        <v>76</v>
      </c>
      <c r="N19" s="24">
        <f t="shared" si="25"/>
        <v>76</v>
      </c>
      <c r="O19" s="24">
        <f t="shared" si="25"/>
        <v>76</v>
      </c>
      <c r="P19" s="24">
        <f t="shared" si="25"/>
        <v>76</v>
      </c>
      <c r="Q19" s="24">
        <f t="shared" si="25"/>
        <v>76</v>
      </c>
      <c r="R19" s="24">
        <f t="shared" si="25"/>
        <v>76</v>
      </c>
      <c r="S19" s="24">
        <f t="shared" si="25"/>
        <v>76</v>
      </c>
      <c r="T19" s="24">
        <f t="shared" si="25"/>
        <v>76</v>
      </c>
      <c r="U19" s="24">
        <f t="shared" si="25"/>
        <v>76</v>
      </c>
      <c r="V19" s="24">
        <f t="shared" si="25"/>
        <v>76</v>
      </c>
      <c r="W19" s="24">
        <f t="shared" si="25"/>
        <v>76</v>
      </c>
      <c r="X19" s="24">
        <f t="shared" si="25"/>
        <v>76</v>
      </c>
      <c r="Y19" s="24">
        <f t="shared" si="25"/>
        <v>76</v>
      </c>
    </row>
    <row r="20" spans="1:25">
      <c r="A20" s="75"/>
      <c r="B20" s="8" t="str">
        <f xml:space="preserve"> CONCATENATE(Setup!$B$8, ", ", LEFT(Setup!$C$8,2))</f>
        <v>Schroeder, RS</v>
      </c>
      <c r="C20" s="24">
        <f t="shared" ref="C20:C22" si="26" xml:space="preserve"> C8 + C14</f>
        <v>4.25</v>
      </c>
      <c r="D20" s="24">
        <f t="shared" ref="D20:S22" si="27" xml:space="preserve"> C20 + D8 + D14</f>
        <v>8.75</v>
      </c>
      <c r="E20" s="24">
        <f t="shared" si="27"/>
        <v>14.75</v>
      </c>
      <c r="F20" s="24">
        <f t="shared" si="27"/>
        <v>21.25</v>
      </c>
      <c r="G20" s="24">
        <f t="shared" si="27"/>
        <v>24</v>
      </c>
      <c r="H20" s="24">
        <f t="shared" si="27"/>
        <v>30</v>
      </c>
      <c r="I20" s="24">
        <f t="shared" si="27"/>
        <v>38</v>
      </c>
      <c r="J20" s="24">
        <f t="shared" si="27"/>
        <v>43.5</v>
      </c>
      <c r="K20" s="24">
        <f t="shared" si="27"/>
        <v>57.5</v>
      </c>
      <c r="L20" s="24">
        <f t="shared" si="27"/>
        <v>57.5</v>
      </c>
      <c r="M20" s="24">
        <f t="shared" si="27"/>
        <v>57.5</v>
      </c>
      <c r="N20" s="24">
        <f t="shared" si="27"/>
        <v>57.5</v>
      </c>
      <c r="O20" s="24">
        <f t="shared" si="27"/>
        <v>57.5</v>
      </c>
      <c r="P20" s="24">
        <f t="shared" si="27"/>
        <v>57.5</v>
      </c>
      <c r="Q20" s="24">
        <f t="shared" si="27"/>
        <v>57.5</v>
      </c>
      <c r="R20" s="24">
        <f t="shared" si="27"/>
        <v>57.5</v>
      </c>
      <c r="S20" s="24">
        <f t="shared" si="27"/>
        <v>57.5</v>
      </c>
      <c r="T20" s="24">
        <f t="shared" si="25"/>
        <v>57.5</v>
      </c>
      <c r="U20" s="24">
        <f t="shared" si="25"/>
        <v>57.5</v>
      </c>
      <c r="V20" s="24">
        <f t="shared" si="25"/>
        <v>57.5</v>
      </c>
      <c r="W20" s="24">
        <f t="shared" si="25"/>
        <v>57.5</v>
      </c>
      <c r="X20" s="24">
        <f t="shared" si="25"/>
        <v>57.5</v>
      </c>
      <c r="Y20" s="24">
        <f t="shared" si="25"/>
        <v>57.5</v>
      </c>
    </row>
    <row r="21" spans="1:25">
      <c r="A21" s="75"/>
      <c r="B21" s="8" t="str">
        <f xml:space="preserve"> CONCATENATE(Setup!$B$9, ", ", LEFT(Setup!$C$9,2))</f>
        <v>Martz, NM</v>
      </c>
      <c r="C21" s="24">
        <f t="shared" si="26"/>
        <v>5.25</v>
      </c>
      <c r="D21" s="24">
        <f t="shared" si="27"/>
        <v>10.75</v>
      </c>
      <c r="E21" s="24">
        <f t="shared" si="25"/>
        <v>17.25</v>
      </c>
      <c r="F21" s="24">
        <f t="shared" si="25"/>
        <v>24.25</v>
      </c>
      <c r="G21" s="24">
        <f t="shared" si="25"/>
        <v>26.75</v>
      </c>
      <c r="H21" s="24">
        <f t="shared" si="25"/>
        <v>37.75</v>
      </c>
      <c r="I21" s="24">
        <f t="shared" si="25"/>
        <v>47</v>
      </c>
      <c r="J21" s="24">
        <f t="shared" si="25"/>
        <v>57</v>
      </c>
      <c r="K21" s="24">
        <f t="shared" si="25"/>
        <v>65</v>
      </c>
      <c r="L21" s="24">
        <f t="shared" si="25"/>
        <v>65</v>
      </c>
      <c r="M21" s="24">
        <f t="shared" si="25"/>
        <v>65</v>
      </c>
      <c r="N21" s="24">
        <f t="shared" si="25"/>
        <v>65</v>
      </c>
      <c r="O21" s="24">
        <f t="shared" si="25"/>
        <v>65</v>
      </c>
      <c r="P21" s="24">
        <f t="shared" si="25"/>
        <v>65</v>
      </c>
      <c r="Q21" s="24">
        <f t="shared" si="25"/>
        <v>65</v>
      </c>
      <c r="R21" s="24">
        <f t="shared" si="25"/>
        <v>65</v>
      </c>
      <c r="S21" s="24">
        <f t="shared" si="25"/>
        <v>65</v>
      </c>
      <c r="T21" s="24">
        <f t="shared" si="25"/>
        <v>65</v>
      </c>
      <c r="U21" s="24">
        <f t="shared" si="25"/>
        <v>65</v>
      </c>
      <c r="V21" s="24">
        <f t="shared" si="25"/>
        <v>65</v>
      </c>
      <c r="W21" s="24">
        <f t="shared" si="25"/>
        <v>65</v>
      </c>
      <c r="X21" s="24">
        <f t="shared" si="25"/>
        <v>65</v>
      </c>
      <c r="Y21" s="24">
        <f t="shared" si="25"/>
        <v>65</v>
      </c>
    </row>
    <row r="22" spans="1:25">
      <c r="A22" s="75"/>
      <c r="B22" s="8" t="str">
        <f xml:space="preserve"> CONCATENATE(Setup!$B$10, ", ", LEFT(Setup!$C$10,2))</f>
        <v>Glosecki, MG</v>
      </c>
      <c r="C22" s="24">
        <f t="shared" si="26"/>
        <v>3</v>
      </c>
      <c r="D22" s="24">
        <f t="shared" si="27"/>
        <v>8</v>
      </c>
      <c r="E22" s="24">
        <f t="shared" si="25"/>
        <v>13.5</v>
      </c>
      <c r="F22" s="24">
        <f t="shared" si="25"/>
        <v>18.5</v>
      </c>
      <c r="G22" s="24">
        <f t="shared" si="25"/>
        <v>20.5</v>
      </c>
      <c r="H22" s="24">
        <f t="shared" si="25"/>
        <v>23.5</v>
      </c>
      <c r="I22" s="24">
        <f t="shared" si="25"/>
        <v>32.75</v>
      </c>
      <c r="J22" s="24">
        <f t="shared" si="25"/>
        <v>40.75</v>
      </c>
      <c r="K22" s="24">
        <f t="shared" si="25"/>
        <v>50.25</v>
      </c>
      <c r="L22" s="24">
        <f t="shared" si="25"/>
        <v>58.75</v>
      </c>
      <c r="M22" s="24">
        <f t="shared" si="25"/>
        <v>70.75</v>
      </c>
      <c r="N22" s="24">
        <f t="shared" si="25"/>
        <v>70.75</v>
      </c>
      <c r="O22" s="24">
        <f t="shared" si="25"/>
        <v>70.75</v>
      </c>
      <c r="P22" s="24">
        <f t="shared" si="25"/>
        <v>70.75</v>
      </c>
      <c r="Q22" s="24">
        <f t="shared" si="25"/>
        <v>70.75</v>
      </c>
      <c r="R22" s="24">
        <f t="shared" si="25"/>
        <v>70.75</v>
      </c>
      <c r="S22" s="24">
        <f t="shared" si="25"/>
        <v>70.75</v>
      </c>
      <c r="T22" s="24">
        <f t="shared" si="25"/>
        <v>70.75</v>
      </c>
      <c r="U22" s="24">
        <f t="shared" si="25"/>
        <v>70.75</v>
      </c>
      <c r="V22" s="24">
        <f t="shared" si="25"/>
        <v>70.75</v>
      </c>
      <c r="W22" s="24">
        <f t="shared" si="25"/>
        <v>70.75</v>
      </c>
      <c r="X22" s="24">
        <f t="shared" si="25"/>
        <v>70.75</v>
      </c>
      <c r="Y22" s="24">
        <f t="shared" si="25"/>
        <v>70.75</v>
      </c>
    </row>
    <row r="23" spans="1:25" ht="15.6">
      <c r="A23" s="75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28" xml:space="preserve"> D23 + E11 + E17</f>
        <v>61.75</v>
      </c>
      <c r="F23" s="21">
        <f t="shared" si="28"/>
        <v>86.75</v>
      </c>
      <c r="G23" s="21">
        <f t="shared" si="28"/>
        <v>96</v>
      </c>
      <c r="H23" s="21">
        <f t="shared" si="28"/>
        <v>122</v>
      </c>
      <c r="I23" s="21">
        <f t="shared" si="28"/>
        <v>156.5</v>
      </c>
      <c r="J23" s="21">
        <f t="shared" si="28"/>
        <v>192.25</v>
      </c>
      <c r="K23" s="21">
        <f t="shared" si="28"/>
        <v>234.25</v>
      </c>
      <c r="L23" s="21">
        <f t="shared" si="28"/>
        <v>253.25</v>
      </c>
      <c r="M23" s="45">
        <f t="shared" si="28"/>
        <v>269.25</v>
      </c>
      <c r="N23" s="46">
        <f t="shared" si="28"/>
        <v>269.25</v>
      </c>
      <c r="O23" s="21">
        <f t="shared" si="28"/>
        <v>269.25</v>
      </c>
      <c r="P23" s="21">
        <f t="shared" si="28"/>
        <v>269.25</v>
      </c>
      <c r="Q23" s="21">
        <f t="shared" si="28"/>
        <v>269.25</v>
      </c>
      <c r="R23" s="21">
        <f t="shared" si="28"/>
        <v>269.25</v>
      </c>
      <c r="S23" s="21">
        <f t="shared" si="28"/>
        <v>269.25</v>
      </c>
      <c r="T23" s="21">
        <f t="shared" si="28"/>
        <v>269.25</v>
      </c>
      <c r="U23" s="21">
        <f t="shared" si="28"/>
        <v>269.25</v>
      </c>
      <c r="V23" s="21">
        <f t="shared" si="28"/>
        <v>269.25</v>
      </c>
      <c r="W23" s="21">
        <f t="shared" si="28"/>
        <v>269.25</v>
      </c>
      <c r="X23" s="21">
        <f t="shared" si="28"/>
        <v>269.25</v>
      </c>
      <c r="Y23" s="21">
        <f t="shared" si="28"/>
        <v>269.25</v>
      </c>
    </row>
    <row r="24" spans="1:25" ht="15.6">
      <c r="A24" s="19"/>
      <c r="B24" s="20"/>
      <c r="M24" s="47"/>
      <c r="N24" s="48"/>
    </row>
    <row r="25" spans="1:25">
      <c r="A25" s="75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t="shared" ref="D25:E25" si="29" xml:space="preserve"> D19 / D$6</f>
        <v>4.875</v>
      </c>
      <c r="E25" s="28">
        <f t="shared" si="29"/>
        <v>5.416666666666667</v>
      </c>
      <c r="F25" s="28">
        <f t="shared" ref="F25:Y25" si="30" xml:space="preserve"> F19 / F$6</f>
        <v>5.6875</v>
      </c>
      <c r="G25" s="28">
        <f t="shared" si="30"/>
        <v>4.95</v>
      </c>
      <c r="H25" s="28">
        <f t="shared" si="30"/>
        <v>5.125</v>
      </c>
      <c r="I25" s="28">
        <f t="shared" si="30"/>
        <v>5.5357142857142856</v>
      </c>
      <c r="J25" s="28">
        <f t="shared" si="30"/>
        <v>6.375</v>
      </c>
      <c r="K25" s="28">
        <f t="shared" si="30"/>
        <v>6.833333333333333</v>
      </c>
      <c r="L25" s="28">
        <f t="shared" si="30"/>
        <v>7.2</v>
      </c>
      <c r="M25" s="49">
        <f t="shared" si="30"/>
        <v>6.9090909090909092</v>
      </c>
      <c r="N25" s="50">
        <f t="shared" si="30"/>
        <v>6.333333333333333</v>
      </c>
      <c r="O25" s="28">
        <f t="shared" si="30"/>
        <v>5.8461538461538458</v>
      </c>
      <c r="P25" s="28">
        <f t="shared" si="30"/>
        <v>5.4285714285714288</v>
      </c>
      <c r="Q25" s="28">
        <f t="shared" si="30"/>
        <v>5.0666666666666664</v>
      </c>
      <c r="R25" s="28">
        <f t="shared" si="30"/>
        <v>4.75</v>
      </c>
      <c r="S25" s="28">
        <f t="shared" si="30"/>
        <v>4.4705882352941178</v>
      </c>
      <c r="T25" s="28">
        <f t="shared" si="30"/>
        <v>4.2222222222222223</v>
      </c>
      <c r="U25" s="28">
        <f t="shared" si="30"/>
        <v>4</v>
      </c>
      <c r="V25" s="28">
        <f t="shared" si="30"/>
        <v>3.8</v>
      </c>
      <c r="W25" s="28">
        <f t="shared" si="30"/>
        <v>3.6190476190476191</v>
      </c>
      <c r="X25" s="28">
        <f t="shared" si="30"/>
        <v>3.4545454545454546</v>
      </c>
      <c r="Y25" s="28">
        <f t="shared" si="30"/>
        <v>3.3043478260869565</v>
      </c>
    </row>
    <row r="26" spans="1:25">
      <c r="A26" s="75"/>
      <c r="B26" s="8" t="str">
        <f xml:space="preserve"> CONCATENATE(Setup!$B$8, ", ", LEFT(Setup!$C$8,2))</f>
        <v>Schroeder, RS</v>
      </c>
      <c r="C26" s="28">
        <f t="shared" ref="C26:E29" si="31" xml:space="preserve"> C20 / C$6</f>
        <v>4.25</v>
      </c>
      <c r="D26" s="28">
        <f t="shared" si="31"/>
        <v>4.375</v>
      </c>
      <c r="E26" s="28">
        <f t="shared" si="31"/>
        <v>4.916666666666667</v>
      </c>
      <c r="F26" s="28">
        <f t="shared" ref="F26:Y26" si="32" xml:space="preserve"> F20 / F$6</f>
        <v>5.3125</v>
      </c>
      <c r="G26" s="28">
        <f t="shared" si="32"/>
        <v>4.8</v>
      </c>
      <c r="H26" s="28">
        <f t="shared" si="32"/>
        <v>5</v>
      </c>
      <c r="I26" s="28">
        <f t="shared" si="32"/>
        <v>5.4285714285714288</v>
      </c>
      <c r="J26" s="28">
        <f t="shared" si="32"/>
        <v>5.4375</v>
      </c>
      <c r="K26" s="28">
        <f t="shared" si="32"/>
        <v>6.3888888888888893</v>
      </c>
      <c r="L26" s="28">
        <f t="shared" si="32"/>
        <v>5.75</v>
      </c>
      <c r="M26" s="49">
        <f t="shared" si="32"/>
        <v>5.2272727272727275</v>
      </c>
      <c r="N26" s="50">
        <f t="shared" si="32"/>
        <v>4.791666666666667</v>
      </c>
      <c r="O26" s="28">
        <f t="shared" si="32"/>
        <v>4.4230769230769234</v>
      </c>
      <c r="P26" s="28">
        <f t="shared" si="32"/>
        <v>4.1071428571428568</v>
      </c>
      <c r="Q26" s="28">
        <f t="shared" si="32"/>
        <v>3.8333333333333335</v>
      </c>
      <c r="R26" s="28">
        <f t="shared" si="32"/>
        <v>3.59375</v>
      </c>
      <c r="S26" s="28">
        <f t="shared" si="32"/>
        <v>3.3823529411764706</v>
      </c>
      <c r="T26" s="28">
        <f t="shared" si="32"/>
        <v>3.1944444444444446</v>
      </c>
      <c r="U26" s="28">
        <f t="shared" si="32"/>
        <v>3.0263157894736841</v>
      </c>
      <c r="V26" s="28">
        <f t="shared" si="32"/>
        <v>2.875</v>
      </c>
      <c r="W26" s="28">
        <f t="shared" si="32"/>
        <v>2.7380952380952381</v>
      </c>
      <c r="X26" s="28">
        <f t="shared" si="32"/>
        <v>2.6136363636363638</v>
      </c>
      <c r="Y26" s="28">
        <f t="shared" si="32"/>
        <v>2.5</v>
      </c>
    </row>
    <row r="27" spans="1:25">
      <c r="A27" s="75"/>
      <c r="B27" s="8" t="str">
        <f xml:space="preserve"> CONCATENATE(Setup!$B$9, ", ", LEFT(Setup!$C$9,2))</f>
        <v>Martz, NM</v>
      </c>
      <c r="C27" s="28">
        <f t="shared" si="31"/>
        <v>5.25</v>
      </c>
      <c r="D27" s="28">
        <f t="shared" si="31"/>
        <v>5.375</v>
      </c>
      <c r="E27" s="28">
        <f t="shared" si="31"/>
        <v>5.75</v>
      </c>
      <c r="F27" s="28">
        <f t="shared" ref="F27:Y27" si="33" xml:space="preserve"> F21 / F$6</f>
        <v>6.0625</v>
      </c>
      <c r="G27" s="28">
        <f t="shared" si="33"/>
        <v>5.35</v>
      </c>
      <c r="H27" s="28">
        <f t="shared" si="33"/>
        <v>6.291666666666667</v>
      </c>
      <c r="I27" s="28">
        <f t="shared" si="33"/>
        <v>6.7142857142857144</v>
      </c>
      <c r="J27" s="28">
        <f t="shared" si="33"/>
        <v>7.125</v>
      </c>
      <c r="K27" s="28">
        <f t="shared" si="33"/>
        <v>7.2222222222222223</v>
      </c>
      <c r="L27" s="28">
        <f t="shared" si="33"/>
        <v>6.5</v>
      </c>
      <c r="M27" s="49">
        <f t="shared" si="33"/>
        <v>5.9090909090909092</v>
      </c>
      <c r="N27" s="50">
        <f t="shared" si="33"/>
        <v>5.416666666666667</v>
      </c>
      <c r="O27" s="28">
        <f t="shared" si="33"/>
        <v>5</v>
      </c>
      <c r="P27" s="28">
        <f t="shared" si="33"/>
        <v>4.6428571428571432</v>
      </c>
      <c r="Q27" s="28">
        <f t="shared" si="33"/>
        <v>4.333333333333333</v>
      </c>
      <c r="R27" s="28">
        <f t="shared" si="33"/>
        <v>4.0625</v>
      </c>
      <c r="S27" s="28">
        <f t="shared" si="33"/>
        <v>3.8235294117647061</v>
      </c>
      <c r="T27" s="28">
        <f t="shared" si="33"/>
        <v>3.6111111111111112</v>
      </c>
      <c r="U27" s="28">
        <f t="shared" si="33"/>
        <v>3.4210526315789473</v>
      </c>
      <c r="V27" s="28">
        <f t="shared" si="33"/>
        <v>3.25</v>
      </c>
      <c r="W27" s="28">
        <f t="shared" si="33"/>
        <v>3.0952380952380953</v>
      </c>
      <c r="X27" s="28">
        <f t="shared" si="33"/>
        <v>2.9545454545454546</v>
      </c>
      <c r="Y27" s="28">
        <f t="shared" si="33"/>
        <v>2.8260869565217392</v>
      </c>
    </row>
    <row r="28" spans="1:25">
      <c r="A28" s="75"/>
      <c r="B28" s="8" t="str">
        <f xml:space="preserve"> CONCATENATE(Setup!$B$10, ", ", LEFT(Setup!$C$10,2))</f>
        <v>Glosecki, MG</v>
      </c>
      <c r="C28" s="28">
        <f t="shared" si="31"/>
        <v>3</v>
      </c>
      <c r="D28" s="28">
        <f t="shared" si="31"/>
        <v>4</v>
      </c>
      <c r="E28" s="28">
        <f t="shared" si="31"/>
        <v>4.5</v>
      </c>
      <c r="F28" s="28">
        <f t="shared" ref="F28:Y28" si="34" xml:space="preserve"> F22 / F$6</f>
        <v>4.625</v>
      </c>
      <c r="G28" s="28">
        <f t="shared" si="34"/>
        <v>4.0999999999999996</v>
      </c>
      <c r="H28" s="28">
        <f t="shared" si="34"/>
        <v>3.9166666666666665</v>
      </c>
      <c r="I28" s="28">
        <f t="shared" si="34"/>
        <v>4.6785714285714288</v>
      </c>
      <c r="J28" s="28">
        <f t="shared" si="34"/>
        <v>5.09375</v>
      </c>
      <c r="K28" s="28">
        <f t="shared" si="34"/>
        <v>5.583333333333333</v>
      </c>
      <c r="L28" s="28">
        <f t="shared" si="34"/>
        <v>5.875</v>
      </c>
      <c r="M28" s="49">
        <f t="shared" si="34"/>
        <v>6.4318181818181817</v>
      </c>
      <c r="N28" s="50">
        <f t="shared" si="34"/>
        <v>5.895833333333333</v>
      </c>
      <c r="O28" s="28">
        <f t="shared" si="34"/>
        <v>5.4423076923076925</v>
      </c>
      <c r="P28" s="28">
        <f t="shared" si="34"/>
        <v>5.0535714285714288</v>
      </c>
      <c r="Q28" s="28">
        <f t="shared" si="34"/>
        <v>4.7166666666666668</v>
      </c>
      <c r="R28" s="28">
        <f t="shared" si="34"/>
        <v>4.421875</v>
      </c>
      <c r="S28" s="28">
        <f t="shared" si="34"/>
        <v>4.1617647058823533</v>
      </c>
      <c r="T28" s="28">
        <f t="shared" si="34"/>
        <v>3.9305555555555554</v>
      </c>
      <c r="U28" s="28">
        <f t="shared" si="34"/>
        <v>3.7236842105263159</v>
      </c>
      <c r="V28" s="28">
        <f t="shared" si="34"/>
        <v>3.5375000000000001</v>
      </c>
      <c r="W28" s="28">
        <f t="shared" si="34"/>
        <v>3.3690476190476191</v>
      </c>
      <c r="X28" s="28">
        <f t="shared" si="34"/>
        <v>3.2159090909090908</v>
      </c>
      <c r="Y28" s="28">
        <f t="shared" si="34"/>
        <v>3.0760869565217392</v>
      </c>
    </row>
    <row r="29" spans="1:25" ht="15.6">
      <c r="A29" s="75"/>
      <c r="B29" s="9" t="s">
        <v>19</v>
      </c>
      <c r="C29" s="29">
        <f t="shared" si="31"/>
        <v>17.25</v>
      </c>
      <c r="D29" s="29">
        <f t="shared" si="31"/>
        <v>18.625</v>
      </c>
      <c r="E29" s="29">
        <f t="shared" si="31"/>
        <v>20.583333333333332</v>
      </c>
      <c r="F29" s="29">
        <f t="shared" ref="F29:Y29" si="35" xml:space="preserve"> F23 / F$6</f>
        <v>21.6875</v>
      </c>
      <c r="G29" s="29">
        <f t="shared" si="35"/>
        <v>19.2</v>
      </c>
      <c r="H29" s="29">
        <f t="shared" si="35"/>
        <v>20.333333333333332</v>
      </c>
      <c r="I29" s="29">
        <f t="shared" si="35"/>
        <v>22.357142857142858</v>
      </c>
      <c r="J29" s="29">
        <f t="shared" si="35"/>
        <v>24.03125</v>
      </c>
      <c r="K29" s="29">
        <f t="shared" si="35"/>
        <v>26.027777777777779</v>
      </c>
      <c r="L29" s="29">
        <f t="shared" si="35"/>
        <v>25.324999999999999</v>
      </c>
      <c r="M29" s="51">
        <f t="shared" si="35"/>
        <v>24.477272727272727</v>
      </c>
      <c r="N29" s="52">
        <f t="shared" si="35"/>
        <v>22.4375</v>
      </c>
      <c r="O29" s="29">
        <f t="shared" si="35"/>
        <v>20.71153846153846</v>
      </c>
      <c r="P29" s="29">
        <f t="shared" si="35"/>
        <v>19.232142857142858</v>
      </c>
      <c r="Q29" s="29">
        <f t="shared" si="35"/>
        <v>17.95</v>
      </c>
      <c r="R29" s="29">
        <f t="shared" si="35"/>
        <v>16.828125</v>
      </c>
      <c r="S29" s="29">
        <f t="shared" si="35"/>
        <v>15.838235294117647</v>
      </c>
      <c r="T29" s="29">
        <f t="shared" si="35"/>
        <v>14.958333333333334</v>
      </c>
      <c r="U29" s="29">
        <f t="shared" si="35"/>
        <v>14.171052631578947</v>
      </c>
      <c r="V29" s="29">
        <f t="shared" si="35"/>
        <v>13.4625</v>
      </c>
      <c r="W29" s="29">
        <f t="shared" si="35"/>
        <v>12.821428571428571</v>
      </c>
      <c r="X29" s="29">
        <f t="shared" si="35"/>
        <v>12.238636363636363</v>
      </c>
      <c r="Y29" s="29">
        <f t="shared" si="35"/>
        <v>11.706521739130435</v>
      </c>
    </row>
    <row r="78" spans="2:25">
      <c r="B78" t="s">
        <v>23</v>
      </c>
      <c r="C78" t="s">
        <v>24</v>
      </c>
      <c r="D78" t="s">
        <v>25</v>
      </c>
      <c r="E78" t="s">
        <v>26</v>
      </c>
    </row>
    <row r="79" spans="2:25">
      <c r="C79">
        <v>362</v>
      </c>
      <c r="D79" s="24">
        <f>X23</f>
        <v>269.25</v>
      </c>
      <c r="E79">
        <f>C79/Y80</f>
        <v>15.739130434782609</v>
      </c>
    </row>
    <row r="80" spans="2: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36">F23</f>
        <v>86.75</v>
      </c>
      <c r="G81" s="24">
        <f t="shared" si="36"/>
        <v>96</v>
      </c>
      <c r="H81" s="24">
        <f t="shared" si="36"/>
        <v>122</v>
      </c>
      <c r="I81" s="24">
        <f t="shared" si="36"/>
        <v>156.5</v>
      </c>
      <c r="J81" s="24">
        <f t="shared" si="36"/>
        <v>192.25</v>
      </c>
      <c r="K81" s="24">
        <f t="shared" si="36"/>
        <v>234.25</v>
      </c>
      <c r="L81" s="24">
        <f t="shared" si="36"/>
        <v>253.25</v>
      </c>
      <c r="M81" s="24">
        <f t="shared" si="36"/>
        <v>269.25</v>
      </c>
      <c r="N81" s="24">
        <f t="shared" si="36"/>
        <v>269.25</v>
      </c>
      <c r="O81" s="24">
        <f t="shared" si="36"/>
        <v>269.25</v>
      </c>
      <c r="P81" s="24">
        <f t="shared" si="36"/>
        <v>269.25</v>
      </c>
      <c r="Q81" s="24">
        <f t="shared" si="36"/>
        <v>269.25</v>
      </c>
      <c r="R81" s="24">
        <f t="shared" si="36"/>
        <v>269.25</v>
      </c>
      <c r="S81" s="24">
        <f t="shared" si="36"/>
        <v>269.25</v>
      </c>
      <c r="T81" s="24">
        <f t="shared" si="36"/>
        <v>269.25</v>
      </c>
      <c r="U81" s="24">
        <f t="shared" si="36"/>
        <v>269.25</v>
      </c>
      <c r="V81" s="24">
        <f t="shared" si="36"/>
        <v>269.25</v>
      </c>
      <c r="W81" s="24">
        <f t="shared" si="36"/>
        <v>269.25</v>
      </c>
      <c r="X81" s="24">
        <f t="shared" si="36"/>
        <v>269.25</v>
      </c>
      <c r="Y81" s="24">
        <f>Y23</f>
        <v>269.25</v>
      </c>
    </row>
    <row r="82" spans="2:25">
      <c r="B82" t="s">
        <v>29</v>
      </c>
      <c r="C82">
        <f>E79*C80</f>
        <v>15.739130434782609</v>
      </c>
      <c r="D82">
        <f>E79*D80</f>
        <v>31.478260869565219</v>
      </c>
      <c r="E82">
        <f>E79*E80</f>
        <v>47.217391304347828</v>
      </c>
      <c r="F82">
        <f>E79*F80</f>
        <v>62.956521739130437</v>
      </c>
      <c r="G82">
        <f>E79*G80</f>
        <v>78.695652173913047</v>
      </c>
      <c r="H82">
        <f>E79*H80</f>
        <v>94.434782608695656</v>
      </c>
      <c r="I82">
        <f>E79*I80</f>
        <v>110.17391304347827</v>
      </c>
      <c r="J82">
        <f>E79*J80</f>
        <v>125.91304347826087</v>
      </c>
      <c r="K82">
        <f>E79*K80</f>
        <v>141.6521739130435</v>
      </c>
      <c r="L82">
        <f>E79*L80</f>
        <v>157.39130434782609</v>
      </c>
      <c r="M82">
        <f>E79*M80</f>
        <v>173.13043478260869</v>
      </c>
      <c r="N82">
        <f>N80*E79</f>
        <v>188.86956521739131</v>
      </c>
      <c r="O82">
        <f>E79*O80</f>
        <v>204.60869565217394</v>
      </c>
      <c r="P82">
        <f>E79*P80</f>
        <v>220.34782608695653</v>
      </c>
      <c r="Q82">
        <f>E79*Q80</f>
        <v>236.08695652173913</v>
      </c>
      <c r="R82">
        <f>E79*R80</f>
        <v>251.82608695652175</v>
      </c>
      <c r="S82">
        <f>E79*S80</f>
        <v>267.56521739130437</v>
      </c>
      <c r="T82">
        <f>E79*T80</f>
        <v>283.304347826087</v>
      </c>
      <c r="U82">
        <f>E79*U80</f>
        <v>299.04347826086956</v>
      </c>
      <c r="V82">
        <f>E79*V80</f>
        <v>314.78260869565219</v>
      </c>
      <c r="W82">
        <f>E79*W80</f>
        <v>330.52173913043481</v>
      </c>
      <c r="X82">
        <f>E79*X80</f>
        <v>346.26086956521738</v>
      </c>
      <c r="Y82">
        <f>E79*Y80</f>
        <v>362</v>
      </c>
    </row>
    <row r="83" spans="2:25">
      <c r="B83" t="s">
        <v>30</v>
      </c>
      <c r="C83">
        <f>362-C82</f>
        <v>346.26086956521738</v>
      </c>
      <c r="D83">
        <f t="shared" ref="D83:I83" si="37">362-D82</f>
        <v>330.52173913043475</v>
      </c>
      <c r="E83">
        <f t="shared" si="37"/>
        <v>314.78260869565219</v>
      </c>
      <c r="F83">
        <f t="shared" si="37"/>
        <v>299.04347826086956</v>
      </c>
      <c r="G83">
        <f t="shared" si="37"/>
        <v>283.30434782608694</v>
      </c>
      <c r="H83">
        <f t="shared" si="37"/>
        <v>267.56521739130437</v>
      </c>
      <c r="I83">
        <f t="shared" si="37"/>
        <v>251.82608695652175</v>
      </c>
      <c r="J83">
        <f t="shared" ref="J83" si="38">362-J82</f>
        <v>236.08695652173913</v>
      </c>
      <c r="K83">
        <f t="shared" ref="K83" si="39">362-K82</f>
        <v>220.3478260869565</v>
      </c>
      <c r="L83">
        <f t="shared" ref="L83" si="40">362-L82</f>
        <v>204.60869565217391</v>
      </c>
      <c r="M83">
        <f t="shared" ref="M83" si="41">362-M82</f>
        <v>188.86956521739131</v>
      </c>
      <c r="N83">
        <f t="shared" ref="N83:O83" si="42">362-N82</f>
        <v>173.13043478260869</v>
      </c>
      <c r="O83">
        <f t="shared" si="42"/>
        <v>157.39130434782606</v>
      </c>
      <c r="P83">
        <f t="shared" ref="P83" si="43">362-P82</f>
        <v>141.65217391304347</v>
      </c>
      <c r="Q83">
        <f t="shared" ref="Q83" si="44">362-Q82</f>
        <v>125.91304347826087</v>
      </c>
      <c r="R83">
        <f t="shared" ref="R83" si="45">362-R82</f>
        <v>110.17391304347825</v>
      </c>
      <c r="S83">
        <f t="shared" ref="S83" si="46">362-S82</f>
        <v>94.434782608695627</v>
      </c>
      <c r="T83">
        <f t="shared" ref="T83:U83" si="47">362-T82</f>
        <v>78.695652173913004</v>
      </c>
      <c r="U83">
        <f t="shared" si="47"/>
        <v>62.956521739130437</v>
      </c>
      <c r="V83">
        <f t="shared" ref="V83" si="48">362-V82</f>
        <v>47.217391304347814</v>
      </c>
      <c r="W83">
        <f t="shared" ref="W83" si="49">362-W82</f>
        <v>31.47826086956519</v>
      </c>
      <c r="X83">
        <f t="shared" ref="X83:Y83" si="50">362-X82</f>
        <v>15.739130434782624</v>
      </c>
      <c r="Y83">
        <f t="shared" si="50"/>
        <v>0</v>
      </c>
    </row>
    <row r="84" spans="2:25">
      <c r="B84" t="s">
        <v>31</v>
      </c>
      <c r="C84" s="24">
        <f>362-C81</f>
        <v>344.75</v>
      </c>
      <c r="D84" s="24">
        <f t="shared" ref="D84:Y84" si="51">362-D81</f>
        <v>324.75</v>
      </c>
      <c r="E84" s="24">
        <f t="shared" si="51"/>
        <v>300.25</v>
      </c>
      <c r="F84" s="24">
        <f t="shared" si="51"/>
        <v>275.25</v>
      </c>
      <c r="G84" s="24">
        <f t="shared" si="51"/>
        <v>266</v>
      </c>
      <c r="H84" s="24">
        <f t="shared" si="51"/>
        <v>240</v>
      </c>
      <c r="I84" s="24">
        <f t="shared" si="51"/>
        <v>205.5</v>
      </c>
      <c r="J84" s="24">
        <f t="shared" si="51"/>
        <v>169.75</v>
      </c>
      <c r="K84" s="24">
        <f t="shared" si="51"/>
        <v>127.75</v>
      </c>
      <c r="L84" s="24">
        <f t="shared" si="51"/>
        <v>108.75</v>
      </c>
      <c r="M84" s="24">
        <f t="shared" si="51"/>
        <v>92.75</v>
      </c>
      <c r="N84" s="24">
        <f t="shared" si="51"/>
        <v>92.75</v>
      </c>
      <c r="O84" s="24">
        <f t="shared" si="51"/>
        <v>92.75</v>
      </c>
      <c r="P84" s="24">
        <f t="shared" si="51"/>
        <v>92.75</v>
      </c>
      <c r="Q84" s="24">
        <f t="shared" si="51"/>
        <v>92.75</v>
      </c>
      <c r="R84" s="24">
        <f t="shared" si="51"/>
        <v>92.75</v>
      </c>
      <c r="S84" s="24">
        <f t="shared" si="51"/>
        <v>92.75</v>
      </c>
      <c r="T84" s="24">
        <f t="shared" si="51"/>
        <v>92.75</v>
      </c>
      <c r="U84" s="24">
        <f t="shared" si="51"/>
        <v>92.75</v>
      </c>
      <c r="V84" s="24">
        <f t="shared" si="51"/>
        <v>92.75</v>
      </c>
      <c r="W84" s="24">
        <f t="shared" si="51"/>
        <v>92.75</v>
      </c>
      <c r="X84" s="24">
        <f t="shared" si="51"/>
        <v>92.75</v>
      </c>
      <c r="Y84" s="24">
        <f t="shared" si="51"/>
        <v>92.75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4.45"/>
  <cols>
    <col min="2" max="2" width="15.7109375" customWidth="1"/>
    <col min="24" max="24" width="12" bestFit="1" customWidth="1"/>
  </cols>
  <sheetData>
    <row r="1" spans="1:23" ht="18">
      <c r="C1" s="14" t="s">
        <v>32</v>
      </c>
    </row>
    <row r="2" spans="1:23" ht="18">
      <c r="B2" s="25" t="e">
        <f ca="1">SheetName</f>
        <v>#NAME?</v>
      </c>
      <c r="C2" s="26" t="s">
        <v>33</v>
      </c>
    </row>
    <row r="3" spans="1:23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" thickBot="1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" thickBot="1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5.6" thickTop="1" thickBot="1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5.6" thickTop="1" thickBot="1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5.6" thickTop="1" thickBot="1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149999999999999" thickBot="1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" thickBot="1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" thickBot="1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" thickBot="1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" thickBot="1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149999999999999" thickBot="1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5.6" thickTop="1" thickBot="1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5.6" thickTop="1" thickBot="1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5.6" thickTop="1" thickBot="1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149999999999999" thickBot="1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149999999999999" thickBot="1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" thickBot="1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" thickBot="1">
      <c r="A38" s="79"/>
      <c r="B38" s="17" t="str">
        <f xml:space="preserve"> CONCATENATE(Setup!$B$8, ", ", LEFT(Setup!$C$8,2))</f>
        <v>Schroeder, RS</v>
      </c>
      <c r="C38" s="24">
        <f t="shared" ref="C38:C40" si="22" xml:space="preserve"> SUM(C7:I7) + SUM(C19:I19)</f>
        <v>4.25</v>
      </c>
      <c r="D38" s="24">
        <f t="shared" ref="D38:D40" si="23" xml:space="preserve"> SUM(J7:P7) + SUM(J19:P19)</f>
        <v>4.5</v>
      </c>
      <c r="E38" s="24">
        <f t="shared" ref="E38:E40" si="24" xml:space="preserve"> SUM(Q7:W7) + SUM(Q19:W19)</f>
        <v>6</v>
      </c>
      <c r="F38" s="24">
        <f t="shared" ref="F38:F41" si="25" xml:space="preserve"> SUM(C38:E38)</f>
        <v>14.75</v>
      </c>
    </row>
    <row r="39" spans="1:23" ht="15" thickBot="1">
      <c r="A39" s="79"/>
      <c r="B39" s="17" t="str">
        <f xml:space="preserve"> CONCATENATE(Setup!$B$9, ", ", LEFT(Setup!$C$9,2))</f>
        <v>Martz, NM</v>
      </c>
      <c r="C39" s="24">
        <f t="shared" si="22"/>
        <v>5.25</v>
      </c>
      <c r="D39" s="24">
        <f t="shared" si="23"/>
        <v>5.5</v>
      </c>
      <c r="E39" s="24">
        <f t="shared" si="24"/>
        <v>6.5</v>
      </c>
      <c r="F39" s="24">
        <f t="shared" si="25"/>
        <v>17.25</v>
      </c>
    </row>
    <row r="40" spans="1:23" ht="15" thickBot="1">
      <c r="A40" s="79"/>
      <c r="B40" s="17" t="str">
        <f xml:space="preserve"> CONCATENATE(Setup!$B$10, ", ", LEFT(Setup!$C$10,2))</f>
        <v>Glosecki, MG</v>
      </c>
      <c r="C40" s="24">
        <f t="shared" si="22"/>
        <v>3</v>
      </c>
      <c r="D40" s="24">
        <f t="shared" si="23"/>
        <v>5</v>
      </c>
      <c r="E40" s="24">
        <f t="shared" si="24"/>
        <v>5.5</v>
      </c>
      <c r="F40" s="24">
        <f t="shared" si="25"/>
        <v>13.5</v>
      </c>
    </row>
    <row r="41" spans="1:23" ht="16.149999999999999" thickBot="1">
      <c r="A41" s="79"/>
      <c r="B41" s="18" t="s">
        <v>19</v>
      </c>
      <c r="C41" s="21">
        <f xml:space="preserve"> SUM(C37:C40)</f>
        <v>17.25</v>
      </c>
      <c r="D41" s="21">
        <f t="shared" ref="D41:E41" si="26" xml:space="preserve"> SUM(D37:D40)</f>
        <v>20</v>
      </c>
      <c r="E41" s="21">
        <f t="shared" si="26"/>
        <v>24.5</v>
      </c>
      <c r="F41" s="21">
        <f t="shared" si="25"/>
        <v>61.75</v>
      </c>
    </row>
    <row r="42" spans="1:23" ht="15" thickBot="1">
      <c r="A42" s="19"/>
    </row>
    <row r="43" spans="1:23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" thickBot="1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t="shared" ref="D44:D46" si="27" xml:space="preserve"> SUM(C38:D38) / D$36</f>
        <v>4.375</v>
      </c>
      <c r="E44" s="24">
        <f t="shared" ref="E44:E46" si="28" xml:space="preserve"> SUM(C38:E38) / E$36</f>
        <v>4.916666666666667</v>
      </c>
    </row>
    <row r="45" spans="1:23" ht="15" thickBot="1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t="shared" si="27"/>
        <v>5.375</v>
      </c>
      <c r="E45" s="24">
        <f t="shared" si="28"/>
        <v>5.75</v>
      </c>
    </row>
    <row r="46" spans="1:23" ht="15" thickBot="1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t="shared" si="27"/>
        <v>4</v>
      </c>
      <c r="E46" s="24">
        <f t="shared" si="28"/>
        <v>4.5</v>
      </c>
    </row>
    <row r="47" spans="1:23" ht="16.149999999999999" thickBot="1">
      <c r="A47" s="79"/>
      <c r="B47" s="18" t="s">
        <v>19</v>
      </c>
      <c r="C47" s="21">
        <f xml:space="preserve"> SUM(C43:C46)</f>
        <v>17.25</v>
      </c>
      <c r="D47" s="21">
        <f t="shared" ref="D47:E47" si="29" xml:space="preserve"> SUM(D43:D46)</f>
        <v>18.625</v>
      </c>
      <c r="E47" s="21">
        <f t="shared" si="29"/>
        <v>20.583333333333336</v>
      </c>
    </row>
    <row r="79" spans="18:20">
      <c r="R79" t="s">
        <v>47</v>
      </c>
      <c r="S79">
        <v>50</v>
      </c>
      <c r="T79">
        <v>0</v>
      </c>
    </row>
    <row r="80" spans="18:20">
      <c r="R80" t="s">
        <v>48</v>
      </c>
      <c r="S80" s="24">
        <f>(F41)</f>
        <v>61.75</v>
      </c>
    </row>
    <row r="81" spans="3:24">
      <c r="R81" t="s">
        <v>49</v>
      </c>
      <c r="S81">
        <v>21</v>
      </c>
    </row>
    <row r="82" spans="3:24">
      <c r="R82" t="s">
        <v>50</v>
      </c>
      <c r="S82">
        <f>(50/21)</f>
        <v>2.3809523809523809</v>
      </c>
    </row>
    <row r="85" spans="3:24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>
      <c r="C87" s="24">
        <f>F41</f>
        <v>61.75</v>
      </c>
      <c r="D87" s="24">
        <f>C87</f>
        <v>61.75</v>
      </c>
      <c r="E87" s="24">
        <f t="shared" ref="E87:X87" si="30">D87-D10-D22</f>
        <v>57.75</v>
      </c>
      <c r="F87" s="24">
        <f t="shared" si="30"/>
        <v>53.75</v>
      </c>
      <c r="G87" s="24">
        <f t="shared" si="30"/>
        <v>53.75</v>
      </c>
      <c r="H87" s="24">
        <f t="shared" si="30"/>
        <v>53.25</v>
      </c>
      <c r="I87" s="24">
        <f t="shared" si="30"/>
        <v>50.75</v>
      </c>
      <c r="J87" s="24">
        <f t="shared" si="30"/>
        <v>44.5</v>
      </c>
      <c r="K87" s="24">
        <f t="shared" si="30"/>
        <v>44.5</v>
      </c>
      <c r="L87" s="24">
        <f t="shared" si="30"/>
        <v>41.5</v>
      </c>
      <c r="M87" s="24">
        <f t="shared" si="30"/>
        <v>41.5</v>
      </c>
      <c r="N87" s="24">
        <f t="shared" si="30"/>
        <v>28.5</v>
      </c>
      <c r="O87" s="24">
        <f t="shared" si="30"/>
        <v>28.5</v>
      </c>
      <c r="P87" s="24">
        <f t="shared" si="30"/>
        <v>26</v>
      </c>
      <c r="Q87" s="24">
        <f t="shared" si="30"/>
        <v>24.5</v>
      </c>
      <c r="R87" s="24">
        <f t="shared" si="30"/>
        <v>11.5</v>
      </c>
      <c r="S87" s="24">
        <f t="shared" si="30"/>
        <v>11.5</v>
      </c>
      <c r="T87" s="24">
        <f t="shared" si="30"/>
        <v>11.5</v>
      </c>
      <c r="U87" s="24">
        <f t="shared" si="30"/>
        <v>6.5</v>
      </c>
      <c r="V87" s="24">
        <f t="shared" si="30"/>
        <v>4.5</v>
      </c>
      <c r="W87" s="24">
        <f t="shared" si="30"/>
        <v>2</v>
      </c>
      <c r="X87" s="24">
        <f t="shared" si="30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4.4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149999999999999" thickBot="1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149999999999999" thickBot="1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6.5</v>
      </c>
      <c r="D38" s="24">
        <f t="shared" ref="D38:D40" si="19" xml:space="preserve"> SUM(J7:P7) + SUM(J19:P19)</f>
        <v>2.75</v>
      </c>
      <c r="E38" s="24">
        <f xml:space="preserve"> SUM(C38:D38)</f>
        <v>9.25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2.5</v>
      </c>
      <c r="E39" s="24">
        <f xml:space="preserve"> SUM(C39:D39)</f>
        <v>9.5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5</v>
      </c>
      <c r="D40" s="24">
        <f t="shared" si="19"/>
        <v>2</v>
      </c>
      <c r="E40" s="24">
        <f xml:space="preserve"> SUM(C40:D40)</f>
        <v>7</v>
      </c>
    </row>
    <row r="41" spans="1:16" ht="16.149999999999999" thickBot="1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9.25</v>
      </c>
      <c r="E41" s="21">
        <f xml:space="preserve"> SUM(C41:D41)</f>
        <v>34.25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6.5</v>
      </c>
      <c r="D44" s="24">
        <f t="shared" ref="D44:D46" si="22" xml:space="preserve"> SUM(C38:D38) / D$36</f>
        <v>4.625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4.75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5</v>
      </c>
      <c r="D46" s="24">
        <f t="shared" si="22"/>
        <v>3.5</v>
      </c>
    </row>
    <row r="47" spans="1:16" ht="16.149999999999999" thickBot="1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17.125</v>
      </c>
    </row>
    <row r="83" spans="2:17">
      <c r="B83" t="s">
        <v>51</v>
      </c>
      <c r="C83">
        <f>C84/14</f>
        <v>2.7142857142857144</v>
      </c>
    </row>
    <row r="84" spans="2:17">
      <c r="B84" t="s">
        <v>52</v>
      </c>
      <c r="C84">
        <v>38</v>
      </c>
    </row>
    <row r="85" spans="2:17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>
      <c r="B87" t="s">
        <v>54</v>
      </c>
      <c r="C87" s="24">
        <f>E41</f>
        <v>34.25</v>
      </c>
    </row>
    <row r="88" spans="2:17">
      <c r="B88" t="s">
        <v>55</v>
      </c>
      <c r="C88" s="24">
        <f>C87</f>
        <v>34.25</v>
      </c>
      <c r="D88" s="24">
        <f t="shared" ref="D88:Q88" si="24">C88-C10-C22</f>
        <v>21.25</v>
      </c>
      <c r="E88" s="24">
        <f t="shared" si="24"/>
        <v>19.25</v>
      </c>
      <c r="F88" s="24">
        <f t="shared" si="24"/>
        <v>19.25</v>
      </c>
      <c r="G88" s="24">
        <f t="shared" si="24"/>
        <v>12.75</v>
      </c>
      <c r="H88" s="24">
        <f t="shared" si="24"/>
        <v>10.75</v>
      </c>
      <c r="I88" s="24">
        <f t="shared" si="24"/>
        <v>10.75</v>
      </c>
      <c r="J88" s="24">
        <f t="shared" si="24"/>
        <v>9.25</v>
      </c>
      <c r="K88" s="24">
        <f t="shared" si="24"/>
        <v>8.75</v>
      </c>
      <c r="L88" s="24">
        <f t="shared" si="24"/>
        <v>0</v>
      </c>
      <c r="M88" s="24">
        <f t="shared" si="24"/>
        <v>0</v>
      </c>
      <c r="N88" s="24">
        <f t="shared" si="24"/>
        <v>0</v>
      </c>
      <c r="O88" s="24">
        <f t="shared" si="24"/>
        <v>0</v>
      </c>
      <c r="P88" s="24">
        <f t="shared" si="24"/>
        <v>0</v>
      </c>
      <c r="Q88" s="24">
        <f t="shared" si="24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149999999999999" thickBot="1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149999999999999" thickBot="1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8</v>
      </c>
      <c r="E38" s="24">
        <f xml:space="preserve"> SUM(C38:D38)</f>
        <v>14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11</v>
      </c>
      <c r="D39" s="24">
        <f t="shared" si="19"/>
        <v>9.25</v>
      </c>
      <c r="E39" s="24">
        <f xml:space="preserve"> SUM(C39:D39)</f>
        <v>20.25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3</v>
      </c>
      <c r="D40" s="24">
        <f t="shared" si="19"/>
        <v>9.25</v>
      </c>
      <c r="E40" s="24">
        <f xml:space="preserve"> SUM(C40:D40)</f>
        <v>12.25</v>
      </c>
    </row>
    <row r="41" spans="1:16" ht="16.149999999999999" thickBot="1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34.5</v>
      </c>
      <c r="E41" s="21">
        <f xml:space="preserve"> SUM(C41:D41)</f>
        <v>60.5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7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11</v>
      </c>
      <c r="D45" s="24">
        <f t="shared" si="22"/>
        <v>10.125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3</v>
      </c>
      <c r="D46" s="24">
        <f t="shared" si="22"/>
        <v>6.125</v>
      </c>
    </row>
    <row r="47" spans="1:16" ht="16.149999999999999" thickBot="1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30.25</v>
      </c>
    </row>
    <row r="86" spans="2:17">
      <c r="B86" t="s">
        <v>51</v>
      </c>
      <c r="C86">
        <f>C87/14</f>
        <v>5</v>
      </c>
    </row>
    <row r="87" spans="2:17">
      <c r="B87" t="s">
        <v>52</v>
      </c>
      <c r="C87">
        <v>70</v>
      </c>
    </row>
    <row r="88" spans="2:17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24">E91-F90</f>
        <v>48.5</v>
      </c>
      <c r="G91" s="24">
        <f t="shared" si="24"/>
        <v>45.5</v>
      </c>
      <c r="H91" s="24">
        <f t="shared" si="24"/>
        <v>42.5</v>
      </c>
      <c r="I91" s="24">
        <f t="shared" si="24"/>
        <v>37.5</v>
      </c>
      <c r="J91" s="24">
        <f t="shared" si="24"/>
        <v>34.5</v>
      </c>
      <c r="K91" s="24">
        <f t="shared" si="24"/>
        <v>31</v>
      </c>
      <c r="L91" s="24">
        <f t="shared" si="24"/>
        <v>19</v>
      </c>
      <c r="M91" s="24">
        <f t="shared" si="24"/>
        <v>19</v>
      </c>
      <c r="N91" s="24">
        <f t="shared" si="24"/>
        <v>6</v>
      </c>
      <c r="O91" s="24">
        <f t="shared" si="24"/>
        <v>6</v>
      </c>
      <c r="P91" s="24">
        <f t="shared" si="24"/>
        <v>3</v>
      </c>
      <c r="Q91" s="24">
        <f t="shared" si="24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41" zoomScale="115" zoomScaleNormal="115" workbookViewId="0">
      <selection activeCell="T99" sqref="T99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149999999999999" thickBot="1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149999999999999" thickBot="1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149999999999999" thickBot="1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5.5</v>
      </c>
      <c r="D38" s="24">
        <f t="shared" ref="D38:D40" si="19" xml:space="preserve"> SUM(J7:P7) + SUM(J19:P19)</f>
        <v>14</v>
      </c>
      <c r="E38" s="24">
        <f xml:space="preserve"> SUM(C38:D38)</f>
        <v>19.5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10</v>
      </c>
      <c r="D39" s="24">
        <f t="shared" si="19"/>
        <v>8</v>
      </c>
      <c r="E39" s="24">
        <f xml:space="preserve"> SUM(C39:D39)</f>
        <v>18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9.5</v>
      </c>
      <c r="E40" s="24">
        <f xml:space="preserve"> SUM(C40:D40)</f>
        <v>17.5</v>
      </c>
    </row>
    <row r="41" spans="1:16" ht="16.149999999999999" thickBot="1">
      <c r="A41" s="79"/>
      <c r="B41" s="18" t="s">
        <v>19</v>
      </c>
      <c r="C41" s="21">
        <f xml:space="preserve"> SUM(C37:C40)</f>
        <v>35.75</v>
      </c>
      <c r="D41" s="21">
        <f t="shared" ref="D41" si="20" xml:space="preserve"> SUM(D37:D40)</f>
        <v>42</v>
      </c>
      <c r="E41" s="21">
        <f xml:space="preserve"> SUM(C41:D41)</f>
        <v>77.75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5.5</v>
      </c>
      <c r="D44" s="24">
        <f t="shared" ref="D44:D46" si="22" xml:space="preserve"> SUM(C38:D38) / D$36</f>
        <v>9.75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10</v>
      </c>
      <c r="D45" s="24">
        <f t="shared" si="22"/>
        <v>9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8.75</v>
      </c>
    </row>
    <row r="47" spans="1:16" ht="16.149999999999999" thickBot="1">
      <c r="A47" s="79"/>
      <c r="B47" s="18" t="s">
        <v>19</v>
      </c>
      <c r="C47" s="21">
        <f xml:space="preserve"> SUM(C43:C46)</f>
        <v>35.75</v>
      </c>
      <c r="D47" s="21">
        <f t="shared" ref="D47" si="23" xml:space="preserve"> SUM(D43:D46)</f>
        <v>38.875</v>
      </c>
    </row>
    <row r="86" spans="2:17">
      <c r="B86" t="s">
        <v>51</v>
      </c>
      <c r="C86">
        <f>C87/14</f>
        <v>6.2857142857142856</v>
      </c>
    </row>
    <row r="87" spans="2:17">
      <c r="B87" t="s">
        <v>52</v>
      </c>
      <c r="C87">
        <v>88</v>
      </c>
    </row>
    <row r="88" spans="2:17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24">E10</f>
        <v>2.5</v>
      </c>
      <c r="G90" s="24">
        <f t="shared" si="24"/>
        <v>3</v>
      </c>
      <c r="H90" s="24">
        <f t="shared" si="24"/>
        <v>5</v>
      </c>
      <c r="I90" s="24">
        <f t="shared" si="24"/>
        <v>7</v>
      </c>
      <c r="J90" s="24">
        <f t="shared" si="24"/>
        <v>7.5</v>
      </c>
      <c r="K90" s="24">
        <f t="shared" si="24"/>
        <v>2.5</v>
      </c>
      <c r="L90" s="24">
        <f t="shared" si="24"/>
        <v>9.5</v>
      </c>
      <c r="M90" s="24">
        <f t="shared" si="24"/>
        <v>8.5</v>
      </c>
      <c r="N90" s="24">
        <f t="shared" si="24"/>
        <v>6.5</v>
      </c>
      <c r="O90" s="24">
        <f t="shared" si="24"/>
        <v>6</v>
      </c>
      <c r="P90" s="24">
        <f t="shared" si="24"/>
        <v>5</v>
      </c>
      <c r="Q90" s="24">
        <f t="shared" si="24"/>
        <v>4</v>
      </c>
    </row>
    <row r="91" spans="2:17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25">E91-F90</f>
        <v>64.5</v>
      </c>
      <c r="G91" s="24">
        <f t="shared" si="25"/>
        <v>61.5</v>
      </c>
      <c r="H91" s="24">
        <f t="shared" si="25"/>
        <v>56.5</v>
      </c>
      <c r="I91" s="24">
        <f t="shared" si="25"/>
        <v>49.5</v>
      </c>
      <c r="J91" s="24">
        <f t="shared" si="25"/>
        <v>42</v>
      </c>
      <c r="K91" s="24">
        <f t="shared" si="25"/>
        <v>39.5</v>
      </c>
      <c r="L91" s="24">
        <f t="shared" si="25"/>
        <v>30</v>
      </c>
      <c r="M91" s="24">
        <f t="shared" si="25"/>
        <v>21.5</v>
      </c>
      <c r="N91" s="24">
        <f t="shared" si="25"/>
        <v>15</v>
      </c>
      <c r="O91" s="24">
        <f t="shared" si="25"/>
        <v>9</v>
      </c>
      <c r="P91" s="24">
        <f t="shared" si="25"/>
        <v>4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topLeftCell="B3" zoomScale="115" zoomScaleNormal="115" workbookViewId="0">
      <selection activeCell="G11" sqref="G11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5.75</v>
      </c>
      <c r="D10" s="21">
        <f t="shared" ref="D10:P10" si="1" xml:space="preserve"> SUM(D6:D9)</f>
        <v>2.75</v>
      </c>
      <c r="E10" s="21">
        <f t="shared" si="1"/>
        <v>0</v>
      </c>
      <c r="F10" s="21">
        <f t="shared" si="1"/>
        <v>2.5</v>
      </c>
      <c r="G10" s="21">
        <f t="shared" si="1"/>
        <v>1.5</v>
      </c>
      <c r="H10" s="21">
        <f t="shared" si="1"/>
        <v>1</v>
      </c>
      <c r="I10" s="60">
        <f t="shared" si="1"/>
        <v>5.5</v>
      </c>
      <c r="J10" s="61">
        <f t="shared" si="1"/>
        <v>3</v>
      </c>
      <c r="K10" s="21">
        <f t="shared" si="1"/>
        <v>7</v>
      </c>
      <c r="L10" s="21">
        <f t="shared" si="1"/>
        <v>3</v>
      </c>
      <c r="M10" s="21">
        <f t="shared" si="1"/>
        <v>1</v>
      </c>
      <c r="N10" s="21">
        <f t="shared" si="1"/>
        <v>1</v>
      </c>
      <c r="O10" s="21">
        <f t="shared" si="1"/>
        <v>1</v>
      </c>
      <c r="P10" s="60">
        <f t="shared" si="1"/>
        <v>0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149999999999999" thickBot="1">
      <c r="A16" s="85"/>
      <c r="B16" s="18" t="s">
        <v>19</v>
      </c>
      <c r="C16" s="21">
        <f xml:space="preserve"> SUM(C12:C15)</f>
        <v>5.75</v>
      </c>
      <c r="D16" s="21">
        <f t="shared" ref="D16:P16" si="6" xml:space="preserve"> SUM(D12:D15)</f>
        <v>8.5</v>
      </c>
      <c r="E16" s="21">
        <f t="shared" si="6"/>
        <v>8.5</v>
      </c>
      <c r="F16" s="21">
        <f t="shared" si="6"/>
        <v>11</v>
      </c>
      <c r="G16" s="21">
        <f t="shared" si="6"/>
        <v>12.5</v>
      </c>
      <c r="H16" s="21">
        <f t="shared" si="6"/>
        <v>13.5</v>
      </c>
      <c r="I16" s="60">
        <f t="shared" si="6"/>
        <v>19</v>
      </c>
      <c r="J16" s="61">
        <f t="shared" si="6"/>
        <v>22</v>
      </c>
      <c r="K16" s="21">
        <f t="shared" si="6"/>
        <v>29</v>
      </c>
      <c r="L16" s="21">
        <f t="shared" si="6"/>
        <v>32</v>
      </c>
      <c r="M16" s="21">
        <f t="shared" si="6"/>
        <v>33</v>
      </c>
      <c r="N16" s="21">
        <f t="shared" si="6"/>
        <v>34</v>
      </c>
      <c r="O16" s="21">
        <f t="shared" si="6"/>
        <v>35</v>
      </c>
      <c r="P16" s="60">
        <f t="shared" si="6"/>
        <v>35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149999999999999" thickBot="1">
      <c r="A34" s="79"/>
      <c r="B34" s="18" t="s">
        <v>19</v>
      </c>
      <c r="C34" s="21">
        <f xml:space="preserve"> SUM(C30:C33)</f>
        <v>5.75</v>
      </c>
      <c r="D34" s="21">
        <f t="shared" ref="D34:P34" si="17" xml:space="preserve"> SUM(D30:D33)</f>
        <v>4.25</v>
      </c>
      <c r="E34" s="21">
        <f t="shared" si="17"/>
        <v>2.833333333333333</v>
      </c>
      <c r="F34" s="21">
        <f t="shared" si="17"/>
        <v>2.75</v>
      </c>
      <c r="G34" s="21">
        <f t="shared" si="17"/>
        <v>2.5</v>
      </c>
      <c r="H34" s="21">
        <f t="shared" si="17"/>
        <v>2.25</v>
      </c>
      <c r="I34" s="60">
        <f t="shared" si="17"/>
        <v>2.7142857142857144</v>
      </c>
      <c r="J34" s="61">
        <f t="shared" si="17"/>
        <v>2.75</v>
      </c>
      <c r="K34" s="21">
        <f t="shared" si="17"/>
        <v>3.2222222222222223</v>
      </c>
      <c r="L34" s="21">
        <f t="shared" si="17"/>
        <v>3.2</v>
      </c>
      <c r="M34" s="21">
        <f t="shared" si="17"/>
        <v>3</v>
      </c>
      <c r="N34" s="21">
        <f t="shared" si="17"/>
        <v>2.833333333333333</v>
      </c>
      <c r="O34" s="21">
        <f t="shared" si="17"/>
        <v>2.6923076923076925</v>
      </c>
      <c r="P34" s="60">
        <f t="shared" si="17"/>
        <v>2.5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8.5</v>
      </c>
      <c r="D40" s="24">
        <f t="shared" si="19"/>
        <v>12</v>
      </c>
      <c r="E40" s="24">
        <f xml:space="preserve"> SUM(C40:D40)</f>
        <v>20.5</v>
      </c>
    </row>
    <row r="41" spans="1:16" ht="16.149999999999999" thickBot="1">
      <c r="A41" s="79"/>
      <c r="B41" s="18" t="s">
        <v>19</v>
      </c>
      <c r="C41" s="21">
        <f xml:space="preserve"> SUM(C37:C40)</f>
        <v>19</v>
      </c>
      <c r="D41" s="21">
        <f t="shared" ref="D41" si="20" xml:space="preserve"> SUM(D37:D40)</f>
        <v>16</v>
      </c>
      <c r="E41" s="21">
        <f xml:space="preserve"> SUM(C41:D41)</f>
        <v>35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8.5</v>
      </c>
      <c r="D46" s="24">
        <f t="shared" si="22"/>
        <v>10.25</v>
      </c>
    </row>
    <row r="47" spans="1:16" ht="16.149999999999999" thickBot="1">
      <c r="A47" s="79"/>
      <c r="B47" s="18" t="s">
        <v>19</v>
      </c>
      <c r="C47" s="21">
        <f xml:space="preserve"> SUM(C43:C46)</f>
        <v>19</v>
      </c>
      <c r="D47" s="21">
        <f t="shared" ref="D47" si="23" xml:space="preserve"> SUM(D43:D46)</f>
        <v>17.5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4" sqref="C4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149999999999999" thickBot="1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149999999999999" thickBot="1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149999999999999" thickBot="1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149999999999999" thickBot="1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149999999999999" thickBot="1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149999999999999" thickBot="1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149999999999999" thickBot="1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149999999999999" thickBot="1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149999999999999" thickBot="1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149999999999999" thickBot="1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149999999999999" thickBot="1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149999999999999" thickBot="1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149999999999999" thickBot="1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149999999999999" thickBot="1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149999999999999" thickBot="1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149999999999999" thickBot="1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149999999999999" thickBot="1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149999999999999" thickBot="1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149999999999999" thickBot="1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149999999999999" thickBot="1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4.45"/>
  <cols>
    <col min="1" max="1" width="9.140625" style="6" customWidth="1"/>
    <col min="2" max="2" width="15.7109375" customWidth="1"/>
  </cols>
  <sheetData>
    <row r="1" spans="1:16" ht="18">
      <c r="C1" s="14" t="s">
        <v>32</v>
      </c>
    </row>
    <row r="2" spans="1:16" ht="18">
      <c r="B2" s="25" t="e">
        <f ca="1">SheetName</f>
        <v>#NAME?</v>
      </c>
      <c r="C2" s="26" t="s">
        <v>33</v>
      </c>
    </row>
    <row r="3" spans="1:16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" thickBot="1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" thickBot="1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" thickBot="1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" thickBot="1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149999999999999" thickBot="1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149999999999999" thickBot="1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" thickBot="1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" thickBot="1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" thickBot="1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" thickBot="1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149999999999999" thickBot="1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149999999999999" thickBot="1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" thickBot="1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" thickBot="1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" thickBot="1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149999999999999" thickBot="1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149999999999999" thickBot="1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" thickBot="1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" thickBot="1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" thickBot="1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" thickBot="1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149999999999999" thickBot="1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149999999999999" thickBot="1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" thickBot="1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" thickBot="1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" thickBot="1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" thickBot="1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149999999999999" thickBot="1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6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" thickBot="1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" thickBot="1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" thickBot="1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" thickBot="1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149999999999999" thickBot="1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" thickBot="1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" thickBot="1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" thickBot="1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149999999999999" thickBot="1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4.45"/>
  <cols>
    <col min="1" max="1" width="17.7109375" bestFit="1" customWidth="1"/>
    <col min="2" max="2" width="14.28515625" customWidth="1"/>
  </cols>
  <sheetData>
    <row r="1" spans="1:3" ht="18">
      <c r="B1" s="14" t="s">
        <v>56</v>
      </c>
    </row>
    <row r="3" spans="1:3">
      <c r="A3" s="3" t="s">
        <v>57</v>
      </c>
      <c r="B3" s="39">
        <v>42254</v>
      </c>
    </row>
    <row r="4" spans="1:3">
      <c r="A4" s="3" t="s">
        <v>58</v>
      </c>
      <c r="B4" s="39">
        <v>42380</v>
      </c>
    </row>
    <row r="5" spans="1:3">
      <c r="A5" s="3"/>
    </row>
    <row r="6" spans="1:3" ht="15" thickBot="1">
      <c r="B6" s="2" t="s">
        <v>59</v>
      </c>
      <c r="C6" s="2" t="s">
        <v>60</v>
      </c>
    </row>
    <row r="7" spans="1:3" ht="15" thickBot="1">
      <c r="A7" s="3" t="s">
        <v>61</v>
      </c>
      <c r="B7" s="13" t="s">
        <v>62</v>
      </c>
      <c r="C7" s="16" t="s">
        <v>63</v>
      </c>
    </row>
    <row r="8" spans="1:3" ht="15" thickBot="1">
      <c r="A8" s="3" t="s">
        <v>64</v>
      </c>
      <c r="B8" s="13" t="s">
        <v>65</v>
      </c>
      <c r="C8" s="16" t="s">
        <v>66</v>
      </c>
    </row>
    <row r="9" spans="1:3" ht="15" thickBot="1">
      <c r="A9" s="3" t="s">
        <v>67</v>
      </c>
      <c r="B9" s="13" t="s">
        <v>68</v>
      </c>
      <c r="C9" s="16" t="s">
        <v>69</v>
      </c>
    </row>
    <row r="10" spans="1:3" ht="15" thickBot="1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334283827</cp:lastModifiedBy>
  <cp:revision/>
  <dcterms:created xsi:type="dcterms:W3CDTF">2006-09-16T00:00:00Z</dcterms:created>
  <dcterms:modified xsi:type="dcterms:W3CDTF">2015-12-07T03:08:04Z</dcterms:modified>
</cp:coreProperties>
</file>