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ml.chartshapes+xml"/>
  <Override PartName="/xl/drawings/drawing42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3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4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5.xml" ContentType="application/vnd.openxmlformats-officedocument.drawingml.chartshap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6.xml" ContentType="application/vnd.openxmlformats-officedocument.drawingml.chartshape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7.xml" ContentType="application/vnd.openxmlformats-officedocument.drawingml.chartshapes+xml"/>
  <Override PartName="/xl/drawings/drawing4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9.xml" ContentType="application/vnd.openxmlformats-officedocument.drawingml.chartshape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50.xml" ContentType="application/vnd.openxmlformats-officedocument.drawingml.chartshap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51.xml" ContentType="application/vnd.openxmlformats-officedocument.drawingml.chartshape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2.xml" ContentType="application/vnd.openxmlformats-officedocument.drawingml.chartshape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3.xml" ContentType="application/vnd.openxmlformats-officedocument.drawingml.chartshapes+xml"/>
  <Override PartName="/xl/drawings/drawing54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5.xml" ContentType="application/vnd.openxmlformats-officedocument.drawingml.chartshape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6.xml" ContentType="application/vnd.openxmlformats-officedocument.drawingml.chartshapes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7.xml" ContentType="application/vnd.openxmlformats-officedocument.drawingml.chartshap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8.xml" ContentType="application/vnd.openxmlformats-officedocument.drawingml.chartshapes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9.xml" ContentType="application/vnd.openxmlformats-officedocument.drawingml.chartshapes+xml"/>
  <Override PartName="/xl/drawings/drawing60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61.xml" ContentType="application/vnd.openxmlformats-officedocument.drawingml.chartshapes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62.xml" ContentType="application/vnd.openxmlformats-officedocument.drawingml.chartshapes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63.xml" ContentType="application/vnd.openxmlformats-officedocument.drawingml.chartshapes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64.xml" ContentType="application/vnd.openxmlformats-officedocument.drawingml.chartshapes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65.xml" ContentType="application/vnd.openxmlformats-officedocument.drawingml.chartshapes+xml"/>
  <Override PartName="/xl/drawings/drawing66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67.xml" ContentType="application/vnd.openxmlformats-officedocument.drawingml.chartshapes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68.xml" ContentType="application/vnd.openxmlformats-officedocument.drawingml.chartshapes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69.xml" ContentType="application/vnd.openxmlformats-officedocument.drawingml.chartshapes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70.xml" ContentType="application/vnd.openxmlformats-officedocument.drawingml.chartshapes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71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defaultThemeVersion="124226"/>
  <bookViews>
    <workbookView xWindow="0" yWindow="0" windowWidth="28800" windowHeight="14235" tabRatio="695" activeTab="5"/>
  </bookViews>
  <sheets>
    <sheet name="Product" sheetId="1" r:id="rId1"/>
    <sheet name="Sprint 0" sheetId="2" r:id="rId2"/>
    <sheet name="Sprint 1" sheetId="15" r:id="rId3"/>
    <sheet name="Sprint 2" sheetId="42" r:id="rId4"/>
    <sheet name="Sprint 3" sheetId="43" r:id="rId5"/>
    <sheet name="Sprint 4" sheetId="44" r:id="rId6"/>
    <sheet name="Sprint 5" sheetId="45" r:id="rId7"/>
    <sheet name="Sprint 6" sheetId="46" r:id="rId8"/>
    <sheet name="Sprint 7" sheetId="47" r:id="rId9"/>
    <sheet name="Sprint 8" sheetId="48" r:id="rId10"/>
    <sheet name="Sprint 9" sheetId="49" r:id="rId11"/>
    <sheet name="Sprint 10" sheetId="50" r:id="rId12"/>
    <sheet name="Setup" sheetId="13" r:id="rId13"/>
  </sheets>
  <definedNames>
    <definedName name="SheetName">REPLACE(GET.DOCUMENT(1),1,FIND("]",GET.DOCUMENT(1)),"")</definedName>
  </definedNames>
  <calcPr calcId="152511"/>
</workbook>
</file>

<file path=xl/calcChain.xml><?xml version="1.0" encoding="utf-8"?>
<calcChain xmlns="http://schemas.openxmlformats.org/spreadsheetml/2006/main">
  <c r="Q90" i="44" l="1"/>
  <c r="P90" i="44"/>
  <c r="O90" i="44"/>
  <c r="N90" i="44"/>
  <c r="M90" i="44"/>
  <c r="L90" i="44"/>
  <c r="K90" i="44"/>
  <c r="J90" i="44"/>
  <c r="I90" i="44"/>
  <c r="H90" i="44"/>
  <c r="G90" i="44"/>
  <c r="F90" i="44"/>
  <c r="E90" i="44"/>
  <c r="D90" i="44"/>
  <c r="C90" i="44"/>
  <c r="C91" i="44" s="1"/>
  <c r="D91" i="44" s="1"/>
  <c r="E91" i="44" s="1"/>
  <c r="F91" i="44" s="1"/>
  <c r="G91" i="44" s="1"/>
  <c r="H91" i="44" s="1"/>
  <c r="I91" i="44" s="1"/>
  <c r="J91" i="44" s="1"/>
  <c r="K91" i="44" s="1"/>
  <c r="L91" i="44" s="1"/>
  <c r="M91" i="44" s="1"/>
  <c r="N91" i="44" s="1"/>
  <c r="O91" i="44" s="1"/>
  <c r="P91" i="44" s="1"/>
  <c r="Q91" i="44" s="1"/>
  <c r="C89" i="44"/>
  <c r="C86" i="44"/>
  <c r="N22" i="44"/>
  <c r="D89" i="44" l="1"/>
  <c r="E89" i="44" s="1"/>
  <c r="F89" i="44" s="1"/>
  <c r="G89" i="44" s="1"/>
  <c r="H89" i="44" s="1"/>
  <c r="I89" i="44" s="1"/>
  <c r="J89" i="44" s="1"/>
  <c r="K89" i="44" s="1"/>
  <c r="L89" i="44" s="1"/>
  <c r="M89" i="44" s="1"/>
  <c r="N89" i="44" s="1"/>
  <c r="O89" i="44" s="1"/>
  <c r="P89" i="44" s="1"/>
  <c r="E10" i="43"/>
  <c r="F90" i="43"/>
  <c r="F10" i="43"/>
  <c r="G90" i="43"/>
  <c r="G10" i="43"/>
  <c r="H90" i="43"/>
  <c r="H10" i="43"/>
  <c r="I90" i="43"/>
  <c r="I10" i="43"/>
  <c r="J90" i="43"/>
  <c r="J10" i="43"/>
  <c r="K90" i="43"/>
  <c r="K10" i="43"/>
  <c r="L90" i="43"/>
  <c r="L10" i="43"/>
  <c r="M90" i="43"/>
  <c r="M10" i="43"/>
  <c r="N90" i="43"/>
  <c r="N10" i="43"/>
  <c r="O90" i="43"/>
  <c r="O10" i="43"/>
  <c r="P90" i="43"/>
  <c r="P10" i="43"/>
  <c r="Q90" i="43"/>
  <c r="D10" i="43"/>
  <c r="E90" i="43"/>
  <c r="C10" i="43"/>
  <c r="D90" i="43"/>
  <c r="C37" i="43"/>
  <c r="C38" i="43"/>
  <c r="C39" i="43"/>
  <c r="C40" i="43"/>
  <c r="C41" i="43"/>
  <c r="D37" i="43"/>
  <c r="D38" i="43"/>
  <c r="D39" i="43"/>
  <c r="D40" i="43"/>
  <c r="D41" i="43"/>
  <c r="E41" i="43"/>
  <c r="C90" i="43"/>
  <c r="C91" i="43"/>
  <c r="C89" i="43"/>
  <c r="C86" i="43"/>
  <c r="D89" i="43"/>
  <c r="E89" i="43"/>
  <c r="F89" i="43"/>
  <c r="G89" i="43"/>
  <c r="H89" i="43"/>
  <c r="I89" i="43"/>
  <c r="J89" i="43"/>
  <c r="K89" i="43"/>
  <c r="L89" i="43"/>
  <c r="M89" i="43"/>
  <c r="N89" i="43"/>
  <c r="O89" i="43"/>
  <c r="P89" i="43"/>
  <c r="D91" i="43"/>
  <c r="E91" i="43"/>
  <c r="F91" i="43"/>
  <c r="G91" i="43"/>
  <c r="H91" i="43"/>
  <c r="I91" i="43"/>
  <c r="J91" i="43"/>
  <c r="K91" i="43"/>
  <c r="L91" i="43"/>
  <c r="M91" i="43"/>
  <c r="N91" i="43"/>
  <c r="O91" i="43"/>
  <c r="P91" i="43"/>
  <c r="Q91" i="43"/>
  <c r="C4" i="50"/>
  <c r="C4" i="49"/>
  <c r="C4" i="48"/>
  <c r="C4" i="47"/>
  <c r="C4" i="46"/>
  <c r="C4" i="45"/>
  <c r="C4" i="44"/>
  <c r="C4" i="43"/>
  <c r="C4" i="42"/>
  <c r="C4" i="2"/>
  <c r="C7" i="1"/>
  <c r="C13" i="1"/>
  <c r="C19" i="1"/>
  <c r="D7" i="1"/>
  <c r="D13" i="1"/>
  <c r="D19" i="1"/>
  <c r="E7" i="1"/>
  <c r="E13" i="1"/>
  <c r="E19" i="1"/>
  <c r="F7" i="1"/>
  <c r="F13" i="1"/>
  <c r="F19" i="1"/>
  <c r="G7" i="1"/>
  <c r="G13" i="1"/>
  <c r="G19" i="1"/>
  <c r="H7" i="1"/>
  <c r="H13" i="1"/>
  <c r="H19" i="1"/>
  <c r="I7" i="1"/>
  <c r="I13" i="1"/>
  <c r="I19" i="1"/>
  <c r="C8" i="1"/>
  <c r="C14" i="1"/>
  <c r="C20" i="1"/>
  <c r="D8" i="1"/>
  <c r="D14" i="1"/>
  <c r="D20" i="1"/>
  <c r="E8" i="1"/>
  <c r="E14" i="1"/>
  <c r="E20" i="1"/>
  <c r="F8" i="1"/>
  <c r="F14" i="1"/>
  <c r="F20" i="1"/>
  <c r="G8" i="1"/>
  <c r="G14" i="1"/>
  <c r="G20" i="1"/>
  <c r="H8" i="1"/>
  <c r="H14" i="1"/>
  <c r="H20" i="1"/>
  <c r="I8" i="1"/>
  <c r="I14" i="1"/>
  <c r="I20" i="1"/>
  <c r="C9" i="1"/>
  <c r="C15" i="1"/>
  <c r="C21" i="1"/>
  <c r="D9" i="1"/>
  <c r="D15" i="1"/>
  <c r="D21" i="1"/>
  <c r="E9" i="1"/>
  <c r="E15" i="1"/>
  <c r="E21" i="1"/>
  <c r="F9" i="1"/>
  <c r="F15" i="1"/>
  <c r="F21" i="1"/>
  <c r="G9" i="1"/>
  <c r="G15" i="1"/>
  <c r="G21" i="1"/>
  <c r="H9" i="1"/>
  <c r="H15" i="1"/>
  <c r="H21" i="1"/>
  <c r="I9" i="1"/>
  <c r="I15" i="1"/>
  <c r="I21" i="1"/>
  <c r="C10" i="1"/>
  <c r="C16" i="1"/>
  <c r="C22" i="1"/>
  <c r="D10" i="1"/>
  <c r="D16" i="1"/>
  <c r="D22" i="1"/>
  <c r="E10" i="1"/>
  <c r="E16" i="1"/>
  <c r="E22" i="1"/>
  <c r="F10" i="1"/>
  <c r="F16" i="1"/>
  <c r="F22" i="1"/>
  <c r="G10" i="1"/>
  <c r="G16" i="1"/>
  <c r="G22" i="1"/>
  <c r="H10" i="1"/>
  <c r="H16" i="1"/>
  <c r="H22" i="1"/>
  <c r="I10" i="1"/>
  <c r="I16" i="1"/>
  <c r="I22" i="1"/>
  <c r="C37" i="42"/>
  <c r="C38" i="42"/>
  <c r="C39" i="42"/>
  <c r="C40" i="42"/>
  <c r="C41" i="42"/>
  <c r="D37" i="42"/>
  <c r="D38" i="42"/>
  <c r="D39" i="42"/>
  <c r="D40" i="42"/>
  <c r="D41" i="42"/>
  <c r="E41" i="42"/>
  <c r="C90" i="42"/>
  <c r="C91" i="42"/>
  <c r="D91" i="42"/>
  <c r="E91" i="42"/>
  <c r="F91" i="42"/>
  <c r="G91" i="42"/>
  <c r="H91" i="42"/>
  <c r="I91" i="42"/>
  <c r="J91" i="42"/>
  <c r="K91" i="42"/>
  <c r="L91" i="42"/>
  <c r="M91" i="42"/>
  <c r="N91" i="42"/>
  <c r="O91" i="42"/>
  <c r="P91" i="42"/>
  <c r="Q91" i="42"/>
  <c r="C86" i="42"/>
  <c r="C89" i="42"/>
  <c r="D89" i="42"/>
  <c r="E89" i="42"/>
  <c r="F89" i="42"/>
  <c r="G89" i="42"/>
  <c r="H89" i="42"/>
  <c r="I89" i="42"/>
  <c r="J89" i="42"/>
  <c r="K89" i="42"/>
  <c r="L89" i="42"/>
  <c r="M89" i="42"/>
  <c r="N89" i="42"/>
  <c r="O89" i="42"/>
  <c r="P89" i="42"/>
  <c r="C11" i="1"/>
  <c r="C17" i="1"/>
  <c r="C23" i="1"/>
  <c r="D11" i="1"/>
  <c r="D17" i="1"/>
  <c r="D23" i="1"/>
  <c r="D81" i="1"/>
  <c r="D84" i="1"/>
  <c r="E11" i="1"/>
  <c r="E17" i="1"/>
  <c r="E23" i="1"/>
  <c r="E81" i="1"/>
  <c r="E84" i="1"/>
  <c r="F11" i="1"/>
  <c r="F17" i="1"/>
  <c r="F23" i="1"/>
  <c r="F81" i="1"/>
  <c r="F84" i="1"/>
  <c r="G11" i="1"/>
  <c r="G17" i="1"/>
  <c r="G23" i="1"/>
  <c r="G81" i="1"/>
  <c r="G84" i="1"/>
  <c r="C81" i="1"/>
  <c r="C84" i="1"/>
  <c r="E79" i="1"/>
  <c r="Y82" i="1"/>
  <c r="Y83" i="1"/>
  <c r="M82" i="1"/>
  <c r="M83" i="1"/>
  <c r="X82" i="1"/>
  <c r="X83" i="1"/>
  <c r="V82" i="1"/>
  <c r="V83" i="1"/>
  <c r="T82" i="1"/>
  <c r="T83" i="1"/>
  <c r="R82" i="1"/>
  <c r="R83" i="1"/>
  <c r="P82" i="1"/>
  <c r="P83" i="1"/>
  <c r="N82" i="1"/>
  <c r="N83" i="1"/>
  <c r="K82" i="1"/>
  <c r="K83" i="1"/>
  <c r="I82" i="1"/>
  <c r="I83" i="1"/>
  <c r="G82" i="1"/>
  <c r="G83" i="1"/>
  <c r="E82" i="1"/>
  <c r="E83" i="1"/>
  <c r="C82" i="1"/>
  <c r="C83" i="1"/>
  <c r="C37" i="2"/>
  <c r="C38" i="2"/>
  <c r="C39" i="2"/>
  <c r="C40" i="2"/>
  <c r="C41" i="2"/>
  <c r="D37" i="2"/>
  <c r="D38" i="2"/>
  <c r="D39" i="2"/>
  <c r="D40" i="2"/>
  <c r="D41" i="2"/>
  <c r="E37" i="2"/>
  <c r="E38" i="2"/>
  <c r="E39" i="2"/>
  <c r="E40" i="2"/>
  <c r="E41" i="2"/>
  <c r="F41" i="2"/>
  <c r="C87" i="2"/>
  <c r="C86" i="15"/>
  <c r="C83" i="15"/>
  <c r="D86" i="15"/>
  <c r="E86" i="15"/>
  <c r="F86" i="15"/>
  <c r="G86" i="15"/>
  <c r="H86" i="15"/>
  <c r="I86" i="15"/>
  <c r="J86" i="15"/>
  <c r="K86" i="15"/>
  <c r="L86" i="15"/>
  <c r="M86" i="15"/>
  <c r="N86" i="15"/>
  <c r="O86" i="15"/>
  <c r="P86" i="15"/>
  <c r="D87" i="2"/>
  <c r="D10" i="2"/>
  <c r="D22" i="2"/>
  <c r="E87" i="2"/>
  <c r="E10" i="2"/>
  <c r="E22" i="2"/>
  <c r="F87" i="2"/>
  <c r="F10" i="2"/>
  <c r="F22" i="2"/>
  <c r="G87" i="2"/>
  <c r="G10" i="2"/>
  <c r="G22" i="2"/>
  <c r="H87" i="2"/>
  <c r="S82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D82" i="1"/>
  <c r="D83" i="1"/>
  <c r="F82" i="1"/>
  <c r="F83" i="1"/>
  <c r="H82" i="1"/>
  <c r="H83" i="1"/>
  <c r="J82" i="1"/>
  <c r="J83" i="1"/>
  <c r="L82" i="1"/>
  <c r="L83" i="1"/>
  <c r="O82" i="1"/>
  <c r="O83" i="1"/>
  <c r="Q82" i="1"/>
  <c r="Q83" i="1"/>
  <c r="S82" i="1"/>
  <c r="S83" i="1"/>
  <c r="U82" i="1"/>
  <c r="U83" i="1"/>
  <c r="W82" i="1"/>
  <c r="W83" i="1"/>
  <c r="X14" i="1"/>
  <c r="Y14" i="1"/>
  <c r="X15" i="1"/>
  <c r="Y15" i="1"/>
  <c r="X16" i="1"/>
  <c r="Y16" i="1"/>
  <c r="Y13" i="1"/>
  <c r="X13" i="1"/>
  <c r="X8" i="1"/>
  <c r="Y8" i="1"/>
  <c r="X9" i="1"/>
  <c r="Y9" i="1"/>
  <c r="X10" i="1"/>
  <c r="Y10" i="1"/>
  <c r="Y7" i="1"/>
  <c r="X7" i="1"/>
  <c r="V14" i="1"/>
  <c r="W14" i="1"/>
  <c r="V15" i="1"/>
  <c r="W15" i="1"/>
  <c r="V16" i="1"/>
  <c r="W16" i="1"/>
  <c r="W13" i="1"/>
  <c r="V13" i="1"/>
  <c r="V8" i="1"/>
  <c r="W8" i="1"/>
  <c r="V9" i="1"/>
  <c r="W9" i="1"/>
  <c r="V10" i="1"/>
  <c r="W10" i="1"/>
  <c r="W7" i="1"/>
  <c r="V7" i="1"/>
  <c r="T14" i="1"/>
  <c r="U14" i="1"/>
  <c r="T15" i="1"/>
  <c r="U15" i="1"/>
  <c r="T16" i="1"/>
  <c r="U16" i="1"/>
  <c r="U13" i="1"/>
  <c r="U17" i="1"/>
  <c r="T13" i="1"/>
  <c r="T8" i="1"/>
  <c r="U8" i="1"/>
  <c r="T9" i="1"/>
  <c r="U9" i="1"/>
  <c r="T10" i="1"/>
  <c r="U10" i="1"/>
  <c r="U7" i="1"/>
  <c r="T7" i="1"/>
  <c r="R14" i="1"/>
  <c r="S14" i="1"/>
  <c r="R15" i="1"/>
  <c r="S15" i="1"/>
  <c r="S13" i="1"/>
  <c r="S16" i="1"/>
  <c r="S17" i="1"/>
  <c r="R16" i="1"/>
  <c r="R13" i="1"/>
  <c r="R8" i="1"/>
  <c r="S8" i="1"/>
  <c r="R9" i="1"/>
  <c r="S9" i="1"/>
  <c r="R10" i="1"/>
  <c r="S10" i="1"/>
  <c r="S7" i="1"/>
  <c r="R7" i="1"/>
  <c r="P14" i="1"/>
  <c r="Q14" i="1"/>
  <c r="P15" i="1"/>
  <c r="Q15" i="1"/>
  <c r="Q13" i="1"/>
  <c r="Q16" i="1"/>
  <c r="Q17" i="1"/>
  <c r="P16" i="1"/>
  <c r="P13" i="1"/>
  <c r="P17" i="1"/>
  <c r="P8" i="1"/>
  <c r="Q8" i="1"/>
  <c r="P9" i="1"/>
  <c r="Q9" i="1"/>
  <c r="Q7" i="1"/>
  <c r="Q10" i="1"/>
  <c r="Q11" i="1"/>
  <c r="P10" i="1"/>
  <c r="P7" i="1"/>
  <c r="N14" i="1"/>
  <c r="O14" i="1"/>
  <c r="N15" i="1"/>
  <c r="O15" i="1"/>
  <c r="N16" i="1"/>
  <c r="N13" i="1"/>
  <c r="N17" i="1"/>
  <c r="O16" i="1"/>
  <c r="O13" i="1"/>
  <c r="O17" i="1"/>
  <c r="N8" i="1"/>
  <c r="O8" i="1"/>
  <c r="N9" i="1"/>
  <c r="N7" i="1"/>
  <c r="N10" i="1"/>
  <c r="N11" i="1"/>
  <c r="O9" i="1"/>
  <c r="O10" i="1"/>
  <c r="O7" i="1"/>
  <c r="L14" i="1"/>
  <c r="M14" i="1"/>
  <c r="L15" i="1"/>
  <c r="M15" i="1"/>
  <c r="L16" i="1"/>
  <c r="M16" i="1"/>
  <c r="M13" i="1"/>
  <c r="L13" i="1"/>
  <c r="L8" i="1"/>
  <c r="L20" i="1" s="1"/>
  <c r="M8" i="1"/>
  <c r="L9" i="1"/>
  <c r="L21" i="1" s="1"/>
  <c r="M9" i="1"/>
  <c r="M7" i="1"/>
  <c r="M10" i="1"/>
  <c r="L10" i="1"/>
  <c r="L7" i="1"/>
  <c r="J14" i="1"/>
  <c r="K14" i="1"/>
  <c r="J15" i="1"/>
  <c r="K15" i="1"/>
  <c r="J16" i="1"/>
  <c r="K16" i="1"/>
  <c r="K13" i="1"/>
  <c r="J13" i="1"/>
  <c r="J8" i="1"/>
  <c r="J20" i="1"/>
  <c r="K8" i="1"/>
  <c r="J9" i="1"/>
  <c r="J21" i="1"/>
  <c r="K9" i="1"/>
  <c r="J10" i="1"/>
  <c r="J22" i="1"/>
  <c r="K10" i="1"/>
  <c r="K7" i="1"/>
  <c r="J7" i="1"/>
  <c r="J19" i="1"/>
  <c r="H17" i="1"/>
  <c r="X17" i="1"/>
  <c r="T17" i="1"/>
  <c r="L17" i="1"/>
  <c r="K17" i="1"/>
  <c r="B16" i="1"/>
  <c r="B15" i="1"/>
  <c r="B14" i="1"/>
  <c r="Y17" i="1"/>
  <c r="W17" i="1"/>
  <c r="J17" i="1"/>
  <c r="I17" i="1"/>
  <c r="B13" i="1"/>
  <c r="C14" i="2"/>
  <c r="C26" i="2"/>
  <c r="C32" i="2"/>
  <c r="C13" i="2"/>
  <c r="C25" i="2"/>
  <c r="C31" i="2"/>
  <c r="C12" i="2"/>
  <c r="C24" i="2"/>
  <c r="C30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D26" i="2"/>
  <c r="E26" i="2"/>
  <c r="F26" i="2"/>
  <c r="G26" i="2"/>
  <c r="H26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B27" i="2"/>
  <c r="B26" i="2"/>
  <c r="B25" i="2"/>
  <c r="B24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C22" i="2"/>
  <c r="B21" i="2"/>
  <c r="B20" i="2"/>
  <c r="B19" i="2"/>
  <c r="B18" i="2"/>
  <c r="Y11" i="1"/>
  <c r="X11" i="1"/>
  <c r="W11" i="1"/>
  <c r="B46" i="50"/>
  <c r="B45" i="50"/>
  <c r="B44" i="50"/>
  <c r="C37" i="50"/>
  <c r="D37" i="50"/>
  <c r="D43" i="50"/>
  <c r="C43" i="50"/>
  <c r="B43" i="50"/>
  <c r="D38" i="50"/>
  <c r="D39" i="50"/>
  <c r="D40" i="50"/>
  <c r="D41" i="50"/>
  <c r="C40" i="50"/>
  <c r="D46" i="50"/>
  <c r="B40" i="50"/>
  <c r="C39" i="50"/>
  <c r="D45" i="50"/>
  <c r="B39" i="50"/>
  <c r="C38" i="50"/>
  <c r="D44" i="50"/>
  <c r="B38" i="50"/>
  <c r="C41" i="50"/>
  <c r="E41" i="50"/>
  <c r="B37" i="50"/>
  <c r="C15" i="50"/>
  <c r="C27" i="50"/>
  <c r="C33" i="50"/>
  <c r="B33" i="50"/>
  <c r="C14" i="50"/>
  <c r="C26" i="50"/>
  <c r="C32" i="50"/>
  <c r="B32" i="50"/>
  <c r="B31" i="50"/>
  <c r="B30" i="50"/>
  <c r="D27" i="50"/>
  <c r="E27" i="50"/>
  <c r="F27" i="50"/>
  <c r="G27" i="50"/>
  <c r="H27" i="50"/>
  <c r="I27" i="50"/>
  <c r="J27" i="50"/>
  <c r="K27" i="50"/>
  <c r="L27" i="50"/>
  <c r="M27" i="50"/>
  <c r="N27" i="50"/>
  <c r="O27" i="50"/>
  <c r="P27" i="50"/>
  <c r="B27" i="50"/>
  <c r="D26" i="50"/>
  <c r="E26" i="50"/>
  <c r="F26" i="50"/>
  <c r="G26" i="50"/>
  <c r="H26" i="50"/>
  <c r="I26" i="50"/>
  <c r="J26" i="50"/>
  <c r="K26" i="50"/>
  <c r="L26" i="50"/>
  <c r="M26" i="50"/>
  <c r="N26" i="50"/>
  <c r="O26" i="50"/>
  <c r="P26" i="50"/>
  <c r="B26" i="50"/>
  <c r="C25" i="50"/>
  <c r="B25" i="50"/>
  <c r="C24" i="50"/>
  <c r="B24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C22" i="50"/>
  <c r="B21" i="50"/>
  <c r="B20" i="50"/>
  <c r="B19" i="50"/>
  <c r="B18" i="50"/>
  <c r="C12" i="50"/>
  <c r="C13" i="50"/>
  <c r="C16" i="50"/>
  <c r="D15" i="50"/>
  <c r="B15" i="50"/>
  <c r="D14" i="50"/>
  <c r="B14" i="50"/>
  <c r="D13" i="50"/>
  <c r="B13" i="50"/>
  <c r="C30" i="50"/>
  <c r="B12" i="50"/>
  <c r="P10" i="50"/>
  <c r="O10" i="50"/>
  <c r="N10" i="50"/>
  <c r="M10" i="50"/>
  <c r="L10" i="50"/>
  <c r="K10" i="50"/>
  <c r="J10" i="50"/>
  <c r="I10" i="50"/>
  <c r="H10" i="50"/>
  <c r="G10" i="50"/>
  <c r="F10" i="50"/>
  <c r="E10" i="50"/>
  <c r="D10" i="50"/>
  <c r="C10" i="50"/>
  <c r="B9" i="50"/>
  <c r="B8" i="50"/>
  <c r="B7" i="50"/>
  <c r="B6" i="50"/>
  <c r="D4" i="50"/>
  <c r="E4" i="50"/>
  <c r="F4" i="50"/>
  <c r="G4" i="50"/>
  <c r="H4" i="50"/>
  <c r="I4" i="50"/>
  <c r="J4" i="50"/>
  <c r="K4" i="50"/>
  <c r="L4" i="50"/>
  <c r="M4" i="50"/>
  <c r="N4" i="50"/>
  <c r="O4" i="50"/>
  <c r="P4" i="50"/>
  <c r="B46" i="49"/>
  <c r="B45" i="49"/>
  <c r="C38" i="49"/>
  <c r="C44" i="49"/>
  <c r="B44" i="49"/>
  <c r="B43" i="49"/>
  <c r="D37" i="49"/>
  <c r="D38" i="49"/>
  <c r="D39" i="49"/>
  <c r="D40" i="49"/>
  <c r="D41" i="49"/>
  <c r="C40" i="49"/>
  <c r="D46" i="49"/>
  <c r="C46" i="49"/>
  <c r="B40" i="49"/>
  <c r="C39" i="49"/>
  <c r="D45" i="49"/>
  <c r="B39" i="49"/>
  <c r="E38" i="49"/>
  <c r="D44" i="49"/>
  <c r="B38" i="49"/>
  <c r="C37" i="49"/>
  <c r="C41" i="49"/>
  <c r="E41" i="49"/>
  <c r="B37" i="49"/>
  <c r="B33" i="49"/>
  <c r="B32" i="49"/>
  <c r="B31" i="49"/>
  <c r="B30" i="49"/>
  <c r="C27" i="49"/>
  <c r="D27" i="49"/>
  <c r="E27" i="49"/>
  <c r="F27" i="49"/>
  <c r="G27" i="49"/>
  <c r="H27" i="49"/>
  <c r="I27" i="49"/>
  <c r="J27" i="49"/>
  <c r="K27" i="49"/>
  <c r="L27" i="49"/>
  <c r="M27" i="49"/>
  <c r="N27" i="49"/>
  <c r="O27" i="49"/>
  <c r="P27" i="49"/>
  <c r="B27" i="49"/>
  <c r="C26" i="49"/>
  <c r="D26" i="49"/>
  <c r="E26" i="49"/>
  <c r="F26" i="49"/>
  <c r="G26" i="49"/>
  <c r="H26" i="49"/>
  <c r="I26" i="49"/>
  <c r="J26" i="49"/>
  <c r="K26" i="49"/>
  <c r="L26" i="49"/>
  <c r="M26" i="49"/>
  <c r="N26" i="49"/>
  <c r="O26" i="49"/>
  <c r="P26" i="49"/>
  <c r="B26" i="49"/>
  <c r="C25" i="49"/>
  <c r="C13" i="49"/>
  <c r="C31" i="49"/>
  <c r="B25" i="49"/>
  <c r="C24" i="49"/>
  <c r="D24" i="49"/>
  <c r="E24" i="49"/>
  <c r="C28" i="49"/>
  <c r="B24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1" i="49"/>
  <c r="B20" i="49"/>
  <c r="B19" i="49"/>
  <c r="B18" i="49"/>
  <c r="C15" i="49"/>
  <c r="D15" i="49"/>
  <c r="B15" i="49"/>
  <c r="C14" i="49"/>
  <c r="D14" i="49"/>
  <c r="E14" i="49"/>
  <c r="D32" i="49"/>
  <c r="B14" i="49"/>
  <c r="D13" i="49"/>
  <c r="B13" i="49"/>
  <c r="C12" i="49"/>
  <c r="B12" i="49"/>
  <c r="P10" i="49"/>
  <c r="O10" i="49"/>
  <c r="N10" i="49"/>
  <c r="M10" i="49"/>
  <c r="L10" i="49"/>
  <c r="K10" i="49"/>
  <c r="J10" i="49"/>
  <c r="I10" i="49"/>
  <c r="H10" i="49"/>
  <c r="G10" i="49"/>
  <c r="F10" i="49"/>
  <c r="E10" i="49"/>
  <c r="D10" i="49"/>
  <c r="C10" i="49"/>
  <c r="B9" i="49"/>
  <c r="B8" i="49"/>
  <c r="B7" i="49"/>
  <c r="B6" i="49"/>
  <c r="D4" i="49"/>
  <c r="E4" i="49"/>
  <c r="F4" i="49"/>
  <c r="G4" i="49"/>
  <c r="H4" i="49"/>
  <c r="I4" i="49"/>
  <c r="J4" i="49"/>
  <c r="K4" i="49"/>
  <c r="L4" i="49"/>
  <c r="M4" i="49"/>
  <c r="N4" i="49"/>
  <c r="O4" i="49"/>
  <c r="P4" i="49"/>
  <c r="B46" i="48"/>
  <c r="B45" i="48"/>
  <c r="B44" i="48"/>
  <c r="B43" i="48"/>
  <c r="D37" i="48"/>
  <c r="D38" i="48"/>
  <c r="D39" i="48"/>
  <c r="D40" i="48"/>
  <c r="D41" i="48"/>
  <c r="C40" i="48"/>
  <c r="C46" i="48"/>
  <c r="B40" i="48"/>
  <c r="C39" i="48"/>
  <c r="B39" i="48"/>
  <c r="C38" i="48"/>
  <c r="D44" i="48"/>
  <c r="B38" i="48"/>
  <c r="C37" i="48"/>
  <c r="B37" i="48"/>
  <c r="B33" i="48"/>
  <c r="B32" i="48"/>
  <c r="B31" i="48"/>
  <c r="B30" i="48"/>
  <c r="C27" i="48"/>
  <c r="D27" i="48"/>
  <c r="E27" i="48"/>
  <c r="F27" i="48"/>
  <c r="G27" i="48"/>
  <c r="H27" i="48"/>
  <c r="I27" i="48"/>
  <c r="J27" i="48"/>
  <c r="K27" i="48"/>
  <c r="L27" i="48"/>
  <c r="M27" i="48"/>
  <c r="N27" i="48"/>
  <c r="O27" i="48"/>
  <c r="P27" i="48"/>
  <c r="B27" i="48"/>
  <c r="C26" i="48"/>
  <c r="D26" i="48"/>
  <c r="E26" i="48"/>
  <c r="F26" i="48"/>
  <c r="G26" i="48"/>
  <c r="H26" i="48"/>
  <c r="I26" i="48"/>
  <c r="J26" i="48"/>
  <c r="K26" i="48"/>
  <c r="L26" i="48"/>
  <c r="M26" i="48"/>
  <c r="N26" i="48"/>
  <c r="O26" i="48"/>
  <c r="P26" i="48"/>
  <c r="B26" i="48"/>
  <c r="C25" i="48"/>
  <c r="D25" i="48"/>
  <c r="E25" i="48"/>
  <c r="F25" i="48"/>
  <c r="G25" i="48"/>
  <c r="H25" i="48"/>
  <c r="I25" i="48"/>
  <c r="J25" i="48"/>
  <c r="K25" i="48"/>
  <c r="L25" i="48"/>
  <c r="M25" i="48"/>
  <c r="N25" i="48"/>
  <c r="O25" i="48"/>
  <c r="P25" i="48"/>
  <c r="B25" i="48"/>
  <c r="C24" i="48"/>
  <c r="C28" i="48"/>
  <c r="B24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1" i="48"/>
  <c r="B20" i="48"/>
  <c r="B19" i="48"/>
  <c r="B18" i="48"/>
  <c r="C15" i="48"/>
  <c r="D15" i="48"/>
  <c r="B15" i="48"/>
  <c r="C14" i="48"/>
  <c r="D14" i="48"/>
  <c r="E14" i="48"/>
  <c r="E32" i="48"/>
  <c r="B14" i="48"/>
  <c r="C13" i="48"/>
  <c r="D13" i="48"/>
  <c r="D31" i="48"/>
  <c r="B13" i="48"/>
  <c r="C12" i="48"/>
  <c r="D12" i="48"/>
  <c r="B12" i="48"/>
  <c r="P10" i="48"/>
  <c r="O10" i="48"/>
  <c r="N10" i="48"/>
  <c r="M10" i="48"/>
  <c r="L10" i="48"/>
  <c r="K10" i="48"/>
  <c r="J10" i="48"/>
  <c r="I10" i="48"/>
  <c r="H10" i="48"/>
  <c r="G10" i="48"/>
  <c r="F10" i="48"/>
  <c r="E10" i="48"/>
  <c r="D10" i="48"/>
  <c r="C10" i="48"/>
  <c r="B9" i="48"/>
  <c r="B8" i="48"/>
  <c r="B7" i="48"/>
  <c r="B6" i="48"/>
  <c r="D4" i="48"/>
  <c r="E4" i="48"/>
  <c r="F4" i="48"/>
  <c r="G4" i="48"/>
  <c r="H4" i="48"/>
  <c r="I4" i="48"/>
  <c r="J4" i="48"/>
  <c r="K4" i="48"/>
  <c r="L4" i="48"/>
  <c r="M4" i="48"/>
  <c r="N4" i="48"/>
  <c r="O4" i="48"/>
  <c r="P4" i="48"/>
  <c r="B46" i="47"/>
  <c r="C39" i="47"/>
  <c r="C45" i="47"/>
  <c r="B45" i="47"/>
  <c r="B44" i="47"/>
  <c r="C37" i="47"/>
  <c r="C43" i="47"/>
  <c r="B43" i="47"/>
  <c r="D40" i="47"/>
  <c r="C40" i="47"/>
  <c r="E40" i="47"/>
  <c r="B40" i="47"/>
  <c r="D39" i="47"/>
  <c r="E39" i="47"/>
  <c r="B39" i="47"/>
  <c r="D38" i="47"/>
  <c r="C38" i="47"/>
  <c r="D44" i="47"/>
  <c r="B38" i="47"/>
  <c r="D37" i="47"/>
  <c r="E37" i="47"/>
  <c r="C41" i="47"/>
  <c r="B37" i="47"/>
  <c r="B33" i="47"/>
  <c r="B32" i="47"/>
  <c r="B31" i="47"/>
  <c r="B30" i="47"/>
  <c r="C27" i="47"/>
  <c r="C15" i="47"/>
  <c r="C33" i="47"/>
  <c r="B27" i="47"/>
  <c r="C26" i="47"/>
  <c r="D26" i="47"/>
  <c r="B26" i="47"/>
  <c r="C25" i="47"/>
  <c r="C13" i="47"/>
  <c r="C31" i="47"/>
  <c r="B25" i="47"/>
  <c r="C24" i="47"/>
  <c r="C28" i="47"/>
  <c r="B24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1" i="47"/>
  <c r="B20" i="47"/>
  <c r="B19" i="47"/>
  <c r="B18" i="47"/>
  <c r="C12" i="47"/>
  <c r="C14" i="47"/>
  <c r="C16" i="47"/>
  <c r="D15" i="47"/>
  <c r="B15" i="47"/>
  <c r="D14" i="47"/>
  <c r="E14" i="47"/>
  <c r="F14" i="47"/>
  <c r="B14" i="47"/>
  <c r="D13" i="47"/>
  <c r="E13" i="47"/>
  <c r="B13" i="47"/>
  <c r="D12" i="47"/>
  <c r="C30" i="47"/>
  <c r="B12" i="47"/>
  <c r="P10" i="47"/>
  <c r="O10" i="47"/>
  <c r="N10" i="47"/>
  <c r="M10" i="47"/>
  <c r="L10" i="47"/>
  <c r="K10" i="47"/>
  <c r="J10" i="47"/>
  <c r="I10" i="47"/>
  <c r="H10" i="47"/>
  <c r="G10" i="47"/>
  <c r="F10" i="47"/>
  <c r="E10" i="47"/>
  <c r="D10" i="47"/>
  <c r="C10" i="47"/>
  <c r="B9" i="47"/>
  <c r="B8" i="47"/>
  <c r="B7" i="47"/>
  <c r="B6" i="47"/>
  <c r="D4" i="47"/>
  <c r="E4" i="47"/>
  <c r="F4" i="47"/>
  <c r="G4" i="47"/>
  <c r="H4" i="47"/>
  <c r="I4" i="47"/>
  <c r="J4" i="47"/>
  <c r="K4" i="47"/>
  <c r="L4" i="47"/>
  <c r="M4" i="47"/>
  <c r="N4" i="47"/>
  <c r="O4" i="47"/>
  <c r="P4" i="47"/>
  <c r="B46" i="46"/>
  <c r="B45" i="46"/>
  <c r="B44" i="46"/>
  <c r="C37" i="46"/>
  <c r="C43" i="46"/>
  <c r="B43" i="46"/>
  <c r="D37" i="46"/>
  <c r="D38" i="46"/>
  <c r="D39" i="46"/>
  <c r="D40" i="46"/>
  <c r="D41" i="46"/>
  <c r="C40" i="46"/>
  <c r="E40" i="46"/>
  <c r="B40" i="46"/>
  <c r="C39" i="46"/>
  <c r="D45" i="46"/>
  <c r="B39" i="46"/>
  <c r="C38" i="46"/>
  <c r="D44" i="46"/>
  <c r="B38" i="46"/>
  <c r="C41" i="46"/>
  <c r="E41" i="46"/>
  <c r="B37" i="46"/>
  <c r="C15" i="46"/>
  <c r="C27" i="46"/>
  <c r="C33" i="46"/>
  <c r="B33" i="46"/>
  <c r="C14" i="46"/>
  <c r="C26" i="46"/>
  <c r="C32" i="46"/>
  <c r="B32" i="46"/>
  <c r="B31" i="46"/>
  <c r="B30" i="46"/>
  <c r="D27" i="46"/>
  <c r="E27" i="46"/>
  <c r="F27" i="46"/>
  <c r="G27" i="46"/>
  <c r="H27" i="46"/>
  <c r="I27" i="46"/>
  <c r="J27" i="46"/>
  <c r="K27" i="46"/>
  <c r="L27" i="46"/>
  <c r="M27" i="46"/>
  <c r="N27" i="46"/>
  <c r="O27" i="46"/>
  <c r="P27" i="46"/>
  <c r="B27" i="46"/>
  <c r="D26" i="46"/>
  <c r="D14" i="46"/>
  <c r="D32" i="46"/>
  <c r="B26" i="46"/>
  <c r="C25" i="46"/>
  <c r="D25" i="46"/>
  <c r="E25" i="46"/>
  <c r="F25" i="46"/>
  <c r="G25" i="46"/>
  <c r="H25" i="46"/>
  <c r="I25" i="46"/>
  <c r="J25" i="46"/>
  <c r="K25" i="46"/>
  <c r="L25" i="46"/>
  <c r="M25" i="46"/>
  <c r="N25" i="46"/>
  <c r="O25" i="46"/>
  <c r="P25" i="46"/>
  <c r="B25" i="46"/>
  <c r="C24" i="46"/>
  <c r="C28" i="46"/>
  <c r="B24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1" i="46"/>
  <c r="B20" i="46"/>
  <c r="B19" i="46"/>
  <c r="B18" i="46"/>
  <c r="C12" i="46"/>
  <c r="C13" i="46"/>
  <c r="C16" i="46"/>
  <c r="D15" i="46"/>
  <c r="B15" i="46"/>
  <c r="E14" i="46"/>
  <c r="B14" i="46"/>
  <c r="D13" i="46"/>
  <c r="D31" i="46"/>
  <c r="B13" i="46"/>
  <c r="C30" i="46"/>
  <c r="B12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B9" i="46"/>
  <c r="B8" i="46"/>
  <c r="B7" i="46"/>
  <c r="B6" i="46"/>
  <c r="D4" i="46"/>
  <c r="E4" i="46"/>
  <c r="F4" i="46"/>
  <c r="G4" i="46"/>
  <c r="H4" i="46"/>
  <c r="I4" i="46"/>
  <c r="J4" i="46"/>
  <c r="K4" i="46"/>
  <c r="L4" i="46"/>
  <c r="M4" i="46"/>
  <c r="N4" i="46"/>
  <c r="O4" i="46"/>
  <c r="P4" i="46"/>
  <c r="B46" i="45"/>
  <c r="B45" i="45"/>
  <c r="B44" i="45"/>
  <c r="C37" i="45"/>
  <c r="C43" i="45"/>
  <c r="B43" i="45"/>
  <c r="D37" i="45"/>
  <c r="D38" i="45"/>
  <c r="D39" i="45"/>
  <c r="D40" i="45"/>
  <c r="D41" i="45"/>
  <c r="C40" i="45"/>
  <c r="D46" i="45"/>
  <c r="B40" i="45"/>
  <c r="C39" i="45"/>
  <c r="D45" i="45"/>
  <c r="B39" i="45"/>
  <c r="C38" i="45"/>
  <c r="D44" i="45"/>
  <c r="B38" i="45"/>
  <c r="C41" i="45"/>
  <c r="E41" i="45"/>
  <c r="B37" i="45"/>
  <c r="C15" i="45"/>
  <c r="C27" i="45"/>
  <c r="C33" i="45"/>
  <c r="B33" i="45"/>
  <c r="C14" i="45"/>
  <c r="C26" i="45"/>
  <c r="C32" i="45"/>
  <c r="B32" i="45"/>
  <c r="B31" i="45"/>
  <c r="B30" i="45"/>
  <c r="D27" i="45"/>
  <c r="E27" i="45"/>
  <c r="F27" i="45"/>
  <c r="G27" i="45"/>
  <c r="H27" i="45"/>
  <c r="I27" i="45"/>
  <c r="J27" i="45"/>
  <c r="K27" i="45"/>
  <c r="L27" i="45"/>
  <c r="M27" i="45"/>
  <c r="N27" i="45"/>
  <c r="O27" i="45"/>
  <c r="P27" i="45"/>
  <c r="B27" i="45"/>
  <c r="D26" i="45"/>
  <c r="E26" i="45"/>
  <c r="F26" i="45"/>
  <c r="G26" i="45"/>
  <c r="H26" i="45"/>
  <c r="I26" i="45"/>
  <c r="J26" i="45"/>
  <c r="K26" i="45"/>
  <c r="L26" i="45"/>
  <c r="M26" i="45"/>
  <c r="N26" i="45"/>
  <c r="O26" i="45"/>
  <c r="P26" i="45"/>
  <c r="B26" i="45"/>
  <c r="C25" i="45"/>
  <c r="C13" i="45"/>
  <c r="C31" i="45"/>
  <c r="B25" i="45"/>
  <c r="C24" i="45"/>
  <c r="C28" i="45"/>
  <c r="B24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1" i="45"/>
  <c r="B20" i="45"/>
  <c r="B19" i="45"/>
  <c r="B18" i="45"/>
  <c r="C12" i="45"/>
  <c r="C16" i="45"/>
  <c r="D15" i="45"/>
  <c r="B15" i="45"/>
  <c r="D14" i="45"/>
  <c r="B14" i="45"/>
  <c r="D13" i="45"/>
  <c r="B13" i="45"/>
  <c r="C30" i="45"/>
  <c r="B12" i="45"/>
  <c r="P10" i="45"/>
  <c r="O10" i="45"/>
  <c r="N10" i="45"/>
  <c r="M10" i="45"/>
  <c r="L10" i="45"/>
  <c r="K10" i="45"/>
  <c r="J10" i="45"/>
  <c r="I10" i="45"/>
  <c r="H10" i="45"/>
  <c r="G10" i="45"/>
  <c r="F10" i="45"/>
  <c r="E10" i="45"/>
  <c r="D10" i="45"/>
  <c r="C10" i="45"/>
  <c r="B9" i="45"/>
  <c r="B8" i="45"/>
  <c r="B7" i="45"/>
  <c r="B6" i="45"/>
  <c r="D4" i="45"/>
  <c r="E4" i="45"/>
  <c r="F4" i="45"/>
  <c r="G4" i="45"/>
  <c r="H4" i="45"/>
  <c r="I4" i="45"/>
  <c r="J4" i="45"/>
  <c r="K4" i="45"/>
  <c r="L4" i="45"/>
  <c r="M4" i="45"/>
  <c r="N4" i="45"/>
  <c r="O4" i="45"/>
  <c r="P4" i="45"/>
  <c r="B46" i="44"/>
  <c r="B45" i="44"/>
  <c r="B44" i="44"/>
  <c r="B43" i="44"/>
  <c r="D40" i="44"/>
  <c r="C40" i="44"/>
  <c r="D46" i="44"/>
  <c r="E40" i="44"/>
  <c r="B40" i="44"/>
  <c r="D39" i="44"/>
  <c r="C39" i="44"/>
  <c r="C45" i="44" s="1"/>
  <c r="B39" i="44"/>
  <c r="D38" i="44"/>
  <c r="C38" i="44"/>
  <c r="B38" i="44"/>
  <c r="D37" i="44"/>
  <c r="E37" i="44" s="1"/>
  <c r="C37" i="44"/>
  <c r="C41" i="44"/>
  <c r="B37" i="44"/>
  <c r="B33" i="44"/>
  <c r="B32" i="44"/>
  <c r="B31" i="44"/>
  <c r="B30" i="44"/>
  <c r="C27" i="44"/>
  <c r="D27" i="44"/>
  <c r="E27" i="44"/>
  <c r="F27" i="44"/>
  <c r="G27" i="44"/>
  <c r="H27" i="44"/>
  <c r="I27" i="44"/>
  <c r="J27" i="44"/>
  <c r="K27" i="44"/>
  <c r="L27" i="44" s="1"/>
  <c r="B27" i="44"/>
  <c r="C26" i="44"/>
  <c r="D26" i="44"/>
  <c r="B26" i="44"/>
  <c r="C25" i="44"/>
  <c r="C13" i="44"/>
  <c r="C31" i="44"/>
  <c r="B25" i="44"/>
  <c r="C24" i="44"/>
  <c r="D24" i="44"/>
  <c r="E24" i="44"/>
  <c r="C28" i="44"/>
  <c r="B24" i="44"/>
  <c r="P22" i="44"/>
  <c r="O22" i="44"/>
  <c r="M22" i="44"/>
  <c r="L22" i="44"/>
  <c r="K22" i="44"/>
  <c r="J22" i="44"/>
  <c r="I22" i="44"/>
  <c r="H22" i="44"/>
  <c r="G22" i="44"/>
  <c r="F22" i="44"/>
  <c r="E22" i="44"/>
  <c r="D22" i="44"/>
  <c r="C22" i="44"/>
  <c r="B21" i="44"/>
  <c r="B20" i="44"/>
  <c r="B19" i="44"/>
  <c r="B18" i="44"/>
  <c r="C15" i="44"/>
  <c r="D15" i="44"/>
  <c r="B15" i="44"/>
  <c r="C14" i="44"/>
  <c r="D14" i="44"/>
  <c r="E14" i="44"/>
  <c r="F14" i="44" s="1"/>
  <c r="C32" i="44"/>
  <c r="B14" i="44"/>
  <c r="D13" i="44"/>
  <c r="D31" i="44" s="1"/>
  <c r="D34" i="44" s="1"/>
  <c r="B13" i="44"/>
  <c r="C12" i="44"/>
  <c r="C16" i="44"/>
  <c r="B12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9" i="44"/>
  <c r="B8" i="44"/>
  <c r="B7" i="44"/>
  <c r="B6" i="44"/>
  <c r="D4" i="44"/>
  <c r="E4" i="44"/>
  <c r="F4" i="44"/>
  <c r="G4" i="44"/>
  <c r="H4" i="44"/>
  <c r="I4" i="44"/>
  <c r="J4" i="44"/>
  <c r="K4" i="44"/>
  <c r="L4" i="44"/>
  <c r="M4" i="44"/>
  <c r="N4" i="44"/>
  <c r="O4" i="44"/>
  <c r="P4" i="44"/>
  <c r="B46" i="43"/>
  <c r="B45" i="43"/>
  <c r="B44" i="43"/>
  <c r="B43" i="43"/>
  <c r="B40" i="43"/>
  <c r="B39" i="43"/>
  <c r="B38" i="43"/>
  <c r="B37" i="43"/>
  <c r="B33" i="43"/>
  <c r="C14" i="43"/>
  <c r="C26" i="43"/>
  <c r="C32" i="43"/>
  <c r="B32" i="43"/>
  <c r="B31" i="43"/>
  <c r="B30" i="43"/>
  <c r="C27" i="43"/>
  <c r="D27" i="43"/>
  <c r="E27" i="43"/>
  <c r="F27" i="43"/>
  <c r="G27" i="43"/>
  <c r="H27" i="43"/>
  <c r="I27" i="43"/>
  <c r="J27" i="43"/>
  <c r="K27" i="43"/>
  <c r="L27" i="43"/>
  <c r="M27" i="43"/>
  <c r="N27" i="43"/>
  <c r="O27" i="43"/>
  <c r="P27" i="43"/>
  <c r="B27" i="43"/>
  <c r="D26" i="43"/>
  <c r="E26" i="43"/>
  <c r="F26" i="43"/>
  <c r="G26" i="43"/>
  <c r="H26" i="43"/>
  <c r="I26" i="43"/>
  <c r="J26" i="43"/>
  <c r="K26" i="43"/>
  <c r="L26" i="43"/>
  <c r="M26" i="43"/>
  <c r="N26" i="43"/>
  <c r="O26" i="43"/>
  <c r="P26" i="43"/>
  <c r="B26" i="43"/>
  <c r="C25" i="43"/>
  <c r="C13" i="43"/>
  <c r="C31" i="43"/>
  <c r="B25" i="43"/>
  <c r="C24" i="43"/>
  <c r="C28" i="43"/>
  <c r="B24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1" i="43"/>
  <c r="B20" i="43"/>
  <c r="B19" i="43"/>
  <c r="B18" i="43"/>
  <c r="C15" i="43"/>
  <c r="D15" i="43"/>
  <c r="B15" i="43"/>
  <c r="D14" i="43"/>
  <c r="B14" i="43"/>
  <c r="D13" i="43"/>
  <c r="B13" i="43"/>
  <c r="C12" i="43"/>
  <c r="C30" i="43"/>
  <c r="B12" i="43"/>
  <c r="B9" i="43"/>
  <c r="B8" i="43"/>
  <c r="B7" i="43"/>
  <c r="B6" i="43"/>
  <c r="D4" i="43"/>
  <c r="E4" i="43"/>
  <c r="F4" i="43"/>
  <c r="G4" i="43"/>
  <c r="H4" i="43"/>
  <c r="I4" i="43"/>
  <c r="J4" i="43"/>
  <c r="K4" i="43"/>
  <c r="L4" i="43"/>
  <c r="M4" i="43"/>
  <c r="N4" i="43"/>
  <c r="O4" i="43"/>
  <c r="P4" i="43"/>
  <c r="B46" i="42"/>
  <c r="B45" i="42"/>
  <c r="B44" i="42"/>
  <c r="B43" i="42"/>
  <c r="B40" i="42"/>
  <c r="B39" i="42"/>
  <c r="B38" i="42"/>
  <c r="B37" i="42"/>
  <c r="C15" i="42"/>
  <c r="C27" i="42"/>
  <c r="C33" i="42"/>
  <c r="B33" i="42"/>
  <c r="C14" i="42"/>
  <c r="C26" i="42"/>
  <c r="C32" i="42"/>
  <c r="B32" i="42"/>
  <c r="B31" i="42"/>
  <c r="B30" i="42"/>
  <c r="D27" i="42"/>
  <c r="E27" i="42"/>
  <c r="F27" i="42"/>
  <c r="G27" i="42"/>
  <c r="H27" i="42"/>
  <c r="I27" i="42"/>
  <c r="J27" i="42"/>
  <c r="K27" i="42"/>
  <c r="L27" i="42"/>
  <c r="M27" i="42"/>
  <c r="N27" i="42"/>
  <c r="O27" i="42"/>
  <c r="P27" i="42"/>
  <c r="B27" i="42"/>
  <c r="D26" i="42"/>
  <c r="B26" i="42"/>
  <c r="C25" i="42"/>
  <c r="D25" i="42"/>
  <c r="E25" i="42"/>
  <c r="F25" i="42"/>
  <c r="G25" i="42"/>
  <c r="H25" i="42"/>
  <c r="I25" i="42"/>
  <c r="J25" i="42"/>
  <c r="K25" i="42"/>
  <c r="L25" i="42"/>
  <c r="M25" i="42"/>
  <c r="N25" i="42"/>
  <c r="O25" i="42"/>
  <c r="P25" i="42"/>
  <c r="B25" i="42"/>
  <c r="C24" i="42"/>
  <c r="C28" i="42"/>
  <c r="B24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1" i="42"/>
  <c r="B20" i="42"/>
  <c r="B19" i="42"/>
  <c r="B18" i="42"/>
  <c r="C12" i="42"/>
  <c r="C13" i="42"/>
  <c r="C16" i="42"/>
  <c r="D15" i="42"/>
  <c r="B15" i="42"/>
  <c r="D14" i="42"/>
  <c r="E14" i="42"/>
  <c r="B14" i="42"/>
  <c r="D13" i="42"/>
  <c r="B13" i="42"/>
  <c r="C30" i="42"/>
  <c r="B12" i="42"/>
  <c r="P10" i="42"/>
  <c r="O10" i="42"/>
  <c r="N10" i="42"/>
  <c r="M10" i="42"/>
  <c r="L10" i="42"/>
  <c r="K10" i="42"/>
  <c r="J10" i="42"/>
  <c r="I10" i="42"/>
  <c r="H10" i="42"/>
  <c r="G10" i="42"/>
  <c r="F10" i="42"/>
  <c r="E10" i="42"/>
  <c r="D10" i="42"/>
  <c r="C10" i="42"/>
  <c r="B9" i="42"/>
  <c r="B8" i="42"/>
  <c r="B7" i="42"/>
  <c r="B6" i="42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C38" i="15"/>
  <c r="D38" i="15"/>
  <c r="C39" i="15"/>
  <c r="D39" i="15"/>
  <c r="C40" i="15"/>
  <c r="C46" i="15"/>
  <c r="D40" i="15"/>
  <c r="D37" i="15"/>
  <c r="C37" i="15"/>
  <c r="B46" i="15"/>
  <c r="B45" i="15"/>
  <c r="B44" i="15"/>
  <c r="B43" i="15"/>
  <c r="B40" i="15"/>
  <c r="B39" i="15"/>
  <c r="B38" i="15"/>
  <c r="B37" i="15"/>
  <c r="B33" i="15"/>
  <c r="B32" i="15"/>
  <c r="B31" i="15"/>
  <c r="B30" i="15"/>
  <c r="K20" i="1"/>
  <c r="K21" i="1"/>
  <c r="D44" i="43"/>
  <c r="D45" i="43"/>
  <c r="D46" i="43"/>
  <c r="K22" i="1"/>
  <c r="L22" i="1"/>
  <c r="M22" i="1"/>
  <c r="N22" i="1" s="1"/>
  <c r="C33" i="43"/>
  <c r="C34" i="43"/>
  <c r="C16" i="43"/>
  <c r="K19" i="1"/>
  <c r="L19" i="1"/>
  <c r="M19" i="1"/>
  <c r="N19" i="1" s="1"/>
  <c r="K11" i="1"/>
  <c r="J11" i="1"/>
  <c r="C43" i="43"/>
  <c r="D44" i="42"/>
  <c r="D32" i="42"/>
  <c r="E40" i="42"/>
  <c r="D45" i="42"/>
  <c r="I11" i="1"/>
  <c r="C43" i="42"/>
  <c r="H11" i="1"/>
  <c r="D44" i="15"/>
  <c r="D45" i="15"/>
  <c r="D46" i="15"/>
  <c r="V17" i="1"/>
  <c r="R17" i="1"/>
  <c r="S11" i="1"/>
  <c r="P11" i="1"/>
  <c r="O11" i="1"/>
  <c r="U11" i="1"/>
  <c r="I26" i="2"/>
  <c r="C28" i="2"/>
  <c r="V11" i="1"/>
  <c r="T11" i="1"/>
  <c r="R11" i="1"/>
  <c r="D47" i="50"/>
  <c r="E15" i="50"/>
  <c r="D33" i="50"/>
  <c r="C31" i="50"/>
  <c r="C34" i="50"/>
  <c r="D25" i="50"/>
  <c r="E25" i="50"/>
  <c r="F25" i="50"/>
  <c r="G25" i="50"/>
  <c r="H25" i="50"/>
  <c r="I25" i="50"/>
  <c r="J25" i="50"/>
  <c r="K25" i="50"/>
  <c r="L25" i="50"/>
  <c r="M25" i="50"/>
  <c r="N25" i="50"/>
  <c r="O25" i="50"/>
  <c r="P25" i="50"/>
  <c r="D32" i="50"/>
  <c r="E14" i="50"/>
  <c r="C28" i="50"/>
  <c r="D12" i="50"/>
  <c r="E13" i="50"/>
  <c r="C45" i="50"/>
  <c r="E37" i="50"/>
  <c r="E39" i="50"/>
  <c r="D24" i="50"/>
  <c r="E38" i="50"/>
  <c r="E40" i="50"/>
  <c r="C44" i="50"/>
  <c r="C46" i="50"/>
  <c r="C47" i="50"/>
  <c r="D12" i="49"/>
  <c r="C30" i="49"/>
  <c r="C16" i="49"/>
  <c r="E32" i="49"/>
  <c r="F14" i="49"/>
  <c r="E15" i="49"/>
  <c r="D33" i="49"/>
  <c r="E13" i="49"/>
  <c r="F24" i="49"/>
  <c r="E37" i="49"/>
  <c r="E39" i="49"/>
  <c r="C33" i="49"/>
  <c r="C43" i="49"/>
  <c r="C45" i="49"/>
  <c r="C47" i="49"/>
  <c r="D25" i="49"/>
  <c r="C32" i="49"/>
  <c r="D43" i="49"/>
  <c r="D47" i="49"/>
  <c r="E40" i="49"/>
  <c r="E12" i="48"/>
  <c r="D16" i="48"/>
  <c r="C41" i="48"/>
  <c r="E41" i="48"/>
  <c r="C43" i="48"/>
  <c r="D43" i="48"/>
  <c r="E37" i="48"/>
  <c r="D32" i="48"/>
  <c r="E15" i="48"/>
  <c r="D33" i="48"/>
  <c r="F14" i="48"/>
  <c r="E13" i="48"/>
  <c r="E39" i="48"/>
  <c r="D45" i="48"/>
  <c r="C45" i="48"/>
  <c r="C16" i="48"/>
  <c r="C30" i="48"/>
  <c r="C33" i="48"/>
  <c r="C32" i="48"/>
  <c r="D24" i="48"/>
  <c r="C31" i="48"/>
  <c r="D46" i="48"/>
  <c r="E38" i="48"/>
  <c r="E40" i="48"/>
  <c r="C44" i="48"/>
  <c r="E26" i="47"/>
  <c r="F26" i="47"/>
  <c r="F32" i="47"/>
  <c r="E15" i="47"/>
  <c r="D27" i="47"/>
  <c r="D33" i="47"/>
  <c r="D24" i="47"/>
  <c r="D30" i="47"/>
  <c r="D32" i="47"/>
  <c r="G26" i="47"/>
  <c r="H26" i="47"/>
  <c r="I26" i="47"/>
  <c r="J26" i="47"/>
  <c r="K26" i="47"/>
  <c r="L26" i="47"/>
  <c r="M26" i="47"/>
  <c r="N26" i="47"/>
  <c r="O26" i="47"/>
  <c r="P26" i="47"/>
  <c r="D41" i="47"/>
  <c r="E41" i="47"/>
  <c r="F13" i="47"/>
  <c r="D45" i="47"/>
  <c r="D16" i="47"/>
  <c r="D25" i="47"/>
  <c r="E25" i="47"/>
  <c r="F25" i="47"/>
  <c r="G25" i="47"/>
  <c r="H25" i="47"/>
  <c r="I25" i="47"/>
  <c r="J25" i="47"/>
  <c r="K25" i="47"/>
  <c r="L25" i="47"/>
  <c r="M25" i="47"/>
  <c r="N25" i="47"/>
  <c r="O25" i="47"/>
  <c r="P25" i="47"/>
  <c r="C46" i="47"/>
  <c r="C32" i="47"/>
  <c r="C34" i="47"/>
  <c r="D43" i="47"/>
  <c r="D46" i="47"/>
  <c r="E38" i="47"/>
  <c r="C44" i="47"/>
  <c r="C47" i="47"/>
  <c r="E12" i="47"/>
  <c r="G14" i="47"/>
  <c r="E27" i="47"/>
  <c r="F27" i="47"/>
  <c r="G27" i="47"/>
  <c r="H27" i="47"/>
  <c r="I27" i="47"/>
  <c r="J27" i="47"/>
  <c r="K27" i="47"/>
  <c r="L27" i="47"/>
  <c r="M27" i="47"/>
  <c r="N27" i="47"/>
  <c r="O27" i="47"/>
  <c r="P27" i="47"/>
  <c r="E15" i="46"/>
  <c r="D33" i="46"/>
  <c r="E26" i="46"/>
  <c r="E32" i="46"/>
  <c r="D12" i="46"/>
  <c r="E13" i="46"/>
  <c r="F14" i="46"/>
  <c r="C45" i="46"/>
  <c r="E37" i="46"/>
  <c r="E39" i="46"/>
  <c r="F26" i="46"/>
  <c r="G26" i="46"/>
  <c r="H26" i="46"/>
  <c r="I26" i="46"/>
  <c r="J26" i="46"/>
  <c r="K26" i="46"/>
  <c r="L26" i="46"/>
  <c r="M26" i="46"/>
  <c r="N26" i="46"/>
  <c r="O26" i="46"/>
  <c r="P26" i="46"/>
  <c r="C46" i="46"/>
  <c r="C44" i="46"/>
  <c r="C47" i="46"/>
  <c r="D24" i="46"/>
  <c r="C31" i="46"/>
  <c r="C34" i="46"/>
  <c r="D46" i="46"/>
  <c r="E38" i="46"/>
  <c r="D43" i="46"/>
  <c r="E15" i="45"/>
  <c r="D33" i="45"/>
  <c r="C44" i="45"/>
  <c r="C45" i="45"/>
  <c r="C46" i="45"/>
  <c r="C47" i="45"/>
  <c r="C34" i="45"/>
  <c r="D32" i="45"/>
  <c r="E14" i="45"/>
  <c r="D12" i="45"/>
  <c r="E13" i="45"/>
  <c r="E37" i="45"/>
  <c r="E39" i="45"/>
  <c r="D43" i="45"/>
  <c r="D47" i="45"/>
  <c r="D24" i="45"/>
  <c r="E38" i="45"/>
  <c r="E40" i="45"/>
  <c r="D25" i="45"/>
  <c r="E25" i="45"/>
  <c r="F25" i="45"/>
  <c r="G25" i="45"/>
  <c r="H25" i="45"/>
  <c r="I25" i="45"/>
  <c r="J25" i="45"/>
  <c r="K25" i="45"/>
  <c r="L25" i="45"/>
  <c r="M25" i="45"/>
  <c r="N25" i="45"/>
  <c r="O25" i="45"/>
  <c r="P25" i="45"/>
  <c r="D32" i="44"/>
  <c r="E26" i="44"/>
  <c r="F26" i="44"/>
  <c r="G26" i="44"/>
  <c r="H26" i="44"/>
  <c r="I26" i="44"/>
  <c r="J26" i="44"/>
  <c r="K26" i="44" s="1"/>
  <c r="F24" i="44"/>
  <c r="E32" i="44"/>
  <c r="E15" i="44"/>
  <c r="D33" i="44"/>
  <c r="C33" i="44"/>
  <c r="C43" i="44"/>
  <c r="D25" i="44"/>
  <c r="D43" i="44"/>
  <c r="C46" i="44"/>
  <c r="D12" i="44"/>
  <c r="C30" i="44"/>
  <c r="C34" i="44"/>
  <c r="E38" i="44"/>
  <c r="E15" i="43"/>
  <c r="D33" i="43"/>
  <c r="D32" i="43"/>
  <c r="E14" i="43"/>
  <c r="D12" i="43"/>
  <c r="E13" i="43"/>
  <c r="C45" i="43"/>
  <c r="E37" i="43"/>
  <c r="E39" i="43"/>
  <c r="C46" i="43"/>
  <c r="E38" i="43"/>
  <c r="E40" i="43"/>
  <c r="C44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D43" i="43"/>
  <c r="D24" i="43"/>
  <c r="E15" i="42"/>
  <c r="D33" i="42"/>
  <c r="D31" i="42"/>
  <c r="D12" i="42"/>
  <c r="E13" i="42"/>
  <c r="F14" i="42"/>
  <c r="C45" i="42"/>
  <c r="E37" i="42"/>
  <c r="E39" i="42"/>
  <c r="E26" i="42"/>
  <c r="F26" i="42"/>
  <c r="G26" i="42"/>
  <c r="H26" i="42"/>
  <c r="I26" i="42"/>
  <c r="J26" i="42"/>
  <c r="K26" i="42"/>
  <c r="L26" i="42"/>
  <c r="M26" i="42"/>
  <c r="N26" i="42"/>
  <c r="O26" i="42"/>
  <c r="P26" i="42"/>
  <c r="C46" i="42"/>
  <c r="D24" i="42"/>
  <c r="C31" i="42"/>
  <c r="C34" i="42"/>
  <c r="D46" i="42"/>
  <c r="E38" i="42"/>
  <c r="C44" i="42"/>
  <c r="D43" i="42"/>
  <c r="E40" i="15"/>
  <c r="D41" i="15"/>
  <c r="C44" i="15"/>
  <c r="D43" i="15"/>
  <c r="C43" i="15"/>
  <c r="C45" i="15"/>
  <c r="C41" i="15"/>
  <c r="E37" i="15"/>
  <c r="E39" i="15"/>
  <c r="E38" i="15"/>
  <c r="C27" i="15"/>
  <c r="D27" i="15"/>
  <c r="E27" i="15"/>
  <c r="F27" i="15"/>
  <c r="G27" i="15"/>
  <c r="H27" i="15"/>
  <c r="I27" i="15"/>
  <c r="J27" i="15"/>
  <c r="K27" i="15"/>
  <c r="L27" i="15"/>
  <c r="M27" i="15"/>
  <c r="C26" i="15"/>
  <c r="D26" i="15"/>
  <c r="C25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C12" i="15"/>
  <c r="B27" i="15"/>
  <c r="B26" i="15"/>
  <c r="B25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B24" i="15"/>
  <c r="P22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1" i="15"/>
  <c r="B20" i="15"/>
  <c r="B19" i="15"/>
  <c r="B18" i="15"/>
  <c r="C13" i="15"/>
  <c r="C31" i="15"/>
  <c r="C14" i="15"/>
  <c r="C32" i="15"/>
  <c r="C15" i="15"/>
  <c r="D47" i="43"/>
  <c r="C47" i="43"/>
  <c r="D47" i="42"/>
  <c r="C47" i="42"/>
  <c r="D47" i="15"/>
  <c r="E41" i="15"/>
  <c r="C87" i="15"/>
  <c r="C88" i="15"/>
  <c r="C10" i="15"/>
  <c r="D88" i="15"/>
  <c r="D10" i="15"/>
  <c r="E88" i="15"/>
  <c r="E10" i="15"/>
  <c r="F88" i="15"/>
  <c r="D15" i="15"/>
  <c r="E15" i="15"/>
  <c r="C33" i="15"/>
  <c r="J26" i="2"/>
  <c r="E31" i="50"/>
  <c r="F13" i="50"/>
  <c r="D31" i="50"/>
  <c r="E32" i="50"/>
  <c r="F14" i="50"/>
  <c r="E33" i="50"/>
  <c r="F15" i="50"/>
  <c r="D30" i="50"/>
  <c r="D34" i="50"/>
  <c r="D16" i="50"/>
  <c r="E12" i="50"/>
  <c r="E24" i="50"/>
  <c r="D28" i="50"/>
  <c r="F13" i="49"/>
  <c r="E25" i="49"/>
  <c r="D28" i="49"/>
  <c r="E33" i="49"/>
  <c r="F15" i="49"/>
  <c r="F32" i="49"/>
  <c r="G14" i="49"/>
  <c r="G24" i="49"/>
  <c r="C34" i="49"/>
  <c r="D31" i="49"/>
  <c r="D30" i="49"/>
  <c r="D34" i="49"/>
  <c r="D16" i="49"/>
  <c r="E12" i="49"/>
  <c r="D47" i="48"/>
  <c r="C47" i="48"/>
  <c r="E24" i="48"/>
  <c r="D28" i="48"/>
  <c r="E31" i="48"/>
  <c r="F13" i="48"/>
  <c r="F32" i="48"/>
  <c r="G14" i="48"/>
  <c r="F12" i="48"/>
  <c r="E16" i="48"/>
  <c r="E30" i="48"/>
  <c r="C34" i="48"/>
  <c r="E33" i="48"/>
  <c r="F15" i="48"/>
  <c r="D30" i="48"/>
  <c r="D34" i="48"/>
  <c r="E33" i="47"/>
  <c r="F15" i="47"/>
  <c r="E16" i="47"/>
  <c r="F12" i="47"/>
  <c r="F31" i="47"/>
  <c r="G13" i="47"/>
  <c r="D31" i="47"/>
  <c r="D34" i="47"/>
  <c r="D47" i="47"/>
  <c r="E24" i="47"/>
  <c r="E30" i="47"/>
  <c r="E31" i="47"/>
  <c r="E32" i="47"/>
  <c r="E34" i="47"/>
  <c r="D28" i="47"/>
  <c r="H14" i="47"/>
  <c r="G32" i="47"/>
  <c r="F32" i="46"/>
  <c r="G14" i="46"/>
  <c r="E31" i="46"/>
  <c r="F13" i="46"/>
  <c r="E24" i="46"/>
  <c r="D28" i="46"/>
  <c r="D30" i="46"/>
  <c r="D34" i="46"/>
  <c r="D16" i="46"/>
  <c r="E12" i="46"/>
  <c r="D47" i="46"/>
  <c r="E33" i="46"/>
  <c r="F15" i="46"/>
  <c r="D30" i="45"/>
  <c r="D16" i="45"/>
  <c r="E12" i="45"/>
  <c r="E32" i="45"/>
  <c r="F14" i="45"/>
  <c r="E24" i="45"/>
  <c r="D28" i="45"/>
  <c r="E33" i="45"/>
  <c r="F15" i="45"/>
  <c r="E31" i="45"/>
  <c r="F13" i="45"/>
  <c r="D31" i="45"/>
  <c r="F15" i="44"/>
  <c r="E33" i="44"/>
  <c r="G24" i="44"/>
  <c r="D30" i="44"/>
  <c r="E12" i="44"/>
  <c r="D16" i="44"/>
  <c r="E25" i="44"/>
  <c r="D28" i="44"/>
  <c r="E31" i="43"/>
  <c r="F13" i="43"/>
  <c r="D30" i="43"/>
  <c r="D16" i="43"/>
  <c r="E12" i="43"/>
  <c r="D31" i="43"/>
  <c r="E32" i="43"/>
  <c r="F14" i="43"/>
  <c r="E24" i="43"/>
  <c r="D28" i="43"/>
  <c r="E33" i="43"/>
  <c r="F15" i="43"/>
  <c r="E24" i="42"/>
  <c r="D28" i="42"/>
  <c r="D30" i="42"/>
  <c r="D34" i="42"/>
  <c r="D16" i="42"/>
  <c r="E12" i="42"/>
  <c r="E32" i="42"/>
  <c r="E31" i="42"/>
  <c r="F13" i="42"/>
  <c r="E33" i="42"/>
  <c r="F15" i="42"/>
  <c r="F32" i="42"/>
  <c r="G14" i="42"/>
  <c r="N27" i="15"/>
  <c r="O27" i="15"/>
  <c r="P27" i="15"/>
  <c r="D12" i="15"/>
  <c r="D30" i="15"/>
  <c r="C30" i="15"/>
  <c r="E26" i="15"/>
  <c r="C47" i="15"/>
  <c r="C28" i="15"/>
  <c r="D28" i="15"/>
  <c r="D14" i="15"/>
  <c r="D32" i="15"/>
  <c r="D13" i="15"/>
  <c r="D31" i="15"/>
  <c r="C4" i="15"/>
  <c r="D4" i="15"/>
  <c r="E4" i="15"/>
  <c r="F4" i="15"/>
  <c r="G4" i="15"/>
  <c r="H4" i="15"/>
  <c r="I4" i="15"/>
  <c r="J4" i="15"/>
  <c r="K4" i="15"/>
  <c r="L4" i="15"/>
  <c r="M4" i="15"/>
  <c r="N4" i="15"/>
  <c r="O4" i="15"/>
  <c r="P4" i="15"/>
  <c r="D34" i="43"/>
  <c r="C34" i="15"/>
  <c r="D33" i="15"/>
  <c r="K26" i="2"/>
  <c r="F33" i="50"/>
  <c r="G15" i="50"/>
  <c r="F32" i="50"/>
  <c r="G14" i="50"/>
  <c r="F24" i="50"/>
  <c r="E28" i="50"/>
  <c r="E16" i="50"/>
  <c r="E30" i="50"/>
  <c r="E34" i="50"/>
  <c r="F12" i="50"/>
  <c r="F31" i="50"/>
  <c r="G13" i="50"/>
  <c r="E16" i="49"/>
  <c r="F12" i="49"/>
  <c r="E30" i="49"/>
  <c r="E31" i="49"/>
  <c r="E34" i="49"/>
  <c r="F33" i="49"/>
  <c r="G15" i="49"/>
  <c r="G32" i="49"/>
  <c r="H14" i="49"/>
  <c r="F25" i="49"/>
  <c r="E28" i="49"/>
  <c r="H24" i="49"/>
  <c r="G13" i="49"/>
  <c r="F31" i="49"/>
  <c r="G13" i="48"/>
  <c r="F31" i="48"/>
  <c r="F24" i="48"/>
  <c r="E28" i="48"/>
  <c r="H14" i="48"/>
  <c r="G32" i="48"/>
  <c r="F33" i="48"/>
  <c r="G15" i="48"/>
  <c r="E34" i="48"/>
  <c r="G12" i="48"/>
  <c r="F16" i="48"/>
  <c r="F30" i="48"/>
  <c r="G12" i="47"/>
  <c r="F16" i="47"/>
  <c r="H13" i="47"/>
  <c r="G31" i="47"/>
  <c r="I14" i="47"/>
  <c r="H32" i="47"/>
  <c r="F24" i="47"/>
  <c r="E28" i="47"/>
  <c r="F33" i="47"/>
  <c r="G15" i="47"/>
  <c r="F24" i="46"/>
  <c r="E28" i="46"/>
  <c r="F31" i="46"/>
  <c r="G13" i="46"/>
  <c r="G32" i="46"/>
  <c r="H14" i="46"/>
  <c r="F33" i="46"/>
  <c r="G15" i="46"/>
  <c r="E16" i="46"/>
  <c r="E30" i="46"/>
  <c r="E34" i="46"/>
  <c r="F12" i="46"/>
  <c r="F24" i="45"/>
  <c r="E28" i="45"/>
  <c r="F32" i="45"/>
  <c r="G14" i="45"/>
  <c r="F31" i="45"/>
  <c r="G13" i="45"/>
  <c r="E16" i="45"/>
  <c r="E30" i="45"/>
  <c r="E34" i="45"/>
  <c r="F12" i="45"/>
  <c r="F33" i="45"/>
  <c r="G15" i="45"/>
  <c r="D34" i="45"/>
  <c r="F25" i="44"/>
  <c r="E28" i="44"/>
  <c r="F12" i="44"/>
  <c r="E30" i="44"/>
  <c r="H24" i="44"/>
  <c r="F33" i="44"/>
  <c r="G15" i="44"/>
  <c r="F33" i="43"/>
  <c r="G15" i="43"/>
  <c r="F24" i="43"/>
  <c r="E28" i="43"/>
  <c r="F32" i="43"/>
  <c r="G14" i="43"/>
  <c r="E16" i="43"/>
  <c r="F12" i="43"/>
  <c r="E30" i="43"/>
  <c r="E34" i="43"/>
  <c r="G13" i="43"/>
  <c r="F31" i="43"/>
  <c r="G13" i="42"/>
  <c r="F31" i="42"/>
  <c r="E16" i="42"/>
  <c r="E30" i="42"/>
  <c r="E34" i="42"/>
  <c r="F12" i="42"/>
  <c r="F33" i="42"/>
  <c r="G15" i="42"/>
  <c r="H14" i="42"/>
  <c r="G32" i="42"/>
  <c r="F24" i="42"/>
  <c r="E28" i="42"/>
  <c r="F15" i="15"/>
  <c r="E33" i="15"/>
  <c r="D34" i="15"/>
  <c r="F26" i="15"/>
  <c r="E12" i="15"/>
  <c r="E30" i="15"/>
  <c r="E28" i="15"/>
  <c r="E13" i="15"/>
  <c r="E31" i="15"/>
  <c r="E14" i="15"/>
  <c r="E32" i="15"/>
  <c r="B15" i="15"/>
  <c r="B14" i="15"/>
  <c r="B13" i="15"/>
  <c r="B12" i="15"/>
  <c r="P10" i="15"/>
  <c r="O10" i="15"/>
  <c r="N10" i="15"/>
  <c r="M10" i="15"/>
  <c r="L10" i="15"/>
  <c r="K10" i="15"/>
  <c r="J10" i="15"/>
  <c r="I10" i="15"/>
  <c r="H10" i="15"/>
  <c r="G10" i="15"/>
  <c r="F10" i="15"/>
  <c r="G88" i="15"/>
  <c r="B9" i="15"/>
  <c r="B8" i="15"/>
  <c r="B7" i="15"/>
  <c r="B6" i="15"/>
  <c r="H88" i="15"/>
  <c r="I88" i="15"/>
  <c r="J88" i="15"/>
  <c r="K88" i="15"/>
  <c r="L88" i="15"/>
  <c r="M88" i="15"/>
  <c r="N88" i="15"/>
  <c r="O88" i="15"/>
  <c r="P88" i="15"/>
  <c r="Q88" i="15"/>
  <c r="L26" i="2"/>
  <c r="F28" i="50"/>
  <c r="G24" i="50"/>
  <c r="H13" i="50"/>
  <c r="G31" i="50"/>
  <c r="G32" i="50"/>
  <c r="H14" i="50"/>
  <c r="G33" i="50"/>
  <c r="H15" i="50"/>
  <c r="G12" i="50"/>
  <c r="F16" i="50"/>
  <c r="F30" i="50"/>
  <c r="F34" i="50"/>
  <c r="G25" i="49"/>
  <c r="F28" i="49"/>
  <c r="H32" i="49"/>
  <c r="I14" i="49"/>
  <c r="G33" i="49"/>
  <c r="H15" i="49"/>
  <c r="G31" i="49"/>
  <c r="H13" i="49"/>
  <c r="I24" i="49"/>
  <c r="F30" i="49"/>
  <c r="F34" i="49"/>
  <c r="F16" i="49"/>
  <c r="G12" i="49"/>
  <c r="I14" i="48"/>
  <c r="H32" i="48"/>
  <c r="G33" i="48"/>
  <c r="H15" i="48"/>
  <c r="F28" i="48"/>
  <c r="G24" i="48"/>
  <c r="G30" i="48"/>
  <c r="G31" i="48"/>
  <c r="G34" i="48"/>
  <c r="G16" i="48"/>
  <c r="H12" i="48"/>
  <c r="F34" i="48"/>
  <c r="H13" i="48"/>
  <c r="F28" i="47"/>
  <c r="G24" i="47"/>
  <c r="I32" i="47"/>
  <c r="J14" i="47"/>
  <c r="I13" i="47"/>
  <c r="H31" i="47"/>
  <c r="G33" i="47"/>
  <c r="H15" i="47"/>
  <c r="F30" i="47"/>
  <c r="F34" i="47"/>
  <c r="G16" i="47"/>
  <c r="H12" i="47"/>
  <c r="G30" i="47"/>
  <c r="G34" i="47"/>
  <c r="G33" i="46"/>
  <c r="H15" i="46"/>
  <c r="I14" i="46"/>
  <c r="H32" i="46"/>
  <c r="H13" i="46"/>
  <c r="G31" i="46"/>
  <c r="G12" i="46"/>
  <c r="F16" i="46"/>
  <c r="F30" i="46"/>
  <c r="F34" i="46"/>
  <c r="F28" i="46"/>
  <c r="G24" i="46"/>
  <c r="H13" i="45"/>
  <c r="G31" i="45"/>
  <c r="G32" i="45"/>
  <c r="H14" i="45"/>
  <c r="G33" i="45"/>
  <c r="H15" i="45"/>
  <c r="F16" i="45"/>
  <c r="G12" i="45"/>
  <c r="F30" i="45"/>
  <c r="F34" i="45"/>
  <c r="F28" i="45"/>
  <c r="G24" i="45"/>
  <c r="G33" i="44"/>
  <c r="H15" i="44"/>
  <c r="G12" i="44"/>
  <c r="F30" i="44"/>
  <c r="I24" i="44"/>
  <c r="G25" i="44"/>
  <c r="F28" i="44"/>
  <c r="F16" i="43"/>
  <c r="G12" i="43"/>
  <c r="F30" i="43"/>
  <c r="F34" i="43"/>
  <c r="H14" i="43"/>
  <c r="G32" i="43"/>
  <c r="F28" i="43"/>
  <c r="G24" i="43"/>
  <c r="H13" i="43"/>
  <c r="G31" i="43"/>
  <c r="G33" i="43"/>
  <c r="H15" i="43"/>
  <c r="G33" i="42"/>
  <c r="H15" i="42"/>
  <c r="G12" i="42"/>
  <c r="F16" i="42"/>
  <c r="F30" i="42"/>
  <c r="F34" i="42"/>
  <c r="I14" i="42"/>
  <c r="H32" i="42"/>
  <c r="F28" i="42"/>
  <c r="G24" i="42"/>
  <c r="H13" i="42"/>
  <c r="G31" i="42"/>
  <c r="G15" i="15"/>
  <c r="F33" i="15"/>
  <c r="E34" i="15"/>
  <c r="G26" i="15"/>
  <c r="F14" i="15"/>
  <c r="F32" i="15"/>
  <c r="F13" i="15"/>
  <c r="F31" i="15"/>
  <c r="F12" i="15"/>
  <c r="F30" i="15"/>
  <c r="D16" i="15"/>
  <c r="C16" i="15"/>
  <c r="M26" i="2"/>
  <c r="H33" i="50"/>
  <c r="I15" i="50"/>
  <c r="I14" i="50"/>
  <c r="H32" i="50"/>
  <c r="I13" i="50"/>
  <c r="H31" i="50"/>
  <c r="G28" i="50"/>
  <c r="H24" i="50"/>
  <c r="G16" i="50"/>
  <c r="H12" i="50"/>
  <c r="G30" i="50"/>
  <c r="G34" i="50"/>
  <c r="I13" i="49"/>
  <c r="I15" i="49"/>
  <c r="H33" i="49"/>
  <c r="G16" i="49"/>
  <c r="H12" i="49"/>
  <c r="G30" i="49"/>
  <c r="G34" i="49"/>
  <c r="J14" i="49"/>
  <c r="I32" i="49"/>
  <c r="J24" i="49"/>
  <c r="H25" i="49"/>
  <c r="G28" i="49"/>
  <c r="I15" i="48"/>
  <c r="H33" i="48"/>
  <c r="H31" i="48"/>
  <c r="I13" i="48"/>
  <c r="I12" i="48"/>
  <c r="H24" i="48"/>
  <c r="H30" i="48"/>
  <c r="H34" i="48"/>
  <c r="H16" i="48"/>
  <c r="I32" i="48"/>
  <c r="J14" i="48"/>
  <c r="G28" i="48"/>
  <c r="J13" i="47"/>
  <c r="I31" i="47"/>
  <c r="I15" i="47"/>
  <c r="H33" i="47"/>
  <c r="I12" i="47"/>
  <c r="H16" i="47"/>
  <c r="H24" i="47"/>
  <c r="G28" i="47"/>
  <c r="K14" i="47"/>
  <c r="J32" i="47"/>
  <c r="J14" i="46"/>
  <c r="I32" i="46"/>
  <c r="G16" i="46"/>
  <c r="H12" i="46"/>
  <c r="G30" i="46"/>
  <c r="G34" i="46"/>
  <c r="I13" i="46"/>
  <c r="H31" i="46"/>
  <c r="G28" i="46"/>
  <c r="H24" i="46"/>
  <c r="H33" i="46"/>
  <c r="I15" i="46"/>
  <c r="H33" i="45"/>
  <c r="I15" i="45"/>
  <c r="I14" i="45"/>
  <c r="H32" i="45"/>
  <c r="G16" i="45"/>
  <c r="H12" i="45"/>
  <c r="G30" i="45"/>
  <c r="G34" i="45"/>
  <c r="G28" i="45"/>
  <c r="H24" i="45"/>
  <c r="I13" i="45"/>
  <c r="H31" i="45"/>
  <c r="H25" i="44"/>
  <c r="G28" i="44"/>
  <c r="H12" i="44"/>
  <c r="G30" i="44"/>
  <c r="I15" i="44"/>
  <c r="H33" i="44"/>
  <c r="J24" i="44"/>
  <c r="J30" i="44" s="1"/>
  <c r="I14" i="43"/>
  <c r="H32" i="43"/>
  <c r="I15" i="43"/>
  <c r="H33" i="43"/>
  <c r="G16" i="43"/>
  <c r="H12" i="43"/>
  <c r="G30" i="43"/>
  <c r="G34" i="43"/>
  <c r="I13" i="43"/>
  <c r="H31" i="43"/>
  <c r="G28" i="43"/>
  <c r="H24" i="43"/>
  <c r="J14" i="42"/>
  <c r="I32" i="42"/>
  <c r="I15" i="42"/>
  <c r="H33" i="42"/>
  <c r="G16" i="42"/>
  <c r="H12" i="42"/>
  <c r="G30" i="42"/>
  <c r="G34" i="42"/>
  <c r="I13" i="42"/>
  <c r="H31" i="42"/>
  <c r="G28" i="42"/>
  <c r="H24" i="42"/>
  <c r="H15" i="15"/>
  <c r="G33" i="15"/>
  <c r="F34" i="15"/>
  <c r="H26" i="15"/>
  <c r="F28" i="15"/>
  <c r="G12" i="15"/>
  <c r="G30" i="15"/>
  <c r="G28" i="15"/>
  <c r="G13" i="15"/>
  <c r="G31" i="15"/>
  <c r="G14" i="15"/>
  <c r="G32" i="15"/>
  <c r="C26" i="1"/>
  <c r="C27" i="1"/>
  <c r="B46" i="2"/>
  <c r="B45" i="2"/>
  <c r="B44" i="2"/>
  <c r="B43" i="2"/>
  <c r="B40" i="2"/>
  <c r="B39" i="2"/>
  <c r="B38" i="2"/>
  <c r="B37" i="2"/>
  <c r="C15" i="2"/>
  <c r="C33" i="2"/>
  <c r="H10" i="2"/>
  <c r="I87" i="2"/>
  <c r="I10" i="2"/>
  <c r="J87" i="2"/>
  <c r="J10" i="2"/>
  <c r="K87" i="2"/>
  <c r="K10" i="2"/>
  <c r="L87" i="2"/>
  <c r="L10" i="2"/>
  <c r="M87" i="2"/>
  <c r="M10" i="2"/>
  <c r="N87" i="2"/>
  <c r="N10" i="2"/>
  <c r="O87" i="2"/>
  <c r="O10" i="2"/>
  <c r="P10" i="2"/>
  <c r="Q10" i="2"/>
  <c r="R10" i="2"/>
  <c r="S10" i="2"/>
  <c r="T10" i="2"/>
  <c r="U10" i="2"/>
  <c r="V10" i="2"/>
  <c r="W10" i="2"/>
  <c r="C10" i="2"/>
  <c r="B15" i="2"/>
  <c r="B14" i="2"/>
  <c r="B13" i="2"/>
  <c r="B12" i="2"/>
  <c r="B33" i="2"/>
  <c r="B32" i="2"/>
  <c r="B31" i="2"/>
  <c r="B30" i="2"/>
  <c r="B9" i="2"/>
  <c r="B8" i="2"/>
  <c r="B7" i="2"/>
  <c r="B6" i="2"/>
  <c r="B22" i="1"/>
  <c r="B21" i="1"/>
  <c r="B20" i="1"/>
  <c r="B19" i="1"/>
  <c r="B28" i="1"/>
  <c r="B27" i="1"/>
  <c r="B26" i="1"/>
  <c r="B25" i="1"/>
  <c r="B10" i="1"/>
  <c r="B9" i="1"/>
  <c r="B8" i="1"/>
  <c r="B7" i="1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N5" i="1"/>
  <c r="O5" i="1"/>
  <c r="P5" i="1"/>
  <c r="Q5" i="1"/>
  <c r="R5" i="1"/>
  <c r="S5" i="1"/>
  <c r="T5" i="1"/>
  <c r="U5" i="1"/>
  <c r="V5" i="1"/>
  <c r="W5" i="1"/>
  <c r="X5" i="1"/>
  <c r="Y5" i="1"/>
  <c r="C5" i="1"/>
  <c r="D5" i="1"/>
  <c r="E5" i="1"/>
  <c r="F5" i="1"/>
  <c r="G5" i="1"/>
  <c r="H5" i="1"/>
  <c r="I5" i="1"/>
  <c r="J5" i="1"/>
  <c r="K5" i="1"/>
  <c r="L5" i="1"/>
  <c r="M5" i="1"/>
  <c r="P87" i="2"/>
  <c r="Q87" i="2"/>
  <c r="R87" i="2"/>
  <c r="S87" i="2"/>
  <c r="T87" i="2"/>
  <c r="U87" i="2"/>
  <c r="V87" i="2"/>
  <c r="W87" i="2"/>
  <c r="X87" i="2"/>
  <c r="N26" i="2"/>
  <c r="D12" i="2"/>
  <c r="D30" i="2"/>
  <c r="D15" i="2"/>
  <c r="D33" i="2"/>
  <c r="D14" i="2"/>
  <c r="D32" i="2"/>
  <c r="D13" i="2"/>
  <c r="D26" i="1"/>
  <c r="C28" i="1"/>
  <c r="H28" i="50"/>
  <c r="I24" i="50"/>
  <c r="I31" i="50"/>
  <c r="J13" i="50"/>
  <c r="J14" i="50"/>
  <c r="I32" i="50"/>
  <c r="H30" i="50"/>
  <c r="H34" i="50"/>
  <c r="I12" i="50"/>
  <c r="H16" i="50"/>
  <c r="J15" i="50"/>
  <c r="I33" i="50"/>
  <c r="K14" i="49"/>
  <c r="J32" i="49"/>
  <c r="I12" i="49"/>
  <c r="H30" i="49"/>
  <c r="H16" i="49"/>
  <c r="I25" i="49"/>
  <c r="H28" i="49"/>
  <c r="H31" i="49"/>
  <c r="K24" i="49"/>
  <c r="I33" i="49"/>
  <c r="J15" i="49"/>
  <c r="J13" i="49"/>
  <c r="I31" i="49"/>
  <c r="J12" i="48"/>
  <c r="I16" i="48"/>
  <c r="I31" i="48"/>
  <c r="J13" i="48"/>
  <c r="H28" i="48"/>
  <c r="I24" i="48"/>
  <c r="J32" i="48"/>
  <c r="K14" i="48"/>
  <c r="J15" i="48"/>
  <c r="I33" i="48"/>
  <c r="J12" i="47"/>
  <c r="I16" i="47"/>
  <c r="H28" i="47"/>
  <c r="I24" i="47"/>
  <c r="H30" i="47"/>
  <c r="H34" i="47"/>
  <c r="J15" i="47"/>
  <c r="I33" i="47"/>
  <c r="L14" i="47"/>
  <c r="K32" i="47"/>
  <c r="K13" i="47"/>
  <c r="J31" i="47"/>
  <c r="H30" i="46"/>
  <c r="H34" i="46"/>
  <c r="I12" i="46"/>
  <c r="H16" i="46"/>
  <c r="J13" i="46"/>
  <c r="I31" i="46"/>
  <c r="J15" i="46"/>
  <c r="I33" i="46"/>
  <c r="H28" i="46"/>
  <c r="I24" i="46"/>
  <c r="K14" i="46"/>
  <c r="J32" i="46"/>
  <c r="J14" i="45"/>
  <c r="I32" i="45"/>
  <c r="I12" i="45"/>
  <c r="H30" i="45"/>
  <c r="H34" i="45"/>
  <c r="H16" i="45"/>
  <c r="J13" i="45"/>
  <c r="I31" i="45"/>
  <c r="J15" i="45"/>
  <c r="I33" i="45"/>
  <c r="H28" i="45"/>
  <c r="I24" i="45"/>
  <c r="I12" i="44"/>
  <c r="H30" i="44"/>
  <c r="K24" i="44"/>
  <c r="L24" i="44" s="1"/>
  <c r="I33" i="44"/>
  <c r="J15" i="44"/>
  <c r="I25" i="44"/>
  <c r="H28" i="44"/>
  <c r="I31" i="43"/>
  <c r="J13" i="43"/>
  <c r="I12" i="43"/>
  <c r="H30" i="43"/>
  <c r="H34" i="43"/>
  <c r="H16" i="43"/>
  <c r="H28" i="43"/>
  <c r="I24" i="43"/>
  <c r="J15" i="43"/>
  <c r="I33" i="43"/>
  <c r="J14" i="43"/>
  <c r="I32" i="43"/>
  <c r="H30" i="42"/>
  <c r="H34" i="42"/>
  <c r="I12" i="42"/>
  <c r="H16" i="42"/>
  <c r="I31" i="42"/>
  <c r="J13" i="42"/>
  <c r="H28" i="42"/>
  <c r="I24" i="42"/>
  <c r="J15" i="42"/>
  <c r="I33" i="42"/>
  <c r="K14" i="42"/>
  <c r="J32" i="42"/>
  <c r="I15" i="15"/>
  <c r="H33" i="15"/>
  <c r="G34" i="15"/>
  <c r="I26" i="15"/>
  <c r="H12" i="15"/>
  <c r="H30" i="15"/>
  <c r="H28" i="15"/>
  <c r="H14" i="15"/>
  <c r="H32" i="15"/>
  <c r="H13" i="15"/>
  <c r="H31" i="15"/>
  <c r="F39" i="2"/>
  <c r="C43" i="2"/>
  <c r="E16" i="15"/>
  <c r="F38" i="2"/>
  <c r="F40" i="2"/>
  <c r="F37" i="2"/>
  <c r="E44" i="2"/>
  <c r="E45" i="2"/>
  <c r="E46" i="2"/>
  <c r="D44" i="2"/>
  <c r="C45" i="2"/>
  <c r="D45" i="2"/>
  <c r="C44" i="2"/>
  <c r="D46" i="2"/>
  <c r="C46" i="2"/>
  <c r="E43" i="2"/>
  <c r="D43" i="2"/>
  <c r="C16" i="2"/>
  <c r="D16" i="2"/>
  <c r="D31" i="2"/>
  <c r="O26" i="2"/>
  <c r="E26" i="1"/>
  <c r="D28" i="2"/>
  <c r="E13" i="2"/>
  <c r="E31" i="2"/>
  <c r="D34" i="2"/>
  <c r="E15" i="2"/>
  <c r="E33" i="2"/>
  <c r="E14" i="2"/>
  <c r="E32" i="2"/>
  <c r="E12" i="2"/>
  <c r="E30" i="2"/>
  <c r="E28" i="2"/>
  <c r="C25" i="1"/>
  <c r="H23" i="1"/>
  <c r="D28" i="1"/>
  <c r="K14" i="50"/>
  <c r="J32" i="50"/>
  <c r="K13" i="50"/>
  <c r="J31" i="50"/>
  <c r="J12" i="50"/>
  <c r="I30" i="50"/>
  <c r="I34" i="50"/>
  <c r="I16" i="50"/>
  <c r="K15" i="50"/>
  <c r="J33" i="50"/>
  <c r="J24" i="50"/>
  <c r="I28" i="50"/>
  <c r="J25" i="49"/>
  <c r="I28" i="49"/>
  <c r="J12" i="49"/>
  <c r="I16" i="49"/>
  <c r="I30" i="49"/>
  <c r="I34" i="49"/>
  <c r="K13" i="49"/>
  <c r="J31" i="49"/>
  <c r="K15" i="49"/>
  <c r="J33" i="49"/>
  <c r="H34" i="49"/>
  <c r="L24" i="49"/>
  <c r="L14" i="49"/>
  <c r="K32" i="49"/>
  <c r="I28" i="48"/>
  <c r="J24" i="48"/>
  <c r="K13" i="48"/>
  <c r="J31" i="48"/>
  <c r="J33" i="48"/>
  <c r="K15" i="48"/>
  <c r="I30" i="48"/>
  <c r="I34" i="48"/>
  <c r="L14" i="48"/>
  <c r="K32" i="48"/>
  <c r="J16" i="48"/>
  <c r="J30" i="48"/>
  <c r="K12" i="48"/>
  <c r="K15" i="47"/>
  <c r="J33" i="47"/>
  <c r="J24" i="47"/>
  <c r="I28" i="47"/>
  <c r="L13" i="47"/>
  <c r="K31" i="47"/>
  <c r="I30" i="47"/>
  <c r="I34" i="47"/>
  <c r="M14" i="47"/>
  <c r="L32" i="47"/>
  <c r="K12" i="47"/>
  <c r="J30" i="47"/>
  <c r="J34" i="47"/>
  <c r="J16" i="47"/>
  <c r="K15" i="46"/>
  <c r="J33" i="46"/>
  <c r="L14" i="46"/>
  <c r="K32" i="46"/>
  <c r="J12" i="46"/>
  <c r="I30" i="46"/>
  <c r="I34" i="46"/>
  <c r="I16" i="46"/>
  <c r="K13" i="46"/>
  <c r="J31" i="46"/>
  <c r="I28" i="46"/>
  <c r="J24" i="46"/>
  <c r="K15" i="45"/>
  <c r="J33" i="45"/>
  <c r="K13" i="45"/>
  <c r="J31" i="45"/>
  <c r="I28" i="45"/>
  <c r="J24" i="45"/>
  <c r="J12" i="45"/>
  <c r="I30" i="45"/>
  <c r="I34" i="45"/>
  <c r="I16" i="45"/>
  <c r="K14" i="45"/>
  <c r="J32" i="45"/>
  <c r="K15" i="44"/>
  <c r="J33" i="44"/>
  <c r="J25" i="44"/>
  <c r="I28" i="44"/>
  <c r="J12" i="44"/>
  <c r="I30" i="44"/>
  <c r="K15" i="43"/>
  <c r="J33" i="43"/>
  <c r="J24" i="43"/>
  <c r="I28" i="43"/>
  <c r="K14" i="43"/>
  <c r="J32" i="43"/>
  <c r="K13" i="43"/>
  <c r="J31" i="43"/>
  <c r="J12" i="43"/>
  <c r="I30" i="43"/>
  <c r="I34" i="43"/>
  <c r="I16" i="43"/>
  <c r="K15" i="42"/>
  <c r="J33" i="42"/>
  <c r="I28" i="42"/>
  <c r="J24" i="42"/>
  <c r="K13" i="42"/>
  <c r="J31" i="42"/>
  <c r="L14" i="42"/>
  <c r="K32" i="42"/>
  <c r="J12" i="42"/>
  <c r="I30" i="42"/>
  <c r="I34" i="42"/>
  <c r="I16" i="42"/>
  <c r="J15" i="15"/>
  <c r="I33" i="15"/>
  <c r="H34" i="15"/>
  <c r="J26" i="15"/>
  <c r="I13" i="15"/>
  <c r="I31" i="15"/>
  <c r="I12" i="15"/>
  <c r="I30" i="15"/>
  <c r="I14" i="15"/>
  <c r="I32" i="15"/>
  <c r="D27" i="1"/>
  <c r="E27" i="1"/>
  <c r="G16" i="15"/>
  <c r="F16" i="15"/>
  <c r="S80" i="2"/>
  <c r="E47" i="2"/>
  <c r="C34" i="2"/>
  <c r="C47" i="2"/>
  <c r="D47" i="2"/>
  <c r="I23" i="1"/>
  <c r="H81" i="1"/>
  <c r="H84" i="1"/>
  <c r="P26" i="2"/>
  <c r="F15" i="2"/>
  <c r="F33" i="2"/>
  <c r="D25" i="1"/>
  <c r="F14" i="2"/>
  <c r="F32" i="2"/>
  <c r="F12" i="2"/>
  <c r="F30" i="2"/>
  <c r="E16" i="2"/>
  <c r="F28" i="2"/>
  <c r="F13" i="2"/>
  <c r="F31" i="2"/>
  <c r="C29" i="1"/>
  <c r="D29" i="1"/>
  <c r="E28" i="1"/>
  <c r="L15" i="50"/>
  <c r="K33" i="50"/>
  <c r="K31" i="50"/>
  <c r="L13" i="50"/>
  <c r="J30" i="50"/>
  <c r="J34" i="50"/>
  <c r="J16" i="50"/>
  <c r="K12" i="50"/>
  <c r="K24" i="50"/>
  <c r="J28" i="50"/>
  <c r="L14" i="50"/>
  <c r="K32" i="50"/>
  <c r="L15" i="49"/>
  <c r="K33" i="49"/>
  <c r="L13" i="49"/>
  <c r="J30" i="49"/>
  <c r="J34" i="49"/>
  <c r="J16" i="49"/>
  <c r="K12" i="49"/>
  <c r="L32" i="49"/>
  <c r="M14" i="49"/>
  <c r="M24" i="49"/>
  <c r="K25" i="49"/>
  <c r="K31" i="49"/>
  <c r="J28" i="49"/>
  <c r="L32" i="48"/>
  <c r="M14" i="48"/>
  <c r="K33" i="48"/>
  <c r="L15" i="48"/>
  <c r="K16" i="48"/>
  <c r="L12" i="48"/>
  <c r="J34" i="48"/>
  <c r="K31" i="48"/>
  <c r="L13" i="48"/>
  <c r="J28" i="48"/>
  <c r="K24" i="48"/>
  <c r="K30" i="48"/>
  <c r="K34" i="48"/>
  <c r="L31" i="47"/>
  <c r="M13" i="47"/>
  <c r="M32" i="47"/>
  <c r="N14" i="47"/>
  <c r="K16" i="47"/>
  <c r="L12" i="47"/>
  <c r="J28" i="47"/>
  <c r="K24" i="47"/>
  <c r="K30" i="47"/>
  <c r="K33" i="47"/>
  <c r="K34" i="47"/>
  <c r="L15" i="47"/>
  <c r="K31" i="46"/>
  <c r="L13" i="46"/>
  <c r="J30" i="46"/>
  <c r="J34" i="46"/>
  <c r="J16" i="46"/>
  <c r="K12" i="46"/>
  <c r="J28" i="46"/>
  <c r="K24" i="46"/>
  <c r="L32" i="46"/>
  <c r="M14" i="46"/>
  <c r="K33" i="46"/>
  <c r="L15" i="46"/>
  <c r="J30" i="45"/>
  <c r="J34" i="45"/>
  <c r="J16" i="45"/>
  <c r="K12" i="45"/>
  <c r="K31" i="45"/>
  <c r="L13" i="45"/>
  <c r="J28" i="45"/>
  <c r="K24" i="45"/>
  <c r="L14" i="45"/>
  <c r="K32" i="45"/>
  <c r="K33" i="45"/>
  <c r="L15" i="45"/>
  <c r="K25" i="44"/>
  <c r="L25" i="44" s="1"/>
  <c r="M25" i="44" s="1"/>
  <c r="N25" i="44" s="1"/>
  <c r="O25" i="44" s="1"/>
  <c r="P25" i="44" s="1"/>
  <c r="J28" i="44"/>
  <c r="K12" i="44"/>
  <c r="L15" i="44"/>
  <c r="K33" i="44"/>
  <c r="K24" i="43"/>
  <c r="J28" i="43"/>
  <c r="K31" i="43"/>
  <c r="L13" i="43"/>
  <c r="L14" i="43"/>
  <c r="K32" i="43"/>
  <c r="J30" i="43"/>
  <c r="J34" i="43"/>
  <c r="J16" i="43"/>
  <c r="K12" i="43"/>
  <c r="L15" i="43"/>
  <c r="K33" i="43"/>
  <c r="L32" i="42"/>
  <c r="M14" i="42"/>
  <c r="K31" i="42"/>
  <c r="L13" i="42"/>
  <c r="J28" i="42"/>
  <c r="K24" i="42"/>
  <c r="J30" i="42"/>
  <c r="J34" i="42"/>
  <c r="J16" i="42"/>
  <c r="K12" i="42"/>
  <c r="K33" i="42"/>
  <c r="L15" i="42"/>
  <c r="K15" i="15"/>
  <c r="J33" i="15"/>
  <c r="I34" i="15"/>
  <c r="K26" i="15"/>
  <c r="J14" i="15"/>
  <c r="J32" i="15"/>
  <c r="I28" i="15"/>
  <c r="J12" i="15"/>
  <c r="J30" i="15"/>
  <c r="J13" i="15"/>
  <c r="J31" i="15"/>
  <c r="F26" i="1"/>
  <c r="F27" i="1"/>
  <c r="J23" i="1"/>
  <c r="I81" i="1"/>
  <c r="I84" i="1"/>
  <c r="Q26" i="2"/>
  <c r="G12" i="2"/>
  <c r="G30" i="2"/>
  <c r="G14" i="2"/>
  <c r="G32" i="2"/>
  <c r="E34" i="2"/>
  <c r="E29" i="1"/>
  <c r="F16" i="2"/>
  <c r="G13" i="2"/>
  <c r="G31" i="2"/>
  <c r="F34" i="2"/>
  <c r="G15" i="2"/>
  <c r="G33" i="2"/>
  <c r="F28" i="1"/>
  <c r="K28" i="50"/>
  <c r="L24" i="50"/>
  <c r="K30" i="50"/>
  <c r="K34" i="50"/>
  <c r="L12" i="50"/>
  <c r="K16" i="50"/>
  <c r="L32" i="50"/>
  <c r="M14" i="50"/>
  <c r="L31" i="50"/>
  <c r="M13" i="50"/>
  <c r="M15" i="50"/>
  <c r="L33" i="50"/>
  <c r="M13" i="49"/>
  <c r="K30" i="49"/>
  <c r="K34" i="49"/>
  <c r="L12" i="49"/>
  <c r="K16" i="49"/>
  <c r="L25" i="49"/>
  <c r="K28" i="49"/>
  <c r="N24" i="49"/>
  <c r="N14" i="49"/>
  <c r="M32" i="49"/>
  <c r="M15" i="49"/>
  <c r="L33" i="49"/>
  <c r="L16" i="48"/>
  <c r="M12" i="48"/>
  <c r="K28" i="48"/>
  <c r="L24" i="48"/>
  <c r="L31" i="48"/>
  <c r="M13" i="48"/>
  <c r="M32" i="48"/>
  <c r="N14" i="48"/>
  <c r="M15" i="48"/>
  <c r="L33" i="48"/>
  <c r="L16" i="47"/>
  <c r="M12" i="47"/>
  <c r="M15" i="47"/>
  <c r="L33" i="47"/>
  <c r="M31" i="47"/>
  <c r="N13" i="47"/>
  <c r="N32" i="47"/>
  <c r="O14" i="47"/>
  <c r="K28" i="47"/>
  <c r="L24" i="47"/>
  <c r="K28" i="46"/>
  <c r="L24" i="46"/>
  <c r="K30" i="46"/>
  <c r="K34" i="46"/>
  <c r="L12" i="46"/>
  <c r="K16" i="46"/>
  <c r="L31" i="46"/>
  <c r="M13" i="46"/>
  <c r="M15" i="46"/>
  <c r="L33" i="46"/>
  <c r="M32" i="46"/>
  <c r="N14" i="46"/>
  <c r="K28" i="45"/>
  <c r="L24" i="45"/>
  <c r="L31" i="45"/>
  <c r="M13" i="45"/>
  <c r="M15" i="45"/>
  <c r="L33" i="45"/>
  <c r="K16" i="45"/>
  <c r="K30" i="45"/>
  <c r="K34" i="45"/>
  <c r="L12" i="45"/>
  <c r="L32" i="45"/>
  <c r="M14" i="45"/>
  <c r="K30" i="44"/>
  <c r="L12" i="44"/>
  <c r="M15" i="44"/>
  <c r="L32" i="43"/>
  <c r="M14" i="43"/>
  <c r="L31" i="43"/>
  <c r="M13" i="43"/>
  <c r="M15" i="43"/>
  <c r="L33" i="43"/>
  <c r="K30" i="43"/>
  <c r="K34" i="43"/>
  <c r="K16" i="43"/>
  <c r="L12" i="43"/>
  <c r="K28" i="43"/>
  <c r="L24" i="43"/>
  <c r="K28" i="42"/>
  <c r="L24" i="42"/>
  <c r="M15" i="42"/>
  <c r="L33" i="42"/>
  <c r="L31" i="42"/>
  <c r="M13" i="42"/>
  <c r="M32" i="42"/>
  <c r="N14" i="42"/>
  <c r="K30" i="42"/>
  <c r="K34" i="42"/>
  <c r="K16" i="42"/>
  <c r="L12" i="42"/>
  <c r="L15" i="15"/>
  <c r="K33" i="15"/>
  <c r="J34" i="15"/>
  <c r="L26" i="15"/>
  <c r="K13" i="15"/>
  <c r="K31" i="15"/>
  <c r="J28" i="15"/>
  <c r="K12" i="15"/>
  <c r="K30" i="15"/>
  <c r="K14" i="15"/>
  <c r="K32" i="15"/>
  <c r="E25" i="1"/>
  <c r="G27" i="1"/>
  <c r="G26" i="1"/>
  <c r="I16" i="15"/>
  <c r="H16" i="15"/>
  <c r="K23" i="1"/>
  <c r="J81" i="1"/>
  <c r="J84" i="1"/>
  <c r="R26" i="2"/>
  <c r="F29" i="1"/>
  <c r="H13" i="2"/>
  <c r="H31" i="2"/>
  <c r="H15" i="2"/>
  <c r="H33" i="2"/>
  <c r="H12" i="2"/>
  <c r="H30" i="2"/>
  <c r="G16" i="2"/>
  <c r="H14" i="2"/>
  <c r="H32" i="2"/>
  <c r="G28" i="2"/>
  <c r="G28" i="1"/>
  <c r="M32" i="50"/>
  <c r="N14" i="50"/>
  <c r="L30" i="50"/>
  <c r="L34" i="50"/>
  <c r="L16" i="50"/>
  <c r="M12" i="50"/>
  <c r="M33" i="50"/>
  <c r="N15" i="50"/>
  <c r="M24" i="50"/>
  <c r="L28" i="50"/>
  <c r="M31" i="50"/>
  <c r="N13" i="50"/>
  <c r="M25" i="49"/>
  <c r="L28" i="49"/>
  <c r="O24" i="49"/>
  <c r="M33" i="49"/>
  <c r="N15" i="49"/>
  <c r="M31" i="49"/>
  <c r="N13" i="49"/>
  <c r="L30" i="49"/>
  <c r="M12" i="49"/>
  <c r="L16" i="49"/>
  <c r="N32" i="49"/>
  <c r="O14" i="49"/>
  <c r="L31" i="49"/>
  <c r="M31" i="48"/>
  <c r="N13" i="48"/>
  <c r="M16" i="48"/>
  <c r="N12" i="48"/>
  <c r="M33" i="48"/>
  <c r="N15" i="48"/>
  <c r="M24" i="48"/>
  <c r="L28" i="48"/>
  <c r="N32" i="48"/>
  <c r="O14" i="48"/>
  <c r="L30" i="48"/>
  <c r="L34" i="48"/>
  <c r="O13" i="47"/>
  <c r="N31" i="47"/>
  <c r="N15" i="47"/>
  <c r="M33" i="47"/>
  <c r="N12" i="47"/>
  <c r="M16" i="47"/>
  <c r="M24" i="47"/>
  <c r="L28" i="47"/>
  <c r="P14" i="47"/>
  <c r="P32" i="47"/>
  <c r="O32" i="47"/>
  <c r="L30" i="47"/>
  <c r="L34" i="47"/>
  <c r="M33" i="46"/>
  <c r="N15" i="46"/>
  <c r="M31" i="46"/>
  <c r="N13" i="46"/>
  <c r="L30" i="46"/>
  <c r="L34" i="46"/>
  <c r="L16" i="46"/>
  <c r="M12" i="46"/>
  <c r="N32" i="46"/>
  <c r="O14" i="46"/>
  <c r="M24" i="46"/>
  <c r="L28" i="46"/>
  <c r="M32" i="45"/>
  <c r="N14" i="45"/>
  <c r="M31" i="45"/>
  <c r="N13" i="45"/>
  <c r="M24" i="45"/>
  <c r="L28" i="45"/>
  <c r="M33" i="45"/>
  <c r="N15" i="45"/>
  <c r="L30" i="45"/>
  <c r="L34" i="45"/>
  <c r="L16" i="45"/>
  <c r="M12" i="45"/>
  <c r="N15" i="44"/>
  <c r="O15" i="44" s="1"/>
  <c r="P15" i="44" s="1"/>
  <c r="M12" i="44"/>
  <c r="M33" i="43"/>
  <c r="N15" i="43"/>
  <c r="M32" i="43"/>
  <c r="N14" i="43"/>
  <c r="M31" i="43"/>
  <c r="N13" i="43"/>
  <c r="M24" i="43"/>
  <c r="L28" i="43"/>
  <c r="L30" i="43"/>
  <c r="L34" i="43"/>
  <c r="L16" i="43"/>
  <c r="M12" i="43"/>
  <c r="N32" i="42"/>
  <c r="O14" i="42"/>
  <c r="M31" i="42"/>
  <c r="N13" i="42"/>
  <c r="M24" i="42"/>
  <c r="L28" i="42"/>
  <c r="L30" i="42"/>
  <c r="L34" i="42"/>
  <c r="L16" i="42"/>
  <c r="M12" i="42"/>
  <c r="M33" i="42"/>
  <c r="N15" i="42"/>
  <c r="M15" i="15"/>
  <c r="L33" i="15"/>
  <c r="K34" i="15"/>
  <c r="M26" i="15"/>
  <c r="L14" i="15"/>
  <c r="L32" i="15"/>
  <c r="K28" i="15"/>
  <c r="L12" i="15"/>
  <c r="L30" i="15"/>
  <c r="L28" i="15"/>
  <c r="L13" i="15"/>
  <c r="L31" i="15"/>
  <c r="F25" i="1"/>
  <c r="H26" i="1"/>
  <c r="H27" i="1"/>
  <c r="J16" i="15"/>
  <c r="K81" i="1"/>
  <c r="K84" i="1"/>
  <c r="G29" i="1"/>
  <c r="S26" i="2"/>
  <c r="H28" i="2"/>
  <c r="I15" i="2"/>
  <c r="I33" i="2"/>
  <c r="I14" i="2"/>
  <c r="I32" i="2"/>
  <c r="I12" i="2"/>
  <c r="I30" i="2"/>
  <c r="G34" i="2"/>
  <c r="H16" i="2"/>
  <c r="I28" i="2"/>
  <c r="I13" i="2"/>
  <c r="I31" i="2"/>
  <c r="H28" i="1"/>
  <c r="N24" i="50"/>
  <c r="M28" i="50"/>
  <c r="N31" i="50"/>
  <c r="O13" i="50"/>
  <c r="N33" i="50"/>
  <c r="O15" i="50"/>
  <c r="N32" i="50"/>
  <c r="O14" i="50"/>
  <c r="M16" i="50"/>
  <c r="M30" i="50"/>
  <c r="M34" i="50"/>
  <c r="N12" i="50"/>
  <c r="O13" i="49"/>
  <c r="N33" i="49"/>
  <c r="O15" i="49"/>
  <c r="O32" i="49"/>
  <c r="P14" i="49"/>
  <c r="P32" i="49"/>
  <c r="M16" i="49"/>
  <c r="M30" i="49"/>
  <c r="M34" i="49"/>
  <c r="N12" i="49"/>
  <c r="P24" i="49"/>
  <c r="L34" i="49"/>
  <c r="N25" i="49"/>
  <c r="M28" i="49"/>
  <c r="N33" i="48"/>
  <c r="O15" i="48"/>
  <c r="P14" i="48"/>
  <c r="P32" i="48"/>
  <c r="O32" i="48"/>
  <c r="N24" i="48"/>
  <c r="N30" i="48"/>
  <c r="N31" i="48"/>
  <c r="N34" i="48"/>
  <c r="M28" i="48"/>
  <c r="O12" i="48"/>
  <c r="N16" i="48"/>
  <c r="O13" i="48"/>
  <c r="M30" i="48"/>
  <c r="M34" i="48"/>
  <c r="N16" i="47"/>
  <c r="O12" i="47"/>
  <c r="N24" i="47"/>
  <c r="N30" i="47"/>
  <c r="N33" i="47"/>
  <c r="N34" i="47"/>
  <c r="M28" i="47"/>
  <c r="M30" i="47"/>
  <c r="M34" i="47"/>
  <c r="O15" i="47"/>
  <c r="P13" i="47"/>
  <c r="P31" i="47"/>
  <c r="O31" i="47"/>
  <c r="N31" i="46"/>
  <c r="O13" i="46"/>
  <c r="N24" i="46"/>
  <c r="M28" i="46"/>
  <c r="N33" i="46"/>
  <c r="O15" i="46"/>
  <c r="M16" i="46"/>
  <c r="M30" i="46"/>
  <c r="M34" i="46"/>
  <c r="N12" i="46"/>
  <c r="O32" i="46"/>
  <c r="P14" i="46"/>
  <c r="P32" i="46"/>
  <c r="N31" i="45"/>
  <c r="O13" i="45"/>
  <c r="N32" i="45"/>
  <c r="O14" i="45"/>
  <c r="N33" i="45"/>
  <c r="O15" i="45"/>
  <c r="N24" i="45"/>
  <c r="M28" i="45"/>
  <c r="M16" i="45"/>
  <c r="M30" i="45"/>
  <c r="M34" i="45"/>
  <c r="N12" i="45"/>
  <c r="N12" i="44"/>
  <c r="O12" i="44" s="1"/>
  <c r="P12" i="44" s="1"/>
  <c r="N32" i="43"/>
  <c r="O14" i="43"/>
  <c r="N24" i="43"/>
  <c r="M28" i="43"/>
  <c r="O13" i="43"/>
  <c r="N31" i="43"/>
  <c r="M16" i="43"/>
  <c r="M30" i="43"/>
  <c r="M34" i="43"/>
  <c r="N12" i="43"/>
  <c r="N33" i="43"/>
  <c r="O15" i="43"/>
  <c r="N24" i="42"/>
  <c r="M28" i="42"/>
  <c r="O13" i="42"/>
  <c r="N31" i="42"/>
  <c r="N33" i="42"/>
  <c r="O15" i="42"/>
  <c r="P14" i="42"/>
  <c r="P32" i="42"/>
  <c r="O32" i="42"/>
  <c r="N12" i="42"/>
  <c r="M16" i="42"/>
  <c r="M30" i="42"/>
  <c r="M34" i="42"/>
  <c r="N15" i="15"/>
  <c r="M33" i="15"/>
  <c r="L34" i="15"/>
  <c r="N26" i="15"/>
  <c r="M12" i="15"/>
  <c r="M30" i="15"/>
  <c r="M28" i="15"/>
  <c r="M13" i="15"/>
  <c r="M31" i="15"/>
  <c r="M14" i="15"/>
  <c r="M32" i="15"/>
  <c r="G25" i="1"/>
  <c r="I27" i="1"/>
  <c r="I26" i="1"/>
  <c r="T26" i="2"/>
  <c r="J12" i="2"/>
  <c r="J30" i="2"/>
  <c r="H34" i="2"/>
  <c r="I16" i="2"/>
  <c r="J28" i="2"/>
  <c r="I34" i="2"/>
  <c r="J13" i="2"/>
  <c r="J31" i="2"/>
  <c r="J14" i="2"/>
  <c r="J32" i="2"/>
  <c r="J15" i="2"/>
  <c r="J33" i="2"/>
  <c r="I28" i="1"/>
  <c r="O32" i="50"/>
  <c r="P14" i="50"/>
  <c r="P32" i="50"/>
  <c r="O33" i="50"/>
  <c r="P15" i="50"/>
  <c r="P33" i="50"/>
  <c r="N16" i="50"/>
  <c r="O12" i="50"/>
  <c r="N30" i="50"/>
  <c r="N34" i="50"/>
  <c r="P13" i="50"/>
  <c r="P31" i="50"/>
  <c r="O31" i="50"/>
  <c r="N28" i="50"/>
  <c r="O24" i="50"/>
  <c r="O25" i="49"/>
  <c r="N28" i="49"/>
  <c r="P13" i="49"/>
  <c r="O31" i="49"/>
  <c r="O33" i="49"/>
  <c r="P15" i="49"/>
  <c r="P33" i="49"/>
  <c r="N16" i="49"/>
  <c r="N30" i="49"/>
  <c r="O12" i="49"/>
  <c r="N31" i="49"/>
  <c r="O16" i="48"/>
  <c r="P12" i="48"/>
  <c r="N28" i="48"/>
  <c r="O24" i="48"/>
  <c r="P13" i="48"/>
  <c r="P31" i="48"/>
  <c r="O31" i="48"/>
  <c r="O33" i="48"/>
  <c r="P15" i="48"/>
  <c r="P33" i="48"/>
  <c r="O33" i="47"/>
  <c r="P15" i="47"/>
  <c r="P33" i="47"/>
  <c r="O16" i="47"/>
  <c r="P12" i="47"/>
  <c r="N28" i="47"/>
  <c r="O24" i="47"/>
  <c r="O33" i="46"/>
  <c r="P15" i="46"/>
  <c r="P33" i="46"/>
  <c r="N28" i="46"/>
  <c r="O24" i="46"/>
  <c r="P13" i="46"/>
  <c r="P31" i="46"/>
  <c r="O31" i="46"/>
  <c r="N16" i="46"/>
  <c r="O12" i="46"/>
  <c r="N30" i="46"/>
  <c r="N34" i="46"/>
  <c r="N28" i="45"/>
  <c r="O24" i="45"/>
  <c r="O33" i="45"/>
  <c r="P15" i="45"/>
  <c r="P33" i="45"/>
  <c r="O32" i="45"/>
  <c r="P14" i="45"/>
  <c r="P32" i="45"/>
  <c r="N16" i="45"/>
  <c r="O12" i="45"/>
  <c r="N30" i="45"/>
  <c r="N34" i="45"/>
  <c r="P13" i="45"/>
  <c r="P31" i="45"/>
  <c r="O31" i="45"/>
  <c r="P13" i="43"/>
  <c r="P31" i="43"/>
  <c r="O31" i="43"/>
  <c r="N28" i="43"/>
  <c r="O24" i="43"/>
  <c r="O33" i="43"/>
  <c r="P15" i="43"/>
  <c r="P33" i="43"/>
  <c r="O32" i="43"/>
  <c r="P14" i="43"/>
  <c r="P32" i="43"/>
  <c r="N16" i="43"/>
  <c r="O12" i="43"/>
  <c r="N30" i="43"/>
  <c r="N34" i="43"/>
  <c r="O33" i="42"/>
  <c r="P15" i="42"/>
  <c r="P33" i="42"/>
  <c r="P13" i="42"/>
  <c r="P31" i="42"/>
  <c r="O31" i="42"/>
  <c r="N16" i="42"/>
  <c r="O12" i="42"/>
  <c r="N30" i="42"/>
  <c r="N34" i="42"/>
  <c r="N28" i="42"/>
  <c r="O24" i="42"/>
  <c r="O15" i="15"/>
  <c r="N33" i="15"/>
  <c r="M34" i="15"/>
  <c r="O26" i="15"/>
  <c r="N13" i="15"/>
  <c r="N31" i="15"/>
  <c r="N14" i="15"/>
  <c r="N32" i="15"/>
  <c r="N12" i="15"/>
  <c r="N30" i="15"/>
  <c r="N28" i="15"/>
  <c r="H29" i="1"/>
  <c r="H25" i="1"/>
  <c r="J26" i="1"/>
  <c r="J27" i="1"/>
  <c r="L16" i="15"/>
  <c r="K16" i="15"/>
  <c r="U26" i="2"/>
  <c r="K14" i="2"/>
  <c r="K32" i="2"/>
  <c r="K12" i="2"/>
  <c r="K30" i="2"/>
  <c r="J16" i="2"/>
  <c r="K13" i="2"/>
  <c r="K31" i="2"/>
  <c r="K15" i="2"/>
  <c r="K33" i="2"/>
  <c r="J28" i="1"/>
  <c r="O16" i="50"/>
  <c r="P12" i="50"/>
  <c r="O30" i="50"/>
  <c r="O34" i="50"/>
  <c r="O28" i="50"/>
  <c r="P24" i="50"/>
  <c r="P28" i="50"/>
  <c r="O16" i="49"/>
  <c r="P12" i="49"/>
  <c r="O30" i="49"/>
  <c r="O34" i="49"/>
  <c r="P25" i="49"/>
  <c r="P31" i="49"/>
  <c r="N34" i="49"/>
  <c r="P28" i="49"/>
  <c r="O28" i="49"/>
  <c r="P16" i="48"/>
  <c r="O28" i="48"/>
  <c r="P24" i="48"/>
  <c r="P28" i="48"/>
  <c r="O30" i="48"/>
  <c r="O34" i="48"/>
  <c r="O28" i="47"/>
  <c r="P24" i="47"/>
  <c r="P28" i="47"/>
  <c r="P30" i="47"/>
  <c r="P34" i="47"/>
  <c r="P16" i="47"/>
  <c r="O30" i="47"/>
  <c r="O34" i="47"/>
  <c r="O16" i="46"/>
  <c r="P12" i="46"/>
  <c r="O30" i="46"/>
  <c r="O34" i="46"/>
  <c r="O28" i="46"/>
  <c r="P24" i="46"/>
  <c r="P28" i="46"/>
  <c r="O16" i="45"/>
  <c r="P12" i="45"/>
  <c r="O30" i="45"/>
  <c r="O34" i="45"/>
  <c r="O28" i="45"/>
  <c r="P24" i="45"/>
  <c r="P28" i="45"/>
  <c r="O28" i="43"/>
  <c r="P24" i="43"/>
  <c r="P28" i="43"/>
  <c r="O16" i="43"/>
  <c r="P12" i="43"/>
  <c r="O30" i="43"/>
  <c r="O34" i="43"/>
  <c r="O16" i="42"/>
  <c r="P12" i="42"/>
  <c r="O30" i="42"/>
  <c r="O34" i="42"/>
  <c r="O28" i="42"/>
  <c r="P24" i="42"/>
  <c r="P28" i="42"/>
  <c r="P15" i="15"/>
  <c r="P33" i="15"/>
  <c r="O33" i="15"/>
  <c r="N34" i="15"/>
  <c r="P26" i="15"/>
  <c r="O14" i="15"/>
  <c r="O32" i="15"/>
  <c r="O12" i="15"/>
  <c r="O30" i="15"/>
  <c r="O13" i="15"/>
  <c r="O31" i="15"/>
  <c r="I25" i="1"/>
  <c r="I29" i="1"/>
  <c r="K27" i="1"/>
  <c r="K26" i="1"/>
  <c r="M16" i="15"/>
  <c r="V26" i="2"/>
  <c r="L13" i="2"/>
  <c r="L31" i="2"/>
  <c r="K28" i="2"/>
  <c r="L12" i="2"/>
  <c r="L30" i="2"/>
  <c r="K16" i="2"/>
  <c r="L15" i="2"/>
  <c r="L33" i="2"/>
  <c r="J34" i="2"/>
  <c r="L14" i="2"/>
  <c r="L32" i="2"/>
  <c r="K28" i="1"/>
  <c r="P30" i="50"/>
  <c r="P34" i="50"/>
  <c r="P16" i="50"/>
  <c r="P30" i="49"/>
  <c r="P34" i="49"/>
  <c r="P16" i="49"/>
  <c r="P30" i="48"/>
  <c r="P34" i="48"/>
  <c r="P30" i="46"/>
  <c r="P34" i="46"/>
  <c r="P16" i="46"/>
  <c r="P30" i="45"/>
  <c r="P34" i="45"/>
  <c r="P16" i="45"/>
  <c r="P30" i="43"/>
  <c r="P34" i="43"/>
  <c r="P16" i="43"/>
  <c r="P30" i="42"/>
  <c r="P34" i="42"/>
  <c r="P16" i="42"/>
  <c r="O34" i="15"/>
  <c r="P13" i="15"/>
  <c r="P31" i="15"/>
  <c r="O28" i="15"/>
  <c r="P12" i="15"/>
  <c r="P30" i="15"/>
  <c r="P14" i="15"/>
  <c r="P32" i="15"/>
  <c r="J29" i="1"/>
  <c r="J25" i="1"/>
  <c r="N16" i="15"/>
  <c r="W26" i="2"/>
  <c r="M12" i="2"/>
  <c r="M30" i="2"/>
  <c r="L16" i="2"/>
  <c r="M13" i="2"/>
  <c r="M31" i="2"/>
  <c r="L34" i="2"/>
  <c r="M14" i="2"/>
  <c r="M32" i="2"/>
  <c r="K34" i="2"/>
  <c r="M15" i="2"/>
  <c r="M33" i="2"/>
  <c r="L28" i="2"/>
  <c r="L28" i="1"/>
  <c r="P34" i="15"/>
  <c r="P28" i="15"/>
  <c r="K29" i="1"/>
  <c r="K25" i="1"/>
  <c r="N14" i="2"/>
  <c r="N32" i="2"/>
  <c r="N28" i="2"/>
  <c r="M34" i="2"/>
  <c r="N13" i="2"/>
  <c r="N31" i="2"/>
  <c r="M28" i="2"/>
  <c r="N15" i="2"/>
  <c r="N33" i="2"/>
  <c r="N12" i="2"/>
  <c r="N30" i="2"/>
  <c r="M16" i="2"/>
  <c r="L25" i="1"/>
  <c r="P16" i="15"/>
  <c r="O16" i="15"/>
  <c r="O15" i="2"/>
  <c r="O33" i="2"/>
  <c r="O13" i="2"/>
  <c r="O31" i="2"/>
  <c r="O12" i="2"/>
  <c r="O30" i="2"/>
  <c r="N16" i="2"/>
  <c r="O14" i="2"/>
  <c r="O32" i="2"/>
  <c r="N34" i="2"/>
  <c r="O28" i="2"/>
  <c r="O34" i="2"/>
  <c r="P13" i="2"/>
  <c r="P31" i="2"/>
  <c r="P14" i="2"/>
  <c r="P32" i="2"/>
  <c r="P12" i="2"/>
  <c r="P30" i="2"/>
  <c r="O16" i="2"/>
  <c r="P15" i="2"/>
  <c r="P33" i="2"/>
  <c r="Q14" i="2"/>
  <c r="Q32" i="2"/>
  <c r="Q12" i="2"/>
  <c r="Q30" i="2"/>
  <c r="P16" i="2"/>
  <c r="Q13" i="2"/>
  <c r="Q31" i="2"/>
  <c r="P28" i="2"/>
  <c r="Q15" i="2"/>
  <c r="Q33" i="2"/>
  <c r="R15" i="2"/>
  <c r="R33" i="2"/>
  <c r="Q28" i="2"/>
  <c r="R12" i="2"/>
  <c r="R30" i="2"/>
  <c r="Q16" i="2"/>
  <c r="R28" i="2"/>
  <c r="R13" i="2"/>
  <c r="R31" i="2"/>
  <c r="P34" i="2"/>
  <c r="R14" i="2"/>
  <c r="R32" i="2"/>
  <c r="S12" i="2"/>
  <c r="S30" i="2"/>
  <c r="R16" i="2"/>
  <c r="Q34" i="2"/>
  <c r="S14" i="2"/>
  <c r="S32" i="2"/>
  <c r="S13" i="2"/>
  <c r="S31" i="2"/>
  <c r="R34" i="2"/>
  <c r="S15" i="2"/>
  <c r="S33" i="2"/>
  <c r="T14" i="2"/>
  <c r="T32" i="2"/>
  <c r="T15" i="2"/>
  <c r="T33" i="2"/>
  <c r="T12" i="2"/>
  <c r="T30" i="2"/>
  <c r="S16" i="2"/>
  <c r="S34" i="2"/>
  <c r="T13" i="2"/>
  <c r="T31" i="2"/>
  <c r="S28" i="2"/>
  <c r="U13" i="2"/>
  <c r="U31" i="2"/>
  <c r="T34" i="2"/>
  <c r="U15" i="2"/>
  <c r="U33" i="2"/>
  <c r="T28" i="2"/>
  <c r="U12" i="2"/>
  <c r="U30" i="2"/>
  <c r="T16" i="2"/>
  <c r="U14" i="2"/>
  <c r="U32" i="2"/>
  <c r="V15" i="2"/>
  <c r="V33" i="2"/>
  <c r="V12" i="2"/>
  <c r="V30" i="2"/>
  <c r="U16" i="2"/>
  <c r="V13" i="2"/>
  <c r="V31" i="2"/>
  <c r="V14" i="2"/>
  <c r="V32" i="2"/>
  <c r="U28" i="2"/>
  <c r="V28" i="2"/>
  <c r="W28" i="2"/>
  <c r="W12" i="2"/>
  <c r="W30" i="2"/>
  <c r="V16" i="2"/>
  <c r="W14" i="2"/>
  <c r="W32" i="2"/>
  <c r="U34" i="2"/>
  <c r="W13" i="2"/>
  <c r="W31" i="2"/>
  <c r="V34" i="2"/>
  <c r="W15" i="2"/>
  <c r="W33" i="2"/>
  <c r="W16" i="2"/>
  <c r="W34" i="2"/>
  <c r="B2" i="46"/>
  <c r="B2" i="49"/>
  <c r="B2" i="45"/>
  <c r="B2" i="50"/>
  <c r="B2" i="47"/>
  <c r="B2" i="2"/>
  <c r="B2" i="48"/>
  <c r="B2" i="42"/>
  <c r="B2" i="43"/>
  <c r="B2" i="44"/>
  <c r="B2" i="15"/>
  <c r="M27" i="44" l="1"/>
  <c r="N27" i="44" s="1"/>
  <c r="L33" i="44"/>
  <c r="M28" i="1"/>
  <c r="M33" i="44"/>
  <c r="L26" i="44"/>
  <c r="M26" i="44" s="1"/>
  <c r="N26" i="44" s="1"/>
  <c r="O26" i="44" s="1"/>
  <c r="P26" i="44" s="1"/>
  <c r="K28" i="44"/>
  <c r="M24" i="44"/>
  <c r="L30" i="44"/>
  <c r="L28" i="44"/>
  <c r="M11" i="1"/>
  <c r="N28" i="1"/>
  <c r="O22" i="1"/>
  <c r="M17" i="1"/>
  <c r="N25" i="1"/>
  <c r="O19" i="1"/>
  <c r="M25" i="1"/>
  <c r="D44" i="44"/>
  <c r="C44" i="44"/>
  <c r="C47" i="44" s="1"/>
  <c r="M20" i="1"/>
  <c r="L26" i="1"/>
  <c r="E13" i="44"/>
  <c r="E39" i="44"/>
  <c r="D41" i="44"/>
  <c r="E41" i="44" s="1"/>
  <c r="D45" i="44"/>
  <c r="L27" i="1"/>
  <c r="M21" i="1"/>
  <c r="G14" i="44"/>
  <c r="F32" i="44"/>
  <c r="L11" i="1"/>
  <c r="L23" i="1" s="1"/>
  <c r="O27" i="44" l="1"/>
  <c r="N33" i="44"/>
  <c r="M28" i="44"/>
  <c r="N24" i="44"/>
  <c r="M30" i="44"/>
  <c r="D47" i="44"/>
  <c r="P22" i="1"/>
  <c r="O28" i="1"/>
  <c r="P19" i="1"/>
  <c r="O25" i="1"/>
  <c r="F13" i="44"/>
  <c r="E31" i="44"/>
  <c r="E34" i="44" s="1"/>
  <c r="E16" i="44"/>
  <c r="N20" i="1"/>
  <c r="M26" i="1"/>
  <c r="G32" i="44"/>
  <c r="H14" i="44"/>
  <c r="M23" i="1"/>
  <c r="L81" i="1"/>
  <c r="L84" i="1" s="1"/>
  <c r="L29" i="1"/>
  <c r="N21" i="1"/>
  <c r="M27" i="1"/>
  <c r="P27" i="44" l="1"/>
  <c r="P33" i="44" s="1"/>
  <c r="O33" i="44"/>
  <c r="O24" i="44"/>
  <c r="N30" i="44"/>
  <c r="N28" i="44"/>
  <c r="P28" i="1"/>
  <c r="Q22" i="1"/>
  <c r="P25" i="1"/>
  <c r="Q19" i="1"/>
  <c r="N26" i="1"/>
  <c r="O20" i="1"/>
  <c r="G13" i="44"/>
  <c r="F31" i="44"/>
  <c r="F34" i="44" s="1"/>
  <c r="F16" i="44"/>
  <c r="M29" i="1"/>
  <c r="M81" i="1"/>
  <c r="M84" i="1" s="1"/>
  <c r="N23" i="1"/>
  <c r="N27" i="1"/>
  <c r="O21" i="1"/>
  <c r="H32" i="44"/>
  <c r="I14" i="44"/>
  <c r="P24" i="44" l="1"/>
  <c r="O30" i="44"/>
  <c r="O28" i="44"/>
  <c r="R22" i="1"/>
  <c r="Q28" i="1"/>
  <c r="R19" i="1"/>
  <c r="Q25" i="1"/>
  <c r="G31" i="44"/>
  <c r="G34" i="44" s="1"/>
  <c r="H13" i="44"/>
  <c r="G16" i="44"/>
  <c r="P20" i="1"/>
  <c r="O26" i="1"/>
  <c r="P21" i="1"/>
  <c r="O27" i="1"/>
  <c r="I32" i="44"/>
  <c r="J14" i="44"/>
  <c r="N29" i="1"/>
  <c r="N81" i="1"/>
  <c r="N84" i="1" s="1"/>
  <c r="O23" i="1"/>
  <c r="P30" i="44" l="1"/>
  <c r="P28" i="44"/>
  <c r="S22" i="1"/>
  <c r="R28" i="1"/>
  <c r="R25" i="1"/>
  <c r="S19" i="1"/>
  <c r="Q20" i="1"/>
  <c r="P26" i="1"/>
  <c r="I13" i="44"/>
  <c r="H31" i="44"/>
  <c r="H34" i="44" s="1"/>
  <c r="H16" i="44"/>
  <c r="P27" i="1"/>
  <c r="Q21" i="1"/>
  <c r="P23" i="1"/>
  <c r="O29" i="1"/>
  <c r="O81" i="1"/>
  <c r="O84" i="1" s="1"/>
  <c r="K14" i="44"/>
  <c r="J32" i="44"/>
  <c r="T22" i="1" l="1"/>
  <c r="S28" i="1"/>
  <c r="T19" i="1"/>
  <c r="S25" i="1"/>
  <c r="I31" i="44"/>
  <c r="I34" i="44" s="1"/>
  <c r="J13" i="44"/>
  <c r="I16" i="44"/>
  <c r="R20" i="1"/>
  <c r="Q26" i="1"/>
  <c r="L14" i="44"/>
  <c r="K32" i="44"/>
  <c r="Q27" i="1"/>
  <c r="R21" i="1"/>
  <c r="Q23" i="1"/>
  <c r="P29" i="1"/>
  <c r="P81" i="1"/>
  <c r="P84" i="1" s="1"/>
  <c r="U22" i="1" l="1"/>
  <c r="T28" i="1"/>
  <c r="U19" i="1"/>
  <c r="T25" i="1"/>
  <c r="S20" i="1"/>
  <c r="R26" i="1"/>
  <c r="K13" i="44"/>
  <c r="J31" i="44"/>
  <c r="J34" i="44" s="1"/>
  <c r="J16" i="44"/>
  <c r="Q81" i="1"/>
  <c r="Q84" i="1" s="1"/>
  <c r="Q29" i="1"/>
  <c r="R23" i="1"/>
  <c r="L32" i="44"/>
  <c r="M14" i="44"/>
  <c r="R27" i="1"/>
  <c r="S21" i="1"/>
  <c r="V22" i="1" l="1"/>
  <c r="U28" i="1"/>
  <c r="V19" i="1"/>
  <c r="U25" i="1"/>
  <c r="L13" i="44"/>
  <c r="K31" i="44"/>
  <c r="K34" i="44" s="1"/>
  <c r="K16" i="44"/>
  <c r="T20" i="1"/>
  <c r="S26" i="1"/>
  <c r="T21" i="1"/>
  <c r="S27" i="1"/>
  <c r="S23" i="1"/>
  <c r="R81" i="1"/>
  <c r="R84" i="1" s="1"/>
  <c r="R29" i="1"/>
  <c r="N14" i="44"/>
  <c r="M32" i="44"/>
  <c r="V28" i="1" l="1"/>
  <c r="W22" i="1"/>
  <c r="V25" i="1"/>
  <c r="W19" i="1"/>
  <c r="M13" i="44"/>
  <c r="L31" i="44"/>
  <c r="L34" i="44" s="1"/>
  <c r="L16" i="44"/>
  <c r="U20" i="1"/>
  <c r="T26" i="1"/>
  <c r="T23" i="1"/>
  <c r="S81" i="1"/>
  <c r="S84" i="1" s="1"/>
  <c r="S29" i="1"/>
  <c r="O14" i="44"/>
  <c r="N32" i="44"/>
  <c r="T27" i="1"/>
  <c r="U21" i="1"/>
  <c r="X22" i="1" l="1"/>
  <c r="W28" i="1"/>
  <c r="X19" i="1"/>
  <c r="W25" i="1"/>
  <c r="N13" i="44"/>
  <c r="M31" i="44"/>
  <c r="M34" i="44" s="1"/>
  <c r="M16" i="44"/>
  <c r="V20" i="1"/>
  <c r="U26" i="1"/>
  <c r="O32" i="44"/>
  <c r="P14" i="44"/>
  <c r="U27" i="1"/>
  <c r="V21" i="1"/>
  <c r="T29" i="1"/>
  <c r="U23" i="1"/>
  <c r="T81" i="1"/>
  <c r="T84" i="1" s="1"/>
  <c r="Y22" i="1" l="1"/>
  <c r="Y28" i="1" s="1"/>
  <c r="X28" i="1"/>
  <c r="Y19" i="1"/>
  <c r="Y25" i="1" s="1"/>
  <c r="X25" i="1"/>
  <c r="V26" i="1"/>
  <c r="W20" i="1"/>
  <c r="O13" i="44"/>
  <c r="N31" i="44"/>
  <c r="N34" i="44" s="1"/>
  <c r="N16" i="44"/>
  <c r="V23" i="1"/>
  <c r="U29" i="1"/>
  <c r="U81" i="1"/>
  <c r="U84" i="1" s="1"/>
  <c r="P32" i="44"/>
  <c r="V27" i="1"/>
  <c r="W21" i="1"/>
  <c r="P13" i="44" l="1"/>
  <c r="O31" i="44"/>
  <c r="O34" i="44" s="1"/>
  <c r="O16" i="44"/>
  <c r="X20" i="1"/>
  <c r="W26" i="1"/>
  <c r="X21" i="1"/>
  <c r="W27" i="1"/>
  <c r="V29" i="1"/>
  <c r="V81" i="1"/>
  <c r="V84" i="1" s="1"/>
  <c r="W23" i="1"/>
  <c r="X26" i="1" l="1"/>
  <c r="Y20" i="1"/>
  <c r="Y26" i="1" s="1"/>
  <c r="P31" i="44"/>
  <c r="P34" i="44" s="1"/>
  <c r="P16" i="44"/>
  <c r="X23" i="1"/>
  <c r="W81" i="1"/>
  <c r="W84" i="1" s="1"/>
  <c r="W29" i="1"/>
  <c r="X27" i="1"/>
  <c r="Y21" i="1"/>
  <c r="Y27" i="1" s="1"/>
  <c r="X29" i="1" l="1"/>
  <c r="Y23" i="1"/>
  <c r="X81" i="1"/>
  <c r="X84" i="1" s="1"/>
  <c r="D79" i="1"/>
  <c r="Y81" i="1" l="1"/>
  <c r="Y84" i="1" s="1"/>
  <c r="Y29" i="1"/>
</calcChain>
</file>

<file path=xl/sharedStrings.xml><?xml version="1.0" encoding="utf-8"?>
<sst xmlns="http://schemas.openxmlformats.org/spreadsheetml/2006/main" count="334" uniqueCount="73">
  <si>
    <t>DO NOT ENTER INFORMATION DIRECTLY ONTO THIS SHEET</t>
  </si>
  <si>
    <t>Use the Sprint Sheets That Follow After Entering Team Member Info in the Setup Sheet</t>
  </si>
  <si>
    <t>(Person-Hours)</t>
  </si>
  <si>
    <t>CS 425: Senior Project I</t>
  </si>
  <si>
    <t>CS 499: Senior Project II</t>
  </si>
  <si>
    <t>Sprint 0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</si>
  <si>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</si>
  <si>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</si>
  <si>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</si>
  <si>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</si>
  <si>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</si>
  <si>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</si>
  <si>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</si>
  <si>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</si>
  <si>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</si>
  <si>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</si>
  <si>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Week Start Date:</t>
  </si>
  <si>
    <t>Work Week #:</t>
  </si>
  <si>
    <t>Weekly Product Effort</t>
  </si>
  <si>
    <t>TEAM:</t>
  </si>
  <si>
    <t>Weekly Course-specific Effort</t>
  </si>
  <si>
    <t>Cumulative Weekly Effort</t>
  </si>
  <si>
    <t>Weekly Velocity</t>
  </si>
  <si>
    <t>totals</t>
  </si>
  <si>
    <t>estimate.</t>
  </si>
  <si>
    <t>actual</t>
  </si>
  <si>
    <t>hours/week</t>
  </si>
  <si>
    <t>week</t>
  </si>
  <si>
    <t>hours spent</t>
  </si>
  <si>
    <t>est hours /week</t>
  </si>
  <si>
    <t>estimatedBurn</t>
  </si>
  <si>
    <t>Burn</t>
  </si>
  <si>
    <r>
      <t xml:space="preserve">ENTER </t>
    </r>
    <r>
      <rPr>
        <b/>
        <i/>
        <sz val="14"/>
        <color rgb="FFFF0000"/>
        <rFont val="Calibri"/>
        <family val="2"/>
        <scheme val="minor"/>
      </rPr>
      <t>PERSON-HOURS</t>
    </r>
    <r>
      <rPr>
        <b/>
        <sz val="14"/>
        <color rgb="FFFF0000"/>
        <rFont val="Calibri"/>
        <family val="2"/>
        <scheme val="minor"/>
      </rPr>
      <t xml:space="preserve"> DATA INTO THE BLUE BOXED AREAS</t>
    </r>
  </si>
  <si>
    <t>All Other Information is Automatically Calculated from this Data; Do Not Modify Other Cells or Formula</t>
  </si>
  <si>
    <t>Week 1</t>
  </si>
  <si>
    <t>Week 2</t>
  </si>
  <si>
    <t>Week 3</t>
  </si>
  <si>
    <t>Work Date:</t>
  </si>
  <si>
    <t>Work Day #:</t>
  </si>
  <si>
    <t>Product Daily Effort</t>
  </si>
  <si>
    <t>Product Cumulative Daily Effort</t>
  </si>
  <si>
    <t>Course-specific Daily Effort</t>
  </si>
  <si>
    <t>Course-specific Cumulative Daily Effort</t>
  </si>
  <si>
    <t>Daily Velocity</t>
  </si>
  <si>
    <t>Week:</t>
  </si>
  <si>
    <t>TOTAL</t>
  </si>
  <si>
    <t>Weekly Effort</t>
  </si>
  <si>
    <t>Estimated Total Sprint Hours</t>
  </si>
  <si>
    <t xml:space="preserve">Actual </t>
  </si>
  <si>
    <t>Days</t>
  </si>
  <si>
    <t>Ideal Per Day</t>
  </si>
  <si>
    <t>Estimated Hours Average</t>
  </si>
  <si>
    <t>Estimated Hours</t>
  </si>
  <si>
    <t>Estimated Hours Per Day</t>
  </si>
  <si>
    <t>Actual Hours</t>
  </si>
  <si>
    <t>Actual Hours Spent per day</t>
  </si>
  <si>
    <t>MODIFY DATA INSIDE OF BLUE BOXES</t>
  </si>
  <si>
    <t>Sprint 0 Start Date:</t>
  </si>
  <si>
    <t>Sprint 5 Start Date:</t>
  </si>
  <si>
    <t>Last</t>
  </si>
  <si>
    <t>Initial</t>
  </si>
  <si>
    <t>Team Member 1:</t>
  </si>
  <si>
    <t>Eck</t>
  </si>
  <si>
    <t>ME</t>
  </si>
  <si>
    <t>Team Member 2:</t>
  </si>
  <si>
    <t>Schroeder</t>
  </si>
  <si>
    <t>RS</t>
  </si>
  <si>
    <t>Team Member 3:</t>
  </si>
  <si>
    <t>Martz</t>
  </si>
  <si>
    <t>NM</t>
  </si>
  <si>
    <t>Team Member 4:</t>
  </si>
  <si>
    <t>Glosecki</t>
  </si>
  <si>
    <t>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</si>
</sst>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d\-mmm\-yy;@"/>
    <numFmt numFmtId="165" formatCode="[$-409]dd\-mmm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sz val="12"/>
      <color theme="7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indexed="8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ck">
        <color rgb="FF0070C0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thick">
        <color rgb="FF0070C0"/>
      </left>
      <right style="medium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medium">
        <color rgb="FF0070C0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rgb="FF0070C0"/>
      </left>
      <right style="medium">
        <color auto="1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1" fillId="0" borderId="2" xfId="0" applyFont="1" applyBorder="1" applyAlignment="1">
      <alignment horizontal="left"/>
    </xf>
    <xf numFmtId="0" fontId="7" fillId="0" borderId="3" xfId="0" applyFont="1" applyBorder="1" applyAlignment="1">
      <alignment horizontal="right"/>
    </xf>
    <xf numFmtId="0" fontId="11" fillId="0" borderId="0" xfId="0" applyFont="1"/>
    <xf numFmtId="0" fontId="11" fillId="0" borderId="0" xfId="0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13" fillId="0" borderId="4" xfId="0" applyFont="1" applyBorder="1"/>
    <xf numFmtId="0" fontId="9" fillId="0" borderId="0" xfId="0" applyFont="1"/>
    <xf numFmtId="165" fontId="0" fillId="0" borderId="0" xfId="0" applyNumberFormat="1" applyAlignment="1">
      <alignment horizontal="center"/>
    </xf>
    <xf numFmtId="0" fontId="12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7" fillId="0" borderId="5" xfId="0" applyFont="1" applyBorder="1" applyAlignment="1">
      <alignment horizontal="right"/>
    </xf>
    <xf numFmtId="0" fontId="3" fillId="0" borderId="0" xfId="0" applyFont="1" applyBorder="1" applyAlignment="1">
      <alignment horizontal="center" vertical="center" textRotation="90" wrapText="1"/>
    </xf>
    <xf numFmtId="0" fontId="7" fillId="0" borderId="0" xfId="0" applyFont="1" applyBorder="1" applyAlignment="1">
      <alignment horizontal="right"/>
    </xf>
    <xf numFmtId="2" fontId="14" fillId="0" borderId="0" xfId="0" applyNumberFormat="1" applyFont="1"/>
    <xf numFmtId="2" fontId="0" fillId="0" borderId="0" xfId="0" applyNumberFormat="1" applyBorder="1"/>
    <xf numFmtId="0" fontId="2" fillId="0" borderId="0" xfId="0" applyFont="1" applyAlignment="1">
      <alignment horizontal="center"/>
    </xf>
    <xf numFmtId="2" fontId="0" fillId="0" borderId="0" xfId="0" applyNumberFormat="1"/>
    <xf numFmtId="0" fontId="6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left"/>
    </xf>
    <xf numFmtId="2" fontId="0" fillId="0" borderId="0" xfId="0" applyNumberFormat="1" applyFill="1" applyBorder="1"/>
    <xf numFmtId="2" fontId="14" fillId="0" borderId="0" xfId="0" applyNumberFormat="1" applyFont="1" applyFill="1" applyBorder="1"/>
    <xf numFmtId="0" fontId="17" fillId="0" borderId="0" xfId="0" applyFont="1" applyAlignment="1">
      <alignment horizontal="center"/>
    </xf>
    <xf numFmtId="2" fontId="0" fillId="0" borderId="6" xfId="0" applyNumberFormat="1" applyBorder="1"/>
    <xf numFmtId="2" fontId="0" fillId="0" borderId="4" xfId="0" applyNumberFormat="1" applyBorder="1"/>
    <xf numFmtId="2" fontId="0" fillId="0" borderId="7" xfId="0" applyNumberFormat="1" applyBorder="1"/>
    <xf numFmtId="2" fontId="0" fillId="0" borderId="8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2" fontId="0" fillId="0" borderId="12" xfId="0" applyNumberFormat="1" applyBorder="1"/>
    <xf numFmtId="164" fontId="18" fillId="0" borderId="0" xfId="0" applyNumberFormat="1" applyFont="1" applyBorder="1"/>
    <xf numFmtId="165" fontId="4" fillId="0" borderId="13" xfId="0" applyNumberFormat="1" applyFont="1" applyBorder="1" applyAlignment="1">
      <alignment horizontal="center"/>
    </xf>
    <xf numFmtId="165" fontId="4" fillId="0" borderId="15" xfId="0" applyNumberFormat="1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2" fontId="0" fillId="0" borderId="15" xfId="0" applyNumberFormat="1" applyBorder="1"/>
    <xf numFmtId="2" fontId="14" fillId="0" borderId="13" xfId="0" applyNumberFormat="1" applyFont="1" applyBorder="1"/>
    <xf numFmtId="2" fontId="14" fillId="0" borderId="15" xfId="0" applyNumberFormat="1" applyFont="1" applyBorder="1"/>
    <xf numFmtId="0" fontId="0" fillId="0" borderId="13" xfId="0" applyBorder="1"/>
    <xf numFmtId="0" fontId="0" fillId="0" borderId="15" xfId="0" applyBorder="1"/>
    <xf numFmtId="2" fontId="0" fillId="0" borderId="13" xfId="0" applyNumberFormat="1" applyFill="1" applyBorder="1"/>
    <xf numFmtId="2" fontId="0" fillId="0" borderId="15" xfId="0" applyNumberFormat="1" applyFill="1" applyBorder="1"/>
    <xf numFmtId="2" fontId="14" fillId="0" borderId="13" xfId="0" applyNumberFormat="1" applyFont="1" applyFill="1" applyBorder="1"/>
    <xf numFmtId="2" fontId="14" fillId="0" borderId="15" xfId="0" applyNumberFormat="1" applyFont="1" applyFill="1" applyBorder="1"/>
    <xf numFmtId="0" fontId="19" fillId="0" borderId="0" xfId="0" applyFont="1" applyBorder="1" applyAlignment="1">
      <alignment horizontal="center" vertical="center" textRotation="90" wrapText="1"/>
    </xf>
    <xf numFmtId="165" fontId="0" fillId="0" borderId="17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2" fontId="0" fillId="0" borderId="19" xfId="0" applyNumberFormat="1" applyBorder="1"/>
    <xf numFmtId="2" fontId="0" fillId="0" borderId="20" xfId="0" applyNumberFormat="1" applyBorder="1"/>
    <xf numFmtId="2" fontId="14" fillId="0" borderId="17" xfId="0" applyNumberFormat="1" applyFont="1" applyBorder="1"/>
    <xf numFmtId="2" fontId="14" fillId="0" borderId="18" xfId="0" applyNumberFormat="1" applyFont="1" applyBorder="1"/>
    <xf numFmtId="2" fontId="0" fillId="0" borderId="17" xfId="0" applyNumberFormat="1" applyBorder="1"/>
    <xf numFmtId="2" fontId="0" fillId="0" borderId="18" xfId="0" applyNumberFormat="1" applyBorder="1"/>
    <xf numFmtId="2" fontId="14" fillId="0" borderId="0" xfId="0" applyNumberFormat="1" applyFon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10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19" fillId="0" borderId="1" xfId="0" applyFont="1" applyBorder="1" applyAlignment="1">
      <alignment horizontal="center" vertical="center" textRotation="90" wrapText="1"/>
    </xf>
    <xf numFmtId="0" fontId="3" fillId="0" borderId="1" xfId="0" applyFont="1" applyBorder="1" applyAlignment="1">
      <alignment horizontal="center" vertical="center" textRotation="90" wrapText="1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3" fillId="0" borderId="5" xfId="0" applyFont="1" applyBorder="1" applyAlignment="1">
      <alignment horizontal="center" vertical="center" textRotation="90" wrapText="1"/>
    </xf>
    <xf numFmtId="0" fontId="1" fillId="0" borderId="17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 vertical="center" textRotation="90" wrapText="1"/>
    </xf>
    <xf numFmtId="0" fontId="1" fillId="0" borderId="0" xfId="0" applyFont="1" applyBorder="1" applyAlignment="1">
      <alignment horizontal="center"/>
    </xf>
    <xf numFmtId="0" fontId="19" fillId="0" borderId="16" xfId="0" applyFont="1" applyBorder="1" applyAlignment="1">
      <alignment horizontal="center" vertical="center" textRotation="90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9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1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2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3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4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5.xml"/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7.xml"/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8.xml"/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9.xml"/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0.xml"/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1.xml"/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Weekly Team Development Effort </a:t>
            </a:r>
          </a:p>
          <a:p>
            <a:pPr>
              <a:defRPr/>
            </a:pPr>
            <a:r>
              <a:rPr lang="en-US"/>
              <a:t>(Product &amp;</a:t>
            </a:r>
            <a:r>
              <a:rPr lang="en-US" baseline="0"/>
              <a:t> Course-specific)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Product!$C$17:$Y$17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975-48E7-A9A6-F07CB30DB8F5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(Product!$C$11:$M$11,Product!$N$11:$Y$11)</c:f>
              <c:numCache>
                <c:formatCode>0.00</c:formatCode>
                <c:ptCount val="23"/>
                <c:pt idx="0">
                  <c:v>17.25</c:v>
                </c:pt>
                <c:pt idx="1">
                  <c:v>20</c:v>
                </c:pt>
                <c:pt idx="2">
                  <c:v>20.5</c:v>
                </c:pt>
                <c:pt idx="3">
                  <c:v>25</c:v>
                </c:pt>
                <c:pt idx="4">
                  <c:v>9.25</c:v>
                </c:pt>
                <c:pt idx="5">
                  <c:v>26</c:v>
                </c:pt>
                <c:pt idx="6">
                  <c:v>34.5</c:v>
                </c:pt>
                <c:pt idx="7">
                  <c:v>35.75</c:v>
                </c:pt>
                <c:pt idx="8">
                  <c:v>42</c:v>
                </c:pt>
                <c:pt idx="9">
                  <c:v>31.25</c:v>
                </c:pt>
                <c:pt idx="10">
                  <c:v>38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975-48E7-A9A6-F07CB30DB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6949104"/>
        <c:axId val="176947984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Product!$C$29:$Y$29</c:f>
              <c:numCache>
                <c:formatCode>0.00</c:formatCode>
                <c:ptCount val="23"/>
                <c:pt idx="0">
                  <c:v>17.25</c:v>
                </c:pt>
                <c:pt idx="1">
                  <c:v>18.625</c:v>
                </c:pt>
                <c:pt idx="2">
                  <c:v>20.583333333333332</c:v>
                </c:pt>
                <c:pt idx="3">
                  <c:v>21.6875</c:v>
                </c:pt>
                <c:pt idx="4">
                  <c:v>19.2</c:v>
                </c:pt>
                <c:pt idx="5">
                  <c:v>20.333333333333332</c:v>
                </c:pt>
                <c:pt idx="6">
                  <c:v>22.357142857142858</c:v>
                </c:pt>
                <c:pt idx="7">
                  <c:v>24.03125</c:v>
                </c:pt>
                <c:pt idx="8">
                  <c:v>26.027777777777779</c:v>
                </c:pt>
                <c:pt idx="9">
                  <c:v>26.55</c:v>
                </c:pt>
                <c:pt idx="10">
                  <c:v>28.704545454545453</c:v>
                </c:pt>
                <c:pt idx="11">
                  <c:v>26.3125</c:v>
                </c:pt>
                <c:pt idx="12">
                  <c:v>24.28846153846154</c:v>
                </c:pt>
                <c:pt idx="13">
                  <c:v>22.553571428571427</c:v>
                </c:pt>
                <c:pt idx="14">
                  <c:v>21.05</c:v>
                </c:pt>
                <c:pt idx="15">
                  <c:v>19.734375</c:v>
                </c:pt>
                <c:pt idx="16">
                  <c:v>18.573529411764707</c:v>
                </c:pt>
                <c:pt idx="17">
                  <c:v>17.541666666666668</c:v>
                </c:pt>
                <c:pt idx="18">
                  <c:v>16.618421052631579</c:v>
                </c:pt>
                <c:pt idx="19">
                  <c:v>15.7875</c:v>
                </c:pt>
                <c:pt idx="20">
                  <c:v>15.035714285714286</c:v>
                </c:pt>
                <c:pt idx="21">
                  <c:v>14.352272727272727</c:v>
                </c:pt>
                <c:pt idx="22">
                  <c:v>13.728260869565217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975-48E7-A9A6-F07CB30DB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949104"/>
        <c:axId val="176947984"/>
      </c:lineChart>
      <c:catAx>
        <c:axId val="176949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947984"/>
        <c:crosses val="autoZero"/>
        <c:auto val="0"/>
        <c:lblAlgn val="ctr"/>
        <c:lblOffset val="100"/>
        <c:noMultiLvlLbl val="0"/>
      </c:catAx>
      <c:valAx>
        <c:axId val="17694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</a:t>
                </a:r>
                <a:r>
                  <a:rPr lang="en-US" baseline="0"/>
                  <a:t>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949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Product!$C$13:$Y$13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8A2-4836-9A4F-3ECAFA3A92E0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Product!$C$7:$Y$7</c:f>
              <c:numCache>
                <c:formatCode>0.00</c:formatCode>
                <c:ptCount val="23"/>
                <c:pt idx="0">
                  <c:v>4.75</c:v>
                </c:pt>
                <c:pt idx="1">
                  <c:v>5</c:v>
                </c:pt>
                <c:pt idx="2">
                  <c:v>5.5</c:v>
                </c:pt>
                <c:pt idx="3">
                  <c:v>6.5</c:v>
                </c:pt>
                <c:pt idx="4">
                  <c:v>2</c:v>
                </c:pt>
                <c:pt idx="5">
                  <c:v>6</c:v>
                </c:pt>
                <c:pt idx="6">
                  <c:v>8</c:v>
                </c:pt>
                <c:pt idx="7">
                  <c:v>12.25</c:v>
                </c:pt>
                <c:pt idx="8">
                  <c:v>10.5</c:v>
                </c:pt>
                <c:pt idx="9">
                  <c:v>10.5</c:v>
                </c:pt>
                <c:pt idx="10">
                  <c:v>5.5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8A2-4836-9A4F-3ECAFA3A9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7168480"/>
        <c:axId val="667169040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Product!$C$25:$Y$25</c:f>
              <c:numCache>
                <c:formatCode>0.00</c:formatCode>
                <c:ptCount val="23"/>
                <c:pt idx="0">
                  <c:v>4.75</c:v>
                </c:pt>
                <c:pt idx="1">
                  <c:v>4.875</c:v>
                </c:pt>
                <c:pt idx="2">
                  <c:v>5.416666666666667</c:v>
                </c:pt>
                <c:pt idx="3">
                  <c:v>5.6875</c:v>
                </c:pt>
                <c:pt idx="4">
                  <c:v>4.95</c:v>
                </c:pt>
                <c:pt idx="5">
                  <c:v>5.125</c:v>
                </c:pt>
                <c:pt idx="6">
                  <c:v>5.5357142857142856</c:v>
                </c:pt>
                <c:pt idx="7">
                  <c:v>6.375</c:v>
                </c:pt>
                <c:pt idx="8">
                  <c:v>6.833333333333333</c:v>
                </c:pt>
                <c:pt idx="9">
                  <c:v>7.2</c:v>
                </c:pt>
                <c:pt idx="10">
                  <c:v>7.3181818181818183</c:v>
                </c:pt>
                <c:pt idx="11">
                  <c:v>6.708333333333333</c:v>
                </c:pt>
                <c:pt idx="12">
                  <c:v>6.1923076923076925</c:v>
                </c:pt>
                <c:pt idx="13">
                  <c:v>5.75</c:v>
                </c:pt>
                <c:pt idx="14">
                  <c:v>5.3666666666666663</c:v>
                </c:pt>
                <c:pt idx="15">
                  <c:v>5.03125</c:v>
                </c:pt>
                <c:pt idx="16">
                  <c:v>4.7352941176470589</c:v>
                </c:pt>
                <c:pt idx="17">
                  <c:v>4.4722222222222223</c:v>
                </c:pt>
                <c:pt idx="18">
                  <c:v>4.2368421052631575</c:v>
                </c:pt>
                <c:pt idx="19">
                  <c:v>4.0250000000000004</c:v>
                </c:pt>
                <c:pt idx="20">
                  <c:v>3.8333333333333335</c:v>
                </c:pt>
                <c:pt idx="21">
                  <c:v>3.6590909090909092</c:v>
                </c:pt>
                <c:pt idx="22">
                  <c:v>3.5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8A2-4836-9A4F-3ECAFA3A9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168480"/>
        <c:axId val="667169040"/>
      </c:lineChart>
      <c:catAx>
        <c:axId val="667168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169040"/>
        <c:crosses val="autoZero"/>
        <c:auto val="0"/>
        <c:lblAlgn val="ctr"/>
        <c:lblOffset val="100"/>
        <c:noMultiLvlLbl val="0"/>
      </c:catAx>
      <c:valAx>
        <c:axId val="6671690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16848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Product!$C$14:$W$14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2.75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C1B-4BFF-8A88-B3BFF10F1BBE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Product!$C$8:$Y$8</c:f>
              <c:numCache>
                <c:formatCode>0.00</c:formatCode>
                <c:ptCount val="23"/>
                <c:pt idx="0">
                  <c:v>4.25</c:v>
                </c:pt>
                <c:pt idx="1">
                  <c:v>4.5</c:v>
                </c:pt>
                <c:pt idx="2">
                  <c:v>5</c:v>
                </c:pt>
                <c:pt idx="3">
                  <c:v>6.5</c:v>
                </c:pt>
                <c:pt idx="4">
                  <c:v>2.75</c:v>
                </c:pt>
                <c:pt idx="5">
                  <c:v>6</c:v>
                </c:pt>
                <c:pt idx="6">
                  <c:v>8</c:v>
                </c:pt>
                <c:pt idx="7">
                  <c:v>5.5</c:v>
                </c:pt>
                <c:pt idx="8">
                  <c:v>14</c:v>
                </c:pt>
                <c:pt idx="9">
                  <c:v>6.25</c:v>
                </c:pt>
                <c:pt idx="10">
                  <c:v>5.5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C1B-4BFF-8A88-B3BFF10F1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7175760"/>
        <c:axId val="667176320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Product!$C$26:$Y$26</c:f>
              <c:numCache>
                <c:formatCode>0.00</c:formatCode>
                <c:ptCount val="23"/>
                <c:pt idx="0">
                  <c:v>4.25</c:v>
                </c:pt>
                <c:pt idx="1">
                  <c:v>4.375</c:v>
                </c:pt>
                <c:pt idx="2">
                  <c:v>4.916666666666667</c:v>
                </c:pt>
                <c:pt idx="3">
                  <c:v>5.3125</c:v>
                </c:pt>
                <c:pt idx="4">
                  <c:v>4.8</c:v>
                </c:pt>
                <c:pt idx="5">
                  <c:v>5</c:v>
                </c:pt>
                <c:pt idx="6">
                  <c:v>5.4285714285714288</c:v>
                </c:pt>
                <c:pt idx="7">
                  <c:v>5.4375</c:v>
                </c:pt>
                <c:pt idx="8">
                  <c:v>6.3888888888888893</c:v>
                </c:pt>
                <c:pt idx="9">
                  <c:v>6.375</c:v>
                </c:pt>
                <c:pt idx="10">
                  <c:v>6.5454545454545459</c:v>
                </c:pt>
                <c:pt idx="11">
                  <c:v>6</c:v>
                </c:pt>
                <c:pt idx="12">
                  <c:v>5.5384615384615383</c:v>
                </c:pt>
                <c:pt idx="13">
                  <c:v>5.1428571428571432</c:v>
                </c:pt>
                <c:pt idx="14">
                  <c:v>4.8</c:v>
                </c:pt>
                <c:pt idx="15">
                  <c:v>4.5</c:v>
                </c:pt>
                <c:pt idx="16">
                  <c:v>4.2352941176470589</c:v>
                </c:pt>
                <c:pt idx="17">
                  <c:v>4</c:v>
                </c:pt>
                <c:pt idx="18">
                  <c:v>3.7894736842105261</c:v>
                </c:pt>
                <c:pt idx="19">
                  <c:v>3.6</c:v>
                </c:pt>
                <c:pt idx="20">
                  <c:v>3.4285714285714284</c:v>
                </c:pt>
                <c:pt idx="21">
                  <c:v>3.2727272727272729</c:v>
                </c:pt>
                <c:pt idx="22">
                  <c:v>3.1304347826086958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C1B-4BFF-8A88-B3BFF10F1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175760"/>
        <c:axId val="667176320"/>
      </c:lineChart>
      <c:catAx>
        <c:axId val="667175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176320"/>
        <c:crosses val="autoZero"/>
        <c:auto val="0"/>
        <c:lblAlgn val="ctr"/>
        <c:lblOffset val="100"/>
        <c:noMultiLvlLbl val="0"/>
      </c:catAx>
      <c:valAx>
        <c:axId val="667176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1757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Product!$C$15:$Y$15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54D-494B-94CE-8F3A886F62E1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Product!$C$9:$Y$9</c:f>
              <c:numCache>
                <c:formatCode>0.00</c:formatCode>
                <c:ptCount val="23"/>
                <c:pt idx="0">
                  <c:v>5.25</c:v>
                </c:pt>
                <c:pt idx="1">
                  <c:v>5.5</c:v>
                </c:pt>
                <c:pt idx="2">
                  <c:v>5.5</c:v>
                </c:pt>
                <c:pt idx="3">
                  <c:v>7</c:v>
                </c:pt>
                <c:pt idx="4">
                  <c:v>2.5</c:v>
                </c:pt>
                <c:pt idx="5">
                  <c:v>11</c:v>
                </c:pt>
                <c:pt idx="6">
                  <c:v>9.25</c:v>
                </c:pt>
                <c:pt idx="7">
                  <c:v>10</c:v>
                </c:pt>
                <c:pt idx="8">
                  <c:v>8</c:v>
                </c:pt>
                <c:pt idx="9">
                  <c:v>6</c:v>
                </c:pt>
                <c:pt idx="10">
                  <c:v>13.5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54D-494B-94CE-8F3A886F6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7181360"/>
        <c:axId val="667181920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Product!$C$27:$Y$27</c:f>
              <c:numCache>
                <c:formatCode>0.00</c:formatCode>
                <c:ptCount val="23"/>
                <c:pt idx="0">
                  <c:v>5.25</c:v>
                </c:pt>
                <c:pt idx="1">
                  <c:v>5.375</c:v>
                </c:pt>
                <c:pt idx="2">
                  <c:v>5.75</c:v>
                </c:pt>
                <c:pt idx="3">
                  <c:v>6.0625</c:v>
                </c:pt>
                <c:pt idx="4">
                  <c:v>5.35</c:v>
                </c:pt>
                <c:pt idx="5">
                  <c:v>6.291666666666667</c:v>
                </c:pt>
                <c:pt idx="6">
                  <c:v>6.7142857142857144</c:v>
                </c:pt>
                <c:pt idx="7">
                  <c:v>7.125</c:v>
                </c:pt>
                <c:pt idx="8">
                  <c:v>7.2222222222222223</c:v>
                </c:pt>
                <c:pt idx="9">
                  <c:v>7.1</c:v>
                </c:pt>
                <c:pt idx="10">
                  <c:v>8</c:v>
                </c:pt>
                <c:pt idx="11">
                  <c:v>7.333333333333333</c:v>
                </c:pt>
                <c:pt idx="12">
                  <c:v>6.7692307692307692</c:v>
                </c:pt>
                <c:pt idx="13">
                  <c:v>6.2857142857142856</c:v>
                </c:pt>
                <c:pt idx="14">
                  <c:v>5.8666666666666663</c:v>
                </c:pt>
                <c:pt idx="15">
                  <c:v>5.5</c:v>
                </c:pt>
                <c:pt idx="16">
                  <c:v>5.1764705882352944</c:v>
                </c:pt>
                <c:pt idx="17">
                  <c:v>4.8888888888888893</c:v>
                </c:pt>
                <c:pt idx="18">
                  <c:v>4.6315789473684212</c:v>
                </c:pt>
                <c:pt idx="19">
                  <c:v>4.4000000000000004</c:v>
                </c:pt>
                <c:pt idx="20">
                  <c:v>4.1904761904761907</c:v>
                </c:pt>
                <c:pt idx="21">
                  <c:v>4</c:v>
                </c:pt>
                <c:pt idx="22">
                  <c:v>3.8260869565217392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54D-494B-94CE-8F3A886F6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181360"/>
        <c:axId val="667181920"/>
      </c:lineChart>
      <c:catAx>
        <c:axId val="66718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181920"/>
        <c:crosses val="autoZero"/>
        <c:auto val="0"/>
        <c:lblAlgn val="ctr"/>
        <c:lblOffset val="100"/>
        <c:noMultiLvlLbl val="0"/>
      </c:catAx>
      <c:valAx>
        <c:axId val="6671819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1813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Product!$C$16:$Y$16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0FC-4FB0-83C9-C893069E7C9E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Product!$C$10:$Y$10</c:f>
              <c:numCache>
                <c:formatCode>0.00</c:formatCode>
                <c:ptCount val="23"/>
                <c:pt idx="0">
                  <c:v>3</c:v>
                </c:pt>
                <c:pt idx="1">
                  <c:v>5</c:v>
                </c:pt>
                <c:pt idx="2">
                  <c:v>4.5</c:v>
                </c:pt>
                <c:pt idx="3">
                  <c:v>5</c:v>
                </c:pt>
                <c:pt idx="4">
                  <c:v>2</c:v>
                </c:pt>
                <c:pt idx="5">
                  <c:v>3</c:v>
                </c:pt>
                <c:pt idx="6">
                  <c:v>9.25</c:v>
                </c:pt>
                <c:pt idx="7">
                  <c:v>8</c:v>
                </c:pt>
                <c:pt idx="8">
                  <c:v>9.5</c:v>
                </c:pt>
                <c:pt idx="9">
                  <c:v>8.5</c:v>
                </c:pt>
                <c:pt idx="10">
                  <c:v>13.5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0FC-4FB0-83C9-C893069E7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7762768"/>
        <c:axId val="667763328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Product!$C$28:$Y$28</c:f>
              <c:numCache>
                <c:formatCode>0.00</c:formatCode>
                <c:ptCount val="23"/>
                <c:pt idx="0">
                  <c:v>3</c:v>
                </c:pt>
                <c:pt idx="1">
                  <c:v>4</c:v>
                </c:pt>
                <c:pt idx="2">
                  <c:v>4.5</c:v>
                </c:pt>
                <c:pt idx="3">
                  <c:v>4.625</c:v>
                </c:pt>
                <c:pt idx="4">
                  <c:v>4.0999999999999996</c:v>
                </c:pt>
                <c:pt idx="5">
                  <c:v>3.9166666666666665</c:v>
                </c:pt>
                <c:pt idx="6">
                  <c:v>4.6785714285714288</c:v>
                </c:pt>
                <c:pt idx="7">
                  <c:v>5.09375</c:v>
                </c:pt>
                <c:pt idx="8">
                  <c:v>5.583333333333333</c:v>
                </c:pt>
                <c:pt idx="9">
                  <c:v>5.875</c:v>
                </c:pt>
                <c:pt idx="10">
                  <c:v>6.8409090909090908</c:v>
                </c:pt>
                <c:pt idx="11">
                  <c:v>6.270833333333333</c:v>
                </c:pt>
                <c:pt idx="12">
                  <c:v>5.7884615384615383</c:v>
                </c:pt>
                <c:pt idx="13">
                  <c:v>5.375</c:v>
                </c:pt>
                <c:pt idx="14">
                  <c:v>5.0166666666666666</c:v>
                </c:pt>
                <c:pt idx="15">
                  <c:v>4.703125</c:v>
                </c:pt>
                <c:pt idx="16">
                  <c:v>4.4264705882352944</c:v>
                </c:pt>
                <c:pt idx="17">
                  <c:v>4.1805555555555554</c:v>
                </c:pt>
                <c:pt idx="18">
                  <c:v>3.9605263157894739</c:v>
                </c:pt>
                <c:pt idx="19">
                  <c:v>3.7625000000000002</c:v>
                </c:pt>
                <c:pt idx="20">
                  <c:v>3.5833333333333335</c:v>
                </c:pt>
                <c:pt idx="21">
                  <c:v>3.4204545454545454</c:v>
                </c:pt>
                <c:pt idx="22">
                  <c:v>3.2717391304347827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FC-4FB0-83C9-C893069E7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762768"/>
        <c:axId val="667763328"/>
      </c:lineChart>
      <c:catAx>
        <c:axId val="667762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763328"/>
        <c:crosses val="autoZero"/>
        <c:auto val="0"/>
        <c:lblAlgn val="ctr"/>
        <c:lblOffset val="100"/>
        <c:noMultiLvlLbl val="0"/>
      </c:catAx>
      <c:valAx>
        <c:axId val="667763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76276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</a:t>
            </a:r>
            <a:r>
              <a:rPr lang="en-US" baseline="0"/>
              <a:t>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Product!$B$83</c:f>
              <c:strCache>
                <c:ptCount val="1"/>
                <c:pt idx="0">
                  <c:v>estimatedBurn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Product!$C$83:$Y$83</c:f>
              <c:numCache>
                <c:formatCode>General</c:formatCode>
                <c:ptCount val="23"/>
                <c:pt idx="0">
                  <c:v>346.26086956521738</c:v>
                </c:pt>
                <c:pt idx="1">
                  <c:v>330.52173913043475</c:v>
                </c:pt>
                <c:pt idx="2">
                  <c:v>314.78260869565219</c:v>
                </c:pt>
                <c:pt idx="3">
                  <c:v>299.04347826086956</c:v>
                </c:pt>
                <c:pt idx="4">
                  <c:v>283.30434782608694</c:v>
                </c:pt>
                <c:pt idx="5">
                  <c:v>267.56521739130437</c:v>
                </c:pt>
                <c:pt idx="6">
                  <c:v>251.82608695652175</c:v>
                </c:pt>
                <c:pt idx="7">
                  <c:v>236.08695652173913</c:v>
                </c:pt>
                <c:pt idx="8">
                  <c:v>220.3478260869565</c:v>
                </c:pt>
                <c:pt idx="9">
                  <c:v>204.60869565217391</c:v>
                </c:pt>
                <c:pt idx="10">
                  <c:v>188.86956521739131</c:v>
                </c:pt>
                <c:pt idx="11">
                  <c:v>173.13043478260869</c:v>
                </c:pt>
                <c:pt idx="12">
                  <c:v>157.39130434782606</c:v>
                </c:pt>
                <c:pt idx="13">
                  <c:v>141.65217391304347</c:v>
                </c:pt>
                <c:pt idx="14">
                  <c:v>125.91304347826087</c:v>
                </c:pt>
                <c:pt idx="15">
                  <c:v>110.17391304347825</c:v>
                </c:pt>
                <c:pt idx="16">
                  <c:v>94.434782608695627</c:v>
                </c:pt>
                <c:pt idx="17">
                  <c:v>78.695652173913004</c:v>
                </c:pt>
                <c:pt idx="18">
                  <c:v>62.956521739130437</c:v>
                </c:pt>
                <c:pt idx="19">
                  <c:v>47.217391304347814</c:v>
                </c:pt>
                <c:pt idx="20">
                  <c:v>31.47826086956519</c:v>
                </c:pt>
                <c:pt idx="21">
                  <c:v>15.739130434782624</c:v>
                </c:pt>
                <c:pt idx="2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152-4DC2-8CD6-94BB58FF6125}"/>
            </c:ext>
          </c:extLst>
        </c:ser>
        <c:ser>
          <c:idx val="1"/>
          <c:order val="1"/>
          <c:tx>
            <c:strRef>
              <c:f>Product!$B$84</c:f>
              <c:strCache>
                <c:ptCount val="1"/>
                <c:pt idx="0">
                  <c:v>Burn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Product!$C$84:$M$84</c:f>
              <c:numCache>
                <c:formatCode>0.00</c:formatCode>
                <c:ptCount val="11"/>
                <c:pt idx="0">
                  <c:v>344.75</c:v>
                </c:pt>
                <c:pt idx="1">
                  <c:v>324.75</c:v>
                </c:pt>
                <c:pt idx="2">
                  <c:v>300.25</c:v>
                </c:pt>
                <c:pt idx="3">
                  <c:v>275.25</c:v>
                </c:pt>
                <c:pt idx="4">
                  <c:v>266</c:v>
                </c:pt>
                <c:pt idx="5">
                  <c:v>240</c:v>
                </c:pt>
                <c:pt idx="6">
                  <c:v>205.5</c:v>
                </c:pt>
                <c:pt idx="7">
                  <c:v>169.75</c:v>
                </c:pt>
                <c:pt idx="8">
                  <c:v>127.75</c:v>
                </c:pt>
                <c:pt idx="9">
                  <c:v>96.5</c:v>
                </c:pt>
                <c:pt idx="10">
                  <c:v>46.25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152-4DC2-8CD6-94BB58FF6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7767808"/>
        <c:axId val="667768368"/>
      </c:lineChart>
      <c:catAx>
        <c:axId val="667767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768368"/>
        <c:crosses val="autoZero"/>
        <c:auto val="1"/>
        <c:lblAlgn val="ctr"/>
        <c:lblOffset val="100"/>
        <c:noMultiLvlLbl val="0"/>
      </c:catAx>
      <c:valAx>
        <c:axId val="66776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HoursRemaining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76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0'!$C$22:$W$22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5FC-4CD2-88D7-AE8B0803A4A1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0'!$C$10:$W$10</c:f>
              <c:numCache>
                <c:formatCode>0.00</c:formatCode>
                <c:ptCount val="21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0</c:v>
                </c:pt>
                <c:pt idx="4">
                  <c:v>0.5</c:v>
                </c:pt>
                <c:pt idx="5">
                  <c:v>2.5</c:v>
                </c:pt>
                <c:pt idx="6">
                  <c:v>6.25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13</c:v>
                </c:pt>
                <c:pt idx="11">
                  <c:v>0</c:v>
                </c:pt>
                <c:pt idx="12">
                  <c:v>2.5</c:v>
                </c:pt>
                <c:pt idx="13">
                  <c:v>1.5</c:v>
                </c:pt>
                <c:pt idx="14">
                  <c:v>9</c:v>
                </c:pt>
                <c:pt idx="15">
                  <c:v>0</c:v>
                </c:pt>
                <c:pt idx="16">
                  <c:v>0</c:v>
                </c:pt>
                <c:pt idx="17">
                  <c:v>5</c:v>
                </c:pt>
                <c:pt idx="18">
                  <c:v>2</c:v>
                </c:pt>
                <c:pt idx="19">
                  <c:v>2.5</c:v>
                </c:pt>
                <c:pt idx="20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5FC-4CD2-88D7-AE8B0803A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7771168"/>
        <c:axId val="667771728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0'!$C$34:$W$34</c:f>
              <c:numCache>
                <c:formatCode>0.00</c:formatCode>
                <c:ptCount val="21"/>
                <c:pt idx="0">
                  <c:v>0</c:v>
                </c:pt>
                <c:pt idx="1">
                  <c:v>2</c:v>
                </c:pt>
                <c:pt idx="2">
                  <c:v>2.6666666666666665</c:v>
                </c:pt>
                <c:pt idx="3">
                  <c:v>2</c:v>
                </c:pt>
                <c:pt idx="4">
                  <c:v>1.7000000000000002</c:v>
                </c:pt>
                <c:pt idx="5">
                  <c:v>1.8333333333333335</c:v>
                </c:pt>
                <c:pt idx="6">
                  <c:v>2.464285714285714</c:v>
                </c:pt>
                <c:pt idx="7">
                  <c:v>2.15625</c:v>
                </c:pt>
                <c:pt idx="8">
                  <c:v>2.25</c:v>
                </c:pt>
                <c:pt idx="9">
                  <c:v>2.0249999999999999</c:v>
                </c:pt>
                <c:pt idx="10">
                  <c:v>3.0227272727272725</c:v>
                </c:pt>
                <c:pt idx="11">
                  <c:v>2.7708333333333335</c:v>
                </c:pt>
                <c:pt idx="12">
                  <c:v>2.75</c:v>
                </c:pt>
                <c:pt idx="13">
                  <c:v>2.6607142857142856</c:v>
                </c:pt>
                <c:pt idx="14">
                  <c:v>3.35</c:v>
                </c:pt>
                <c:pt idx="15">
                  <c:v>3.140625</c:v>
                </c:pt>
                <c:pt idx="16">
                  <c:v>2.9558823529411762</c:v>
                </c:pt>
                <c:pt idx="17">
                  <c:v>3.0694444444444446</c:v>
                </c:pt>
                <c:pt idx="18">
                  <c:v>3.013157894736842</c:v>
                </c:pt>
                <c:pt idx="19">
                  <c:v>2.9874999999999998</c:v>
                </c:pt>
                <c:pt idx="20">
                  <c:v>2.9404761904761902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5FC-4CD2-88D7-AE8B0803A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771168"/>
        <c:axId val="667771728"/>
      </c:lineChart>
      <c:catAx>
        <c:axId val="6677711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771728"/>
        <c:crosses val="autoZero"/>
        <c:auto val="1"/>
        <c:lblAlgn val="ctr"/>
        <c:lblOffset val="100"/>
        <c:noMultiLvlLbl val="1"/>
      </c:catAx>
      <c:valAx>
        <c:axId val="66777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771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0'!$C$18:$W$18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E9A-4956-A322-5F2412B8C56C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0'!$C$6:$W$6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0.5</c:v>
                </c:pt>
                <c:pt idx="5">
                  <c:v>0</c:v>
                </c:pt>
                <c:pt idx="6">
                  <c:v>2.25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0.5</c:v>
                </c:pt>
                <c:pt idx="19">
                  <c:v>1.5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E9A-4956-A322-5F2412B8C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7776208"/>
        <c:axId val="667776768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0'!$C$30:$W$30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0.5</c:v>
                </c:pt>
                <c:pt idx="5">
                  <c:v>0.41666666666666669</c:v>
                </c:pt>
                <c:pt idx="6">
                  <c:v>0.6785714285714286</c:v>
                </c:pt>
                <c:pt idx="7">
                  <c:v>0.59375</c:v>
                </c:pt>
                <c:pt idx="8">
                  <c:v>0.61111111111111116</c:v>
                </c:pt>
                <c:pt idx="9">
                  <c:v>0.55000000000000004</c:v>
                </c:pt>
                <c:pt idx="10">
                  <c:v>0.79545454545454541</c:v>
                </c:pt>
                <c:pt idx="11">
                  <c:v>0.72916666666666663</c:v>
                </c:pt>
                <c:pt idx="12">
                  <c:v>0.75</c:v>
                </c:pt>
                <c:pt idx="13">
                  <c:v>0.6964285714285714</c:v>
                </c:pt>
                <c:pt idx="14">
                  <c:v>0.8666666666666667</c:v>
                </c:pt>
                <c:pt idx="15">
                  <c:v>0.8125</c:v>
                </c:pt>
                <c:pt idx="16">
                  <c:v>0.76470588235294112</c:v>
                </c:pt>
                <c:pt idx="17">
                  <c:v>0.79166666666666663</c:v>
                </c:pt>
                <c:pt idx="18">
                  <c:v>0.77631578947368418</c:v>
                </c:pt>
                <c:pt idx="19">
                  <c:v>0.8125</c:v>
                </c:pt>
                <c:pt idx="20">
                  <c:v>0.77380952380952384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E9A-4956-A322-5F2412B8C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776208"/>
        <c:axId val="667776768"/>
      </c:lineChart>
      <c:catAx>
        <c:axId val="667776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776768"/>
        <c:crosses val="autoZero"/>
        <c:auto val="1"/>
        <c:lblAlgn val="ctr"/>
        <c:lblOffset val="100"/>
        <c:noMultiLvlLbl val="1"/>
      </c:catAx>
      <c:valAx>
        <c:axId val="6677767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7762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0'!$C$19:$W$19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1F4-4964-B459-7CF9206F3588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0'!$C$7:$W$7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1.75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0.5</c:v>
                </c:pt>
                <c:pt idx="13">
                  <c:v>0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1.5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1F4-4964-B459-7CF9206F3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7781808"/>
        <c:axId val="667782368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0'!$C$31:$W$31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0.41666666666666669</c:v>
                </c:pt>
                <c:pt idx="6">
                  <c:v>0.6071428571428571</c:v>
                </c:pt>
                <c:pt idx="7">
                  <c:v>0.53125</c:v>
                </c:pt>
                <c:pt idx="8">
                  <c:v>0.55555555555555558</c:v>
                </c:pt>
                <c:pt idx="9">
                  <c:v>0.5</c:v>
                </c:pt>
                <c:pt idx="10">
                  <c:v>0.75</c:v>
                </c:pt>
                <c:pt idx="11">
                  <c:v>0.6875</c:v>
                </c:pt>
                <c:pt idx="12">
                  <c:v>0.67307692307692313</c:v>
                </c:pt>
                <c:pt idx="13">
                  <c:v>0.625</c:v>
                </c:pt>
                <c:pt idx="14">
                  <c:v>0.8</c:v>
                </c:pt>
                <c:pt idx="15">
                  <c:v>0.75</c:v>
                </c:pt>
                <c:pt idx="16">
                  <c:v>0.70588235294117652</c:v>
                </c:pt>
                <c:pt idx="17">
                  <c:v>0.73611111111111116</c:v>
                </c:pt>
                <c:pt idx="18">
                  <c:v>0.77631578947368418</c:v>
                </c:pt>
                <c:pt idx="19">
                  <c:v>0.73750000000000004</c:v>
                </c:pt>
                <c:pt idx="20">
                  <c:v>0.70238095238095233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1F4-4964-B459-7CF9206F3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781808"/>
        <c:axId val="667782368"/>
      </c:lineChart>
      <c:catAx>
        <c:axId val="667781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782368"/>
        <c:crosses val="autoZero"/>
        <c:auto val="1"/>
        <c:lblAlgn val="ctr"/>
        <c:lblOffset val="100"/>
        <c:noMultiLvlLbl val="1"/>
      </c:catAx>
      <c:valAx>
        <c:axId val="6677823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7818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0'!$C$20:$W$20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EC3-43B2-BE59-6DA78CB7D94B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0'!$C$8:$W$8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2.25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1.5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EC3-43B2-BE59-6DA78CB7D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7787408"/>
        <c:axId val="667787968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0'!$C$32:$W$32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0.5</c:v>
                </c:pt>
                <c:pt idx="6">
                  <c:v>0.75</c:v>
                </c:pt>
                <c:pt idx="7">
                  <c:v>0.65625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0.84090909090909094</c:v>
                </c:pt>
                <c:pt idx="11">
                  <c:v>0.77083333333333337</c:v>
                </c:pt>
                <c:pt idx="12">
                  <c:v>0.71153846153846156</c:v>
                </c:pt>
                <c:pt idx="13">
                  <c:v>0.7678571428571429</c:v>
                </c:pt>
                <c:pt idx="14">
                  <c:v>0.93333333333333335</c:v>
                </c:pt>
                <c:pt idx="15">
                  <c:v>0.875</c:v>
                </c:pt>
                <c:pt idx="16">
                  <c:v>0.82352941176470584</c:v>
                </c:pt>
                <c:pt idx="17">
                  <c:v>0.84722222222222221</c:v>
                </c:pt>
                <c:pt idx="18">
                  <c:v>0.80263157894736847</c:v>
                </c:pt>
                <c:pt idx="19">
                  <c:v>0.76249999999999996</c:v>
                </c:pt>
                <c:pt idx="20">
                  <c:v>0.8214285714285714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EC3-43B2-BE59-6DA78CB7D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787408"/>
        <c:axId val="667787968"/>
      </c:lineChart>
      <c:catAx>
        <c:axId val="667787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787968"/>
        <c:crosses val="autoZero"/>
        <c:auto val="1"/>
        <c:lblAlgn val="ctr"/>
        <c:lblOffset val="100"/>
        <c:noMultiLvlLbl val="1"/>
      </c:catAx>
      <c:valAx>
        <c:axId val="6677879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7874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0'!$C$21:$W$21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1D5-4875-975B-E7014AE98ADB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0'!$C$9:$W$9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1D5-4875-975B-E7014AE98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1056304"/>
        <c:axId val="171049584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0'!$C$33:$W$33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0.5</c:v>
                </c:pt>
                <c:pt idx="6">
                  <c:v>0.42857142857142855</c:v>
                </c:pt>
                <c:pt idx="7">
                  <c:v>0.375</c:v>
                </c:pt>
                <c:pt idx="8">
                  <c:v>0.41666666666666669</c:v>
                </c:pt>
                <c:pt idx="9">
                  <c:v>0.375</c:v>
                </c:pt>
                <c:pt idx="10">
                  <c:v>0.63636363636363635</c:v>
                </c:pt>
                <c:pt idx="11">
                  <c:v>0.58333333333333337</c:v>
                </c:pt>
                <c:pt idx="12">
                  <c:v>0.61538461538461542</c:v>
                </c:pt>
                <c:pt idx="13">
                  <c:v>0.5714285714285714</c:v>
                </c:pt>
                <c:pt idx="14">
                  <c:v>0.75</c:v>
                </c:pt>
                <c:pt idx="15">
                  <c:v>0.703125</c:v>
                </c:pt>
                <c:pt idx="16">
                  <c:v>0.66176470588235292</c:v>
                </c:pt>
                <c:pt idx="17">
                  <c:v>0.69444444444444442</c:v>
                </c:pt>
                <c:pt idx="18">
                  <c:v>0.65789473684210531</c:v>
                </c:pt>
                <c:pt idx="19">
                  <c:v>0.67500000000000004</c:v>
                </c:pt>
                <c:pt idx="20">
                  <c:v>0.6428571428571429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1D5-4875-975B-E7014AE98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056304"/>
        <c:axId val="171049584"/>
      </c:lineChart>
      <c:catAx>
        <c:axId val="171056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049584"/>
        <c:crosses val="autoZero"/>
        <c:auto val="1"/>
        <c:lblAlgn val="ctr"/>
        <c:lblOffset val="100"/>
        <c:noMultiLvlLbl val="1"/>
      </c:catAx>
      <c:valAx>
        <c:axId val="1710495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0563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0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Estimated</c:v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0'!$C$86:$X$86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'Sprint 0'!$C$85:$X$85</c:f>
              <c:numCache>
                <c:formatCode>General</c:formatCode>
                <c:ptCount val="22"/>
                <c:pt idx="0">
                  <c:v>50</c:v>
                </c:pt>
                <c:pt idx="1">
                  <c:v>47.61904761904762</c:v>
                </c:pt>
                <c:pt idx="2">
                  <c:v>45.238095238095241</c:v>
                </c:pt>
                <c:pt idx="3">
                  <c:v>42.857142857142861</c:v>
                </c:pt>
                <c:pt idx="4">
                  <c:v>40.476190476190482</c:v>
                </c:pt>
                <c:pt idx="5">
                  <c:v>38.095238095238102</c:v>
                </c:pt>
                <c:pt idx="6">
                  <c:v>35.714285714285722</c:v>
                </c:pt>
                <c:pt idx="7">
                  <c:v>33.333333333333343</c:v>
                </c:pt>
                <c:pt idx="8">
                  <c:v>30.952380952380963</c:v>
                </c:pt>
                <c:pt idx="9">
                  <c:v>28.571428571428584</c:v>
                </c:pt>
                <c:pt idx="10">
                  <c:v>26.190476190476204</c:v>
                </c:pt>
                <c:pt idx="11">
                  <c:v>23.809523809523824</c:v>
                </c:pt>
                <c:pt idx="12">
                  <c:v>21.428571428571445</c:v>
                </c:pt>
                <c:pt idx="13">
                  <c:v>19.047619047619065</c:v>
                </c:pt>
                <c:pt idx="14">
                  <c:v>16.666666666666686</c:v>
                </c:pt>
                <c:pt idx="15">
                  <c:v>14.285714285714304</c:v>
                </c:pt>
                <c:pt idx="16">
                  <c:v>11.904761904761923</c:v>
                </c:pt>
                <c:pt idx="17">
                  <c:v>9.5238095238095415</c:v>
                </c:pt>
                <c:pt idx="18">
                  <c:v>7.1428571428571601</c:v>
                </c:pt>
                <c:pt idx="19">
                  <c:v>4.7619047619047787</c:v>
                </c:pt>
                <c:pt idx="20">
                  <c:v>2.3809523809523978</c:v>
                </c:pt>
                <c:pt idx="2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84-4DB1-99C4-F450AA9792D1}"/>
            </c:ext>
          </c:extLst>
        </c:ser>
        <c:ser>
          <c:idx val="1"/>
          <c:order val="1"/>
          <c:tx>
            <c:v>Actual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'Sprint 0'!$C$86:$X$86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'Sprint 0'!$C$87:$X$87</c:f>
              <c:numCache>
                <c:formatCode>0.00</c:formatCode>
                <c:ptCount val="22"/>
                <c:pt idx="0">
                  <c:v>61.75</c:v>
                </c:pt>
                <c:pt idx="1">
                  <c:v>61.75</c:v>
                </c:pt>
                <c:pt idx="2">
                  <c:v>57.75</c:v>
                </c:pt>
                <c:pt idx="3">
                  <c:v>53.75</c:v>
                </c:pt>
                <c:pt idx="4">
                  <c:v>53.75</c:v>
                </c:pt>
                <c:pt idx="5">
                  <c:v>53.25</c:v>
                </c:pt>
                <c:pt idx="6">
                  <c:v>50.75</c:v>
                </c:pt>
                <c:pt idx="7">
                  <c:v>44.5</c:v>
                </c:pt>
                <c:pt idx="8">
                  <c:v>44.5</c:v>
                </c:pt>
                <c:pt idx="9">
                  <c:v>41.5</c:v>
                </c:pt>
                <c:pt idx="10">
                  <c:v>41.5</c:v>
                </c:pt>
                <c:pt idx="11">
                  <c:v>28.5</c:v>
                </c:pt>
                <c:pt idx="12">
                  <c:v>28.5</c:v>
                </c:pt>
                <c:pt idx="13">
                  <c:v>26</c:v>
                </c:pt>
                <c:pt idx="14">
                  <c:v>24.5</c:v>
                </c:pt>
                <c:pt idx="15">
                  <c:v>11.5</c:v>
                </c:pt>
                <c:pt idx="16">
                  <c:v>11.5</c:v>
                </c:pt>
                <c:pt idx="17">
                  <c:v>11.5</c:v>
                </c:pt>
                <c:pt idx="18">
                  <c:v>6.5</c:v>
                </c:pt>
                <c:pt idx="19">
                  <c:v>4.5</c:v>
                </c:pt>
                <c:pt idx="20">
                  <c:v>2</c:v>
                </c:pt>
                <c:pt idx="2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F84-4DB1-99C4-F450AA979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8921712"/>
        <c:axId val="668922272"/>
      </c:lineChart>
      <c:catAx>
        <c:axId val="668921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922272"/>
        <c:crosses val="autoZero"/>
        <c:auto val="1"/>
        <c:lblAlgn val="ctr"/>
        <c:lblOffset val="100"/>
        <c:noMultiLvlLbl val="0"/>
      </c:catAx>
      <c:valAx>
        <c:axId val="66892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921712"/>
        <c:crossesAt val="1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142-48C5-AD24-AF35596BC133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1'!$C$10:$P$10</c:f>
              <c:numCache>
                <c:formatCode>0.00</c:formatCode>
                <c:ptCount val="14"/>
                <c:pt idx="0">
                  <c:v>13</c:v>
                </c:pt>
                <c:pt idx="1">
                  <c:v>2</c:v>
                </c:pt>
                <c:pt idx="2">
                  <c:v>0</c:v>
                </c:pt>
                <c:pt idx="3">
                  <c:v>6.5</c:v>
                </c:pt>
                <c:pt idx="4">
                  <c:v>2</c:v>
                </c:pt>
                <c:pt idx="5">
                  <c:v>0</c:v>
                </c:pt>
                <c:pt idx="6">
                  <c:v>1.5</c:v>
                </c:pt>
                <c:pt idx="7">
                  <c:v>0.5</c:v>
                </c:pt>
                <c:pt idx="8">
                  <c:v>8.75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142-48C5-AD24-AF35596BC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8923392"/>
        <c:axId val="668923952"/>
      </c:barChart>
      <c:lineChart>
        <c:grouping val="standard"/>
        <c:varyColors val="0"/>
        <c:ser>
          <c:idx val="1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1'!$C$34:$P$34</c:f>
              <c:numCache>
                <c:formatCode>0.00</c:formatCode>
                <c:ptCount val="14"/>
                <c:pt idx="0">
                  <c:v>13</c:v>
                </c:pt>
                <c:pt idx="1">
                  <c:v>7.5</c:v>
                </c:pt>
                <c:pt idx="2">
                  <c:v>5</c:v>
                </c:pt>
                <c:pt idx="3">
                  <c:v>5.375</c:v>
                </c:pt>
                <c:pt idx="4">
                  <c:v>4.6999999999999993</c:v>
                </c:pt>
                <c:pt idx="5">
                  <c:v>3.9166666666666665</c:v>
                </c:pt>
                <c:pt idx="6">
                  <c:v>3.5714285714285716</c:v>
                </c:pt>
                <c:pt idx="7">
                  <c:v>3.1875</c:v>
                </c:pt>
                <c:pt idx="8">
                  <c:v>3.8055555555555554</c:v>
                </c:pt>
                <c:pt idx="9">
                  <c:v>3.4249999999999998</c:v>
                </c:pt>
                <c:pt idx="10">
                  <c:v>3.1136363636363638</c:v>
                </c:pt>
                <c:pt idx="11">
                  <c:v>2.854166666666667</c:v>
                </c:pt>
                <c:pt idx="12">
                  <c:v>2.6346153846153846</c:v>
                </c:pt>
                <c:pt idx="13">
                  <c:v>2.4464285714285712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142-48C5-AD24-AF35596BC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923392"/>
        <c:axId val="668923952"/>
      </c:lineChart>
      <c:catAx>
        <c:axId val="668923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923952"/>
        <c:crosses val="autoZero"/>
        <c:auto val="0"/>
        <c:lblAlgn val="ctr"/>
        <c:lblOffset val="100"/>
        <c:noMultiLvlLbl val="1"/>
      </c:catAx>
      <c:valAx>
        <c:axId val="66892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92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16A-4E77-8137-D280DA56F171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1'!$C$6:$P$6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1.25</c:v>
                </c:pt>
                <c:pt idx="4">
                  <c:v>0</c:v>
                </c:pt>
                <c:pt idx="5">
                  <c:v>0</c:v>
                </c:pt>
                <c:pt idx="6">
                  <c:v>1.5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16A-4E77-8137-D280DA56F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8928992"/>
        <c:axId val="668929552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1'!$C$30:$P$30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1.25</c:v>
                </c:pt>
                <c:pt idx="4">
                  <c:v>1</c:v>
                </c:pt>
                <c:pt idx="5">
                  <c:v>0.83333333333333337</c:v>
                </c:pt>
                <c:pt idx="6">
                  <c:v>0.9285714285714286</c:v>
                </c:pt>
                <c:pt idx="7">
                  <c:v>0.8125</c:v>
                </c:pt>
                <c:pt idx="8">
                  <c:v>0.94444444444444442</c:v>
                </c:pt>
                <c:pt idx="9">
                  <c:v>0.85</c:v>
                </c:pt>
                <c:pt idx="10">
                  <c:v>0.77272727272727271</c:v>
                </c:pt>
                <c:pt idx="11">
                  <c:v>0.70833333333333337</c:v>
                </c:pt>
                <c:pt idx="12">
                  <c:v>0.65384615384615385</c:v>
                </c:pt>
                <c:pt idx="13">
                  <c:v>0.6071428571428571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16A-4E77-8137-D280DA56F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928992"/>
        <c:axId val="668929552"/>
      </c:lineChart>
      <c:catAx>
        <c:axId val="6689289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929552"/>
        <c:crosses val="autoZero"/>
        <c:auto val="1"/>
        <c:lblAlgn val="ctr"/>
        <c:lblOffset val="100"/>
        <c:noMultiLvlLbl val="1"/>
      </c:catAx>
      <c:valAx>
        <c:axId val="6689295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9289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F5F-4032-8362-09E3D9FE4BE1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1'!$C$7:$P$7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1.25</c:v>
                </c:pt>
                <c:pt idx="4">
                  <c:v>1.5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F5F-4032-8362-09E3D9FE4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8934592"/>
        <c:axId val="668935152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1'!$C$31:$P$31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1.25</c:v>
                </c:pt>
                <c:pt idx="4">
                  <c:v>1.3</c:v>
                </c:pt>
                <c:pt idx="5">
                  <c:v>1.0833333333333333</c:v>
                </c:pt>
                <c:pt idx="6">
                  <c:v>0.9285714285714286</c:v>
                </c:pt>
                <c:pt idx="7">
                  <c:v>0.8125</c:v>
                </c:pt>
                <c:pt idx="8">
                  <c:v>1.0277777777777777</c:v>
                </c:pt>
                <c:pt idx="9">
                  <c:v>0.92500000000000004</c:v>
                </c:pt>
                <c:pt idx="10">
                  <c:v>0.84090909090909094</c:v>
                </c:pt>
                <c:pt idx="11">
                  <c:v>0.77083333333333337</c:v>
                </c:pt>
                <c:pt idx="12">
                  <c:v>0.71153846153846156</c:v>
                </c:pt>
                <c:pt idx="13">
                  <c:v>0.6607142857142857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F5F-4032-8362-09E3D9FE4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934592"/>
        <c:axId val="668935152"/>
      </c:lineChart>
      <c:catAx>
        <c:axId val="668934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935152"/>
        <c:crosses val="autoZero"/>
        <c:auto val="1"/>
        <c:lblAlgn val="ctr"/>
        <c:lblOffset val="100"/>
        <c:noMultiLvlLbl val="1"/>
      </c:catAx>
      <c:valAx>
        <c:axId val="6689351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9345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45-43EF-AD71-C92086FB5850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1'!$C$8:$P$8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2.75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0.5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45-43EF-AD71-C92086FB5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8940752"/>
        <c:axId val="668941312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1'!$C$32:$P$32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1.625</c:v>
                </c:pt>
                <c:pt idx="4">
                  <c:v>1.4</c:v>
                </c:pt>
                <c:pt idx="5">
                  <c:v>1.1666666666666667</c:v>
                </c:pt>
                <c:pt idx="6">
                  <c:v>1</c:v>
                </c:pt>
                <c:pt idx="7">
                  <c:v>0.9375</c:v>
                </c:pt>
                <c:pt idx="8">
                  <c:v>1.0555555555555556</c:v>
                </c:pt>
                <c:pt idx="9">
                  <c:v>0.95</c:v>
                </c:pt>
                <c:pt idx="10">
                  <c:v>0.86363636363636365</c:v>
                </c:pt>
                <c:pt idx="11">
                  <c:v>0.79166666666666663</c:v>
                </c:pt>
                <c:pt idx="12">
                  <c:v>0.73076923076923073</c:v>
                </c:pt>
                <c:pt idx="13">
                  <c:v>0.6785714285714286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45-43EF-AD71-C92086FB5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940752"/>
        <c:axId val="668941312"/>
      </c:lineChart>
      <c:catAx>
        <c:axId val="668940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941312"/>
        <c:crosses val="autoZero"/>
        <c:auto val="1"/>
        <c:lblAlgn val="ctr"/>
        <c:lblOffset val="100"/>
        <c:noMultiLvlLbl val="1"/>
      </c:catAx>
      <c:valAx>
        <c:axId val="6689413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9407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FDB-41A6-80D3-6EB86FAEDD41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1'!$C$9:$P$9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1.25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FDB-41A6-80D3-6EB86FAED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8946352"/>
        <c:axId val="668946912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1'!$C$33:$P$33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1.25</c:v>
                </c:pt>
                <c:pt idx="4">
                  <c:v>1</c:v>
                </c:pt>
                <c:pt idx="5">
                  <c:v>0.83333333333333337</c:v>
                </c:pt>
                <c:pt idx="6">
                  <c:v>0.7142857142857143</c:v>
                </c:pt>
                <c:pt idx="7">
                  <c:v>0.625</c:v>
                </c:pt>
                <c:pt idx="8">
                  <c:v>0.77777777777777779</c:v>
                </c:pt>
                <c:pt idx="9">
                  <c:v>0.7</c:v>
                </c:pt>
                <c:pt idx="10">
                  <c:v>0.63636363636363635</c:v>
                </c:pt>
                <c:pt idx="11">
                  <c:v>0.58333333333333337</c:v>
                </c:pt>
                <c:pt idx="12">
                  <c:v>0.53846153846153844</c:v>
                </c:pt>
                <c:pt idx="13">
                  <c:v>0.5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FDB-41A6-80D3-6EB86FAED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946352"/>
        <c:axId val="668946912"/>
      </c:lineChart>
      <c:catAx>
        <c:axId val="668946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946912"/>
        <c:crosses val="autoZero"/>
        <c:auto val="1"/>
        <c:lblAlgn val="ctr"/>
        <c:lblOffset val="100"/>
        <c:noMultiLvlLbl val="1"/>
      </c:catAx>
      <c:valAx>
        <c:axId val="6689469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9463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1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'Sprint 1'!$B$86</c:f>
              <c:strCache>
                <c:ptCount val="1"/>
                <c:pt idx="0">
                  <c:v>Estimated Hours Per Day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1'!$C$85:$Q$85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1'!$C$86:$Q$86</c:f>
              <c:numCache>
                <c:formatCode>General</c:formatCode>
                <c:ptCount val="15"/>
                <c:pt idx="0">
                  <c:v>38</c:v>
                </c:pt>
                <c:pt idx="1">
                  <c:v>35.285714285714285</c:v>
                </c:pt>
                <c:pt idx="2">
                  <c:v>32.571428571428569</c:v>
                </c:pt>
                <c:pt idx="3">
                  <c:v>29.857142857142854</c:v>
                </c:pt>
                <c:pt idx="4">
                  <c:v>27.142857142857139</c:v>
                </c:pt>
                <c:pt idx="5">
                  <c:v>24.428571428571423</c:v>
                </c:pt>
                <c:pt idx="6">
                  <c:v>21.714285714285708</c:v>
                </c:pt>
                <c:pt idx="7">
                  <c:v>18.999999999999993</c:v>
                </c:pt>
                <c:pt idx="8">
                  <c:v>16.285714285714278</c:v>
                </c:pt>
                <c:pt idx="9">
                  <c:v>13.571428571428562</c:v>
                </c:pt>
                <c:pt idx="10">
                  <c:v>10.857142857142847</c:v>
                </c:pt>
                <c:pt idx="11">
                  <c:v>8.1428571428571317</c:v>
                </c:pt>
                <c:pt idx="12">
                  <c:v>5.4285714285714173</c:v>
                </c:pt>
                <c:pt idx="13">
                  <c:v>2.7142857142857029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E96-42BD-8080-6D0391609E9D}"/>
            </c:ext>
          </c:extLst>
        </c:ser>
        <c:ser>
          <c:idx val="5"/>
          <c:order val="1"/>
          <c:tx>
            <c:strRef>
              <c:f>'Sprint 1'!$B$88</c:f>
              <c:strCache>
                <c:ptCount val="1"/>
                <c:pt idx="0">
                  <c:v>Actual Hours Spent per day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'Sprint 1'!$C$85:$Q$85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1'!$C$88:$Q$88</c:f>
              <c:numCache>
                <c:formatCode>0.00</c:formatCode>
                <c:ptCount val="15"/>
                <c:pt idx="0">
                  <c:v>34.25</c:v>
                </c:pt>
                <c:pt idx="1">
                  <c:v>21.25</c:v>
                </c:pt>
                <c:pt idx="2">
                  <c:v>19.25</c:v>
                </c:pt>
                <c:pt idx="3">
                  <c:v>19.25</c:v>
                </c:pt>
                <c:pt idx="4">
                  <c:v>12.75</c:v>
                </c:pt>
                <c:pt idx="5">
                  <c:v>10.75</c:v>
                </c:pt>
                <c:pt idx="6">
                  <c:v>10.75</c:v>
                </c:pt>
                <c:pt idx="7">
                  <c:v>9.25</c:v>
                </c:pt>
                <c:pt idx="8">
                  <c:v>8.75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E96-42BD-8080-6D0391609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9826272"/>
        <c:axId val="669826832"/>
      </c:lineChart>
      <c:catAx>
        <c:axId val="669826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826832"/>
        <c:crosses val="autoZero"/>
        <c:auto val="1"/>
        <c:lblAlgn val="ctr"/>
        <c:lblOffset val="100"/>
        <c:noMultiLvlLbl val="0"/>
      </c:catAx>
      <c:valAx>
        <c:axId val="66982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82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2'!$C$22:$P$22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65D-4A33-B510-E59E277EFD8C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2'!$C$10:$P$10</c:f>
              <c:numCache>
                <c:formatCode>0.00</c:formatCode>
                <c:ptCount val="14"/>
                <c:pt idx="0">
                  <c:v>0</c:v>
                </c:pt>
                <c:pt idx="1">
                  <c:v>12</c:v>
                </c:pt>
                <c:pt idx="2">
                  <c:v>0</c:v>
                </c:pt>
                <c:pt idx="3">
                  <c:v>3</c:v>
                </c:pt>
                <c:pt idx="4">
                  <c:v>3</c:v>
                </c:pt>
                <c:pt idx="5">
                  <c:v>5</c:v>
                </c:pt>
                <c:pt idx="6">
                  <c:v>3</c:v>
                </c:pt>
                <c:pt idx="7">
                  <c:v>3.5</c:v>
                </c:pt>
                <c:pt idx="8">
                  <c:v>12</c:v>
                </c:pt>
                <c:pt idx="9">
                  <c:v>0</c:v>
                </c:pt>
                <c:pt idx="10">
                  <c:v>13</c:v>
                </c:pt>
                <c:pt idx="11">
                  <c:v>0</c:v>
                </c:pt>
                <c:pt idx="12">
                  <c:v>3</c:v>
                </c:pt>
                <c:pt idx="13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65D-4A33-B510-E59E277EF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9830752"/>
        <c:axId val="669831312"/>
      </c:barChart>
      <c:lineChart>
        <c:grouping val="standard"/>
        <c:varyColors val="0"/>
        <c:ser>
          <c:idx val="1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2'!$C$34:$P$34</c:f>
              <c:numCache>
                <c:formatCode>0.00</c:formatCode>
                <c:ptCount val="14"/>
                <c:pt idx="0">
                  <c:v>0</c:v>
                </c:pt>
                <c:pt idx="1">
                  <c:v>6</c:v>
                </c:pt>
                <c:pt idx="2">
                  <c:v>4</c:v>
                </c:pt>
                <c:pt idx="3">
                  <c:v>3.75</c:v>
                </c:pt>
                <c:pt idx="4">
                  <c:v>3.6</c:v>
                </c:pt>
                <c:pt idx="5">
                  <c:v>3.833333333333333</c:v>
                </c:pt>
                <c:pt idx="6">
                  <c:v>3.714285714285714</c:v>
                </c:pt>
                <c:pt idx="7">
                  <c:v>3.6875</c:v>
                </c:pt>
                <c:pt idx="8">
                  <c:v>4.6111111111111116</c:v>
                </c:pt>
                <c:pt idx="9">
                  <c:v>4.1499999999999995</c:v>
                </c:pt>
                <c:pt idx="10">
                  <c:v>4.9545454545454541</c:v>
                </c:pt>
                <c:pt idx="11">
                  <c:v>4.541666666666667</c:v>
                </c:pt>
                <c:pt idx="12">
                  <c:v>4.4230769230769234</c:v>
                </c:pt>
                <c:pt idx="13">
                  <c:v>4.3214285714285712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65D-4A33-B510-E59E277EF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830752"/>
        <c:axId val="669831312"/>
      </c:lineChart>
      <c:catAx>
        <c:axId val="669830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831312"/>
        <c:crosses val="autoZero"/>
        <c:auto val="0"/>
        <c:lblAlgn val="ctr"/>
        <c:lblOffset val="100"/>
        <c:noMultiLvlLbl val="1"/>
      </c:catAx>
      <c:valAx>
        <c:axId val="669831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830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F34-4D0B-95FE-15E008EA1029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2'!$C$6:$P$6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1.75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F34-4D0B-95FE-15E008EA1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9836352"/>
        <c:axId val="669836912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2'!$C$30:$P$30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0.75</c:v>
                </c:pt>
                <c:pt idx="4">
                  <c:v>1.2</c:v>
                </c:pt>
                <c:pt idx="5">
                  <c:v>1</c:v>
                </c:pt>
                <c:pt idx="6">
                  <c:v>0.8571428571428571</c:v>
                </c:pt>
                <c:pt idx="7">
                  <c:v>0.96875</c:v>
                </c:pt>
                <c:pt idx="8">
                  <c:v>1.1944444444444444</c:v>
                </c:pt>
                <c:pt idx="9">
                  <c:v>1.075</c:v>
                </c:pt>
                <c:pt idx="10">
                  <c:v>1.2727272727272727</c:v>
                </c:pt>
                <c:pt idx="11">
                  <c:v>1.1666666666666667</c:v>
                </c:pt>
                <c:pt idx="12">
                  <c:v>1.0769230769230769</c:v>
                </c:pt>
                <c:pt idx="1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F34-4D0B-95FE-15E008EA1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836352"/>
        <c:axId val="669836912"/>
      </c:lineChart>
      <c:catAx>
        <c:axId val="669836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836912"/>
        <c:crosses val="autoZero"/>
        <c:auto val="1"/>
        <c:lblAlgn val="ctr"/>
        <c:lblOffset val="100"/>
        <c:noMultiLvlLbl val="1"/>
      </c:catAx>
      <c:valAx>
        <c:axId val="6698369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8363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31B-4BAC-9C3E-D76D4A5B579B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2'!$C$7:$P$7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1.75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31B-4BAC-9C3E-D76D4A5B5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9841952"/>
        <c:axId val="669842512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2'!$C$31:$P$31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0.75</c:v>
                </c:pt>
                <c:pt idx="4">
                  <c:v>0.6</c:v>
                </c:pt>
                <c:pt idx="5">
                  <c:v>1</c:v>
                </c:pt>
                <c:pt idx="6">
                  <c:v>0.8571428571428571</c:v>
                </c:pt>
                <c:pt idx="7">
                  <c:v>0.96875</c:v>
                </c:pt>
                <c:pt idx="8">
                  <c:v>1.1944444444444444</c:v>
                </c:pt>
                <c:pt idx="9">
                  <c:v>1.075</c:v>
                </c:pt>
                <c:pt idx="10">
                  <c:v>1.2727272727272727</c:v>
                </c:pt>
                <c:pt idx="11">
                  <c:v>1.1666666666666667</c:v>
                </c:pt>
                <c:pt idx="12">
                  <c:v>1.0769230769230769</c:v>
                </c:pt>
                <c:pt idx="1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1B-4BAC-9C3E-D76D4A5B5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841952"/>
        <c:axId val="669842512"/>
      </c:lineChart>
      <c:catAx>
        <c:axId val="669841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842512"/>
        <c:crosses val="autoZero"/>
        <c:auto val="1"/>
        <c:lblAlgn val="ctr"/>
        <c:lblOffset val="100"/>
        <c:noMultiLvlLbl val="1"/>
      </c:catAx>
      <c:valAx>
        <c:axId val="6698425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8419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655-4463-AF5C-7A562DA150C5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2'!$C$8:$P$8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655-4463-AF5C-7A562DA15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9848112"/>
        <c:axId val="669848672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2'!$C$32:$P$32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1.5</c:v>
                </c:pt>
                <c:pt idx="4">
                  <c:v>1.2</c:v>
                </c:pt>
                <c:pt idx="5">
                  <c:v>1.3333333333333333</c:v>
                </c:pt>
                <c:pt idx="6">
                  <c:v>1.5714285714285714</c:v>
                </c:pt>
                <c:pt idx="7">
                  <c:v>1.375</c:v>
                </c:pt>
                <c:pt idx="8">
                  <c:v>1.5555555555555556</c:v>
                </c:pt>
                <c:pt idx="9">
                  <c:v>1.4</c:v>
                </c:pt>
                <c:pt idx="10">
                  <c:v>1.5681818181818181</c:v>
                </c:pt>
                <c:pt idx="11">
                  <c:v>1.4375</c:v>
                </c:pt>
                <c:pt idx="12">
                  <c:v>1.3269230769230769</c:v>
                </c:pt>
                <c:pt idx="13">
                  <c:v>1.4464285714285714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655-4463-AF5C-7A562DA15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848112"/>
        <c:axId val="669848672"/>
      </c:lineChart>
      <c:catAx>
        <c:axId val="669848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848672"/>
        <c:crosses val="autoZero"/>
        <c:auto val="1"/>
        <c:lblAlgn val="ctr"/>
        <c:lblOffset val="100"/>
        <c:noMultiLvlLbl val="1"/>
      </c:catAx>
      <c:valAx>
        <c:axId val="6698486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8481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F3A-4B36-A3AD-E72951779BDA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2'!$C$9:$P$9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F3A-4B36-A3AD-E72951779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9853712"/>
        <c:axId val="669854272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2'!$C$33:$P$33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0.75</c:v>
                </c:pt>
                <c:pt idx="4">
                  <c:v>0.6</c:v>
                </c:pt>
                <c:pt idx="5">
                  <c:v>0.5</c:v>
                </c:pt>
                <c:pt idx="6">
                  <c:v>0.42857142857142855</c:v>
                </c:pt>
                <c:pt idx="7">
                  <c:v>0.375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0.84090909090909094</c:v>
                </c:pt>
                <c:pt idx="11">
                  <c:v>0.77083333333333337</c:v>
                </c:pt>
                <c:pt idx="12">
                  <c:v>0.94230769230769229</c:v>
                </c:pt>
                <c:pt idx="13">
                  <c:v>0.875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F3A-4B36-A3AD-E72951779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853712"/>
        <c:axId val="669854272"/>
      </c:lineChart>
      <c:catAx>
        <c:axId val="669853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854272"/>
        <c:crosses val="autoZero"/>
        <c:auto val="1"/>
        <c:lblAlgn val="ctr"/>
        <c:lblOffset val="100"/>
        <c:noMultiLvlLbl val="1"/>
      </c:catAx>
      <c:valAx>
        <c:axId val="6698542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8537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2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'Sprint 2'!$B$89</c:f>
              <c:strCache>
                <c:ptCount val="1"/>
                <c:pt idx="0">
                  <c:v>Estimated Hours Per Day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2'!$C$88:$Q$88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2'!$C$89:$Q$89</c:f>
              <c:numCache>
                <c:formatCode>General</c:formatCode>
                <c:ptCount val="15"/>
                <c:pt idx="0">
                  <c:v>70</c:v>
                </c:pt>
                <c:pt idx="1">
                  <c:v>65</c:v>
                </c:pt>
                <c:pt idx="2">
                  <c:v>60</c:v>
                </c:pt>
                <c:pt idx="3">
                  <c:v>55</c:v>
                </c:pt>
                <c:pt idx="4">
                  <c:v>50</c:v>
                </c:pt>
                <c:pt idx="5">
                  <c:v>45</c:v>
                </c:pt>
                <c:pt idx="6">
                  <c:v>40</c:v>
                </c:pt>
                <c:pt idx="7">
                  <c:v>35</c:v>
                </c:pt>
                <c:pt idx="8">
                  <c:v>30</c:v>
                </c:pt>
                <c:pt idx="9">
                  <c:v>25</c:v>
                </c:pt>
                <c:pt idx="10">
                  <c:v>20</c:v>
                </c:pt>
                <c:pt idx="11">
                  <c:v>15</c:v>
                </c:pt>
                <c:pt idx="12">
                  <c:v>10</c:v>
                </c:pt>
                <c:pt idx="13">
                  <c:v>5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52-43CF-880F-0DDBC18E7B7A}"/>
            </c:ext>
          </c:extLst>
        </c:ser>
        <c:ser>
          <c:idx val="4"/>
          <c:order val="4"/>
          <c:tx>
            <c:strRef>
              <c:f>'Sprint 2'!$B$91</c:f>
              <c:strCache>
                <c:ptCount val="1"/>
                <c:pt idx="0">
                  <c:v>Actual Hours Spent per day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'Sprint 2'!$C$91:$Q$91</c:f>
              <c:numCache>
                <c:formatCode>0.00</c:formatCode>
                <c:ptCount val="15"/>
                <c:pt idx="0">
                  <c:v>60.5</c:v>
                </c:pt>
                <c:pt idx="1">
                  <c:v>60.5</c:v>
                </c:pt>
                <c:pt idx="2">
                  <c:v>48.5</c:v>
                </c:pt>
                <c:pt idx="3">
                  <c:v>48.5</c:v>
                </c:pt>
                <c:pt idx="4">
                  <c:v>45.5</c:v>
                </c:pt>
                <c:pt idx="5">
                  <c:v>42.5</c:v>
                </c:pt>
                <c:pt idx="6">
                  <c:v>37.5</c:v>
                </c:pt>
                <c:pt idx="7">
                  <c:v>34.5</c:v>
                </c:pt>
                <c:pt idx="8">
                  <c:v>31</c:v>
                </c:pt>
                <c:pt idx="9">
                  <c:v>19</c:v>
                </c:pt>
                <c:pt idx="10">
                  <c:v>19</c:v>
                </c:pt>
                <c:pt idx="11">
                  <c:v>6</c:v>
                </c:pt>
                <c:pt idx="12">
                  <c:v>6</c:v>
                </c:pt>
                <c:pt idx="13">
                  <c:v>3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752-43CF-880F-0DDBC18E7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982048"/>
        <c:axId val="670982608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'Sprint 2'!$B$88</c15:sqref>
                        </c15:formulaRef>
                      </c:ext>
                    </c:extLst>
                    <c:strCache>
                      <c:ptCount val="1"/>
                      <c:pt idx="0">
                        <c:v>Days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D752-43CF-880F-0DDBC18E7B7A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2'!$B$90</c15:sqref>
                        </c15:formulaRef>
                      </c:ext>
                    </c:extLst>
                    <c:strCache>
                      <c:ptCount val="1"/>
                      <c:pt idx="0">
                        <c:v>Actual Hours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2'!$C$90:$Q$90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 formatCode="0.00">
                        <c:v>60.5</c:v>
                      </c:pt>
                      <c:pt idx="1">
                        <c:v>0</c:v>
                      </c:pt>
                      <c:pt idx="2">
                        <c:v>12</c:v>
                      </c:pt>
                      <c:pt idx="3">
                        <c:v>0</c:v>
                      </c:pt>
                      <c:pt idx="4">
                        <c:v>3</c:v>
                      </c:pt>
                      <c:pt idx="5">
                        <c:v>3</c:v>
                      </c:pt>
                      <c:pt idx="6">
                        <c:v>5</c:v>
                      </c:pt>
                      <c:pt idx="7">
                        <c:v>3</c:v>
                      </c:pt>
                      <c:pt idx="8">
                        <c:v>3.5</c:v>
                      </c:pt>
                      <c:pt idx="9">
                        <c:v>12</c:v>
                      </c:pt>
                      <c:pt idx="10">
                        <c:v>0</c:v>
                      </c:pt>
                      <c:pt idx="11">
                        <c:v>13</c:v>
                      </c:pt>
                      <c:pt idx="12">
                        <c:v>0</c:v>
                      </c:pt>
                      <c:pt idx="13">
                        <c:v>3</c:v>
                      </c:pt>
                      <c:pt idx="14">
                        <c:v>3</c:v>
                      </c:pt>
                    </c:numCache>
                  </c:numRef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3-D752-43CF-880F-0DDBC18E7B7A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2'!$B$91</c15:sqref>
                        </c15:formulaRef>
                      </c:ext>
                    </c:extLst>
                    <c:strCache>
                      <c:ptCount val="1"/>
                      <c:pt idx="0">
                        <c:v>Actual Hours Spent per day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prstDash val="solid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2'!$C$91:$Q$91</c15:sqref>
                        </c15:formulaRef>
                      </c:ext>
                    </c:extLst>
                    <c:numCache>
                      <c:formatCode>0.00</c:formatCode>
                      <c:ptCount val="15"/>
                      <c:pt idx="0">
                        <c:v>60.5</c:v>
                      </c:pt>
                      <c:pt idx="1">
                        <c:v>60.5</c:v>
                      </c:pt>
                      <c:pt idx="2">
                        <c:v>48.5</c:v>
                      </c:pt>
                      <c:pt idx="3">
                        <c:v>48.5</c:v>
                      </c:pt>
                      <c:pt idx="4">
                        <c:v>45.5</c:v>
                      </c:pt>
                      <c:pt idx="5">
                        <c:v>42.5</c:v>
                      </c:pt>
                      <c:pt idx="6">
                        <c:v>37.5</c:v>
                      </c:pt>
                      <c:pt idx="7">
                        <c:v>34.5</c:v>
                      </c:pt>
                      <c:pt idx="8">
                        <c:v>31</c:v>
                      </c:pt>
                      <c:pt idx="9">
                        <c:v>19</c:v>
                      </c:pt>
                      <c:pt idx="10">
                        <c:v>19</c:v>
                      </c:pt>
                      <c:pt idx="11">
                        <c:v>6</c:v>
                      </c:pt>
                      <c:pt idx="12">
                        <c:v>6</c:v>
                      </c:pt>
                      <c:pt idx="13">
                        <c:v>3</c:v>
                      </c:pt>
                      <c:pt idx="14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4-D752-43CF-880F-0DDBC18E7B7A}"/>
                  </c:ext>
                </c:extLst>
              </c15:ser>
            </c15:filteredLineSeries>
          </c:ext>
        </c:extLst>
      </c:lineChart>
      <c:catAx>
        <c:axId val="670982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982608"/>
        <c:crosses val="autoZero"/>
        <c:auto val="1"/>
        <c:lblAlgn val="ctr"/>
        <c:lblOffset val="100"/>
        <c:noMultiLvlLbl val="0"/>
      </c:catAx>
      <c:valAx>
        <c:axId val="67098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982048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solidFill>
            <a:schemeClr val="accent1"/>
          </a:solidFill>
          <a:prstDash val="sysDash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3'!$C$22:$P$22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841-4BA8-AD1B-6BBD7E51D487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3'!$C$10:$P$10</c:f>
              <c:numCache>
                <c:formatCode>0.00</c:formatCode>
                <c:ptCount val="14"/>
                <c:pt idx="0">
                  <c:v>1.5</c:v>
                </c:pt>
                <c:pt idx="1">
                  <c:v>9.25</c:v>
                </c:pt>
                <c:pt idx="2">
                  <c:v>2.5</c:v>
                </c:pt>
                <c:pt idx="3">
                  <c:v>3</c:v>
                </c:pt>
                <c:pt idx="4">
                  <c:v>5</c:v>
                </c:pt>
                <c:pt idx="5">
                  <c:v>7</c:v>
                </c:pt>
                <c:pt idx="6">
                  <c:v>7.5</c:v>
                </c:pt>
                <c:pt idx="7">
                  <c:v>2.5</c:v>
                </c:pt>
                <c:pt idx="8">
                  <c:v>9.5</c:v>
                </c:pt>
                <c:pt idx="9">
                  <c:v>8.5</c:v>
                </c:pt>
                <c:pt idx="10">
                  <c:v>6.5</c:v>
                </c:pt>
                <c:pt idx="11">
                  <c:v>6</c:v>
                </c:pt>
                <c:pt idx="12">
                  <c:v>5</c:v>
                </c:pt>
                <c:pt idx="13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841-4BA8-AD1B-6BBD7E51D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986528"/>
        <c:axId val="670987088"/>
      </c:barChart>
      <c:lineChart>
        <c:grouping val="standard"/>
        <c:varyColors val="0"/>
        <c:ser>
          <c:idx val="1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3'!$C$34:$P$34</c:f>
              <c:numCache>
                <c:formatCode>0.00</c:formatCode>
                <c:ptCount val="14"/>
                <c:pt idx="0">
                  <c:v>1.5</c:v>
                </c:pt>
                <c:pt idx="1">
                  <c:v>5.375</c:v>
                </c:pt>
                <c:pt idx="2">
                  <c:v>4.416666666666667</c:v>
                </c:pt>
                <c:pt idx="3">
                  <c:v>4.0625</c:v>
                </c:pt>
                <c:pt idx="4">
                  <c:v>4.25</c:v>
                </c:pt>
                <c:pt idx="5">
                  <c:v>4.7083333333333339</c:v>
                </c:pt>
                <c:pt idx="6">
                  <c:v>5.1071428571428577</c:v>
                </c:pt>
                <c:pt idx="7">
                  <c:v>4.78125</c:v>
                </c:pt>
                <c:pt idx="8">
                  <c:v>5.3055555555555554</c:v>
                </c:pt>
                <c:pt idx="9">
                  <c:v>5.625</c:v>
                </c:pt>
                <c:pt idx="10">
                  <c:v>5.7045454545454541</c:v>
                </c:pt>
                <c:pt idx="11">
                  <c:v>5.7291666666666661</c:v>
                </c:pt>
                <c:pt idx="12">
                  <c:v>5.6730769230769234</c:v>
                </c:pt>
                <c:pt idx="13">
                  <c:v>5.5535714285714288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841-4BA8-AD1B-6BBD7E51D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0986528"/>
        <c:axId val="670987088"/>
      </c:lineChart>
      <c:catAx>
        <c:axId val="670986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987088"/>
        <c:crosses val="autoZero"/>
        <c:auto val="0"/>
        <c:lblAlgn val="ctr"/>
        <c:lblOffset val="100"/>
        <c:noMultiLvlLbl val="1"/>
      </c:catAx>
      <c:valAx>
        <c:axId val="67098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98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597-48EF-AD09-00A1C5B077E3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3'!$C$6:$P$6</c:f>
              <c:numCache>
                <c:formatCode>0.00</c:formatCode>
                <c:ptCount val="14"/>
                <c:pt idx="0">
                  <c:v>0</c:v>
                </c:pt>
                <c:pt idx="1">
                  <c:v>3.75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4.5</c:v>
                </c:pt>
                <c:pt idx="7">
                  <c:v>0.5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1.5</c:v>
                </c:pt>
                <c:pt idx="12">
                  <c:v>0</c:v>
                </c:pt>
                <c:pt idx="13">
                  <c:v>1.5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597-48EF-AD09-00A1C5B07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992128"/>
        <c:axId val="670992688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3'!$C$30:$P$30</c:f>
              <c:numCache>
                <c:formatCode>0.00</c:formatCode>
                <c:ptCount val="14"/>
                <c:pt idx="0">
                  <c:v>0</c:v>
                </c:pt>
                <c:pt idx="1">
                  <c:v>1.875</c:v>
                </c:pt>
                <c:pt idx="2">
                  <c:v>1.5833333333333333</c:v>
                </c:pt>
                <c:pt idx="3">
                  <c:v>1.1875</c:v>
                </c:pt>
                <c:pt idx="4">
                  <c:v>1.35</c:v>
                </c:pt>
                <c:pt idx="5">
                  <c:v>1.2916666666666667</c:v>
                </c:pt>
                <c:pt idx="6">
                  <c:v>1.75</c:v>
                </c:pt>
                <c:pt idx="7">
                  <c:v>1.59375</c:v>
                </c:pt>
                <c:pt idx="8">
                  <c:v>1.8611111111111112</c:v>
                </c:pt>
                <c:pt idx="9">
                  <c:v>1.875</c:v>
                </c:pt>
                <c:pt idx="10">
                  <c:v>1.7954545454545454</c:v>
                </c:pt>
                <c:pt idx="11">
                  <c:v>1.7708333333333333</c:v>
                </c:pt>
                <c:pt idx="12">
                  <c:v>1.6346153846153846</c:v>
                </c:pt>
                <c:pt idx="13">
                  <c:v>1.625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597-48EF-AD09-00A1C5B07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0992128"/>
        <c:axId val="670992688"/>
      </c:lineChart>
      <c:catAx>
        <c:axId val="670992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992688"/>
        <c:crosses val="autoZero"/>
        <c:auto val="1"/>
        <c:lblAlgn val="ctr"/>
        <c:lblOffset val="100"/>
        <c:noMultiLvlLbl val="1"/>
      </c:catAx>
      <c:valAx>
        <c:axId val="6709926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9921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393-49A5-AE31-9EEE2504EF22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3'!$C$7:$P$7</c:f>
              <c:numCache>
                <c:formatCode>0.00</c:formatCode>
                <c:ptCount val="14"/>
                <c:pt idx="0">
                  <c:v>1</c:v>
                </c:pt>
                <c:pt idx="1">
                  <c:v>1.5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0.5</c:v>
                </c:pt>
                <c:pt idx="8">
                  <c:v>2.5</c:v>
                </c:pt>
                <c:pt idx="9">
                  <c:v>4</c:v>
                </c:pt>
                <c:pt idx="10">
                  <c:v>4.5</c:v>
                </c:pt>
                <c:pt idx="11">
                  <c:v>0.5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393-49A5-AE31-9EEE2504E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997728"/>
        <c:axId val="670998288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3'!$C$31:$P$31</c:f>
              <c:numCache>
                <c:formatCode>0.00</c:formatCode>
                <c:ptCount val="14"/>
                <c:pt idx="0">
                  <c:v>1</c:v>
                </c:pt>
                <c:pt idx="1">
                  <c:v>1.25</c:v>
                </c:pt>
                <c:pt idx="2">
                  <c:v>0.83333333333333337</c:v>
                </c:pt>
                <c:pt idx="3">
                  <c:v>0.625</c:v>
                </c:pt>
                <c:pt idx="4">
                  <c:v>0.9</c:v>
                </c:pt>
                <c:pt idx="5">
                  <c:v>0.91666666666666663</c:v>
                </c:pt>
                <c:pt idx="6">
                  <c:v>0.7857142857142857</c:v>
                </c:pt>
                <c:pt idx="7">
                  <c:v>0.75</c:v>
                </c:pt>
                <c:pt idx="8">
                  <c:v>0.94444444444444442</c:v>
                </c:pt>
                <c:pt idx="9">
                  <c:v>1.25</c:v>
                </c:pt>
                <c:pt idx="10">
                  <c:v>1.5454545454545454</c:v>
                </c:pt>
                <c:pt idx="11">
                  <c:v>1.4583333333333333</c:v>
                </c:pt>
                <c:pt idx="12">
                  <c:v>1.5</c:v>
                </c:pt>
                <c:pt idx="13">
                  <c:v>1.3928571428571428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393-49A5-AE31-9EEE2504E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0997728"/>
        <c:axId val="670998288"/>
      </c:lineChart>
      <c:catAx>
        <c:axId val="670997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998288"/>
        <c:crosses val="autoZero"/>
        <c:auto val="1"/>
        <c:lblAlgn val="ctr"/>
        <c:lblOffset val="100"/>
        <c:noMultiLvlLbl val="1"/>
      </c:catAx>
      <c:valAx>
        <c:axId val="6709982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9977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C9B-4DE6-AA6A-D0FE1138D2A3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3'!$C$8:$P$8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C9B-4DE6-AA6A-D0FE1138D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1003888"/>
        <c:axId val="671004448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3'!$C$32:$P$32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1.3333333333333333</c:v>
                </c:pt>
                <c:pt idx="3">
                  <c:v>1.75</c:v>
                </c:pt>
                <c:pt idx="4">
                  <c:v>1.4</c:v>
                </c:pt>
                <c:pt idx="5">
                  <c:v>1.5</c:v>
                </c:pt>
                <c:pt idx="6">
                  <c:v>1.4285714285714286</c:v>
                </c:pt>
                <c:pt idx="7">
                  <c:v>1.375</c:v>
                </c:pt>
                <c:pt idx="8">
                  <c:v>1.4444444444444444</c:v>
                </c:pt>
                <c:pt idx="9">
                  <c:v>1.4</c:v>
                </c:pt>
                <c:pt idx="10">
                  <c:v>1.3636363636363635</c:v>
                </c:pt>
                <c:pt idx="11">
                  <c:v>1.5</c:v>
                </c:pt>
                <c:pt idx="12">
                  <c:v>1.3846153846153846</c:v>
                </c:pt>
                <c:pt idx="13">
                  <c:v>1.2857142857142858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C9B-4DE6-AA6A-D0FE1138D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003888"/>
        <c:axId val="671004448"/>
      </c:lineChart>
      <c:catAx>
        <c:axId val="671003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004448"/>
        <c:crosses val="autoZero"/>
        <c:auto val="1"/>
        <c:lblAlgn val="ctr"/>
        <c:lblOffset val="100"/>
        <c:noMultiLvlLbl val="1"/>
      </c:catAx>
      <c:valAx>
        <c:axId val="6710044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0038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0D9-4A57-B843-C6B3BB5E5CDC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3'!$C$9:$P$9</c:f>
              <c:numCache>
                <c:formatCode>0.00</c:formatCode>
                <c:ptCount val="14"/>
                <c:pt idx="0">
                  <c:v>0.5</c:v>
                </c:pt>
                <c:pt idx="1">
                  <c:v>1</c:v>
                </c:pt>
                <c:pt idx="2">
                  <c:v>0.5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2</c:v>
                </c:pt>
                <c:pt idx="7">
                  <c:v>0.5</c:v>
                </c:pt>
                <c:pt idx="8">
                  <c:v>1</c:v>
                </c:pt>
                <c:pt idx="9">
                  <c:v>1.5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  <c:pt idx="13">
                  <c:v>2.5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0D9-4A57-B843-C6B3BB5E5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1507728"/>
        <c:axId val="671508288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3'!$C$33:$P$33</c:f>
              <c:numCache>
                <c:formatCode>0.00</c:formatCode>
                <c:ptCount val="14"/>
                <c:pt idx="0">
                  <c:v>0.5</c:v>
                </c:pt>
                <c:pt idx="1">
                  <c:v>0.75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0.6</c:v>
                </c:pt>
                <c:pt idx="5">
                  <c:v>1</c:v>
                </c:pt>
                <c:pt idx="6">
                  <c:v>1.1428571428571428</c:v>
                </c:pt>
                <c:pt idx="7">
                  <c:v>1.0625</c:v>
                </c:pt>
                <c:pt idx="8">
                  <c:v>1.0555555555555556</c:v>
                </c:pt>
                <c:pt idx="9">
                  <c:v>1.1000000000000001</c:v>
                </c:pt>
                <c:pt idx="10">
                  <c:v>1</c:v>
                </c:pt>
                <c:pt idx="11">
                  <c:v>1</c:v>
                </c:pt>
                <c:pt idx="12">
                  <c:v>1.1538461538461537</c:v>
                </c:pt>
                <c:pt idx="13">
                  <c:v>1.25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0D9-4A57-B843-C6B3BB5E5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507728"/>
        <c:axId val="671508288"/>
      </c:lineChart>
      <c:catAx>
        <c:axId val="671507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08288"/>
        <c:crosses val="autoZero"/>
        <c:auto val="1"/>
        <c:lblAlgn val="ctr"/>
        <c:lblOffset val="100"/>
        <c:noMultiLvlLbl val="1"/>
      </c:catAx>
      <c:valAx>
        <c:axId val="6715082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077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3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'Sprint 3'!$B$89</c:f>
              <c:strCache>
                <c:ptCount val="1"/>
                <c:pt idx="0">
                  <c:v>Estimated Hours Per Day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3'!$C$88:$Q$88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3'!$C$89:$Q$89</c:f>
              <c:numCache>
                <c:formatCode>General</c:formatCode>
                <c:ptCount val="15"/>
                <c:pt idx="0">
                  <c:v>88</c:v>
                </c:pt>
                <c:pt idx="1">
                  <c:v>81.714285714285708</c:v>
                </c:pt>
                <c:pt idx="2">
                  <c:v>75.428571428571416</c:v>
                </c:pt>
                <c:pt idx="3">
                  <c:v>69.142857142857125</c:v>
                </c:pt>
                <c:pt idx="4">
                  <c:v>62.85714285714284</c:v>
                </c:pt>
                <c:pt idx="5">
                  <c:v>56.571428571428555</c:v>
                </c:pt>
                <c:pt idx="6">
                  <c:v>50.28571428571427</c:v>
                </c:pt>
                <c:pt idx="7">
                  <c:v>43.999999999999986</c:v>
                </c:pt>
                <c:pt idx="8">
                  <c:v>37.714285714285701</c:v>
                </c:pt>
                <c:pt idx="9">
                  <c:v>31.428571428571416</c:v>
                </c:pt>
                <c:pt idx="10">
                  <c:v>25.142857142857132</c:v>
                </c:pt>
                <c:pt idx="11">
                  <c:v>18.857142857142847</c:v>
                </c:pt>
                <c:pt idx="12">
                  <c:v>12.571428571428562</c:v>
                </c:pt>
                <c:pt idx="13">
                  <c:v>6.2857142857142767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EC3-42DA-8DF9-AFC59C56BB5F}"/>
            </c:ext>
          </c:extLst>
        </c:ser>
        <c:ser>
          <c:idx val="5"/>
          <c:order val="5"/>
          <c:tx>
            <c:strRef>
              <c:f>'Sprint 3'!$B$91</c:f>
              <c:strCache>
                <c:ptCount val="1"/>
                <c:pt idx="0">
                  <c:v>Actual Hours Spent per day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'Sprint 3'!$C$88:$Q$88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3'!$C$91:$Q$91</c:f>
              <c:numCache>
                <c:formatCode>0.00</c:formatCode>
                <c:ptCount val="15"/>
                <c:pt idx="0">
                  <c:v>77.75</c:v>
                </c:pt>
                <c:pt idx="1">
                  <c:v>76.25</c:v>
                </c:pt>
                <c:pt idx="2">
                  <c:v>67</c:v>
                </c:pt>
                <c:pt idx="3">
                  <c:v>64.5</c:v>
                </c:pt>
                <c:pt idx="4">
                  <c:v>61.5</c:v>
                </c:pt>
                <c:pt idx="5">
                  <c:v>56.5</c:v>
                </c:pt>
                <c:pt idx="6">
                  <c:v>49.5</c:v>
                </c:pt>
                <c:pt idx="7">
                  <c:v>42</c:v>
                </c:pt>
                <c:pt idx="8">
                  <c:v>39.5</c:v>
                </c:pt>
                <c:pt idx="9">
                  <c:v>30</c:v>
                </c:pt>
                <c:pt idx="10">
                  <c:v>21.5</c:v>
                </c:pt>
                <c:pt idx="11">
                  <c:v>15</c:v>
                </c:pt>
                <c:pt idx="12">
                  <c:v>9</c:v>
                </c:pt>
                <c:pt idx="13">
                  <c:v>4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EC3-42DA-8DF9-AFC59C56B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1515568"/>
        <c:axId val="671516128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'Sprint 3'!$B$86</c15:sqref>
                        </c15:formulaRef>
                      </c:ext>
                    </c:extLst>
                    <c:strCache>
                      <c:ptCount val="1"/>
                      <c:pt idx="0">
                        <c:v>Estimated Hours Average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'Sprint 3'!$C$86:$Q$86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6.2857142857142856</c:v>
                      </c:pt>
                    </c:numCache>
                  </c:numRef>
                </c: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6EC3-42DA-8DF9-AFC59C56BB5F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3'!$B$87</c15:sqref>
                        </c15:formulaRef>
                      </c:ext>
                    </c:extLst>
                    <c:strCache>
                      <c:ptCount val="1"/>
                      <c:pt idx="0">
                        <c:v>Estimated Hours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3'!$C$87:$Q$87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88</c:v>
                      </c:pt>
                    </c:numCache>
                  </c:numRef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3-6EC3-42DA-8DF9-AFC59C56BB5F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3'!$B$88</c15:sqref>
                        </c15:formulaRef>
                      </c:ext>
                    </c:extLst>
                    <c:strCache>
                      <c:ptCount val="1"/>
                      <c:pt idx="0">
                        <c:v>Days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4-6EC3-42DA-8DF9-AFC59C56BB5F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3'!$B$90</c15:sqref>
                        </c15:formulaRef>
                      </c:ext>
                    </c:extLst>
                    <c:strCache>
                      <c:ptCount val="1"/>
                      <c:pt idx="0">
                        <c:v>Actual Hours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3'!$C$90:$Q$90</c15:sqref>
                        </c15:formulaRef>
                      </c:ext>
                    </c:extLst>
                    <c:numCache>
                      <c:formatCode>0.00</c:formatCode>
                      <c:ptCount val="15"/>
                      <c:pt idx="0">
                        <c:v>77.75</c:v>
                      </c:pt>
                      <c:pt idx="1">
                        <c:v>1.5</c:v>
                      </c:pt>
                      <c:pt idx="2">
                        <c:v>9.25</c:v>
                      </c:pt>
                      <c:pt idx="3">
                        <c:v>2.5</c:v>
                      </c:pt>
                      <c:pt idx="4">
                        <c:v>3</c:v>
                      </c:pt>
                      <c:pt idx="5">
                        <c:v>5</c:v>
                      </c:pt>
                      <c:pt idx="6">
                        <c:v>7</c:v>
                      </c:pt>
                      <c:pt idx="7">
                        <c:v>7.5</c:v>
                      </c:pt>
                      <c:pt idx="8">
                        <c:v>2.5</c:v>
                      </c:pt>
                      <c:pt idx="9">
                        <c:v>9.5</c:v>
                      </c:pt>
                      <c:pt idx="10">
                        <c:v>8.5</c:v>
                      </c:pt>
                      <c:pt idx="11">
                        <c:v>6.5</c:v>
                      </c:pt>
                      <c:pt idx="12">
                        <c:v>6</c:v>
                      </c:pt>
                      <c:pt idx="13">
                        <c:v>5</c:v>
                      </c:pt>
                      <c:pt idx="14">
                        <c:v>4</c:v>
                      </c:pt>
                    </c:numCache>
                  </c:numRef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5-6EC3-42DA-8DF9-AFC59C56BB5F}"/>
                  </c:ext>
                </c:extLst>
              </c15:ser>
            </c15:filteredLineSeries>
          </c:ext>
        </c:extLst>
      </c:lineChart>
      <c:catAx>
        <c:axId val="671515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16128"/>
        <c:crosses val="autoZero"/>
        <c:auto val="1"/>
        <c:lblAlgn val="ctr"/>
        <c:lblOffset val="100"/>
        <c:noMultiLvlLbl val="0"/>
      </c:catAx>
      <c:valAx>
        <c:axId val="67151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15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4'!$C$22:$P$22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4.25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A00-4991-B0DE-46585FBD4DA0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4'!$C$10:$P$10</c:f>
              <c:numCache>
                <c:formatCode>0.00</c:formatCode>
                <c:ptCount val="14"/>
                <c:pt idx="0">
                  <c:v>7.75</c:v>
                </c:pt>
                <c:pt idx="1">
                  <c:v>3.5</c:v>
                </c:pt>
                <c:pt idx="2">
                  <c:v>4</c:v>
                </c:pt>
                <c:pt idx="3">
                  <c:v>6</c:v>
                </c:pt>
                <c:pt idx="4">
                  <c:v>2.5</c:v>
                </c:pt>
                <c:pt idx="5">
                  <c:v>2</c:v>
                </c:pt>
                <c:pt idx="6">
                  <c:v>5.5</c:v>
                </c:pt>
                <c:pt idx="7">
                  <c:v>6</c:v>
                </c:pt>
                <c:pt idx="8">
                  <c:v>15</c:v>
                </c:pt>
                <c:pt idx="9">
                  <c:v>5</c:v>
                </c:pt>
                <c:pt idx="10">
                  <c:v>7</c:v>
                </c:pt>
                <c:pt idx="11">
                  <c:v>2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A00-4991-B0DE-46585FBD4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1520048"/>
        <c:axId val="671520608"/>
      </c:barChart>
      <c:lineChart>
        <c:grouping val="standard"/>
        <c:varyColors val="0"/>
        <c:ser>
          <c:idx val="1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4'!$C$34:$P$34</c:f>
              <c:numCache>
                <c:formatCode>0.00</c:formatCode>
                <c:ptCount val="14"/>
                <c:pt idx="0">
                  <c:v>7.75</c:v>
                </c:pt>
                <c:pt idx="1">
                  <c:v>5.625</c:v>
                </c:pt>
                <c:pt idx="2">
                  <c:v>5.083333333333333</c:v>
                </c:pt>
                <c:pt idx="3">
                  <c:v>5.3125</c:v>
                </c:pt>
                <c:pt idx="4">
                  <c:v>4.75</c:v>
                </c:pt>
                <c:pt idx="5">
                  <c:v>4.291666666666667</c:v>
                </c:pt>
                <c:pt idx="6">
                  <c:v>4.4642857142857144</c:v>
                </c:pt>
                <c:pt idx="7">
                  <c:v>5.1875</c:v>
                </c:pt>
                <c:pt idx="8">
                  <c:v>6.2777777777777777</c:v>
                </c:pt>
                <c:pt idx="9">
                  <c:v>6.15</c:v>
                </c:pt>
                <c:pt idx="10">
                  <c:v>6.2272727272727275</c:v>
                </c:pt>
                <c:pt idx="11">
                  <c:v>6.5416666666666661</c:v>
                </c:pt>
                <c:pt idx="12">
                  <c:v>6.2692307692307692</c:v>
                </c:pt>
                <c:pt idx="13">
                  <c:v>5.8214285714285721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A00-4991-B0DE-46585FBD4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520048"/>
        <c:axId val="671520608"/>
      </c:lineChart>
      <c:catAx>
        <c:axId val="671520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20608"/>
        <c:crosses val="autoZero"/>
        <c:auto val="0"/>
        <c:lblAlgn val="ctr"/>
        <c:lblOffset val="100"/>
        <c:noMultiLvlLbl val="1"/>
      </c:catAx>
      <c:valAx>
        <c:axId val="67152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20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BBF-4A0C-8906-40C541157DFF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4'!$C$6:$P$6</c:f>
              <c:numCache>
                <c:formatCode>0.00</c:formatCode>
                <c:ptCount val="14"/>
                <c:pt idx="0">
                  <c:v>4.75</c:v>
                </c:pt>
                <c:pt idx="1">
                  <c:v>0.75</c:v>
                </c:pt>
                <c:pt idx="2">
                  <c:v>0</c:v>
                </c:pt>
                <c:pt idx="3">
                  <c:v>1.5</c:v>
                </c:pt>
                <c:pt idx="4">
                  <c:v>1</c:v>
                </c:pt>
                <c:pt idx="5">
                  <c:v>0</c:v>
                </c:pt>
                <c:pt idx="6">
                  <c:v>2.5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BBF-4A0C-8906-40C541157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1525648"/>
        <c:axId val="671526208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4'!$C$30:$P$30</c:f>
              <c:numCache>
                <c:formatCode>0.00</c:formatCode>
                <c:ptCount val="14"/>
                <c:pt idx="0">
                  <c:v>4.75</c:v>
                </c:pt>
                <c:pt idx="1">
                  <c:v>2.75</c:v>
                </c:pt>
                <c:pt idx="2">
                  <c:v>1.8333333333333333</c:v>
                </c:pt>
                <c:pt idx="3">
                  <c:v>1.75</c:v>
                </c:pt>
                <c:pt idx="4">
                  <c:v>1.6</c:v>
                </c:pt>
                <c:pt idx="5">
                  <c:v>1.3333333333333333</c:v>
                </c:pt>
                <c:pt idx="6">
                  <c:v>1.5</c:v>
                </c:pt>
                <c:pt idx="7">
                  <c:v>1.4375</c:v>
                </c:pt>
                <c:pt idx="8">
                  <c:v>1.7222222222222223</c:v>
                </c:pt>
                <c:pt idx="9">
                  <c:v>1.55</c:v>
                </c:pt>
                <c:pt idx="10">
                  <c:v>1.5454545454545454</c:v>
                </c:pt>
                <c:pt idx="11">
                  <c:v>1.5833333333333333</c:v>
                </c:pt>
                <c:pt idx="12">
                  <c:v>1.4615384615384615</c:v>
                </c:pt>
                <c:pt idx="13">
                  <c:v>1.3571428571428572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BBF-4A0C-8906-40C541157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525648"/>
        <c:axId val="671526208"/>
      </c:lineChart>
      <c:catAx>
        <c:axId val="671525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26208"/>
        <c:crosses val="autoZero"/>
        <c:auto val="1"/>
        <c:lblAlgn val="ctr"/>
        <c:lblOffset val="100"/>
        <c:noMultiLvlLbl val="1"/>
      </c:catAx>
      <c:valAx>
        <c:axId val="6715262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256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0.75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DF9-48BA-95BB-20D99BED0FF0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4'!$C$7:$P$7</c:f>
              <c:numCache>
                <c:formatCode>0.00</c:formatCode>
                <c:ptCount val="14"/>
                <c:pt idx="0">
                  <c:v>0</c:v>
                </c:pt>
                <c:pt idx="1">
                  <c:v>0.75</c:v>
                </c:pt>
                <c:pt idx="2">
                  <c:v>3</c:v>
                </c:pt>
                <c:pt idx="3">
                  <c:v>1.5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DF9-48BA-95BB-20D99BED0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1531248"/>
        <c:axId val="671531808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4'!$C$31:$P$31</c:f>
              <c:numCache>
                <c:formatCode>0.00</c:formatCode>
                <c:ptCount val="14"/>
                <c:pt idx="0">
                  <c:v>0</c:v>
                </c:pt>
                <c:pt idx="1">
                  <c:v>0.375</c:v>
                </c:pt>
                <c:pt idx="2">
                  <c:v>1.25</c:v>
                </c:pt>
                <c:pt idx="3">
                  <c:v>1.3125</c:v>
                </c:pt>
                <c:pt idx="4">
                  <c:v>1.25</c:v>
                </c:pt>
                <c:pt idx="5">
                  <c:v>1.0416666666666667</c:v>
                </c:pt>
                <c:pt idx="6">
                  <c:v>0.8928571428571429</c:v>
                </c:pt>
                <c:pt idx="7">
                  <c:v>0.875</c:v>
                </c:pt>
                <c:pt idx="8">
                  <c:v>1.2222222222222223</c:v>
                </c:pt>
                <c:pt idx="9">
                  <c:v>1.1000000000000001</c:v>
                </c:pt>
                <c:pt idx="10">
                  <c:v>1.1363636363636365</c:v>
                </c:pt>
                <c:pt idx="11">
                  <c:v>1.2083333333333333</c:v>
                </c:pt>
                <c:pt idx="12">
                  <c:v>1.1153846153846154</c:v>
                </c:pt>
                <c:pt idx="13">
                  <c:v>1.0357142857142858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DF9-48BA-95BB-20D99BED0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531248"/>
        <c:axId val="671531808"/>
      </c:lineChart>
      <c:catAx>
        <c:axId val="671531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31808"/>
        <c:crosses val="autoZero"/>
        <c:auto val="1"/>
        <c:lblAlgn val="ctr"/>
        <c:lblOffset val="100"/>
        <c:noMultiLvlLbl val="1"/>
      </c:catAx>
      <c:valAx>
        <c:axId val="6715318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312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B5C-4ED9-9612-B560FDB49A39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4'!$C$8:$P$8</c:f>
              <c:numCache>
                <c:formatCode>0.00</c:formatCode>
                <c:ptCount val="1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2</c:v>
                </c:pt>
                <c:pt idx="10">
                  <c:v>1.5</c:v>
                </c:pt>
                <c:pt idx="11">
                  <c:v>1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B5C-4ED9-9612-B560FDB49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1537408"/>
        <c:axId val="671537968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4'!$C$32:$P$32</c:f>
              <c:numCache>
                <c:formatCode>0.00</c:formatCode>
                <c:ptCount val="1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1.25</c:v>
                </c:pt>
                <c:pt idx="4">
                  <c:v>1</c:v>
                </c:pt>
                <c:pt idx="5">
                  <c:v>1</c:v>
                </c:pt>
                <c:pt idx="6">
                  <c:v>0.8571428571428571</c:v>
                </c:pt>
                <c:pt idx="7">
                  <c:v>1.3125</c:v>
                </c:pt>
                <c:pt idx="8">
                  <c:v>1.6111111111111112</c:v>
                </c:pt>
                <c:pt idx="9">
                  <c:v>1.65</c:v>
                </c:pt>
                <c:pt idx="10">
                  <c:v>1.6363636363636365</c:v>
                </c:pt>
                <c:pt idx="11">
                  <c:v>1.75</c:v>
                </c:pt>
                <c:pt idx="12">
                  <c:v>1.7692307692307692</c:v>
                </c:pt>
                <c:pt idx="13">
                  <c:v>1.6428571428571428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B5C-4ED9-9612-B560FDB49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537408"/>
        <c:axId val="671537968"/>
      </c:lineChart>
      <c:catAx>
        <c:axId val="671537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37968"/>
        <c:crosses val="autoZero"/>
        <c:auto val="1"/>
        <c:lblAlgn val="ctr"/>
        <c:lblOffset val="100"/>
        <c:noMultiLvlLbl val="1"/>
      </c:catAx>
      <c:valAx>
        <c:axId val="6715379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374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5D6-4396-A9F6-17ACE4939F94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4'!$C$9:$P$9</c:f>
              <c:numCache>
                <c:formatCode>0.00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0.5</c:v>
                </c:pt>
                <c:pt idx="5">
                  <c:v>1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2.5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5D6-4396-A9F6-17ACE4939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2565744"/>
        <c:axId val="672566304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4'!$C$33:$P$33</c:f>
              <c:numCache>
                <c:formatCode>0.00</c:formatCode>
                <c:ptCount val="14"/>
                <c:pt idx="0">
                  <c:v>1</c:v>
                </c:pt>
                <c:pt idx="1">
                  <c:v>1.5</c:v>
                </c:pt>
                <c:pt idx="2">
                  <c:v>1</c:v>
                </c:pt>
                <c:pt idx="3">
                  <c:v>1</c:v>
                </c:pt>
                <c:pt idx="4">
                  <c:v>0.9</c:v>
                </c:pt>
                <c:pt idx="5">
                  <c:v>0.91666666666666663</c:v>
                </c:pt>
                <c:pt idx="6">
                  <c:v>1.2142857142857142</c:v>
                </c:pt>
                <c:pt idx="7">
                  <c:v>1.5625</c:v>
                </c:pt>
                <c:pt idx="8">
                  <c:v>1.7222222222222223</c:v>
                </c:pt>
                <c:pt idx="9">
                  <c:v>1.85</c:v>
                </c:pt>
                <c:pt idx="10">
                  <c:v>1.9090909090909092</c:v>
                </c:pt>
                <c:pt idx="11">
                  <c:v>2</c:v>
                </c:pt>
                <c:pt idx="12">
                  <c:v>1.9230769230769231</c:v>
                </c:pt>
                <c:pt idx="13">
                  <c:v>1.7857142857142858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5D6-4396-A9F6-17ACE4939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565744"/>
        <c:axId val="672566304"/>
      </c:lineChart>
      <c:catAx>
        <c:axId val="672565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566304"/>
        <c:crosses val="autoZero"/>
        <c:auto val="1"/>
        <c:lblAlgn val="ctr"/>
        <c:lblOffset val="100"/>
        <c:noMultiLvlLbl val="1"/>
      </c:catAx>
      <c:valAx>
        <c:axId val="6725663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5657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</a:t>
            </a:r>
            <a:r>
              <a:rPr lang="en-US" baseline="0"/>
              <a:t> 4 Burndown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'Sprint 4'!$B$89</c:f>
              <c:strCache>
                <c:ptCount val="1"/>
                <c:pt idx="0">
                  <c:v>Estimated Hours Per Day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'Sprint 4'!$C$88:$Q$88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4'!$C$89:$Q$89</c:f>
              <c:numCache>
                <c:formatCode>General</c:formatCode>
                <c:ptCount val="15"/>
                <c:pt idx="0">
                  <c:v>84</c:v>
                </c:pt>
                <c:pt idx="1">
                  <c:v>78</c:v>
                </c:pt>
                <c:pt idx="2">
                  <c:v>72</c:v>
                </c:pt>
                <c:pt idx="3">
                  <c:v>66</c:v>
                </c:pt>
                <c:pt idx="4">
                  <c:v>60</c:v>
                </c:pt>
                <c:pt idx="5">
                  <c:v>54</c:v>
                </c:pt>
                <c:pt idx="6">
                  <c:v>48</c:v>
                </c:pt>
                <c:pt idx="7">
                  <c:v>42</c:v>
                </c:pt>
                <c:pt idx="8">
                  <c:v>36</c:v>
                </c:pt>
                <c:pt idx="9">
                  <c:v>30</c:v>
                </c:pt>
                <c:pt idx="10">
                  <c:v>24</c:v>
                </c:pt>
                <c:pt idx="11">
                  <c:v>18</c:v>
                </c:pt>
                <c:pt idx="12">
                  <c:v>12</c:v>
                </c:pt>
                <c:pt idx="13">
                  <c:v>6</c:v>
                </c:pt>
                <c:pt idx="14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'Sprint 4'!$B$91</c:f>
              <c:strCache>
                <c:ptCount val="1"/>
                <c:pt idx="0">
                  <c:v>Actual Hours Spent per day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'Sprint 4'!$C$88:$Q$88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4'!$C$91:$Q$91</c:f>
              <c:numCache>
                <c:formatCode>0.00</c:formatCode>
                <c:ptCount val="15"/>
                <c:pt idx="0">
                  <c:v>81.5</c:v>
                </c:pt>
                <c:pt idx="1">
                  <c:v>73.75</c:v>
                </c:pt>
                <c:pt idx="2">
                  <c:v>70.25</c:v>
                </c:pt>
                <c:pt idx="3">
                  <c:v>66.25</c:v>
                </c:pt>
                <c:pt idx="4">
                  <c:v>60.25</c:v>
                </c:pt>
                <c:pt idx="5">
                  <c:v>57.75</c:v>
                </c:pt>
                <c:pt idx="6">
                  <c:v>55.75</c:v>
                </c:pt>
                <c:pt idx="7">
                  <c:v>50.25</c:v>
                </c:pt>
                <c:pt idx="8">
                  <c:v>44.25</c:v>
                </c:pt>
                <c:pt idx="9">
                  <c:v>29.25</c:v>
                </c:pt>
                <c:pt idx="10">
                  <c:v>24.25</c:v>
                </c:pt>
                <c:pt idx="11">
                  <c:v>17.25</c:v>
                </c:pt>
                <c:pt idx="12">
                  <c:v>15.25</c:v>
                </c:pt>
                <c:pt idx="13">
                  <c:v>12.25</c:v>
                </c:pt>
                <c:pt idx="14">
                  <c:v>12.25</c:v>
                </c:pt>
              </c:numCache>
            </c:numRef>
          </c:val>
          <c:smooth val="0"/>
        </c:ser>
        <c:dLbls>
          <c:dLblPos val="t"/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841296"/>
        <c:axId val="11184353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'Sprint 4'!$B$88</c15:sqref>
                        </c15:formulaRef>
                      </c:ext>
                    </c:extLst>
                    <c:strCache>
                      <c:ptCount val="1"/>
                      <c:pt idx="0">
                        <c:v>Days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'Sprint 4'!$C$88:$Q$88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'Sprint 4'!$C$88:$Q$88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'Sprint 4'!$B$90</c15:sqref>
                        </c15:formulaRef>
                      </c:ext>
                    </c:extLst>
                    <c:strCache>
                      <c:ptCount val="1"/>
                      <c:pt idx="0">
                        <c:v>Actual Hours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'Sprint 4'!$C$88:$Q$88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'Sprint 4'!$C$90:$Q$90</c15:sqref>
                        </c15:formulaRef>
                      </c:ext>
                    </c:extLst>
                    <c:numCache>
                      <c:formatCode>0.00</c:formatCode>
                      <c:ptCount val="15"/>
                      <c:pt idx="0">
                        <c:v>81.5</c:v>
                      </c:pt>
                      <c:pt idx="1">
                        <c:v>7.75</c:v>
                      </c:pt>
                      <c:pt idx="2">
                        <c:v>3.5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2.5</c:v>
                      </c:pt>
                      <c:pt idx="6">
                        <c:v>2</c:v>
                      </c:pt>
                      <c:pt idx="7">
                        <c:v>5.5</c:v>
                      </c:pt>
                      <c:pt idx="8">
                        <c:v>6</c:v>
                      </c:pt>
                      <c:pt idx="9">
                        <c:v>15</c:v>
                      </c:pt>
                      <c:pt idx="10">
                        <c:v>5</c:v>
                      </c:pt>
                      <c:pt idx="11">
                        <c:v>7</c:v>
                      </c:pt>
                      <c:pt idx="12">
                        <c:v>2</c:v>
                      </c:pt>
                      <c:pt idx="13">
                        <c:v>3</c:v>
                      </c:pt>
                      <c:pt idx="14">
                        <c:v>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11841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843536"/>
        <c:crosses val="autoZero"/>
        <c:auto val="1"/>
        <c:lblAlgn val="ctr"/>
        <c:lblOffset val="100"/>
        <c:noMultiLvlLbl val="0"/>
      </c:catAx>
      <c:valAx>
        <c:axId val="11184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</a:t>
                </a:r>
                <a:r>
                  <a:rPr lang="en-US" baseline="0"/>
                  <a:t> Hours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84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5'!$C$22:$P$22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FED-4714-AC04-C4FBC61C22A7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FED-4714-AC04-C4FBC61C2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2571904"/>
        <c:axId val="672572464"/>
      </c:barChart>
      <c:lineChart>
        <c:grouping val="standard"/>
        <c:varyColors val="0"/>
        <c:ser>
          <c:idx val="1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FED-4714-AC04-C4FBC61C2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571904"/>
        <c:axId val="672572464"/>
      </c:lineChart>
      <c:catAx>
        <c:axId val="672571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572464"/>
        <c:crosses val="autoZero"/>
        <c:auto val="0"/>
        <c:lblAlgn val="ctr"/>
        <c:lblOffset val="100"/>
        <c:noMultiLvlLbl val="1"/>
      </c:catAx>
      <c:valAx>
        <c:axId val="67257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57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7B0-4A09-AE04-5163593755D3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7B0-4A09-AE04-516359375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2577504"/>
        <c:axId val="672578064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7B0-4A09-AE04-516359375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577504"/>
        <c:axId val="672578064"/>
      </c:lineChart>
      <c:catAx>
        <c:axId val="672577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578064"/>
        <c:crosses val="autoZero"/>
        <c:auto val="1"/>
        <c:lblAlgn val="ctr"/>
        <c:lblOffset val="100"/>
        <c:noMultiLvlLbl val="1"/>
      </c:catAx>
      <c:valAx>
        <c:axId val="6725780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5775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862-44B4-8EA6-F22A43EDFD46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862-44B4-8EA6-F22A43EDF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3388240"/>
        <c:axId val="673388800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862-44B4-8EA6-F22A43EDF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388240"/>
        <c:axId val="673388800"/>
      </c:lineChart>
      <c:catAx>
        <c:axId val="6733882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88800"/>
        <c:crosses val="autoZero"/>
        <c:auto val="1"/>
        <c:lblAlgn val="ctr"/>
        <c:lblOffset val="100"/>
        <c:noMultiLvlLbl val="1"/>
      </c:catAx>
      <c:valAx>
        <c:axId val="6733888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882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1DF-4011-9691-449B23C271A4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1DF-4011-9691-449B23C27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3394400"/>
        <c:axId val="673394960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1DF-4011-9691-449B23C27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394400"/>
        <c:axId val="673394960"/>
      </c:lineChart>
      <c:catAx>
        <c:axId val="673394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94960"/>
        <c:crosses val="autoZero"/>
        <c:auto val="1"/>
        <c:lblAlgn val="ctr"/>
        <c:lblOffset val="100"/>
        <c:noMultiLvlLbl val="1"/>
      </c:catAx>
      <c:valAx>
        <c:axId val="6733949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9440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84F-47BF-8F71-90F74722C92F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84F-47BF-8F71-90F74722C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3400000"/>
        <c:axId val="673400560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84F-47BF-8F71-90F74722C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400000"/>
        <c:axId val="673400560"/>
      </c:lineChart>
      <c:catAx>
        <c:axId val="673400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400560"/>
        <c:crosses val="autoZero"/>
        <c:auto val="1"/>
        <c:lblAlgn val="ctr"/>
        <c:lblOffset val="100"/>
        <c:noMultiLvlLbl val="1"/>
      </c:catAx>
      <c:valAx>
        <c:axId val="6734005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40000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6'!$C$22:$P$22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6E7-4C3C-A82B-1CF0BAEC82D5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6E7-4C3C-A82B-1CF0BAEC8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3406160"/>
        <c:axId val="673406720"/>
      </c:barChart>
      <c:lineChart>
        <c:grouping val="standard"/>
        <c:varyColors val="0"/>
        <c:ser>
          <c:idx val="1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6E7-4C3C-A82B-1CF0BAEC8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406160"/>
        <c:axId val="673406720"/>
      </c:lineChart>
      <c:catAx>
        <c:axId val="673406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406720"/>
        <c:crosses val="autoZero"/>
        <c:auto val="0"/>
        <c:lblAlgn val="ctr"/>
        <c:lblOffset val="100"/>
        <c:noMultiLvlLbl val="1"/>
      </c:catAx>
      <c:valAx>
        <c:axId val="67340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406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6E4-4C32-9C63-4A9A7026AABC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6E4-4C32-9C63-4A9A7026A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3411760"/>
        <c:axId val="673412320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6E4-4C32-9C63-4A9A7026A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411760"/>
        <c:axId val="673412320"/>
      </c:lineChart>
      <c:catAx>
        <c:axId val="673411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412320"/>
        <c:crosses val="autoZero"/>
        <c:auto val="1"/>
        <c:lblAlgn val="ctr"/>
        <c:lblOffset val="100"/>
        <c:noMultiLvlLbl val="1"/>
      </c:catAx>
      <c:valAx>
        <c:axId val="6734123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4117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6B5-4C1F-BC38-AFF6133A06D9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6B5-4C1F-BC38-AFF6133A0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4011600"/>
        <c:axId val="674012160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B5-4C1F-BC38-AFF6133A0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011600"/>
        <c:axId val="674012160"/>
      </c:lineChart>
      <c:catAx>
        <c:axId val="6740116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012160"/>
        <c:crosses val="autoZero"/>
        <c:auto val="1"/>
        <c:lblAlgn val="ctr"/>
        <c:lblOffset val="100"/>
        <c:noMultiLvlLbl val="1"/>
      </c:catAx>
      <c:valAx>
        <c:axId val="6740121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01160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DCA-4310-93DB-0138B41B53DE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DCA-4310-93DB-0138B41B5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4017760"/>
        <c:axId val="674018320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DCA-4310-93DB-0138B41B5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017760"/>
        <c:axId val="674018320"/>
      </c:lineChart>
      <c:catAx>
        <c:axId val="674017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018320"/>
        <c:crosses val="autoZero"/>
        <c:auto val="1"/>
        <c:lblAlgn val="ctr"/>
        <c:lblOffset val="100"/>
        <c:noMultiLvlLbl val="1"/>
      </c:catAx>
      <c:valAx>
        <c:axId val="6740183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0177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148-4E93-B779-BB39E65F061B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148-4E93-B779-BB39E65F0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4023360"/>
        <c:axId val="674023920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148-4E93-B779-BB39E65F0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023360"/>
        <c:axId val="674023920"/>
      </c:lineChart>
      <c:catAx>
        <c:axId val="674023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023920"/>
        <c:crosses val="autoZero"/>
        <c:auto val="1"/>
        <c:lblAlgn val="ctr"/>
        <c:lblOffset val="100"/>
        <c:noMultiLvlLbl val="1"/>
      </c:catAx>
      <c:valAx>
        <c:axId val="6740239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0233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7'!$C$22:$P$22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AE-4EB5-8F63-3B7A324AD208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CAE-4EB5-8F63-3B7A324AD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4029520"/>
        <c:axId val="674030080"/>
      </c:barChart>
      <c:lineChart>
        <c:grouping val="standard"/>
        <c:varyColors val="0"/>
        <c:ser>
          <c:idx val="1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CAE-4EB5-8F63-3B7A324AD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029520"/>
        <c:axId val="674030080"/>
      </c:lineChart>
      <c:catAx>
        <c:axId val="674029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030080"/>
        <c:crosses val="autoZero"/>
        <c:auto val="0"/>
        <c:lblAlgn val="ctr"/>
        <c:lblOffset val="100"/>
        <c:noMultiLvlLbl val="1"/>
      </c:catAx>
      <c:valAx>
        <c:axId val="67403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029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29F-468D-92C8-3AC625601992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29F-468D-92C8-3AC625601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4035120"/>
        <c:axId val="674035680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29F-468D-92C8-3AC625601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035120"/>
        <c:axId val="674035680"/>
      </c:lineChart>
      <c:catAx>
        <c:axId val="674035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035680"/>
        <c:crosses val="autoZero"/>
        <c:auto val="1"/>
        <c:lblAlgn val="ctr"/>
        <c:lblOffset val="100"/>
        <c:noMultiLvlLbl val="1"/>
      </c:catAx>
      <c:valAx>
        <c:axId val="6740356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0351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926-4A8F-AD43-9158D02AD6C7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926-4A8F-AD43-9158D02AD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4040720"/>
        <c:axId val="674041280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926-4A8F-AD43-9158D02AD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040720"/>
        <c:axId val="674041280"/>
      </c:lineChart>
      <c:catAx>
        <c:axId val="6740407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041280"/>
        <c:crosses val="autoZero"/>
        <c:auto val="1"/>
        <c:lblAlgn val="ctr"/>
        <c:lblOffset val="100"/>
        <c:noMultiLvlLbl val="1"/>
      </c:catAx>
      <c:valAx>
        <c:axId val="6740412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0407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9D-4EBD-BDC7-74544D4215CE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79D-4EBD-BDC7-74544D421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4276544"/>
        <c:axId val="674277104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79D-4EBD-BDC7-74544D421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276544"/>
        <c:axId val="674277104"/>
      </c:lineChart>
      <c:catAx>
        <c:axId val="674276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277104"/>
        <c:crosses val="autoZero"/>
        <c:auto val="1"/>
        <c:lblAlgn val="ctr"/>
        <c:lblOffset val="100"/>
        <c:noMultiLvlLbl val="1"/>
      </c:catAx>
      <c:valAx>
        <c:axId val="6742771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2765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B04-4467-AABD-24C416D15E1E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B04-4467-AABD-24C416D15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4282144"/>
        <c:axId val="674282704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B04-4467-AABD-24C416D15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282144"/>
        <c:axId val="674282704"/>
      </c:lineChart>
      <c:catAx>
        <c:axId val="674282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282704"/>
        <c:crosses val="autoZero"/>
        <c:auto val="1"/>
        <c:lblAlgn val="ctr"/>
        <c:lblOffset val="100"/>
        <c:noMultiLvlLbl val="1"/>
      </c:catAx>
      <c:valAx>
        <c:axId val="6742827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2821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8'!$C$22:$P$22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7E5-4CA3-8B46-65FEA749E604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7E5-4CA3-8B46-65FEA749E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4288304"/>
        <c:axId val="674288864"/>
      </c:barChart>
      <c:lineChart>
        <c:grouping val="standard"/>
        <c:varyColors val="0"/>
        <c:ser>
          <c:idx val="1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7E5-4CA3-8B46-65FEA749E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288304"/>
        <c:axId val="674288864"/>
      </c:lineChart>
      <c:catAx>
        <c:axId val="674288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288864"/>
        <c:crosses val="autoZero"/>
        <c:auto val="0"/>
        <c:lblAlgn val="ctr"/>
        <c:lblOffset val="100"/>
        <c:noMultiLvlLbl val="1"/>
      </c:catAx>
      <c:valAx>
        <c:axId val="67428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28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54F-4B9A-A124-E761732743D0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54F-4B9A-A124-E76173274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4293904"/>
        <c:axId val="674294464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54F-4B9A-A124-E76173274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293904"/>
        <c:axId val="674294464"/>
      </c:lineChart>
      <c:catAx>
        <c:axId val="67429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294464"/>
        <c:crosses val="autoZero"/>
        <c:auto val="1"/>
        <c:lblAlgn val="ctr"/>
        <c:lblOffset val="100"/>
        <c:noMultiLvlLbl val="1"/>
      </c:catAx>
      <c:valAx>
        <c:axId val="6742944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2939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1C4-4F5F-927E-76F7F6307E60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1C4-4F5F-927E-76F7F6307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4299504"/>
        <c:axId val="674300064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1C4-4F5F-927E-76F7F6307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299504"/>
        <c:axId val="674300064"/>
      </c:lineChart>
      <c:catAx>
        <c:axId val="674299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300064"/>
        <c:crosses val="autoZero"/>
        <c:auto val="1"/>
        <c:lblAlgn val="ctr"/>
        <c:lblOffset val="100"/>
        <c:noMultiLvlLbl val="1"/>
      </c:catAx>
      <c:valAx>
        <c:axId val="6743000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2995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F73-426D-8030-7254809E4330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F73-426D-8030-7254809E4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4305664"/>
        <c:axId val="674306224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F73-426D-8030-7254809E4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305664"/>
        <c:axId val="674306224"/>
      </c:lineChart>
      <c:catAx>
        <c:axId val="674305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306224"/>
        <c:crosses val="autoZero"/>
        <c:auto val="1"/>
        <c:lblAlgn val="ctr"/>
        <c:lblOffset val="100"/>
        <c:noMultiLvlLbl val="1"/>
      </c:catAx>
      <c:valAx>
        <c:axId val="6743062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30566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ECD-4B86-BEA9-D75BD608B66E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ECD-4B86-BEA9-D75BD608B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4311264"/>
        <c:axId val="674311824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ECD-4B86-BEA9-D75BD608B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311264"/>
        <c:axId val="674311824"/>
      </c:lineChart>
      <c:catAx>
        <c:axId val="674311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311824"/>
        <c:crosses val="autoZero"/>
        <c:auto val="1"/>
        <c:lblAlgn val="ctr"/>
        <c:lblOffset val="100"/>
        <c:noMultiLvlLbl val="1"/>
      </c:catAx>
      <c:valAx>
        <c:axId val="6743118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31126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9'!$C$22:$P$22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421-40FC-ACF0-4C63BB9FF9D7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421-40FC-ACF0-4C63BB9FF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4317424"/>
        <c:axId val="674317984"/>
      </c:barChart>
      <c:lineChart>
        <c:grouping val="standard"/>
        <c:varyColors val="0"/>
        <c:ser>
          <c:idx val="1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421-40FC-ACF0-4C63BB9FF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317424"/>
        <c:axId val="674317984"/>
      </c:lineChart>
      <c:catAx>
        <c:axId val="674317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317984"/>
        <c:crosses val="autoZero"/>
        <c:auto val="0"/>
        <c:lblAlgn val="ctr"/>
        <c:lblOffset val="100"/>
        <c:noMultiLvlLbl val="1"/>
      </c:catAx>
      <c:valAx>
        <c:axId val="67431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31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808-4056-AD15-340ABC06350A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808-4056-AD15-340ABC063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4323024"/>
        <c:axId val="674323584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08-4056-AD15-340ABC063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323024"/>
        <c:axId val="674323584"/>
      </c:lineChart>
      <c:catAx>
        <c:axId val="6743230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323584"/>
        <c:crosses val="autoZero"/>
        <c:auto val="1"/>
        <c:lblAlgn val="ctr"/>
        <c:lblOffset val="100"/>
        <c:noMultiLvlLbl val="1"/>
      </c:catAx>
      <c:valAx>
        <c:axId val="6743235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32302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FA8-42A4-95CD-AAA31B1D410D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FA8-42A4-95CD-AAA31B1D4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4328624"/>
        <c:axId val="674329184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FA8-42A4-95CD-AAA31B1D4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328624"/>
        <c:axId val="674329184"/>
      </c:lineChart>
      <c:catAx>
        <c:axId val="674328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329184"/>
        <c:crosses val="autoZero"/>
        <c:auto val="1"/>
        <c:lblAlgn val="ctr"/>
        <c:lblOffset val="100"/>
        <c:noMultiLvlLbl val="1"/>
      </c:catAx>
      <c:valAx>
        <c:axId val="6743291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32862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CEF-491F-BC68-88A34EEE8966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CEF-491F-BC68-88A34EEE8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4334784"/>
        <c:axId val="674335344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CEF-491F-BC68-88A34EEE8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334784"/>
        <c:axId val="674335344"/>
      </c:lineChart>
      <c:catAx>
        <c:axId val="674334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335344"/>
        <c:crosses val="autoZero"/>
        <c:auto val="1"/>
        <c:lblAlgn val="ctr"/>
        <c:lblOffset val="100"/>
        <c:noMultiLvlLbl val="1"/>
      </c:catAx>
      <c:valAx>
        <c:axId val="6743353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3347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ABB-4184-9AED-1C07E7CB1154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ABB-4184-9AED-1C07E7CB1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6446464"/>
        <c:axId val="676447024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ABB-4184-9AED-1C07E7CB1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446464"/>
        <c:axId val="676447024"/>
      </c:lineChart>
      <c:catAx>
        <c:axId val="676446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447024"/>
        <c:crosses val="autoZero"/>
        <c:auto val="1"/>
        <c:lblAlgn val="ctr"/>
        <c:lblOffset val="100"/>
        <c:noMultiLvlLbl val="1"/>
      </c:catAx>
      <c:valAx>
        <c:axId val="6764470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44646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10'!$C$22:$P$22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D99-4F59-A7BE-59A1BE7E40A5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D99-4F59-A7BE-59A1BE7E4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6452624"/>
        <c:axId val="676453184"/>
      </c:barChart>
      <c:lineChart>
        <c:grouping val="standard"/>
        <c:varyColors val="0"/>
        <c:ser>
          <c:idx val="1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D99-4F59-A7BE-59A1BE7E4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452624"/>
        <c:axId val="676453184"/>
      </c:lineChart>
      <c:catAx>
        <c:axId val="676452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453184"/>
        <c:crosses val="autoZero"/>
        <c:auto val="0"/>
        <c:lblAlgn val="ctr"/>
        <c:lblOffset val="100"/>
        <c:noMultiLvlLbl val="1"/>
      </c:catAx>
      <c:valAx>
        <c:axId val="67645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452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523-4495-8DC4-EE120EAC4BC8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523-4495-8DC4-EE120EAC4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6458224"/>
        <c:axId val="676458784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523-4495-8DC4-EE120EAC4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458224"/>
        <c:axId val="676458784"/>
      </c:lineChart>
      <c:catAx>
        <c:axId val="6764582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458784"/>
        <c:crosses val="autoZero"/>
        <c:auto val="1"/>
        <c:lblAlgn val="ctr"/>
        <c:lblOffset val="100"/>
        <c:noMultiLvlLbl val="1"/>
      </c:catAx>
      <c:valAx>
        <c:axId val="6764587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45822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193-4A4F-A23D-0B7981D6C8B7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193-4A4F-A23D-0B7981D6C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6463824"/>
        <c:axId val="676464384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193-4A4F-A23D-0B7981D6C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463824"/>
        <c:axId val="676464384"/>
      </c:lineChart>
      <c:catAx>
        <c:axId val="676463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464384"/>
        <c:crosses val="autoZero"/>
        <c:auto val="1"/>
        <c:lblAlgn val="ctr"/>
        <c:lblOffset val="100"/>
        <c:noMultiLvlLbl val="1"/>
      </c:catAx>
      <c:valAx>
        <c:axId val="6764643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46382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171-4F2F-AB17-74068AEF9A8F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171-4F2F-AB17-74068AEF9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6469984"/>
        <c:axId val="676470544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171-4F2F-AB17-74068AEF9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469984"/>
        <c:axId val="676470544"/>
      </c:lineChart>
      <c:catAx>
        <c:axId val="676469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470544"/>
        <c:crosses val="autoZero"/>
        <c:auto val="1"/>
        <c:lblAlgn val="ctr"/>
        <c:lblOffset val="100"/>
        <c:noMultiLvlLbl val="1"/>
      </c:catAx>
      <c:valAx>
        <c:axId val="6764705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4699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D9B-4589-A563-98D845478363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D9B-4589-A563-98D845478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6475584"/>
        <c:axId val="676476144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D9B-4589-A563-98D845478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475584"/>
        <c:axId val="676476144"/>
      </c:lineChart>
      <c:catAx>
        <c:axId val="676475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476144"/>
        <c:crosses val="autoZero"/>
        <c:auto val="1"/>
        <c:lblAlgn val="ctr"/>
        <c:lblOffset val="100"/>
        <c:noMultiLvlLbl val="1"/>
      </c:catAx>
      <c:valAx>
        <c:axId val="6764761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4755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5" Type="http://schemas.openxmlformats.org/officeDocument/2006/relationships/chart" Target="../charts/chart46.xml"/><Relationship Id="rId4" Type="http://schemas.openxmlformats.org/officeDocument/2006/relationships/chart" Target="../charts/chart45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Relationship Id="rId5" Type="http://schemas.openxmlformats.org/officeDocument/2006/relationships/chart" Target="../charts/chart51.xml"/><Relationship Id="rId4" Type="http://schemas.openxmlformats.org/officeDocument/2006/relationships/chart" Target="../charts/chart50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Relationship Id="rId5" Type="http://schemas.openxmlformats.org/officeDocument/2006/relationships/chart" Target="../charts/chart56.xml"/><Relationship Id="rId4" Type="http://schemas.openxmlformats.org/officeDocument/2006/relationships/chart" Target="../charts/chart55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5" Type="http://schemas.openxmlformats.org/officeDocument/2006/relationships/chart" Target="../charts/chart61.xml"/><Relationship Id="rId4" Type="http://schemas.openxmlformats.org/officeDocument/2006/relationships/chart" Target="../charts/chart60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4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5" Type="http://schemas.openxmlformats.org/officeDocument/2006/relationships/chart" Target="../charts/chart66.xml"/><Relationship Id="rId4" Type="http://schemas.openxmlformats.org/officeDocument/2006/relationships/chart" Target="../charts/chart6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30</xdr:row>
      <xdr:rowOff>4762</xdr:rowOff>
    </xdr:from>
    <xdr:to>
      <xdr:col>12</xdr:col>
      <xdr:colOff>581025</xdr:colOff>
      <xdr:row>45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1019175</xdr:colOff>
      <xdr:row>46</xdr:row>
      <xdr:rowOff>14287</xdr:rowOff>
    </xdr:from>
    <xdr:to>
      <xdr:col>12</xdr:col>
      <xdr:colOff>581025</xdr:colOff>
      <xdr:row>60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581025</xdr:colOff>
      <xdr:row>46</xdr:row>
      <xdr:rowOff>9525</xdr:rowOff>
    </xdr:from>
    <xdr:to>
      <xdr:col>24</xdr:col>
      <xdr:colOff>581025</xdr:colOff>
      <xdr:row>60</xdr:row>
      <xdr:rowOff>138113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1019175</xdr:colOff>
      <xdr:row>62</xdr:row>
      <xdr:rowOff>14287</xdr:rowOff>
    </xdr:from>
    <xdr:to>
      <xdr:col>12</xdr:col>
      <xdr:colOff>581025</xdr:colOff>
      <xdr:row>76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581025</xdr:colOff>
      <xdr:row>62</xdr:row>
      <xdr:rowOff>9525</xdr:rowOff>
    </xdr:from>
    <xdr:to>
      <xdr:col>24</xdr:col>
      <xdr:colOff>581025</xdr:colOff>
      <xdr:row>76</xdr:row>
      <xdr:rowOff>138113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4762</xdr:colOff>
      <xdr:row>84</xdr:row>
      <xdr:rowOff>14287</xdr:rowOff>
    </xdr:from>
    <xdr:to>
      <xdr:col>18</xdr:col>
      <xdr:colOff>0</xdr:colOff>
      <xdr:row>111</xdr:row>
      <xdr:rowOff>180975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7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278650DF-9A39-4FBA-B353-74126162CBCF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658D2444-A801-43BD-BAEC-00573A0BE4E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Eck, ME</a:t>
          </a:fld>
          <a:endParaRPr lang="en-US" sz="14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8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F01652AC-3A9F-4D57-A178-98631CB2E656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F848CFF9-E348-44E6-8556-5A2776CC192F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Schroeder, RS</a:t>
          </a:fld>
          <a:endParaRPr lang="en-US" sz="18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9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9A659505-328F-4C42-8FE7-D11526EE3D38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5DD271A8-E59C-4A58-97DA-C8B60AFC5B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Martz, NM</a:t>
          </a:fld>
          <a:endParaRPr lang="en-US" sz="18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10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1EF4EC95-B86E-40E2-B832-E2A18E4DB870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3E8741F2-E07D-434E-BFC2-5BA4F1AB6703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Glosecki, MG</a:t>
          </a:fld>
          <a:endParaRPr lang="en-US" sz="24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609599</xdr:colOff>
      <xdr:row>35</xdr:row>
      <xdr:rowOff>14286</xdr:rowOff>
    </xdr:from>
    <xdr:to>
      <xdr:col>15</xdr:col>
      <xdr:colOff>485774</xdr:colOff>
      <xdr:row>50</xdr:row>
      <xdr:rowOff>38099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323850</xdr:colOff>
      <xdr:row>51</xdr:row>
      <xdr:rowOff>119062</xdr:rowOff>
    </xdr:from>
    <xdr:to>
      <xdr:col>7</xdr:col>
      <xdr:colOff>190500</xdr:colOff>
      <xdr:row>66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66675</xdr:colOff>
      <xdr:row>51</xdr:row>
      <xdr:rowOff>28575</xdr:rowOff>
    </xdr:from>
    <xdr:to>
      <xdr:col>15</xdr:col>
      <xdr:colOff>371475</xdr:colOff>
      <xdr:row>65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352425</xdr:colOff>
      <xdr:row>67</xdr:row>
      <xdr:rowOff>23812</xdr:rowOff>
    </xdr:from>
    <xdr:to>
      <xdr:col>7</xdr:col>
      <xdr:colOff>219075</xdr:colOff>
      <xdr:row>81</xdr:row>
      <xdr:rowOff>100012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67</xdr:row>
      <xdr:rowOff>0</xdr:rowOff>
    </xdr:from>
    <xdr:to>
      <xdr:col>15</xdr:col>
      <xdr:colOff>381000</xdr:colOff>
      <xdr:row>81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538162</xdr:colOff>
      <xdr:row>89</xdr:row>
      <xdr:rowOff>100012</xdr:rowOff>
    </xdr:from>
    <xdr:to>
      <xdr:col>17</xdr:col>
      <xdr:colOff>233362</xdr:colOff>
      <xdr:row>103</xdr:row>
      <xdr:rowOff>176212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0'!$T$48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13FDE8C3-0163-4EBD-A1A2-58AEA239F83A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F49A13DF-FE3E-4F9A-BAD1-AE9A758043F1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071A887B-B650-4A8A-A91B-D59C4C7AF80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95209807-1E47-47AF-9602-A345AD433E4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8F0646EA-1A3E-4CD2-BDB2-1B4CFA22BFC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DD1510C7-716E-4C4C-BD01-CF5657F798D0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6B974EAD-FBD5-4FA7-B685-46357CABAAF1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E5B2A1C6-F353-47C8-BB38-753DB94C31D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E9FFFA3-AFAE-4ED4-8A25-DE0A06BAD41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333A0B05-4970-4A95-86B1-6C4D3D5E04B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356152</xdr:colOff>
      <xdr:row>89</xdr:row>
      <xdr:rowOff>57149</xdr:rowOff>
    </xdr:from>
    <xdr:to>
      <xdr:col>14</xdr:col>
      <xdr:colOff>70401</xdr:colOff>
      <xdr:row>103</xdr:row>
      <xdr:rowOff>133349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1B2CA4D4-CD2E-4CE1-B439-80193B2DFBEE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7471381B-C11D-4251-82D3-580E3E5F3F13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BD5C4B4A-3931-4C0B-AE83-D18609E6E79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269458CC-0A9A-4C42-886A-F5B00CBF1611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AEF101EF-F5E0-4ED8-8368-44ABDE49D784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D8D8ACAE-5029-4F24-974E-C0DA1D3BAECF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C595DCC3-CBB5-427C-95E9-BB228E8417A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A20CC1E4-A105-477E-89E4-C2893B7E0C4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59C8B65-6C30-4DE6-93C7-773508DD21F4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2B396BB0-820A-406A-8576-94283AFC87F0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107675</xdr:colOff>
      <xdr:row>93</xdr:row>
      <xdr:rowOff>65431</xdr:rowOff>
    </xdr:from>
    <xdr:to>
      <xdr:col>14</xdr:col>
      <xdr:colOff>223630</xdr:colOff>
      <xdr:row>109</xdr:row>
      <xdr:rowOff>91108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2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94898B6-66F6-40E7-BFCA-2391E705DDA5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2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943A85E5-ECDC-48F6-95F4-42228EB33484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B082F4F9-41F3-4BB4-9E08-8E16FDC5128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5410A77B-18D5-4FDB-8F1B-0095466751F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EE440C6-E728-4251-8FDE-2B72EB581AE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A97D0DD9-ABBD-4059-83F7-AC391F5E5F6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0060EFC5-9A7A-4488-AF73-1A1BCCD18F93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A65F0519-EB6C-4C6F-8EE6-DE6258842A9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6B02389D-31DE-4725-9E19-202C72695C0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18E866B4-DF17-4A24-9BF2-65F842B99601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389282</xdr:colOff>
      <xdr:row>93</xdr:row>
      <xdr:rowOff>24019</xdr:rowOff>
    </xdr:from>
    <xdr:to>
      <xdr:col>15</xdr:col>
      <xdr:colOff>505238</xdr:colOff>
      <xdr:row>109</xdr:row>
      <xdr:rowOff>66260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3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ADB02CFE-8FB8-4547-A44E-BC85EDCA3BF2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3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7F47687D-2831-4B01-B3B9-90B4A4DB1B6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14967BB-78FE-4B53-BE14-66A3D82F3CE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4049FF90-7E75-45E9-8617-9DD53690E109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DCCA2A6D-CAC4-414E-A531-84BE9E70EAF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CFFB45F2-916C-4D06-B458-5D79E7A14F2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5E192C5-E90E-4975-8083-44F1CEA2551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4D7D0F30-A943-4198-A67D-9FE60493C632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23C0EBF9-10C0-4DD7-942F-ACC94069E21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5F516D59-81B9-4083-A32A-F8F70377B45C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381000</xdr:colOff>
      <xdr:row>91</xdr:row>
      <xdr:rowOff>148258</xdr:rowOff>
    </xdr:from>
    <xdr:to>
      <xdr:col>15</xdr:col>
      <xdr:colOff>414130</xdr:colOff>
      <xdr:row>110</xdr:row>
      <xdr:rowOff>91109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4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B755F40F-7DE3-4098-BFF6-B3FD50D7E2CE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4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0C1C5C3-3272-4EBC-BDC2-026A79A6852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7FEB7A47-9CB4-44CC-AD37-E10565F385B4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99E0F2D2-091C-46A5-AA34-76085AD92E4A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C6A86994-EE85-4EC6-923C-F63BA6A784D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FE1AA959-1AE7-4358-9089-69B0DDE1A0DA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D09C6A7E-A1B7-4500-A74B-3A60A7DA8DA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364D7B7F-BED5-4298-A226-E3821DB378C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84682776-ABDD-44FB-B006-C0E3772300F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FE135162-D359-4ADF-BF15-7F352B16EFE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5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133F04E-9DA0-444C-995B-E7B427C7C755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5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F60937F8-7209-46EF-92E7-D104F01D64DE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6CBE7C73-E6EB-462C-BBAD-46896E60321A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B2691C32-9043-44B4-8919-C85074E40D0F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19BEBED2-2B50-4652-A697-F1B4948F4C1D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0C224844-F30A-4AB1-B554-159862C6020C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96901AF-618E-43CE-BB9C-AA172722120C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504E4F73-70D8-4847-B048-E1971C3BAEE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81FDC649-769E-4FCF-94C7-84E8B33AEBC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59DDE338-2073-4C7F-8422-1F2AF46C5364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6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0E4A028-0B43-4BCB-8E6B-18FCDCF413FE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6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D02A8D09-6A14-4004-946B-598EF3F9C517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EC444299-C095-446C-AAD1-43879A43B10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C22E6A59-D9CD-4225-9356-19C1617217A0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D5813097-02D3-44A6-A3D0-C496E58F417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76D93C67-6D6C-4D6E-929C-51397727904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5A4C8DB-054E-4D5A-BB3D-1C0AC818C2E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8B91530F-3A5E-4123-B224-F600ED0D8D2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E7DEB31E-56CD-414A-A5AE-C95CC6946BAD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0E8A832D-D8B8-4C11-A9C3-0BCD839368E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7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C52D037F-A20A-4C59-B792-F92820699567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7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1A56B45D-38DE-461B-B929-FEA3A9C24FF3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D71F9FD4-1E9B-48B7-B1B2-D4283819CCB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5949692E-0796-4BDA-A509-9B35C4043C7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29BD57F3-213E-47DB-A55C-62F428ED31C3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537519B2-F601-4D0C-9C90-95A216A5E53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3754964B-42F7-4CBD-B9F4-7CDBBF973ED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6FC3EACA-018B-44A5-B6ED-A8BA88B77734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850A1489-F09C-445B-92F3-A3E69DA20A0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F3BEAE34-EDE9-4290-BD17-D30F3B87B3D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8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DD847FC5-4E26-4FA5-94FB-4C72680A27CA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8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925E5350-A588-4345-8E6F-B2F36BDD510C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FBD105F0-3858-4068-91C7-5E603FBEF6B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E001AE85-33F3-4010-B53C-FBD4E22281B1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8180063A-B174-45CE-93FB-0AA83C7691B1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ECAC991F-9C45-4E9B-A294-A80C4925B26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041397F1-55B0-499F-8658-2CA09C23E6A8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EE122C77-D2F0-4CFC-AAEA-A0BBADC9CD07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FB35818-BD17-4571-B9DE-35B0BDD34F37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790D62ED-5021-4C1F-B641-00A6CCD4FFF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9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CD25E466-A869-4FEF-8FB1-E72F4933768B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9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7841CB7-A264-4A4F-92AB-4E8BF6089C56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6DF7E63A-EC53-4CA7-9926-D511120368E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67191E0D-6957-4879-A58F-338641A6E54A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7E833948-AB75-4E15-9D26-B518BADDEA4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DE9369E9-ACDC-4D34-B9DB-237058AD04A2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BA227A76-DE22-4DD2-9649-B8C4373A185B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E0AC91CC-06D7-49B4-8C77-4692BA5B8AAF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55FC599-4AAA-493F-A4CF-29125C39FC0A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1F68BF2F-58AF-437E-992E-801249B6597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0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F2FC5863-3302-4F85-A4FE-D310E1FA5656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0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1AEFD2EE-FA72-4AC1-A457-0EEA326B4828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6A095641-DA4F-4FA7-AB5D-D6A265306AE3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B14F6B7D-D278-454A-B843-997039FE4FC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92E589EB-3936-42D2-B68C-C251B7A9FA0B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D1E3AC29-166E-465C-8887-2432AA704EB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2C8DB375-7F7E-4E96-B273-44BE2DA9406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108F1D5C-9E47-48FA-A2EF-116E5E84534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24C8D1BE-E6F2-4ACE-87E0-D57B2B5E0CF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02C540C6-9156-4E0E-8AD8-AF3BFBBF848C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84"/>
  <sheetViews>
    <sheetView topLeftCell="A16" workbookViewId="0">
      <selection activeCell="Y88" sqref="Y88"/>
    </sheetView>
  </sheetViews>
  <sheetFormatPr defaultRowHeight="15" x14ac:dyDescent="0.25"/>
  <cols>
    <col min="1" max="1" width="9.140625" customWidth="1"/>
    <col min="2" max="2" width="15.7109375" customWidth="1"/>
    <col min="3" max="3" width="9.140625" customWidth="1"/>
  </cols>
  <sheetData>
    <row r="1" spans="1:25" ht="18.75" x14ac:dyDescent="0.3">
      <c r="C1" s="68" t="s">
        <v>0</v>
      </c>
      <c r="D1" s="69"/>
      <c r="E1" s="69"/>
      <c r="F1" s="69"/>
      <c r="G1" s="69"/>
      <c r="H1" s="69"/>
      <c r="I1" s="69"/>
      <c r="J1" s="69"/>
      <c r="K1" s="69"/>
      <c r="L1" s="69"/>
      <c r="M1" s="69"/>
    </row>
    <row r="2" spans="1:25" s="10" customFormat="1" x14ac:dyDescent="0.25">
      <c r="C2" s="27" t="s">
        <v>1</v>
      </c>
      <c r="E2" s="11"/>
      <c r="F2" s="11"/>
      <c r="G2" s="11"/>
      <c r="H2" s="11"/>
      <c r="I2" s="11"/>
      <c r="J2" s="11"/>
      <c r="K2" s="11"/>
      <c r="L2" s="11"/>
      <c r="M2" s="11"/>
    </row>
    <row r="3" spans="1:25" ht="18.75" x14ac:dyDescent="0.3">
      <c r="B3" s="30" t="s">
        <v>2</v>
      </c>
      <c r="C3" s="76" t="s">
        <v>3</v>
      </c>
      <c r="D3" s="77"/>
      <c r="E3" s="77"/>
      <c r="F3" s="77"/>
      <c r="G3" s="77"/>
      <c r="H3" s="77"/>
      <c r="I3" s="77"/>
      <c r="J3" s="77"/>
      <c r="K3" s="77"/>
      <c r="L3" s="77"/>
      <c r="M3" s="77"/>
      <c r="N3" s="77" t="s">
        <v>4</v>
      </c>
      <c r="O3" s="77"/>
      <c r="P3" s="77"/>
      <c r="Q3" s="77"/>
      <c r="R3" s="77"/>
      <c r="S3" s="77"/>
      <c r="T3" s="77"/>
      <c r="U3" s="77"/>
      <c r="V3" s="77"/>
      <c r="W3" s="77"/>
      <c r="X3" s="77"/>
      <c r="Y3" s="78"/>
    </row>
    <row r="4" spans="1:25" ht="15.75" x14ac:dyDescent="0.25">
      <c r="C4" s="73" t="s">
        <v>5</v>
      </c>
      <c r="D4" s="73"/>
      <c r="E4" s="73"/>
      <c r="F4" s="73" t="s">
        <v>6</v>
      </c>
      <c r="G4" s="73"/>
      <c r="H4" s="73" t="s">
        <v>7</v>
      </c>
      <c r="I4" s="73"/>
      <c r="J4" s="73" t="s">
        <v>8</v>
      </c>
      <c r="K4" s="73"/>
      <c r="L4" s="70" t="s">
        <v>9</v>
      </c>
      <c r="M4" s="71"/>
      <c r="N4" s="71" t="s">
        <v>10</v>
      </c>
      <c r="O4" s="72"/>
      <c r="P4" s="73" t="s">
        <v>11</v>
      </c>
      <c r="Q4" s="73"/>
      <c r="R4" s="73" t="s">
        <v>12</v>
      </c>
      <c r="S4" s="73"/>
      <c r="T4" s="73" t="s">
        <v>13</v>
      </c>
      <c r="U4" s="73"/>
      <c r="V4" s="73" t="s">
        <v>14</v>
      </c>
      <c r="W4" s="73"/>
      <c r="X4" s="73" t="s">
        <v>15</v>
      </c>
      <c r="Y4" s="73"/>
    </row>
    <row r="5" spans="1:25" s="6" customFormat="1" ht="12.75" x14ac:dyDescent="0.2">
      <c r="B5" s="5" t="s">
        <v>16</v>
      </c>
      <c r="C5" s="12">
        <f xml:space="preserve"> Setup!$B$3</f>
        <v>42254</v>
      </c>
      <c r="D5" s="12">
        <f xml:space="preserve"> C$5 + 7</f>
        <v>42261</v>
      </c>
      <c r="E5" s="12">
        <f t="shared" ref="E5:M5" si="0" xml:space="preserve"> D$5 + 7</f>
        <v>42268</v>
      </c>
      <c r="F5" s="12">
        <f t="shared" si="0"/>
        <v>42275</v>
      </c>
      <c r="G5" s="12">
        <f t="shared" si="0"/>
        <v>42282</v>
      </c>
      <c r="H5" s="12">
        <f t="shared" si="0"/>
        <v>42289</v>
      </c>
      <c r="I5" s="12">
        <f t="shared" si="0"/>
        <v>42296</v>
      </c>
      <c r="J5" s="12">
        <f t="shared" si="0"/>
        <v>42303</v>
      </c>
      <c r="K5" s="12">
        <f t="shared" si="0"/>
        <v>42310</v>
      </c>
      <c r="L5" s="12">
        <f t="shared" si="0"/>
        <v>42317</v>
      </c>
      <c r="M5" s="40">
        <f t="shared" si="0"/>
        <v>42324</v>
      </c>
      <c r="N5" s="41">
        <f xml:space="preserve"> Setup!$B$4</f>
        <v>42380</v>
      </c>
      <c r="O5" s="12">
        <f xml:space="preserve"> N$5 + 7</f>
        <v>42387</v>
      </c>
      <c r="P5" s="12">
        <f t="shared" ref="P5:Y5" si="1" xml:space="preserve"> O$5 + 7</f>
        <v>42394</v>
      </c>
      <c r="Q5" s="12">
        <f t="shared" si="1"/>
        <v>42401</v>
      </c>
      <c r="R5" s="12">
        <f t="shared" si="1"/>
        <v>42408</v>
      </c>
      <c r="S5" s="12">
        <f t="shared" si="1"/>
        <v>42415</v>
      </c>
      <c r="T5" s="12">
        <f t="shared" si="1"/>
        <v>42422</v>
      </c>
      <c r="U5" s="12">
        <f t="shared" si="1"/>
        <v>42429</v>
      </c>
      <c r="V5" s="12">
        <f t="shared" si="1"/>
        <v>42436</v>
      </c>
      <c r="W5" s="12">
        <f t="shared" si="1"/>
        <v>42443</v>
      </c>
      <c r="X5" s="12">
        <f t="shared" si="1"/>
        <v>42450</v>
      </c>
      <c r="Y5" s="12">
        <f t="shared" si="1"/>
        <v>42457</v>
      </c>
    </row>
    <row r="6" spans="1:25" s="6" customFormat="1" ht="12.75" x14ac:dyDescent="0.2">
      <c r="B6" s="5" t="s">
        <v>17</v>
      </c>
      <c r="C6" s="7">
        <v>1</v>
      </c>
      <c r="D6" s="7">
        <v>2</v>
      </c>
      <c r="E6" s="7">
        <v>3</v>
      </c>
      <c r="F6" s="7">
        <v>4</v>
      </c>
      <c r="G6" s="7">
        <v>5</v>
      </c>
      <c r="H6" s="7">
        <v>6</v>
      </c>
      <c r="I6" s="7">
        <v>7</v>
      </c>
      <c r="J6" s="7">
        <v>8</v>
      </c>
      <c r="K6" s="7">
        <v>9</v>
      </c>
      <c r="L6" s="7">
        <v>10</v>
      </c>
      <c r="M6" s="42">
        <v>11</v>
      </c>
      <c r="N6" s="43">
        <v>12</v>
      </c>
      <c r="O6" s="7">
        <v>13</v>
      </c>
      <c r="P6" s="7">
        <v>14</v>
      </c>
      <c r="Q6" s="7">
        <v>15</v>
      </c>
      <c r="R6" s="7">
        <v>16</v>
      </c>
      <c r="S6" s="7">
        <v>17</v>
      </c>
      <c r="T6" s="7">
        <v>18</v>
      </c>
      <c r="U6" s="7">
        <v>19</v>
      </c>
      <c r="V6" s="7">
        <v>20</v>
      </c>
      <c r="W6" s="7">
        <v>21</v>
      </c>
      <c r="X6" s="7">
        <v>22</v>
      </c>
      <c r="Y6" s="7">
        <v>23</v>
      </c>
    </row>
    <row r="7" spans="1:25" x14ac:dyDescent="0.25">
      <c r="A7" s="74" t="s">
        <v>18</v>
      </c>
      <c r="B7" s="8" t="str">
        <f xml:space="preserve"> CONCATENATE(Setup!$B$7, ", ", LEFT(Setup!$C$7,2))</f>
        <v>Eck, ME</v>
      </c>
      <c r="C7" s="24">
        <f>SUM('Sprint 0'!C6:I6)</f>
        <v>4.75</v>
      </c>
      <c r="D7" s="24">
        <f>SUM('Sprint 0'!J6:P6)</f>
        <v>5</v>
      </c>
      <c r="E7" s="24">
        <f>SUM('Sprint 0'!Q6:W6)</f>
        <v>5.5</v>
      </c>
      <c r="F7" s="24">
        <f>SUM('Sprint 1'!C6:I6)</f>
        <v>6.5</v>
      </c>
      <c r="G7" s="24">
        <f>SUM('Sprint 1'!J6:P6)</f>
        <v>2</v>
      </c>
      <c r="H7" s="24">
        <f>SUM('Sprint 2'!C6:I6)</f>
        <v>6</v>
      </c>
      <c r="I7" s="24">
        <f>SUM('Sprint 2'!J6:P6)</f>
        <v>8</v>
      </c>
      <c r="J7" s="24">
        <f>SUM('Sprint 3'!C6:I6)</f>
        <v>12.25</v>
      </c>
      <c r="K7" s="24">
        <f>SUM('Sprint 3'!J6:P6)</f>
        <v>10.5</v>
      </c>
      <c r="L7" s="24">
        <f>SUM('Sprint 4'!C6:I6)</f>
        <v>10.5</v>
      </c>
      <c r="M7" s="24">
        <f>SUM('Sprint 4'!J6:P6)</f>
        <v>5.5</v>
      </c>
      <c r="N7" s="44">
        <f>SUM('Sprint 5'!C6:I6)</f>
        <v>0</v>
      </c>
      <c r="O7" s="22">
        <f>SUM('Sprint 5'!J6:P6)</f>
        <v>0</v>
      </c>
      <c r="P7" s="22">
        <f>SUM('Sprint 6'!C6:I6)</f>
        <v>0</v>
      </c>
      <c r="Q7" s="22">
        <f>SUM('Sprint 6'!J6:P6)</f>
        <v>0</v>
      </c>
      <c r="R7" s="22">
        <f>SUM('Sprint 7'!C6:I6)</f>
        <v>0</v>
      </c>
      <c r="S7" s="22">
        <f>SUM('Sprint 7'!J6:P6)</f>
        <v>0</v>
      </c>
      <c r="T7" s="22">
        <f>SUM('Sprint 8'!C6:I6)</f>
        <v>0</v>
      </c>
      <c r="U7" s="22">
        <f>SUM('Sprint 8'!J6:P6)</f>
        <v>0</v>
      </c>
      <c r="V7" s="22">
        <f>SUM('Sprint 9'!C6:I6)</f>
        <v>0</v>
      </c>
      <c r="W7" s="22">
        <f>SUM('Sprint 9'!J6:P6)</f>
        <v>0</v>
      </c>
      <c r="X7" s="22">
        <f>SUM('Sprint 10'!C6:I6)</f>
        <v>0</v>
      </c>
      <c r="Y7" s="22">
        <f>SUM('Sprint 10'!J6:P6)</f>
        <v>0</v>
      </c>
    </row>
    <row r="8" spans="1:25" x14ac:dyDescent="0.25">
      <c r="A8" s="74"/>
      <c r="B8" s="8" t="str">
        <f xml:space="preserve"> CONCATENATE(Setup!$B$8, ", ", LEFT(Setup!$C$8,2))</f>
        <v>Schroeder, RS</v>
      </c>
      <c r="C8" s="24">
        <f>SUM('Sprint 0'!C7:I7)</f>
        <v>4.25</v>
      </c>
      <c r="D8" s="24">
        <f>SUM('Sprint 0'!J7:P7)</f>
        <v>4.5</v>
      </c>
      <c r="E8" s="24">
        <f>SUM('Sprint 0'!Q7:W7)</f>
        <v>5</v>
      </c>
      <c r="F8" s="24">
        <f>SUM('Sprint 1'!C7:I7)</f>
        <v>6.5</v>
      </c>
      <c r="G8" s="24">
        <f>SUM('Sprint 1'!J7:P7)</f>
        <v>2.75</v>
      </c>
      <c r="H8" s="24">
        <f>SUM('Sprint 2'!C7:I7)</f>
        <v>6</v>
      </c>
      <c r="I8" s="24">
        <f>SUM('Sprint 2'!J7:P7)</f>
        <v>8</v>
      </c>
      <c r="J8" s="24">
        <f>SUM('Sprint 3'!C7:I7)</f>
        <v>5.5</v>
      </c>
      <c r="K8" s="24">
        <f>SUM('Sprint 3'!J7:P7)</f>
        <v>14</v>
      </c>
      <c r="L8" s="24">
        <f>SUM('Sprint 4'!C7:I7)</f>
        <v>6.25</v>
      </c>
      <c r="M8" s="24">
        <f>SUM('Sprint 4'!J7:P7)</f>
        <v>5.5</v>
      </c>
      <c r="N8" s="44">
        <f>SUM('Sprint 5'!C7:I7)</f>
        <v>0</v>
      </c>
      <c r="O8" s="22">
        <f>SUM('Sprint 5'!J7:P7)</f>
        <v>0</v>
      </c>
      <c r="P8" s="22">
        <f>SUM('Sprint 6'!C7:I7)</f>
        <v>0</v>
      </c>
      <c r="Q8" s="22">
        <f>SUM('Sprint 6'!J7:P7)</f>
        <v>0</v>
      </c>
      <c r="R8" s="22">
        <f>SUM('Sprint 7'!C7:I7)</f>
        <v>0</v>
      </c>
      <c r="S8" s="22">
        <f>SUM('Sprint 7'!J7:P7)</f>
        <v>0</v>
      </c>
      <c r="T8" s="22">
        <f>SUM('Sprint 8'!C7:I7)</f>
        <v>0</v>
      </c>
      <c r="U8" s="22">
        <f>SUM('Sprint 8'!J7:P7)</f>
        <v>0</v>
      </c>
      <c r="V8" s="22">
        <f>SUM('Sprint 9'!C7:I7)</f>
        <v>0</v>
      </c>
      <c r="W8" s="22">
        <f>SUM('Sprint 9'!J7:P7)</f>
        <v>0</v>
      </c>
      <c r="X8" s="22">
        <f>SUM('Sprint 10'!C7:I7)</f>
        <v>0</v>
      </c>
      <c r="Y8" s="22">
        <f>SUM('Sprint 10'!J7:P7)</f>
        <v>0</v>
      </c>
    </row>
    <row r="9" spans="1:25" x14ac:dyDescent="0.25">
      <c r="A9" s="74"/>
      <c r="B9" s="8" t="str">
        <f xml:space="preserve"> CONCATENATE(Setup!$B$9, ", ", LEFT(Setup!$C$9,2))</f>
        <v>Martz, NM</v>
      </c>
      <c r="C9" s="24">
        <f>SUM('Sprint 0'!C8:I8)</f>
        <v>5.25</v>
      </c>
      <c r="D9" s="24">
        <f>SUM('Sprint 0'!J8:P8)</f>
        <v>5.5</v>
      </c>
      <c r="E9" s="24">
        <f>SUM('Sprint 0'!Q8:W8)</f>
        <v>5.5</v>
      </c>
      <c r="F9" s="24">
        <f>SUM('Sprint 1'!C8:I8)</f>
        <v>7</v>
      </c>
      <c r="G9" s="24">
        <f>SUM('Sprint 1'!J8:P8)</f>
        <v>2.5</v>
      </c>
      <c r="H9" s="24">
        <f>SUM('Sprint 2'!C8:I8)</f>
        <v>11</v>
      </c>
      <c r="I9" s="24">
        <f>SUM('Sprint 2'!J8:P8)</f>
        <v>9.25</v>
      </c>
      <c r="J9" s="24">
        <f>SUM('Sprint 3'!C8:I8)</f>
        <v>10</v>
      </c>
      <c r="K9" s="24">
        <f>SUM('Sprint 3'!J8:P8)</f>
        <v>8</v>
      </c>
      <c r="L9" s="24">
        <f>SUM('Sprint 4'!C8:I8)</f>
        <v>6</v>
      </c>
      <c r="M9" s="24">
        <f>SUM('Sprint 4'!J8:P8)</f>
        <v>13.5</v>
      </c>
      <c r="N9" s="44">
        <f>SUM('Sprint 5'!C8:I8)</f>
        <v>0</v>
      </c>
      <c r="O9" s="22">
        <f>SUM('Sprint 5'!J8:P8)</f>
        <v>0</v>
      </c>
      <c r="P9" s="22">
        <f>SUM('Sprint 6'!C8:I8)</f>
        <v>0</v>
      </c>
      <c r="Q9" s="22">
        <f>SUM('Sprint 6'!J8:P8)</f>
        <v>0</v>
      </c>
      <c r="R9" s="22">
        <f>SUM('Sprint 7'!C8:I8)</f>
        <v>0</v>
      </c>
      <c r="S9" s="22">
        <f>SUM('Sprint 7'!J8:P8)</f>
        <v>0</v>
      </c>
      <c r="T9" s="22">
        <f>SUM('Sprint 8'!C8:I8)</f>
        <v>0</v>
      </c>
      <c r="U9" s="22">
        <f>SUM('Sprint 8'!J8:P8)</f>
        <v>0</v>
      </c>
      <c r="V9" s="22">
        <f>SUM('Sprint 9'!C8:I8)</f>
        <v>0</v>
      </c>
      <c r="W9" s="22">
        <f>SUM('Sprint 9'!J8:P8)</f>
        <v>0</v>
      </c>
      <c r="X9" s="22">
        <f>SUM('Sprint 10'!C8:I8)</f>
        <v>0</v>
      </c>
      <c r="Y9" s="22">
        <f>SUM('Sprint 10'!J8:P8)</f>
        <v>0</v>
      </c>
    </row>
    <row r="10" spans="1:25" x14ac:dyDescent="0.25">
      <c r="A10" s="74"/>
      <c r="B10" s="8" t="str">
        <f xml:space="preserve"> CONCATENATE(Setup!$B$10, ", ", LEFT(Setup!$C$10,2))</f>
        <v>Glosecki, MG</v>
      </c>
      <c r="C10" s="24">
        <f>SUM('Sprint 0'!C9:I9)</f>
        <v>3</v>
      </c>
      <c r="D10" s="24">
        <f>SUM('Sprint 0'!J9:P9)</f>
        <v>5</v>
      </c>
      <c r="E10" s="24">
        <f>SUM('Sprint 0'!Q9:W9)</f>
        <v>4.5</v>
      </c>
      <c r="F10" s="24">
        <f>SUM('Sprint 1'!C9:I9)</f>
        <v>5</v>
      </c>
      <c r="G10" s="24">
        <f>SUM('Sprint 1'!J9:P9)</f>
        <v>2</v>
      </c>
      <c r="H10" s="24">
        <f>SUM('Sprint 2'!C9:I9)</f>
        <v>3</v>
      </c>
      <c r="I10" s="24">
        <f>SUM('Sprint 2'!J9:P9)</f>
        <v>9.25</v>
      </c>
      <c r="J10" s="24">
        <f>SUM('Sprint 3'!C9:I9)</f>
        <v>8</v>
      </c>
      <c r="K10" s="24">
        <f>SUM('Sprint 3'!J9:P9)</f>
        <v>9.5</v>
      </c>
      <c r="L10" s="24">
        <f>SUM('Sprint 4'!C9:I9)</f>
        <v>8.5</v>
      </c>
      <c r="M10" s="24">
        <f>SUM('Sprint 4'!J9:P9)</f>
        <v>13.5</v>
      </c>
      <c r="N10" s="44">
        <f>SUM('Sprint 5'!C9:I9)</f>
        <v>0</v>
      </c>
      <c r="O10" s="22">
        <f>SUM('Sprint 5'!J9:P9)</f>
        <v>0</v>
      </c>
      <c r="P10" s="22">
        <f>SUM('Sprint 6'!C9:I9)</f>
        <v>0</v>
      </c>
      <c r="Q10" s="22">
        <f>SUM('Sprint 6'!J9:P9)</f>
        <v>0</v>
      </c>
      <c r="R10" s="22">
        <f>SUM('Sprint 7'!C9:I9)</f>
        <v>0</v>
      </c>
      <c r="S10" s="22">
        <f>SUM('Sprint 7'!J9:P9)</f>
        <v>0</v>
      </c>
      <c r="T10" s="22">
        <f>SUM('Sprint 8'!C9:I9)</f>
        <v>0</v>
      </c>
      <c r="U10" s="22">
        <f>SUM('Sprint 8'!J9:P9)</f>
        <v>0</v>
      </c>
      <c r="V10" s="22">
        <f>SUM('Sprint 9'!C9:I9)</f>
        <v>0</v>
      </c>
      <c r="W10" s="22">
        <f>SUM('Sprint 9'!J9:P9)</f>
        <v>0</v>
      </c>
      <c r="X10" s="22">
        <f>SUM('Sprint 10'!C9:I9)</f>
        <v>0</v>
      </c>
      <c r="Y10" s="22">
        <f>SUM('Sprint 10'!J9:P9)</f>
        <v>0</v>
      </c>
    </row>
    <row r="11" spans="1:25" ht="15.75" x14ac:dyDescent="0.25">
      <c r="A11" s="74"/>
      <c r="B11" s="9" t="s">
        <v>19</v>
      </c>
      <c r="C11" s="21">
        <f xml:space="preserve"> SUM(C7:C10)</f>
        <v>17.25</v>
      </c>
      <c r="D11" s="21">
        <f t="shared" ref="D11:M11" si="2" xml:space="preserve"> SUM(D7:D10)</f>
        <v>20</v>
      </c>
      <c r="E11" s="21">
        <f t="shared" si="2"/>
        <v>20.5</v>
      </c>
      <c r="F11" s="21">
        <f t="shared" si="2"/>
        <v>25</v>
      </c>
      <c r="G11" s="21">
        <f t="shared" si="2"/>
        <v>9.25</v>
      </c>
      <c r="H11" s="21">
        <f t="shared" si="2"/>
        <v>26</v>
      </c>
      <c r="I11" s="21">
        <f t="shared" si="2"/>
        <v>34.5</v>
      </c>
      <c r="J11" s="21">
        <f t="shared" si="2"/>
        <v>35.75</v>
      </c>
      <c r="K11" s="21">
        <f t="shared" si="2"/>
        <v>42</v>
      </c>
      <c r="L11" s="21">
        <f t="shared" si="2"/>
        <v>31.25</v>
      </c>
      <c r="M11" s="21">
        <f t="shared" si="2"/>
        <v>38</v>
      </c>
      <c r="N11" s="46">
        <f>SUM(N7:N10)</f>
        <v>0</v>
      </c>
      <c r="O11" s="64">
        <f t="shared" ref="O11:Y11" si="3">SUM(O7:O10)</f>
        <v>0</v>
      </c>
      <c r="P11" s="64">
        <f t="shared" si="3"/>
        <v>0</v>
      </c>
      <c r="Q11" s="64">
        <f t="shared" si="3"/>
        <v>0</v>
      </c>
      <c r="R11" s="64">
        <f t="shared" si="3"/>
        <v>0</v>
      </c>
      <c r="S11" s="64">
        <f t="shared" si="3"/>
        <v>0</v>
      </c>
      <c r="T11" s="64">
        <f t="shared" si="3"/>
        <v>0</v>
      </c>
      <c r="U11" s="64">
        <f t="shared" si="3"/>
        <v>0</v>
      </c>
      <c r="V11" s="64">
        <f t="shared" si="3"/>
        <v>0</v>
      </c>
      <c r="W11" s="64">
        <f t="shared" si="3"/>
        <v>0</v>
      </c>
      <c r="X11" s="64">
        <f t="shared" si="3"/>
        <v>0</v>
      </c>
      <c r="Y11" s="64">
        <f t="shared" si="3"/>
        <v>0</v>
      </c>
    </row>
    <row r="12" spans="1:25" x14ac:dyDescent="0.25">
      <c r="A12" s="6"/>
      <c r="M12" s="47"/>
      <c r="N12" s="48"/>
    </row>
    <row r="13" spans="1:25" x14ac:dyDescent="0.25">
      <c r="A13" s="74" t="s">
        <v>20</v>
      </c>
      <c r="B13" s="8" t="str">
        <f xml:space="preserve"> CONCATENATE(Setup!$B$7, ", ", LEFT(Setup!$C$7,2))</f>
        <v>Eck, ME</v>
      </c>
      <c r="C13" s="24">
        <f>SUM('Sprint 0'!C18:I18)</f>
        <v>0</v>
      </c>
      <c r="D13" s="24">
        <f>SUM('Sprint 0'!J18:P18)</f>
        <v>0</v>
      </c>
      <c r="E13" s="24">
        <f>SUM('Sprint 0'!Q18:W18)</f>
        <v>1</v>
      </c>
      <c r="F13" s="24">
        <f>SUM('Sprint 1'!C18:I18)</f>
        <v>0</v>
      </c>
      <c r="G13" s="24">
        <f>SUM('Sprint 1'!J18:P18)</f>
        <v>0</v>
      </c>
      <c r="H13" s="24">
        <f>SUM('Sprint 2'!C18:I18)</f>
        <v>0</v>
      </c>
      <c r="I13" s="24">
        <f>SUM('Sprint 2'!J18:P18)</f>
        <v>0</v>
      </c>
      <c r="J13" s="24">
        <f>SUM('Sprint 3'!C18:I18)</f>
        <v>0</v>
      </c>
      <c r="K13" s="24">
        <f>SUM('Sprint 3'!J18:P18)</f>
        <v>0</v>
      </c>
      <c r="L13" s="24">
        <f>SUM('Sprint 4'!C18:I18)</f>
        <v>0</v>
      </c>
      <c r="M13" s="24">
        <f>SUM('Sprint 4'!J18:P18)</f>
        <v>3</v>
      </c>
      <c r="N13" s="44">
        <f>SUM('Sprint 5'!C18:I18)</f>
        <v>0</v>
      </c>
      <c r="O13" s="22">
        <f>SUM('Sprint 5'!J18:P18)</f>
        <v>0</v>
      </c>
      <c r="P13" s="22">
        <f>SUM('Sprint 6'!C18:I18)</f>
        <v>0</v>
      </c>
      <c r="Q13" s="22">
        <f>SUM('Sprint 6'!J18:P18)</f>
        <v>0</v>
      </c>
      <c r="R13" s="22">
        <f>SUM('Sprint 7'!C18:I18)</f>
        <v>0</v>
      </c>
      <c r="S13" s="22">
        <f>SUM('Sprint 7'!J18:P18)</f>
        <v>0</v>
      </c>
      <c r="T13" s="22">
        <f>SUM('Sprint 8'!C18:I18)</f>
        <v>0</v>
      </c>
      <c r="U13" s="22">
        <f>SUM('Sprint 8'!J18:P18)</f>
        <v>0</v>
      </c>
      <c r="V13" s="22">
        <f>SUM('Sprint 9'!C18:I18)</f>
        <v>0</v>
      </c>
      <c r="W13" s="22">
        <f>SUM('Sprint 9'!J18:P18)</f>
        <v>0</v>
      </c>
      <c r="X13" s="22">
        <f>SUM('Sprint 10'!C18:I18)</f>
        <v>0</v>
      </c>
      <c r="Y13" s="22">
        <f>SUM('Sprint 10'!J18:P18)</f>
        <v>0</v>
      </c>
    </row>
    <row r="14" spans="1:25" x14ac:dyDescent="0.25">
      <c r="A14" s="74"/>
      <c r="B14" s="8" t="str">
        <f xml:space="preserve"> CONCATENATE(Setup!$B$8, ", ", LEFT(Setup!$C$8,2))</f>
        <v>Schroeder, RS</v>
      </c>
      <c r="C14" s="24">
        <f>SUM('Sprint 0'!C19:I19)</f>
        <v>0</v>
      </c>
      <c r="D14" s="24">
        <f>SUM('Sprint 0'!J19:P19)</f>
        <v>0</v>
      </c>
      <c r="E14" s="24">
        <f>SUM('Sprint 0'!Q19:W19)</f>
        <v>1</v>
      </c>
      <c r="F14" s="24">
        <f>SUM('Sprint 1'!C19:I19)</f>
        <v>0</v>
      </c>
      <c r="G14" s="24">
        <f>SUM('Sprint 1'!J19:P19)</f>
        <v>0</v>
      </c>
      <c r="H14" s="24">
        <f>SUM('Sprint 2'!C19:I19)</f>
        <v>0</v>
      </c>
      <c r="I14" s="24">
        <f>SUM('Sprint 2'!J19:P19)</f>
        <v>0</v>
      </c>
      <c r="J14" s="24">
        <f>SUM('Sprint 3'!C19:I19)</f>
        <v>0</v>
      </c>
      <c r="K14" s="24">
        <f>SUM('Sprint 3'!J19:P19)</f>
        <v>0</v>
      </c>
      <c r="L14" s="24">
        <f>SUM('Sprint 4'!C19:I19)</f>
        <v>0</v>
      </c>
      <c r="M14" s="24">
        <f>SUM('Sprint 4'!J19:P19)</f>
        <v>2.75</v>
      </c>
      <c r="N14" s="44">
        <f>SUM('Sprint 5'!C19:I19)</f>
        <v>0</v>
      </c>
      <c r="O14" s="22">
        <f>SUM('Sprint 5'!J19:P19)</f>
        <v>0</v>
      </c>
      <c r="P14" s="22">
        <f>SUM('Sprint 6'!C19:I19)</f>
        <v>0</v>
      </c>
      <c r="Q14" s="22">
        <f>SUM('Sprint 6'!J19:P19)</f>
        <v>0</v>
      </c>
      <c r="R14" s="22">
        <f>SUM('Sprint 7'!C19:I19)</f>
        <v>0</v>
      </c>
      <c r="S14" s="22">
        <f>SUM('Sprint 7'!J19:P19)</f>
        <v>0</v>
      </c>
      <c r="T14" s="22">
        <f>SUM('Sprint 8'!C19:I19)</f>
        <v>0</v>
      </c>
      <c r="U14" s="22">
        <f>SUM('Sprint 8'!J19:P19)</f>
        <v>0</v>
      </c>
      <c r="V14" s="22">
        <f>SUM('Sprint 9'!C19:I19)</f>
        <v>0</v>
      </c>
      <c r="W14" s="22">
        <f>SUM('Sprint 9'!J19:P19)</f>
        <v>0</v>
      </c>
      <c r="X14" s="22">
        <f>SUM('Sprint 10'!C19:I19)</f>
        <v>0</v>
      </c>
      <c r="Y14" s="22">
        <f>SUM('Sprint 10'!J19:P19)</f>
        <v>0</v>
      </c>
    </row>
    <row r="15" spans="1:25" x14ac:dyDescent="0.25">
      <c r="A15" s="74"/>
      <c r="B15" s="8" t="str">
        <f xml:space="preserve"> CONCATENATE(Setup!$B$9, ", ", LEFT(Setup!$C$9,2))</f>
        <v>Martz, NM</v>
      </c>
      <c r="C15" s="24">
        <f>SUM('Sprint 0'!C20:I20)</f>
        <v>0</v>
      </c>
      <c r="D15" s="24">
        <f>SUM('Sprint 0'!J20:P20)</f>
        <v>0</v>
      </c>
      <c r="E15" s="24">
        <f>SUM('Sprint 0'!Q20:W20)</f>
        <v>1</v>
      </c>
      <c r="F15" s="24">
        <f>SUM('Sprint 1'!C20:I20)</f>
        <v>0</v>
      </c>
      <c r="G15" s="24">
        <f>SUM('Sprint 1'!J20:P20)</f>
        <v>0</v>
      </c>
      <c r="H15" s="24">
        <f>SUM('Sprint 2'!C20:I20)</f>
        <v>0</v>
      </c>
      <c r="I15" s="24">
        <f>SUM('Sprint 2'!J20:P20)</f>
        <v>0</v>
      </c>
      <c r="J15" s="24">
        <f>SUM('Sprint 3'!C20:I20)</f>
        <v>0</v>
      </c>
      <c r="K15" s="24">
        <f>SUM('Sprint 3'!J20:P20)</f>
        <v>0</v>
      </c>
      <c r="L15" s="24">
        <f>SUM('Sprint 4'!C20:I20)</f>
        <v>0</v>
      </c>
      <c r="M15" s="24">
        <f>SUM('Sprint 4'!J20:P20)</f>
        <v>3.5</v>
      </c>
      <c r="N15" s="44">
        <f>SUM('Sprint 5'!C20:I20)</f>
        <v>0</v>
      </c>
      <c r="O15" s="22">
        <f>SUM('Sprint 5'!J20:P20)</f>
        <v>0</v>
      </c>
      <c r="P15" s="22">
        <f>SUM('Sprint 6'!C20:I20)</f>
        <v>0</v>
      </c>
      <c r="Q15" s="22">
        <f>SUM('Sprint 6'!J20:P20)</f>
        <v>0</v>
      </c>
      <c r="R15" s="22">
        <f>SUM('Sprint 7'!C20:I20)</f>
        <v>0</v>
      </c>
      <c r="S15" s="22">
        <f>SUM('Sprint 7'!J20:P20)</f>
        <v>0</v>
      </c>
      <c r="T15" s="22">
        <f>SUM('Sprint 8'!C20:I20)</f>
        <v>0</v>
      </c>
      <c r="U15" s="22">
        <f>SUM('Sprint 8'!J20:P20)</f>
        <v>0</v>
      </c>
      <c r="V15" s="22">
        <f>SUM('Sprint 9'!C20:I20)</f>
        <v>0</v>
      </c>
      <c r="W15" s="22">
        <f>SUM('Sprint 9'!J20:P20)</f>
        <v>0</v>
      </c>
      <c r="X15" s="22">
        <f>SUM('Sprint 10'!C20:I20)</f>
        <v>0</v>
      </c>
      <c r="Y15" s="22">
        <f>SUM('Sprint 10'!J20:P20)</f>
        <v>0</v>
      </c>
    </row>
    <row r="16" spans="1:25" x14ac:dyDescent="0.25">
      <c r="A16" s="74"/>
      <c r="B16" s="8" t="str">
        <f xml:space="preserve"> CONCATENATE(Setup!$B$10, ", ", LEFT(Setup!$C$10,2))</f>
        <v>Glosecki, MG</v>
      </c>
      <c r="C16" s="24">
        <f>SUM('Sprint 0'!C21:I21)</f>
        <v>0</v>
      </c>
      <c r="D16" s="24">
        <f>SUM('Sprint 0'!J21:P21)</f>
        <v>0</v>
      </c>
      <c r="E16" s="24">
        <f>SUM('Sprint 0'!Q21:W21)</f>
        <v>1</v>
      </c>
      <c r="F16" s="24">
        <f>SUM('Sprint 1'!C21:I21)</f>
        <v>0</v>
      </c>
      <c r="G16" s="24">
        <f>SUM('Sprint 1'!J21:P21)</f>
        <v>0</v>
      </c>
      <c r="H16" s="24">
        <f>SUM('Sprint 2'!C21:I21)</f>
        <v>0</v>
      </c>
      <c r="I16" s="24">
        <f>SUM('Sprint 2'!J21:P21)</f>
        <v>0</v>
      </c>
      <c r="J16" s="24">
        <f>SUM('Sprint 3'!C21:I21)</f>
        <v>0</v>
      </c>
      <c r="K16" s="24">
        <f>SUM('Sprint 3'!J21:P21)</f>
        <v>0</v>
      </c>
      <c r="L16" s="24">
        <f>SUM('Sprint 4'!C21:I21)</f>
        <v>0</v>
      </c>
      <c r="M16" s="24">
        <f>SUM('Sprint 4'!J21:P21)</f>
        <v>3</v>
      </c>
      <c r="N16" s="44">
        <f>SUM('Sprint 5'!C21:I21)</f>
        <v>0</v>
      </c>
      <c r="O16" s="22">
        <f>SUM('Sprint 5'!J21:P21)</f>
        <v>0</v>
      </c>
      <c r="P16" s="22">
        <f>SUM('Sprint 6'!C21:I21)</f>
        <v>0</v>
      </c>
      <c r="Q16" s="22">
        <f>SUM('Sprint 6'!J21:P21)</f>
        <v>0</v>
      </c>
      <c r="R16" s="22">
        <f>SUM('Sprint 7'!C21:I21)</f>
        <v>0</v>
      </c>
      <c r="S16" s="22">
        <f>SUM('Sprint 7'!J21:P21)</f>
        <v>0</v>
      </c>
      <c r="T16" s="22">
        <f>SUM('Sprint 8'!C21:I21)</f>
        <v>0</v>
      </c>
      <c r="U16" s="22">
        <f>SUM('Sprint 8'!J21:P21)</f>
        <v>0</v>
      </c>
      <c r="V16" s="22">
        <f>SUM('Sprint 9'!C21:I21)</f>
        <v>0</v>
      </c>
      <c r="W16" s="22">
        <f>SUM('Sprint 9'!J21:P21)</f>
        <v>0</v>
      </c>
      <c r="X16" s="22">
        <f>SUM('Sprint 10'!C21:I21)</f>
        <v>0</v>
      </c>
      <c r="Y16" s="22">
        <f>SUM('Sprint 10'!J21:P21)</f>
        <v>0</v>
      </c>
    </row>
    <row r="17" spans="1:25" ht="15.75" x14ac:dyDescent="0.25">
      <c r="A17" s="74"/>
      <c r="B17" s="9" t="s">
        <v>19</v>
      </c>
      <c r="C17" s="21">
        <f xml:space="preserve"> SUM(C13:C16)</f>
        <v>0</v>
      </c>
      <c r="D17" s="21">
        <f t="shared" ref="D17" si="4" xml:space="preserve"> SUM(D13:D16)</f>
        <v>0</v>
      </c>
      <c r="E17" s="21">
        <f t="shared" ref="E17" si="5" xml:space="preserve"> SUM(E13:E16)</f>
        <v>4</v>
      </c>
      <c r="F17" s="21">
        <f t="shared" ref="F17" si="6" xml:space="preserve"> SUM(F13:F16)</f>
        <v>0</v>
      </c>
      <c r="G17" s="21">
        <f t="shared" ref="G17" si="7" xml:space="preserve"> SUM(G13:G16)</f>
        <v>0</v>
      </c>
      <c r="H17" s="21">
        <f t="shared" ref="H17" si="8" xml:space="preserve"> SUM(H13:H16)</f>
        <v>0</v>
      </c>
      <c r="I17" s="21">
        <f t="shared" ref="I17" si="9" xml:space="preserve"> SUM(I13:I16)</f>
        <v>0</v>
      </c>
      <c r="J17" s="21">
        <f t="shared" ref="J17" si="10" xml:space="preserve"> SUM(J13:J16)</f>
        <v>0</v>
      </c>
      <c r="K17" s="21">
        <f t="shared" ref="K17" si="11" xml:space="preserve"> SUM(K13:K16)</f>
        <v>0</v>
      </c>
      <c r="L17" s="21">
        <f t="shared" ref="L17" si="12" xml:space="preserve"> SUM(L13:L16)</f>
        <v>0</v>
      </c>
      <c r="M17" s="21">
        <f t="shared" ref="M17" si="13" xml:space="preserve"> SUM(M13:M16)</f>
        <v>12.25</v>
      </c>
      <c r="N17" s="46">
        <f>SUM(N13:N16)</f>
        <v>0</v>
      </c>
      <c r="O17" s="64">
        <f t="shared" ref="O17" si="14">SUM(O13:O16)</f>
        <v>0</v>
      </c>
      <c r="P17" s="64">
        <f t="shared" ref="P17" si="15">SUM(P13:P16)</f>
        <v>0</v>
      </c>
      <c r="Q17" s="64">
        <f t="shared" ref="Q17" si="16">SUM(Q13:Q16)</f>
        <v>0</v>
      </c>
      <c r="R17" s="64">
        <f t="shared" ref="R17" si="17">SUM(R13:R16)</f>
        <v>0</v>
      </c>
      <c r="S17" s="64">
        <f t="shared" ref="S17" si="18">SUM(S13:S16)</f>
        <v>0</v>
      </c>
      <c r="T17" s="64">
        <f t="shared" ref="T17" si="19">SUM(T13:T16)</f>
        <v>0</v>
      </c>
      <c r="U17" s="64">
        <f t="shared" ref="U17" si="20">SUM(U13:U16)</f>
        <v>0</v>
      </c>
      <c r="V17" s="64">
        <f t="shared" ref="V17" si="21">SUM(V13:V16)</f>
        <v>0</v>
      </c>
      <c r="W17" s="64">
        <f t="shared" ref="W17" si="22">SUM(W13:W16)</f>
        <v>0</v>
      </c>
      <c r="X17" s="64">
        <f t="shared" ref="X17" si="23">SUM(X13:X16)</f>
        <v>0</v>
      </c>
      <c r="Y17" s="64">
        <f t="shared" ref="Y17" si="24">SUM(Y13:Y16)</f>
        <v>0</v>
      </c>
    </row>
    <row r="18" spans="1:25" x14ac:dyDescent="0.25">
      <c r="M18" s="47"/>
      <c r="N18" s="48"/>
    </row>
    <row r="19" spans="1:25" x14ac:dyDescent="0.25">
      <c r="A19" s="75" t="s">
        <v>21</v>
      </c>
      <c r="B19" s="8" t="str">
        <f xml:space="preserve"> CONCATENATE(Setup!$B$7, ", ", LEFT(Setup!$C$7,2))</f>
        <v>Eck, ME</v>
      </c>
      <c r="C19" s="24">
        <f xml:space="preserve"> C7 + C13</f>
        <v>4.75</v>
      </c>
      <c r="D19" s="24">
        <f xml:space="preserve"> C19 + D7 + D13</f>
        <v>9.75</v>
      </c>
      <c r="E19" s="24">
        <f t="shared" ref="E19:Y22" si="25" xml:space="preserve"> D19 + E7 + E13</f>
        <v>16.25</v>
      </c>
      <c r="F19" s="24">
        <f t="shared" si="25"/>
        <v>22.75</v>
      </c>
      <c r="G19" s="24">
        <f t="shared" si="25"/>
        <v>24.75</v>
      </c>
      <c r="H19" s="24">
        <f t="shared" si="25"/>
        <v>30.75</v>
      </c>
      <c r="I19" s="24">
        <f t="shared" si="25"/>
        <v>38.75</v>
      </c>
      <c r="J19" s="24">
        <f t="shared" si="25"/>
        <v>51</v>
      </c>
      <c r="K19" s="24">
        <f t="shared" si="25"/>
        <v>61.5</v>
      </c>
      <c r="L19" s="24">
        <f t="shared" si="25"/>
        <v>72</v>
      </c>
      <c r="M19" s="24">
        <f t="shared" si="25"/>
        <v>80.5</v>
      </c>
      <c r="N19" s="24">
        <f t="shared" si="25"/>
        <v>80.5</v>
      </c>
      <c r="O19" s="24">
        <f t="shared" si="25"/>
        <v>80.5</v>
      </c>
      <c r="P19" s="24">
        <f t="shared" si="25"/>
        <v>80.5</v>
      </c>
      <c r="Q19" s="24">
        <f t="shared" si="25"/>
        <v>80.5</v>
      </c>
      <c r="R19" s="24">
        <f t="shared" si="25"/>
        <v>80.5</v>
      </c>
      <c r="S19" s="24">
        <f t="shared" si="25"/>
        <v>80.5</v>
      </c>
      <c r="T19" s="24">
        <f t="shared" si="25"/>
        <v>80.5</v>
      </c>
      <c r="U19" s="24">
        <f t="shared" si="25"/>
        <v>80.5</v>
      </c>
      <c r="V19" s="24">
        <f t="shared" si="25"/>
        <v>80.5</v>
      </c>
      <c r="W19" s="24">
        <f t="shared" si="25"/>
        <v>80.5</v>
      </c>
      <c r="X19" s="24">
        <f t="shared" si="25"/>
        <v>80.5</v>
      </c>
      <c r="Y19" s="24">
        <f t="shared" si="25"/>
        <v>80.5</v>
      </c>
    </row>
    <row r="20" spans="1:25" x14ac:dyDescent="0.25">
      <c r="A20" s="75"/>
      <c r="B20" s="8" t="str">
        <f xml:space="preserve"> CONCATENATE(Setup!$B$8, ", ", LEFT(Setup!$C$8,2))</f>
        <v>Schroeder, RS</v>
      </c>
      <c r="C20" s="24">
        <f t="shared" ref="C20:C22" si="26" xml:space="preserve"> C8 + C14</f>
        <v>4.25</v>
      </c>
      <c r="D20" s="24">
        <f t="shared" ref="D20:S22" si="27" xml:space="preserve"> C20 + D8 + D14</f>
        <v>8.75</v>
      </c>
      <c r="E20" s="24">
        <f t="shared" si="27"/>
        <v>14.75</v>
      </c>
      <c r="F20" s="24">
        <f t="shared" si="27"/>
        <v>21.25</v>
      </c>
      <c r="G20" s="24">
        <f t="shared" si="27"/>
        <v>24</v>
      </c>
      <c r="H20" s="24">
        <f t="shared" si="27"/>
        <v>30</v>
      </c>
      <c r="I20" s="24">
        <f t="shared" si="27"/>
        <v>38</v>
      </c>
      <c r="J20" s="24">
        <f t="shared" si="27"/>
        <v>43.5</v>
      </c>
      <c r="K20" s="24">
        <f t="shared" si="27"/>
        <v>57.5</v>
      </c>
      <c r="L20" s="24">
        <f t="shared" si="27"/>
        <v>63.75</v>
      </c>
      <c r="M20" s="24">
        <f t="shared" si="27"/>
        <v>72</v>
      </c>
      <c r="N20" s="24">
        <f t="shared" si="27"/>
        <v>72</v>
      </c>
      <c r="O20" s="24">
        <f t="shared" si="27"/>
        <v>72</v>
      </c>
      <c r="P20" s="24">
        <f t="shared" si="27"/>
        <v>72</v>
      </c>
      <c r="Q20" s="24">
        <f t="shared" si="27"/>
        <v>72</v>
      </c>
      <c r="R20" s="24">
        <f t="shared" si="27"/>
        <v>72</v>
      </c>
      <c r="S20" s="24">
        <f t="shared" si="27"/>
        <v>72</v>
      </c>
      <c r="T20" s="24">
        <f t="shared" si="25"/>
        <v>72</v>
      </c>
      <c r="U20" s="24">
        <f t="shared" si="25"/>
        <v>72</v>
      </c>
      <c r="V20" s="24">
        <f t="shared" si="25"/>
        <v>72</v>
      </c>
      <c r="W20" s="24">
        <f t="shared" si="25"/>
        <v>72</v>
      </c>
      <c r="X20" s="24">
        <f t="shared" si="25"/>
        <v>72</v>
      </c>
      <c r="Y20" s="24">
        <f t="shared" si="25"/>
        <v>72</v>
      </c>
    </row>
    <row r="21" spans="1:25" x14ac:dyDescent="0.25">
      <c r="A21" s="75"/>
      <c r="B21" s="8" t="str">
        <f xml:space="preserve"> CONCATENATE(Setup!$B$9, ", ", LEFT(Setup!$C$9,2))</f>
        <v>Martz, NM</v>
      </c>
      <c r="C21" s="24">
        <f t="shared" si="26"/>
        <v>5.25</v>
      </c>
      <c r="D21" s="24">
        <f t="shared" si="27"/>
        <v>10.75</v>
      </c>
      <c r="E21" s="24">
        <f t="shared" si="25"/>
        <v>17.25</v>
      </c>
      <c r="F21" s="24">
        <f t="shared" si="25"/>
        <v>24.25</v>
      </c>
      <c r="G21" s="24">
        <f t="shared" si="25"/>
        <v>26.75</v>
      </c>
      <c r="H21" s="24">
        <f t="shared" si="25"/>
        <v>37.75</v>
      </c>
      <c r="I21" s="24">
        <f t="shared" si="25"/>
        <v>47</v>
      </c>
      <c r="J21" s="24">
        <f t="shared" si="25"/>
        <v>57</v>
      </c>
      <c r="K21" s="24">
        <f t="shared" si="25"/>
        <v>65</v>
      </c>
      <c r="L21" s="24">
        <f t="shared" si="25"/>
        <v>71</v>
      </c>
      <c r="M21" s="24">
        <f t="shared" si="25"/>
        <v>88</v>
      </c>
      <c r="N21" s="24">
        <f t="shared" si="25"/>
        <v>88</v>
      </c>
      <c r="O21" s="24">
        <f t="shared" si="25"/>
        <v>88</v>
      </c>
      <c r="P21" s="24">
        <f t="shared" si="25"/>
        <v>88</v>
      </c>
      <c r="Q21" s="24">
        <f t="shared" si="25"/>
        <v>88</v>
      </c>
      <c r="R21" s="24">
        <f t="shared" si="25"/>
        <v>88</v>
      </c>
      <c r="S21" s="24">
        <f t="shared" si="25"/>
        <v>88</v>
      </c>
      <c r="T21" s="24">
        <f t="shared" si="25"/>
        <v>88</v>
      </c>
      <c r="U21" s="24">
        <f t="shared" si="25"/>
        <v>88</v>
      </c>
      <c r="V21" s="24">
        <f t="shared" si="25"/>
        <v>88</v>
      </c>
      <c r="W21" s="24">
        <f t="shared" si="25"/>
        <v>88</v>
      </c>
      <c r="X21" s="24">
        <f t="shared" si="25"/>
        <v>88</v>
      </c>
      <c r="Y21" s="24">
        <f t="shared" si="25"/>
        <v>88</v>
      </c>
    </row>
    <row r="22" spans="1:25" x14ac:dyDescent="0.25">
      <c r="A22" s="75"/>
      <c r="B22" s="8" t="str">
        <f xml:space="preserve"> CONCATENATE(Setup!$B$10, ", ", LEFT(Setup!$C$10,2))</f>
        <v>Glosecki, MG</v>
      </c>
      <c r="C22" s="24">
        <f t="shared" si="26"/>
        <v>3</v>
      </c>
      <c r="D22" s="24">
        <f t="shared" si="27"/>
        <v>8</v>
      </c>
      <c r="E22" s="24">
        <f t="shared" si="25"/>
        <v>13.5</v>
      </c>
      <c r="F22" s="24">
        <f t="shared" si="25"/>
        <v>18.5</v>
      </c>
      <c r="G22" s="24">
        <f t="shared" si="25"/>
        <v>20.5</v>
      </c>
      <c r="H22" s="24">
        <f t="shared" si="25"/>
        <v>23.5</v>
      </c>
      <c r="I22" s="24">
        <f t="shared" si="25"/>
        <v>32.75</v>
      </c>
      <c r="J22" s="24">
        <f t="shared" si="25"/>
        <v>40.75</v>
      </c>
      <c r="K22" s="24">
        <f t="shared" si="25"/>
        <v>50.25</v>
      </c>
      <c r="L22" s="24">
        <f t="shared" si="25"/>
        <v>58.75</v>
      </c>
      <c r="M22" s="24">
        <f t="shared" si="25"/>
        <v>75.25</v>
      </c>
      <c r="N22" s="24">
        <f t="shared" si="25"/>
        <v>75.25</v>
      </c>
      <c r="O22" s="24">
        <f t="shared" si="25"/>
        <v>75.25</v>
      </c>
      <c r="P22" s="24">
        <f t="shared" si="25"/>
        <v>75.25</v>
      </c>
      <c r="Q22" s="24">
        <f t="shared" si="25"/>
        <v>75.25</v>
      </c>
      <c r="R22" s="24">
        <f t="shared" si="25"/>
        <v>75.25</v>
      </c>
      <c r="S22" s="24">
        <f t="shared" si="25"/>
        <v>75.25</v>
      </c>
      <c r="T22" s="24">
        <f t="shared" si="25"/>
        <v>75.25</v>
      </c>
      <c r="U22" s="24">
        <f t="shared" si="25"/>
        <v>75.25</v>
      </c>
      <c r="V22" s="24">
        <f t="shared" si="25"/>
        <v>75.25</v>
      </c>
      <c r="W22" s="24">
        <f t="shared" si="25"/>
        <v>75.25</v>
      </c>
      <c r="X22" s="24">
        <f t="shared" si="25"/>
        <v>75.25</v>
      </c>
      <c r="Y22" s="24">
        <f t="shared" si="25"/>
        <v>75.25</v>
      </c>
    </row>
    <row r="23" spans="1:25" ht="15.75" x14ac:dyDescent="0.25">
      <c r="A23" s="75"/>
      <c r="B23" s="9" t="s">
        <v>19</v>
      </c>
      <c r="C23" s="21">
        <f xml:space="preserve"> C11 + C17</f>
        <v>17.25</v>
      </c>
      <c r="D23" s="21">
        <f xml:space="preserve"> C23 + D11 + D17</f>
        <v>37.25</v>
      </c>
      <c r="E23" s="21">
        <f t="shared" ref="E23:Y23" si="28" xml:space="preserve"> D23 + E11 + E17</f>
        <v>61.75</v>
      </c>
      <c r="F23" s="21">
        <f t="shared" si="28"/>
        <v>86.75</v>
      </c>
      <c r="G23" s="21">
        <f t="shared" si="28"/>
        <v>96</v>
      </c>
      <c r="H23" s="21">
        <f t="shared" si="28"/>
        <v>122</v>
      </c>
      <c r="I23" s="21">
        <f t="shared" si="28"/>
        <v>156.5</v>
      </c>
      <c r="J23" s="21">
        <f t="shared" si="28"/>
        <v>192.25</v>
      </c>
      <c r="K23" s="21">
        <f t="shared" si="28"/>
        <v>234.25</v>
      </c>
      <c r="L23" s="21">
        <f t="shared" si="28"/>
        <v>265.5</v>
      </c>
      <c r="M23" s="45">
        <f t="shared" si="28"/>
        <v>315.75</v>
      </c>
      <c r="N23" s="46">
        <f t="shared" si="28"/>
        <v>315.75</v>
      </c>
      <c r="O23" s="21">
        <f t="shared" si="28"/>
        <v>315.75</v>
      </c>
      <c r="P23" s="21">
        <f t="shared" si="28"/>
        <v>315.75</v>
      </c>
      <c r="Q23" s="21">
        <f t="shared" si="28"/>
        <v>315.75</v>
      </c>
      <c r="R23" s="21">
        <f t="shared" si="28"/>
        <v>315.75</v>
      </c>
      <c r="S23" s="21">
        <f t="shared" si="28"/>
        <v>315.75</v>
      </c>
      <c r="T23" s="21">
        <f t="shared" si="28"/>
        <v>315.75</v>
      </c>
      <c r="U23" s="21">
        <f t="shared" si="28"/>
        <v>315.75</v>
      </c>
      <c r="V23" s="21">
        <f t="shared" si="28"/>
        <v>315.75</v>
      </c>
      <c r="W23" s="21">
        <f t="shared" si="28"/>
        <v>315.75</v>
      </c>
      <c r="X23" s="21">
        <f t="shared" si="28"/>
        <v>315.75</v>
      </c>
      <c r="Y23" s="21">
        <f t="shared" si="28"/>
        <v>315.75</v>
      </c>
    </row>
    <row r="24" spans="1:25" ht="15.75" x14ac:dyDescent="0.25">
      <c r="A24" s="19"/>
      <c r="B24" s="20"/>
      <c r="M24" s="47"/>
      <c r="N24" s="48"/>
    </row>
    <row r="25" spans="1:25" x14ac:dyDescent="0.25">
      <c r="A25" s="75" t="s">
        <v>22</v>
      </c>
      <c r="B25" s="8" t="str">
        <f xml:space="preserve"> CONCATENATE(Setup!$B$7, ", ", LEFT(Setup!$C$7,2))</f>
        <v>Eck, ME</v>
      </c>
      <c r="C25" s="28">
        <f xml:space="preserve"> C19 / C$6</f>
        <v>4.75</v>
      </c>
      <c r="D25" s="28">
        <f t="shared" ref="D25:E25" si="29" xml:space="preserve"> D19 / D$6</f>
        <v>4.875</v>
      </c>
      <c r="E25" s="28">
        <f t="shared" si="29"/>
        <v>5.416666666666667</v>
      </c>
      <c r="F25" s="28">
        <f t="shared" ref="F25:Y25" si="30" xml:space="preserve"> F19 / F$6</f>
        <v>5.6875</v>
      </c>
      <c r="G25" s="28">
        <f t="shared" si="30"/>
        <v>4.95</v>
      </c>
      <c r="H25" s="28">
        <f t="shared" si="30"/>
        <v>5.125</v>
      </c>
      <c r="I25" s="28">
        <f t="shared" si="30"/>
        <v>5.5357142857142856</v>
      </c>
      <c r="J25" s="28">
        <f t="shared" si="30"/>
        <v>6.375</v>
      </c>
      <c r="K25" s="28">
        <f t="shared" si="30"/>
        <v>6.833333333333333</v>
      </c>
      <c r="L25" s="28">
        <f t="shared" si="30"/>
        <v>7.2</v>
      </c>
      <c r="M25" s="49">
        <f t="shared" si="30"/>
        <v>7.3181818181818183</v>
      </c>
      <c r="N25" s="50">
        <f t="shared" si="30"/>
        <v>6.708333333333333</v>
      </c>
      <c r="O25" s="28">
        <f t="shared" si="30"/>
        <v>6.1923076923076925</v>
      </c>
      <c r="P25" s="28">
        <f t="shared" si="30"/>
        <v>5.75</v>
      </c>
      <c r="Q25" s="28">
        <f t="shared" si="30"/>
        <v>5.3666666666666663</v>
      </c>
      <c r="R25" s="28">
        <f t="shared" si="30"/>
        <v>5.03125</v>
      </c>
      <c r="S25" s="28">
        <f t="shared" si="30"/>
        <v>4.7352941176470589</v>
      </c>
      <c r="T25" s="28">
        <f t="shared" si="30"/>
        <v>4.4722222222222223</v>
      </c>
      <c r="U25" s="28">
        <f t="shared" si="30"/>
        <v>4.2368421052631575</v>
      </c>
      <c r="V25" s="28">
        <f t="shared" si="30"/>
        <v>4.0250000000000004</v>
      </c>
      <c r="W25" s="28">
        <f t="shared" si="30"/>
        <v>3.8333333333333335</v>
      </c>
      <c r="X25" s="28">
        <f t="shared" si="30"/>
        <v>3.6590909090909092</v>
      </c>
      <c r="Y25" s="28">
        <f t="shared" si="30"/>
        <v>3.5</v>
      </c>
    </row>
    <row r="26" spans="1:25" x14ac:dyDescent="0.25">
      <c r="A26" s="75"/>
      <c r="B26" s="8" t="str">
        <f xml:space="preserve"> CONCATENATE(Setup!$B$8, ", ", LEFT(Setup!$C$8,2))</f>
        <v>Schroeder, RS</v>
      </c>
      <c r="C26" s="28">
        <f t="shared" ref="C26:E29" si="31" xml:space="preserve"> C20 / C$6</f>
        <v>4.25</v>
      </c>
      <c r="D26" s="28">
        <f t="shared" si="31"/>
        <v>4.375</v>
      </c>
      <c r="E26" s="28">
        <f t="shared" si="31"/>
        <v>4.916666666666667</v>
      </c>
      <c r="F26" s="28">
        <f t="shared" ref="F26:Y26" si="32" xml:space="preserve"> F20 / F$6</f>
        <v>5.3125</v>
      </c>
      <c r="G26" s="28">
        <f t="shared" si="32"/>
        <v>4.8</v>
      </c>
      <c r="H26" s="28">
        <f t="shared" si="32"/>
        <v>5</v>
      </c>
      <c r="I26" s="28">
        <f t="shared" si="32"/>
        <v>5.4285714285714288</v>
      </c>
      <c r="J26" s="28">
        <f t="shared" si="32"/>
        <v>5.4375</v>
      </c>
      <c r="K26" s="28">
        <f t="shared" si="32"/>
        <v>6.3888888888888893</v>
      </c>
      <c r="L26" s="28">
        <f t="shared" si="32"/>
        <v>6.375</v>
      </c>
      <c r="M26" s="49">
        <f t="shared" si="32"/>
        <v>6.5454545454545459</v>
      </c>
      <c r="N26" s="50">
        <f t="shared" si="32"/>
        <v>6</v>
      </c>
      <c r="O26" s="28">
        <f t="shared" si="32"/>
        <v>5.5384615384615383</v>
      </c>
      <c r="P26" s="28">
        <f t="shared" si="32"/>
        <v>5.1428571428571432</v>
      </c>
      <c r="Q26" s="28">
        <f t="shared" si="32"/>
        <v>4.8</v>
      </c>
      <c r="R26" s="28">
        <f t="shared" si="32"/>
        <v>4.5</v>
      </c>
      <c r="S26" s="28">
        <f t="shared" si="32"/>
        <v>4.2352941176470589</v>
      </c>
      <c r="T26" s="28">
        <f t="shared" si="32"/>
        <v>4</v>
      </c>
      <c r="U26" s="28">
        <f t="shared" si="32"/>
        <v>3.7894736842105261</v>
      </c>
      <c r="V26" s="28">
        <f t="shared" si="32"/>
        <v>3.6</v>
      </c>
      <c r="W26" s="28">
        <f t="shared" si="32"/>
        <v>3.4285714285714284</v>
      </c>
      <c r="X26" s="28">
        <f t="shared" si="32"/>
        <v>3.2727272727272729</v>
      </c>
      <c r="Y26" s="28">
        <f t="shared" si="32"/>
        <v>3.1304347826086958</v>
      </c>
    </row>
    <row r="27" spans="1:25" x14ac:dyDescent="0.25">
      <c r="A27" s="75"/>
      <c r="B27" s="8" t="str">
        <f xml:space="preserve"> CONCATENATE(Setup!$B$9, ", ", LEFT(Setup!$C$9,2))</f>
        <v>Martz, NM</v>
      </c>
      <c r="C27" s="28">
        <f t="shared" si="31"/>
        <v>5.25</v>
      </c>
      <c r="D27" s="28">
        <f t="shared" si="31"/>
        <v>5.375</v>
      </c>
      <c r="E27" s="28">
        <f t="shared" si="31"/>
        <v>5.75</v>
      </c>
      <c r="F27" s="28">
        <f t="shared" ref="F27:Y27" si="33" xml:space="preserve"> F21 / F$6</f>
        <v>6.0625</v>
      </c>
      <c r="G27" s="28">
        <f t="shared" si="33"/>
        <v>5.35</v>
      </c>
      <c r="H27" s="28">
        <f t="shared" si="33"/>
        <v>6.291666666666667</v>
      </c>
      <c r="I27" s="28">
        <f t="shared" si="33"/>
        <v>6.7142857142857144</v>
      </c>
      <c r="J27" s="28">
        <f t="shared" si="33"/>
        <v>7.125</v>
      </c>
      <c r="K27" s="28">
        <f t="shared" si="33"/>
        <v>7.2222222222222223</v>
      </c>
      <c r="L27" s="28">
        <f t="shared" si="33"/>
        <v>7.1</v>
      </c>
      <c r="M27" s="49">
        <f t="shared" si="33"/>
        <v>8</v>
      </c>
      <c r="N27" s="50">
        <f t="shared" si="33"/>
        <v>7.333333333333333</v>
      </c>
      <c r="O27" s="28">
        <f t="shared" si="33"/>
        <v>6.7692307692307692</v>
      </c>
      <c r="P27" s="28">
        <f t="shared" si="33"/>
        <v>6.2857142857142856</v>
      </c>
      <c r="Q27" s="28">
        <f t="shared" si="33"/>
        <v>5.8666666666666663</v>
      </c>
      <c r="R27" s="28">
        <f t="shared" si="33"/>
        <v>5.5</v>
      </c>
      <c r="S27" s="28">
        <f t="shared" si="33"/>
        <v>5.1764705882352944</v>
      </c>
      <c r="T27" s="28">
        <f t="shared" si="33"/>
        <v>4.8888888888888893</v>
      </c>
      <c r="U27" s="28">
        <f t="shared" si="33"/>
        <v>4.6315789473684212</v>
      </c>
      <c r="V27" s="28">
        <f t="shared" si="33"/>
        <v>4.4000000000000004</v>
      </c>
      <c r="W27" s="28">
        <f t="shared" si="33"/>
        <v>4.1904761904761907</v>
      </c>
      <c r="X27" s="28">
        <f t="shared" si="33"/>
        <v>4</v>
      </c>
      <c r="Y27" s="28">
        <f t="shared" si="33"/>
        <v>3.8260869565217392</v>
      </c>
    </row>
    <row r="28" spans="1:25" x14ac:dyDescent="0.25">
      <c r="A28" s="75"/>
      <c r="B28" s="8" t="str">
        <f xml:space="preserve"> CONCATENATE(Setup!$B$10, ", ", LEFT(Setup!$C$10,2))</f>
        <v>Glosecki, MG</v>
      </c>
      <c r="C28" s="28">
        <f t="shared" si="31"/>
        <v>3</v>
      </c>
      <c r="D28" s="28">
        <f t="shared" si="31"/>
        <v>4</v>
      </c>
      <c r="E28" s="28">
        <f t="shared" si="31"/>
        <v>4.5</v>
      </c>
      <c r="F28" s="28">
        <f t="shared" ref="F28:Y28" si="34" xml:space="preserve"> F22 / F$6</f>
        <v>4.625</v>
      </c>
      <c r="G28" s="28">
        <f t="shared" si="34"/>
        <v>4.0999999999999996</v>
      </c>
      <c r="H28" s="28">
        <f t="shared" si="34"/>
        <v>3.9166666666666665</v>
      </c>
      <c r="I28" s="28">
        <f t="shared" si="34"/>
        <v>4.6785714285714288</v>
      </c>
      <c r="J28" s="28">
        <f t="shared" si="34"/>
        <v>5.09375</v>
      </c>
      <c r="K28" s="28">
        <f t="shared" si="34"/>
        <v>5.583333333333333</v>
      </c>
      <c r="L28" s="28">
        <f t="shared" si="34"/>
        <v>5.875</v>
      </c>
      <c r="M28" s="49">
        <f t="shared" si="34"/>
        <v>6.8409090909090908</v>
      </c>
      <c r="N28" s="50">
        <f t="shared" si="34"/>
        <v>6.270833333333333</v>
      </c>
      <c r="O28" s="28">
        <f t="shared" si="34"/>
        <v>5.7884615384615383</v>
      </c>
      <c r="P28" s="28">
        <f t="shared" si="34"/>
        <v>5.375</v>
      </c>
      <c r="Q28" s="28">
        <f t="shared" si="34"/>
        <v>5.0166666666666666</v>
      </c>
      <c r="R28" s="28">
        <f t="shared" si="34"/>
        <v>4.703125</v>
      </c>
      <c r="S28" s="28">
        <f t="shared" si="34"/>
        <v>4.4264705882352944</v>
      </c>
      <c r="T28" s="28">
        <f t="shared" si="34"/>
        <v>4.1805555555555554</v>
      </c>
      <c r="U28" s="28">
        <f t="shared" si="34"/>
        <v>3.9605263157894739</v>
      </c>
      <c r="V28" s="28">
        <f t="shared" si="34"/>
        <v>3.7625000000000002</v>
      </c>
      <c r="W28" s="28">
        <f t="shared" si="34"/>
        <v>3.5833333333333335</v>
      </c>
      <c r="X28" s="28">
        <f t="shared" si="34"/>
        <v>3.4204545454545454</v>
      </c>
      <c r="Y28" s="28">
        <f t="shared" si="34"/>
        <v>3.2717391304347827</v>
      </c>
    </row>
    <row r="29" spans="1:25" ht="15.75" x14ac:dyDescent="0.25">
      <c r="A29" s="75"/>
      <c r="B29" s="9" t="s">
        <v>19</v>
      </c>
      <c r="C29" s="29">
        <f t="shared" si="31"/>
        <v>17.25</v>
      </c>
      <c r="D29" s="29">
        <f t="shared" si="31"/>
        <v>18.625</v>
      </c>
      <c r="E29" s="29">
        <f t="shared" si="31"/>
        <v>20.583333333333332</v>
      </c>
      <c r="F29" s="29">
        <f t="shared" ref="F29:Y29" si="35" xml:space="preserve"> F23 / F$6</f>
        <v>21.6875</v>
      </c>
      <c r="G29" s="29">
        <f t="shared" si="35"/>
        <v>19.2</v>
      </c>
      <c r="H29" s="29">
        <f t="shared" si="35"/>
        <v>20.333333333333332</v>
      </c>
      <c r="I29" s="29">
        <f t="shared" si="35"/>
        <v>22.357142857142858</v>
      </c>
      <c r="J29" s="29">
        <f t="shared" si="35"/>
        <v>24.03125</v>
      </c>
      <c r="K29" s="29">
        <f t="shared" si="35"/>
        <v>26.027777777777779</v>
      </c>
      <c r="L29" s="29">
        <f t="shared" si="35"/>
        <v>26.55</v>
      </c>
      <c r="M29" s="51">
        <f t="shared" si="35"/>
        <v>28.704545454545453</v>
      </c>
      <c r="N29" s="52">
        <f t="shared" si="35"/>
        <v>26.3125</v>
      </c>
      <c r="O29" s="29">
        <f t="shared" si="35"/>
        <v>24.28846153846154</v>
      </c>
      <c r="P29" s="29">
        <f t="shared" si="35"/>
        <v>22.553571428571427</v>
      </c>
      <c r="Q29" s="29">
        <f t="shared" si="35"/>
        <v>21.05</v>
      </c>
      <c r="R29" s="29">
        <f t="shared" si="35"/>
        <v>19.734375</v>
      </c>
      <c r="S29" s="29">
        <f t="shared" si="35"/>
        <v>18.573529411764707</v>
      </c>
      <c r="T29" s="29">
        <f t="shared" si="35"/>
        <v>17.541666666666668</v>
      </c>
      <c r="U29" s="29">
        <f t="shared" si="35"/>
        <v>16.618421052631579</v>
      </c>
      <c r="V29" s="29">
        <f t="shared" si="35"/>
        <v>15.7875</v>
      </c>
      <c r="W29" s="29">
        <f t="shared" si="35"/>
        <v>15.035714285714286</v>
      </c>
      <c r="X29" s="29">
        <f t="shared" si="35"/>
        <v>14.352272727272727</v>
      </c>
      <c r="Y29" s="29">
        <f t="shared" si="35"/>
        <v>13.728260869565217</v>
      </c>
    </row>
    <row r="78" spans="2:25" x14ac:dyDescent="0.25">
      <c r="B78" t="s">
        <v>23</v>
      </c>
      <c r="C78" t="s">
        <v>24</v>
      </c>
      <c r="D78" t="s">
        <v>25</v>
      </c>
      <c r="E78" t="s">
        <v>26</v>
      </c>
    </row>
    <row r="79" spans="2:25" x14ac:dyDescent="0.25">
      <c r="C79">
        <v>362</v>
      </c>
      <c r="D79" s="24">
        <f>X23</f>
        <v>315.75</v>
      </c>
      <c r="E79">
        <f>C79/Y80</f>
        <v>15.739130434782609</v>
      </c>
    </row>
    <row r="80" spans="2:25" x14ac:dyDescent="0.25">
      <c r="B80" t="s">
        <v>27</v>
      </c>
      <c r="C80" s="7">
        <v>1</v>
      </c>
      <c r="D80" s="7">
        <v>2</v>
      </c>
      <c r="E80" s="7">
        <v>3</v>
      </c>
      <c r="F80" s="7">
        <v>4</v>
      </c>
      <c r="G80" s="7">
        <v>5</v>
      </c>
      <c r="H80" s="7">
        <v>6</v>
      </c>
      <c r="I80" s="7">
        <v>7</v>
      </c>
      <c r="J80" s="7">
        <v>8</v>
      </c>
      <c r="K80" s="7">
        <v>9</v>
      </c>
      <c r="L80" s="7">
        <v>10</v>
      </c>
      <c r="M80" s="42">
        <v>11</v>
      </c>
      <c r="N80" s="43">
        <v>12</v>
      </c>
      <c r="O80" s="7">
        <v>13</v>
      </c>
      <c r="P80" s="7">
        <v>14</v>
      </c>
      <c r="Q80" s="7">
        <v>15</v>
      </c>
      <c r="R80" s="7">
        <v>16</v>
      </c>
      <c r="S80" s="7">
        <v>17</v>
      </c>
      <c r="T80" s="7">
        <v>18</v>
      </c>
      <c r="U80" s="7">
        <v>19</v>
      </c>
      <c r="V80" s="7">
        <v>20</v>
      </c>
      <c r="W80" s="7">
        <v>21</v>
      </c>
      <c r="X80" s="7">
        <v>22</v>
      </c>
      <c r="Y80" s="7">
        <v>23</v>
      </c>
    </row>
    <row r="81" spans="2:25" x14ac:dyDescent="0.25">
      <c r="B81" t="s">
        <v>28</v>
      </c>
      <c r="C81" s="24">
        <f>C23</f>
        <v>17.25</v>
      </c>
      <c r="D81" s="24">
        <f>D23</f>
        <v>37.25</v>
      </c>
      <c r="E81" s="24">
        <f>E23</f>
        <v>61.75</v>
      </c>
      <c r="F81" s="24">
        <f t="shared" ref="F81:X81" si="36">F23</f>
        <v>86.75</v>
      </c>
      <c r="G81" s="24">
        <f t="shared" si="36"/>
        <v>96</v>
      </c>
      <c r="H81" s="24">
        <f t="shared" si="36"/>
        <v>122</v>
      </c>
      <c r="I81" s="24">
        <f t="shared" si="36"/>
        <v>156.5</v>
      </c>
      <c r="J81" s="24">
        <f t="shared" si="36"/>
        <v>192.25</v>
      </c>
      <c r="K81" s="24">
        <f t="shared" si="36"/>
        <v>234.25</v>
      </c>
      <c r="L81" s="24">
        <f t="shared" si="36"/>
        <v>265.5</v>
      </c>
      <c r="M81" s="24">
        <f t="shared" si="36"/>
        <v>315.75</v>
      </c>
      <c r="N81" s="24">
        <f t="shared" si="36"/>
        <v>315.75</v>
      </c>
      <c r="O81" s="24">
        <f t="shared" si="36"/>
        <v>315.75</v>
      </c>
      <c r="P81" s="24">
        <f t="shared" si="36"/>
        <v>315.75</v>
      </c>
      <c r="Q81" s="24">
        <f t="shared" si="36"/>
        <v>315.75</v>
      </c>
      <c r="R81" s="24">
        <f t="shared" si="36"/>
        <v>315.75</v>
      </c>
      <c r="S81" s="24">
        <f t="shared" si="36"/>
        <v>315.75</v>
      </c>
      <c r="T81" s="24">
        <f t="shared" si="36"/>
        <v>315.75</v>
      </c>
      <c r="U81" s="24">
        <f t="shared" si="36"/>
        <v>315.75</v>
      </c>
      <c r="V81" s="24">
        <f t="shared" si="36"/>
        <v>315.75</v>
      </c>
      <c r="W81" s="24">
        <f t="shared" si="36"/>
        <v>315.75</v>
      </c>
      <c r="X81" s="24">
        <f t="shared" si="36"/>
        <v>315.75</v>
      </c>
      <c r="Y81" s="24">
        <f>Y23</f>
        <v>315.75</v>
      </c>
    </row>
    <row r="82" spans="2:25" x14ac:dyDescent="0.25">
      <c r="B82" t="s">
        <v>29</v>
      </c>
      <c r="C82">
        <f>E79*C80</f>
        <v>15.739130434782609</v>
      </c>
      <c r="D82">
        <f>E79*D80</f>
        <v>31.478260869565219</v>
      </c>
      <c r="E82">
        <f>E79*E80</f>
        <v>47.217391304347828</v>
      </c>
      <c r="F82">
        <f>E79*F80</f>
        <v>62.956521739130437</v>
      </c>
      <c r="G82">
        <f>E79*G80</f>
        <v>78.695652173913047</v>
      </c>
      <c r="H82">
        <f>E79*H80</f>
        <v>94.434782608695656</v>
      </c>
      <c r="I82">
        <f>E79*I80</f>
        <v>110.17391304347827</v>
      </c>
      <c r="J82">
        <f>E79*J80</f>
        <v>125.91304347826087</v>
      </c>
      <c r="K82">
        <f>E79*K80</f>
        <v>141.6521739130435</v>
      </c>
      <c r="L82">
        <f>E79*L80</f>
        <v>157.39130434782609</v>
      </c>
      <c r="M82">
        <f>E79*M80</f>
        <v>173.13043478260869</v>
      </c>
      <c r="N82">
        <f>N80*E79</f>
        <v>188.86956521739131</v>
      </c>
      <c r="O82">
        <f>E79*O80</f>
        <v>204.60869565217394</v>
      </c>
      <c r="P82">
        <f>E79*P80</f>
        <v>220.34782608695653</v>
      </c>
      <c r="Q82">
        <f>E79*Q80</f>
        <v>236.08695652173913</v>
      </c>
      <c r="R82">
        <f>E79*R80</f>
        <v>251.82608695652175</v>
      </c>
      <c r="S82">
        <f>E79*S80</f>
        <v>267.56521739130437</v>
      </c>
      <c r="T82">
        <f>E79*T80</f>
        <v>283.304347826087</v>
      </c>
      <c r="U82">
        <f>E79*U80</f>
        <v>299.04347826086956</v>
      </c>
      <c r="V82">
        <f>E79*V80</f>
        <v>314.78260869565219</v>
      </c>
      <c r="W82">
        <f>E79*W80</f>
        <v>330.52173913043481</v>
      </c>
      <c r="X82">
        <f>E79*X80</f>
        <v>346.26086956521738</v>
      </c>
      <c r="Y82">
        <f>E79*Y80</f>
        <v>362</v>
      </c>
    </row>
    <row r="83" spans="2:25" x14ac:dyDescent="0.25">
      <c r="B83" t="s">
        <v>30</v>
      </c>
      <c r="C83">
        <f>362-C82</f>
        <v>346.26086956521738</v>
      </c>
      <c r="D83">
        <f t="shared" ref="D83:I83" si="37">362-D82</f>
        <v>330.52173913043475</v>
      </c>
      <c r="E83">
        <f t="shared" si="37"/>
        <v>314.78260869565219</v>
      </c>
      <c r="F83">
        <f t="shared" si="37"/>
        <v>299.04347826086956</v>
      </c>
      <c r="G83">
        <f t="shared" si="37"/>
        <v>283.30434782608694</v>
      </c>
      <c r="H83">
        <f t="shared" si="37"/>
        <v>267.56521739130437</v>
      </c>
      <c r="I83">
        <f t="shared" si="37"/>
        <v>251.82608695652175</v>
      </c>
      <c r="J83">
        <f t="shared" ref="J83" si="38">362-J82</f>
        <v>236.08695652173913</v>
      </c>
      <c r="K83">
        <f t="shared" ref="K83" si="39">362-K82</f>
        <v>220.3478260869565</v>
      </c>
      <c r="L83">
        <f t="shared" ref="L83" si="40">362-L82</f>
        <v>204.60869565217391</v>
      </c>
      <c r="M83">
        <f t="shared" ref="M83" si="41">362-M82</f>
        <v>188.86956521739131</v>
      </c>
      <c r="N83">
        <f t="shared" ref="N83:O83" si="42">362-N82</f>
        <v>173.13043478260869</v>
      </c>
      <c r="O83">
        <f t="shared" si="42"/>
        <v>157.39130434782606</v>
      </c>
      <c r="P83">
        <f t="shared" ref="P83" si="43">362-P82</f>
        <v>141.65217391304347</v>
      </c>
      <c r="Q83">
        <f t="shared" ref="Q83" si="44">362-Q82</f>
        <v>125.91304347826087</v>
      </c>
      <c r="R83">
        <f t="shared" ref="R83" si="45">362-R82</f>
        <v>110.17391304347825</v>
      </c>
      <c r="S83">
        <f t="shared" ref="S83" si="46">362-S82</f>
        <v>94.434782608695627</v>
      </c>
      <c r="T83">
        <f t="shared" ref="T83:U83" si="47">362-T82</f>
        <v>78.695652173913004</v>
      </c>
      <c r="U83">
        <f t="shared" si="47"/>
        <v>62.956521739130437</v>
      </c>
      <c r="V83">
        <f t="shared" ref="V83" si="48">362-V82</f>
        <v>47.217391304347814</v>
      </c>
      <c r="W83">
        <f t="shared" ref="W83" si="49">362-W82</f>
        <v>31.47826086956519</v>
      </c>
      <c r="X83">
        <f t="shared" ref="X83:Y83" si="50">362-X82</f>
        <v>15.739130434782624</v>
      </c>
      <c r="Y83">
        <f t="shared" si="50"/>
        <v>0</v>
      </c>
    </row>
    <row r="84" spans="2:25" x14ac:dyDescent="0.25">
      <c r="B84" t="s">
        <v>31</v>
      </c>
      <c r="C84" s="24">
        <f>362-C81</f>
        <v>344.75</v>
      </c>
      <c r="D84" s="24">
        <f t="shared" ref="D84:Y84" si="51">362-D81</f>
        <v>324.75</v>
      </c>
      <c r="E84" s="24">
        <f t="shared" si="51"/>
        <v>300.25</v>
      </c>
      <c r="F84" s="24">
        <f t="shared" si="51"/>
        <v>275.25</v>
      </c>
      <c r="G84" s="24">
        <f t="shared" si="51"/>
        <v>266</v>
      </c>
      <c r="H84" s="24">
        <f t="shared" si="51"/>
        <v>240</v>
      </c>
      <c r="I84" s="24">
        <f t="shared" si="51"/>
        <v>205.5</v>
      </c>
      <c r="J84" s="24">
        <f t="shared" si="51"/>
        <v>169.75</v>
      </c>
      <c r="K84" s="24">
        <f t="shared" si="51"/>
        <v>127.75</v>
      </c>
      <c r="L84" s="24">
        <f t="shared" si="51"/>
        <v>96.5</v>
      </c>
      <c r="M84" s="24">
        <f t="shared" si="51"/>
        <v>46.25</v>
      </c>
      <c r="N84" s="24">
        <f t="shared" si="51"/>
        <v>46.25</v>
      </c>
      <c r="O84" s="24">
        <f t="shared" si="51"/>
        <v>46.25</v>
      </c>
      <c r="P84" s="24">
        <f t="shared" si="51"/>
        <v>46.25</v>
      </c>
      <c r="Q84" s="24">
        <f t="shared" si="51"/>
        <v>46.25</v>
      </c>
      <c r="R84" s="24">
        <f t="shared" si="51"/>
        <v>46.25</v>
      </c>
      <c r="S84" s="24">
        <f t="shared" si="51"/>
        <v>46.25</v>
      </c>
      <c r="T84" s="24">
        <f t="shared" si="51"/>
        <v>46.25</v>
      </c>
      <c r="U84" s="24">
        <f t="shared" si="51"/>
        <v>46.25</v>
      </c>
      <c r="V84" s="24">
        <f t="shared" si="51"/>
        <v>46.25</v>
      </c>
      <c r="W84" s="24">
        <f t="shared" si="51"/>
        <v>46.25</v>
      </c>
      <c r="X84" s="24">
        <f t="shared" si="51"/>
        <v>46.25</v>
      </c>
      <c r="Y84" s="24">
        <f t="shared" si="51"/>
        <v>46.25</v>
      </c>
    </row>
  </sheetData>
  <mergeCells count="18">
    <mergeCell ref="A7:A11"/>
    <mergeCell ref="A25:A29"/>
    <mergeCell ref="A19:A23"/>
    <mergeCell ref="X4:Y4"/>
    <mergeCell ref="C3:M3"/>
    <mergeCell ref="N3:Y3"/>
    <mergeCell ref="T4:U4"/>
    <mergeCell ref="V4:W4"/>
    <mergeCell ref="A13:A17"/>
    <mergeCell ref="C1:M1"/>
    <mergeCell ref="L4:M4"/>
    <mergeCell ref="N4:O4"/>
    <mergeCell ref="P4:Q4"/>
    <mergeCell ref="R4:S4"/>
    <mergeCell ref="C4:E4"/>
    <mergeCell ref="F4:G4"/>
    <mergeCell ref="H4:I4"/>
    <mergeCell ref="J4:K4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87"/>
  <sheetViews>
    <sheetView topLeftCell="B70" zoomScaleNormal="100" workbookViewId="0">
      <selection activeCell="C4" sqref="C4"/>
    </sheetView>
  </sheetViews>
  <sheetFormatPr defaultRowHeight="15" x14ac:dyDescent="0.25"/>
  <cols>
    <col min="2" max="2" width="15.7109375" customWidth="1"/>
    <col min="24" max="24" width="12" bestFit="1" customWidth="1"/>
  </cols>
  <sheetData>
    <row r="1" spans="1:23" ht="18.75" x14ac:dyDescent="0.3">
      <c r="C1" s="14" t="s">
        <v>32</v>
      </c>
    </row>
    <row r="2" spans="1:23" ht="18.75" x14ac:dyDescent="0.3">
      <c r="B2" s="25" t="str">
        <f>SheetName</f>
        <v>Sprint 0</v>
      </c>
      <c r="C2" s="26" t="s">
        <v>33</v>
      </c>
    </row>
    <row r="3" spans="1:23" x14ac:dyDescent="0.25">
      <c r="B3" s="30" t="s">
        <v>2</v>
      </c>
      <c r="C3" s="80" t="s">
        <v>34</v>
      </c>
      <c r="D3" s="81"/>
      <c r="E3" s="81"/>
      <c r="F3" s="81"/>
      <c r="G3" s="81"/>
      <c r="H3" s="81"/>
      <c r="I3" s="81"/>
      <c r="J3" s="81" t="s">
        <v>35</v>
      </c>
      <c r="K3" s="81"/>
      <c r="L3" s="81"/>
      <c r="M3" s="81"/>
      <c r="N3" s="81"/>
      <c r="O3" s="81"/>
      <c r="P3" s="81"/>
      <c r="Q3" s="81" t="s">
        <v>36</v>
      </c>
      <c r="R3" s="81"/>
      <c r="S3" s="81"/>
      <c r="T3" s="81"/>
      <c r="U3" s="81"/>
      <c r="V3" s="81"/>
      <c r="W3" s="82"/>
    </row>
    <row r="4" spans="1:23" x14ac:dyDescent="0.25">
      <c r="A4" s="6"/>
      <c r="B4" s="5" t="s">
        <v>37</v>
      </c>
      <c r="C4" s="15">
        <f xml:space="preserve"> Setup!$B$3</f>
        <v>42254</v>
      </c>
      <c r="D4" s="15">
        <f xml:space="preserve"> C$4 + 1</f>
        <v>42255</v>
      </c>
      <c r="E4" s="15">
        <f t="shared" ref="E4:W4" si="0" xml:space="preserve"> D$4 + 1</f>
        <v>42256</v>
      </c>
      <c r="F4" s="15">
        <f t="shared" si="0"/>
        <v>42257</v>
      </c>
      <c r="G4" s="15">
        <f t="shared" si="0"/>
        <v>42258</v>
      </c>
      <c r="H4" s="15">
        <f t="shared" si="0"/>
        <v>42259</v>
      </c>
      <c r="I4" s="54">
        <f t="shared" si="0"/>
        <v>42260</v>
      </c>
      <c r="J4" s="55">
        <f t="shared" si="0"/>
        <v>42261</v>
      </c>
      <c r="K4" s="15">
        <f t="shared" si="0"/>
        <v>42262</v>
      </c>
      <c r="L4" s="15">
        <f t="shared" si="0"/>
        <v>42263</v>
      </c>
      <c r="M4" s="15">
        <f t="shared" si="0"/>
        <v>42264</v>
      </c>
      <c r="N4" s="15">
        <f t="shared" si="0"/>
        <v>42265</v>
      </c>
      <c r="O4" s="15">
        <f t="shared" si="0"/>
        <v>42266</v>
      </c>
      <c r="P4" s="54">
        <f t="shared" si="0"/>
        <v>42267</v>
      </c>
      <c r="Q4" s="55">
        <f t="shared" si="0"/>
        <v>42268</v>
      </c>
      <c r="R4" s="15">
        <f t="shared" si="0"/>
        <v>42269</v>
      </c>
      <c r="S4" s="15">
        <f t="shared" si="0"/>
        <v>42270</v>
      </c>
      <c r="T4" s="15">
        <f t="shared" si="0"/>
        <v>42271</v>
      </c>
      <c r="U4" s="15">
        <f t="shared" si="0"/>
        <v>42272</v>
      </c>
      <c r="V4" s="15">
        <f t="shared" si="0"/>
        <v>42273</v>
      </c>
      <c r="W4" s="15">
        <f t="shared" si="0"/>
        <v>42274</v>
      </c>
    </row>
    <row r="5" spans="1:23" ht="15.75" thickBot="1" x14ac:dyDescent="0.3">
      <c r="A5" s="6"/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  <c r="Q5" s="57">
        <v>15</v>
      </c>
      <c r="R5" s="4">
        <v>16</v>
      </c>
      <c r="S5" s="4">
        <v>17</v>
      </c>
      <c r="T5" s="4">
        <v>18</v>
      </c>
      <c r="U5" s="4">
        <v>19</v>
      </c>
      <c r="V5" s="4">
        <v>20</v>
      </c>
      <c r="W5" s="4">
        <v>21</v>
      </c>
    </row>
    <row r="6" spans="1:23" ht="15.75" thickBot="1" x14ac:dyDescent="0.3">
      <c r="A6" s="83" t="s">
        <v>39</v>
      </c>
      <c r="B6" s="17" t="str">
        <f xml:space="preserve"> CONCATENATE(Setup!$B$7, ", ", LEFT(Setup!$C$7,2))</f>
        <v>Eck, ME</v>
      </c>
      <c r="C6" s="33">
        <v>0</v>
      </c>
      <c r="D6" s="32">
        <v>1</v>
      </c>
      <c r="E6" s="32">
        <v>1</v>
      </c>
      <c r="F6" s="32">
        <v>0</v>
      </c>
      <c r="G6" s="32">
        <v>0.5</v>
      </c>
      <c r="H6" s="32">
        <v>0</v>
      </c>
      <c r="I6" s="58">
        <v>2.25</v>
      </c>
      <c r="J6" s="59">
        <v>0</v>
      </c>
      <c r="K6" s="32">
        <v>0.75</v>
      </c>
      <c r="L6" s="32">
        <v>0</v>
      </c>
      <c r="M6" s="32">
        <v>3.25</v>
      </c>
      <c r="N6" s="32">
        <v>0</v>
      </c>
      <c r="O6" s="32">
        <v>1</v>
      </c>
      <c r="P6" s="58">
        <v>0</v>
      </c>
      <c r="Q6" s="65">
        <v>2.25</v>
      </c>
      <c r="R6" s="34">
        <v>0</v>
      </c>
      <c r="S6" s="34">
        <v>0</v>
      </c>
      <c r="T6" s="34">
        <v>1.25</v>
      </c>
      <c r="U6" s="34">
        <v>0.5</v>
      </c>
      <c r="V6" s="34">
        <v>1.5</v>
      </c>
      <c r="W6" s="36">
        <v>0</v>
      </c>
    </row>
    <row r="7" spans="1:23" ht="16.5" thickTop="1" thickBot="1" x14ac:dyDescent="0.3">
      <c r="A7" s="83"/>
      <c r="B7" s="17" t="str">
        <f xml:space="preserve"> CONCATENATE(Setup!$B$8, ", ", LEFT(Setup!$C$8,2))</f>
        <v>Schroeder, RS</v>
      </c>
      <c r="C7" s="33">
        <v>0</v>
      </c>
      <c r="D7" s="32">
        <v>1</v>
      </c>
      <c r="E7" s="32">
        <v>1</v>
      </c>
      <c r="F7" s="32">
        <v>0</v>
      </c>
      <c r="G7" s="32">
        <v>0</v>
      </c>
      <c r="H7" s="32">
        <v>0.5</v>
      </c>
      <c r="I7" s="58">
        <v>1.75</v>
      </c>
      <c r="J7" s="59">
        <v>0</v>
      </c>
      <c r="K7" s="32">
        <v>0.75</v>
      </c>
      <c r="L7" s="32">
        <v>0</v>
      </c>
      <c r="M7" s="32">
        <v>3.25</v>
      </c>
      <c r="N7" s="32">
        <v>0</v>
      </c>
      <c r="O7" s="32">
        <v>0.5</v>
      </c>
      <c r="P7" s="58">
        <v>0</v>
      </c>
      <c r="Q7" s="66">
        <v>2.25</v>
      </c>
      <c r="R7" s="31">
        <v>0</v>
      </c>
      <c r="S7" s="31">
        <v>0</v>
      </c>
      <c r="T7" s="31">
        <v>1.25</v>
      </c>
      <c r="U7" s="31">
        <v>1.5</v>
      </c>
      <c r="V7" s="31">
        <v>0</v>
      </c>
      <c r="W7" s="37">
        <v>0</v>
      </c>
    </row>
    <row r="8" spans="1:23" ht="16.5" thickTop="1" thickBot="1" x14ac:dyDescent="0.3">
      <c r="A8" s="83"/>
      <c r="B8" s="17" t="str">
        <f xml:space="preserve"> CONCATENATE(Setup!$B$9, ", ", LEFT(Setup!$C$9,2))</f>
        <v>Martz, NM</v>
      </c>
      <c r="C8" s="33">
        <v>0</v>
      </c>
      <c r="D8" s="32">
        <v>1</v>
      </c>
      <c r="E8" s="32">
        <v>1</v>
      </c>
      <c r="F8" s="32">
        <v>0</v>
      </c>
      <c r="G8" s="32">
        <v>0</v>
      </c>
      <c r="H8" s="32">
        <v>1</v>
      </c>
      <c r="I8" s="58">
        <v>2.25</v>
      </c>
      <c r="J8" s="59">
        <v>0</v>
      </c>
      <c r="K8" s="32">
        <v>0.75</v>
      </c>
      <c r="L8" s="32">
        <v>0</v>
      </c>
      <c r="M8" s="32">
        <v>3.25</v>
      </c>
      <c r="N8" s="32">
        <v>0</v>
      </c>
      <c r="O8" s="32">
        <v>0</v>
      </c>
      <c r="P8" s="58">
        <v>1.5</v>
      </c>
      <c r="Q8" s="66">
        <v>2.25</v>
      </c>
      <c r="R8" s="31">
        <v>0</v>
      </c>
      <c r="S8" s="31">
        <v>0</v>
      </c>
      <c r="T8" s="31">
        <v>1.25</v>
      </c>
      <c r="U8" s="31">
        <v>0</v>
      </c>
      <c r="V8" s="31">
        <v>0</v>
      </c>
      <c r="W8" s="37">
        <v>2</v>
      </c>
    </row>
    <row r="9" spans="1:23" ht="16.5" thickTop="1" thickBot="1" x14ac:dyDescent="0.3">
      <c r="A9" s="83"/>
      <c r="B9" s="17" t="str">
        <f xml:space="preserve"> CONCATENATE(Setup!$B$10, ", ", LEFT(Setup!$C$10,2))</f>
        <v>Glosecki, MG</v>
      </c>
      <c r="C9" s="33">
        <v>0</v>
      </c>
      <c r="D9" s="32">
        <v>1</v>
      </c>
      <c r="E9" s="32">
        <v>1</v>
      </c>
      <c r="F9" s="32">
        <v>0</v>
      </c>
      <c r="G9" s="32">
        <v>0</v>
      </c>
      <c r="H9" s="32">
        <v>1</v>
      </c>
      <c r="I9" s="58">
        <v>0</v>
      </c>
      <c r="J9" s="59">
        <v>0</v>
      </c>
      <c r="K9" s="32">
        <v>0.75</v>
      </c>
      <c r="L9" s="32">
        <v>0</v>
      </c>
      <c r="M9" s="32">
        <v>3.25</v>
      </c>
      <c r="N9" s="32">
        <v>0</v>
      </c>
      <c r="O9" s="32">
        <v>1</v>
      </c>
      <c r="P9" s="58">
        <v>0</v>
      </c>
      <c r="Q9" s="67">
        <v>2.25</v>
      </c>
      <c r="R9" s="35">
        <v>0</v>
      </c>
      <c r="S9" s="35">
        <v>0</v>
      </c>
      <c r="T9" s="35">
        <v>1.25</v>
      </c>
      <c r="U9" s="35">
        <v>0</v>
      </c>
      <c r="V9" s="35">
        <v>1</v>
      </c>
      <c r="W9" s="38">
        <v>0</v>
      </c>
    </row>
    <row r="10" spans="1:23" ht="16.5" thickBot="1" x14ac:dyDescent="0.3">
      <c r="A10" s="83"/>
      <c r="B10" s="18" t="s">
        <v>19</v>
      </c>
      <c r="C10" s="21">
        <f xml:space="preserve"> SUM(C6:C9)</f>
        <v>0</v>
      </c>
      <c r="D10" s="21">
        <f t="shared" ref="D10:W10" si="1" xml:space="preserve"> SUM(D6:D9)</f>
        <v>4</v>
      </c>
      <c r="E10" s="21">
        <f t="shared" si="1"/>
        <v>4</v>
      </c>
      <c r="F10" s="21">
        <f t="shared" si="1"/>
        <v>0</v>
      </c>
      <c r="G10" s="21">
        <f t="shared" si="1"/>
        <v>0.5</v>
      </c>
      <c r="H10" s="21">
        <f t="shared" si="1"/>
        <v>2.5</v>
      </c>
      <c r="I10" s="60">
        <f t="shared" si="1"/>
        <v>6.25</v>
      </c>
      <c r="J10" s="61">
        <f t="shared" si="1"/>
        <v>0</v>
      </c>
      <c r="K10" s="21">
        <f t="shared" si="1"/>
        <v>3</v>
      </c>
      <c r="L10" s="21">
        <f t="shared" si="1"/>
        <v>0</v>
      </c>
      <c r="M10" s="21">
        <f t="shared" si="1"/>
        <v>13</v>
      </c>
      <c r="N10" s="21">
        <f t="shared" si="1"/>
        <v>0</v>
      </c>
      <c r="O10" s="21">
        <f t="shared" si="1"/>
        <v>2.5</v>
      </c>
      <c r="P10" s="60">
        <f t="shared" si="1"/>
        <v>1.5</v>
      </c>
      <c r="Q10" s="61">
        <f t="shared" si="1"/>
        <v>9</v>
      </c>
      <c r="R10" s="21">
        <f t="shared" si="1"/>
        <v>0</v>
      </c>
      <c r="S10" s="21">
        <f t="shared" si="1"/>
        <v>0</v>
      </c>
      <c r="T10" s="21">
        <f t="shared" si="1"/>
        <v>5</v>
      </c>
      <c r="U10" s="21">
        <f t="shared" si="1"/>
        <v>2</v>
      </c>
      <c r="V10" s="21">
        <f t="shared" si="1"/>
        <v>2.5</v>
      </c>
      <c r="W10" s="21">
        <f t="shared" si="1"/>
        <v>2</v>
      </c>
    </row>
    <row r="11" spans="1:23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  <c r="Q11" s="61"/>
      <c r="R11" s="21"/>
      <c r="S11" s="21"/>
      <c r="T11" s="21"/>
      <c r="U11" s="21"/>
      <c r="V11" s="21"/>
      <c r="W11" s="21"/>
    </row>
    <row r="12" spans="1:23" ht="15.75" thickBot="1" x14ac:dyDescent="0.3">
      <c r="A12" s="83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W12" si="2" xml:space="preserve"> C$12 + D$6</f>
        <v>1</v>
      </c>
      <c r="E12" s="22">
        <f t="shared" si="2"/>
        <v>2</v>
      </c>
      <c r="F12" s="22">
        <f t="shared" si="2"/>
        <v>2</v>
      </c>
      <c r="G12" s="22">
        <f t="shared" si="2"/>
        <v>2.5</v>
      </c>
      <c r="H12" s="22">
        <f t="shared" si="2"/>
        <v>2.5</v>
      </c>
      <c r="I12" s="62">
        <f t="shared" si="2"/>
        <v>4.75</v>
      </c>
      <c r="J12" s="63">
        <f t="shared" si="2"/>
        <v>4.75</v>
      </c>
      <c r="K12" s="22">
        <f t="shared" si="2"/>
        <v>5.5</v>
      </c>
      <c r="L12" s="22">
        <f t="shared" si="2"/>
        <v>5.5</v>
      </c>
      <c r="M12" s="22">
        <f t="shared" si="2"/>
        <v>8.75</v>
      </c>
      <c r="N12" s="22">
        <f t="shared" si="2"/>
        <v>8.75</v>
      </c>
      <c r="O12" s="22">
        <f t="shared" si="2"/>
        <v>9.75</v>
      </c>
      <c r="P12" s="62">
        <f t="shared" si="2"/>
        <v>9.75</v>
      </c>
      <c r="Q12" s="63">
        <f t="shared" si="2"/>
        <v>12</v>
      </c>
      <c r="R12" s="22">
        <f t="shared" si="2"/>
        <v>12</v>
      </c>
      <c r="S12" s="22">
        <f t="shared" si="2"/>
        <v>12</v>
      </c>
      <c r="T12" s="22">
        <f t="shared" si="2"/>
        <v>13.25</v>
      </c>
      <c r="U12" s="22">
        <f t="shared" si="2"/>
        <v>13.75</v>
      </c>
      <c r="V12" s="22">
        <f t="shared" si="2"/>
        <v>15.25</v>
      </c>
      <c r="W12" s="22">
        <f t="shared" si="2"/>
        <v>15.25</v>
      </c>
    </row>
    <row r="13" spans="1:23" ht="15.75" thickBot="1" x14ac:dyDescent="0.3">
      <c r="A13" s="83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W13" si="3" xml:space="preserve"> C$13 + D$7</f>
        <v>1</v>
      </c>
      <c r="E13" s="22">
        <f t="shared" si="3"/>
        <v>2</v>
      </c>
      <c r="F13" s="22">
        <f t="shared" si="3"/>
        <v>2</v>
      </c>
      <c r="G13" s="22">
        <f t="shared" si="3"/>
        <v>2</v>
      </c>
      <c r="H13" s="22">
        <f t="shared" si="3"/>
        <v>2.5</v>
      </c>
      <c r="I13" s="62">
        <f t="shared" si="3"/>
        <v>4.25</v>
      </c>
      <c r="J13" s="63">
        <f t="shared" si="3"/>
        <v>4.25</v>
      </c>
      <c r="K13" s="22">
        <f t="shared" si="3"/>
        <v>5</v>
      </c>
      <c r="L13" s="22">
        <f t="shared" si="3"/>
        <v>5</v>
      </c>
      <c r="M13" s="22">
        <f t="shared" si="3"/>
        <v>8.25</v>
      </c>
      <c r="N13" s="22">
        <f t="shared" si="3"/>
        <v>8.25</v>
      </c>
      <c r="O13" s="22">
        <f t="shared" si="3"/>
        <v>8.75</v>
      </c>
      <c r="P13" s="62">
        <f t="shared" si="3"/>
        <v>8.75</v>
      </c>
      <c r="Q13" s="63">
        <f t="shared" si="3"/>
        <v>11</v>
      </c>
      <c r="R13" s="22">
        <f t="shared" si="3"/>
        <v>11</v>
      </c>
      <c r="S13" s="22">
        <f t="shared" si="3"/>
        <v>11</v>
      </c>
      <c r="T13" s="22">
        <f t="shared" si="3"/>
        <v>12.25</v>
      </c>
      <c r="U13" s="22">
        <f t="shared" si="3"/>
        <v>13.75</v>
      </c>
      <c r="V13" s="22">
        <f t="shared" si="3"/>
        <v>13.75</v>
      </c>
      <c r="W13" s="22">
        <f t="shared" si="3"/>
        <v>13.75</v>
      </c>
    </row>
    <row r="14" spans="1:23" ht="15.75" thickBot="1" x14ac:dyDescent="0.3">
      <c r="A14" s="83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W14" si="4" xml:space="preserve"> C$14 + D$8</f>
        <v>1</v>
      </c>
      <c r="E14" s="22">
        <f t="shared" si="4"/>
        <v>2</v>
      </c>
      <c r="F14" s="22">
        <f t="shared" si="4"/>
        <v>2</v>
      </c>
      <c r="G14" s="22">
        <f t="shared" si="4"/>
        <v>2</v>
      </c>
      <c r="H14" s="22">
        <f t="shared" si="4"/>
        <v>3</v>
      </c>
      <c r="I14" s="62">
        <f t="shared" si="4"/>
        <v>5.25</v>
      </c>
      <c r="J14" s="63">
        <f t="shared" si="4"/>
        <v>5.25</v>
      </c>
      <c r="K14" s="22">
        <f t="shared" si="4"/>
        <v>6</v>
      </c>
      <c r="L14" s="22">
        <f t="shared" si="4"/>
        <v>6</v>
      </c>
      <c r="M14" s="22">
        <f t="shared" si="4"/>
        <v>9.25</v>
      </c>
      <c r="N14" s="22">
        <f t="shared" si="4"/>
        <v>9.25</v>
      </c>
      <c r="O14" s="22">
        <f t="shared" si="4"/>
        <v>9.25</v>
      </c>
      <c r="P14" s="62">
        <f t="shared" si="4"/>
        <v>10.75</v>
      </c>
      <c r="Q14" s="63">
        <f t="shared" si="4"/>
        <v>13</v>
      </c>
      <c r="R14" s="22">
        <f t="shared" si="4"/>
        <v>13</v>
      </c>
      <c r="S14" s="22">
        <f t="shared" si="4"/>
        <v>13</v>
      </c>
      <c r="T14" s="22">
        <f t="shared" si="4"/>
        <v>14.25</v>
      </c>
      <c r="U14" s="22">
        <f t="shared" si="4"/>
        <v>14.25</v>
      </c>
      <c r="V14" s="22">
        <f t="shared" si="4"/>
        <v>14.25</v>
      </c>
      <c r="W14" s="22">
        <f t="shared" si="4"/>
        <v>16.25</v>
      </c>
    </row>
    <row r="15" spans="1:23" ht="15.75" thickBot="1" x14ac:dyDescent="0.3">
      <c r="A15" s="83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W15" si="5" xml:space="preserve"> C$15 + D$9</f>
        <v>1</v>
      </c>
      <c r="E15" s="22">
        <f t="shared" si="5"/>
        <v>2</v>
      </c>
      <c r="F15" s="22">
        <f t="shared" si="5"/>
        <v>2</v>
      </c>
      <c r="G15" s="22">
        <f t="shared" si="5"/>
        <v>2</v>
      </c>
      <c r="H15" s="22">
        <f t="shared" si="5"/>
        <v>3</v>
      </c>
      <c r="I15" s="62">
        <f t="shared" si="5"/>
        <v>3</v>
      </c>
      <c r="J15" s="63">
        <f t="shared" si="5"/>
        <v>3</v>
      </c>
      <c r="K15" s="22">
        <f t="shared" si="5"/>
        <v>3.75</v>
      </c>
      <c r="L15" s="22">
        <f t="shared" si="5"/>
        <v>3.75</v>
      </c>
      <c r="M15" s="22">
        <f t="shared" si="5"/>
        <v>7</v>
      </c>
      <c r="N15" s="22">
        <f t="shared" si="5"/>
        <v>7</v>
      </c>
      <c r="O15" s="22">
        <f t="shared" si="5"/>
        <v>8</v>
      </c>
      <c r="P15" s="62">
        <f t="shared" si="5"/>
        <v>8</v>
      </c>
      <c r="Q15" s="63">
        <f t="shared" si="5"/>
        <v>10.25</v>
      </c>
      <c r="R15" s="22">
        <f t="shared" si="5"/>
        <v>10.25</v>
      </c>
      <c r="S15" s="22">
        <f t="shared" si="5"/>
        <v>10.25</v>
      </c>
      <c r="T15" s="22">
        <f t="shared" si="5"/>
        <v>11.5</v>
      </c>
      <c r="U15" s="22">
        <f t="shared" si="5"/>
        <v>11.5</v>
      </c>
      <c r="V15" s="22">
        <f t="shared" si="5"/>
        <v>12.5</v>
      </c>
      <c r="W15" s="22">
        <f t="shared" si="5"/>
        <v>12.5</v>
      </c>
    </row>
    <row r="16" spans="1:23" ht="16.5" thickBot="1" x14ac:dyDescent="0.3">
      <c r="A16" s="83"/>
      <c r="B16" s="18" t="s">
        <v>19</v>
      </c>
      <c r="C16" s="21">
        <f xml:space="preserve"> SUM(C12:C15)</f>
        <v>0</v>
      </c>
      <c r="D16" s="21">
        <f t="shared" ref="D16:W16" si="6" xml:space="preserve"> SUM(D12:D15)</f>
        <v>4</v>
      </c>
      <c r="E16" s="21">
        <f t="shared" si="6"/>
        <v>8</v>
      </c>
      <c r="F16" s="21">
        <f t="shared" si="6"/>
        <v>8</v>
      </c>
      <c r="G16" s="21">
        <f t="shared" si="6"/>
        <v>8.5</v>
      </c>
      <c r="H16" s="21">
        <f t="shared" si="6"/>
        <v>11</v>
      </c>
      <c r="I16" s="60">
        <f t="shared" si="6"/>
        <v>17.25</v>
      </c>
      <c r="J16" s="61">
        <f t="shared" si="6"/>
        <v>17.25</v>
      </c>
      <c r="K16" s="21">
        <f t="shared" si="6"/>
        <v>20.25</v>
      </c>
      <c r="L16" s="21">
        <f t="shared" si="6"/>
        <v>20.25</v>
      </c>
      <c r="M16" s="21">
        <f t="shared" si="6"/>
        <v>33.25</v>
      </c>
      <c r="N16" s="21">
        <f t="shared" si="6"/>
        <v>33.25</v>
      </c>
      <c r="O16" s="21">
        <f t="shared" si="6"/>
        <v>35.75</v>
      </c>
      <c r="P16" s="60">
        <f t="shared" si="6"/>
        <v>37.25</v>
      </c>
      <c r="Q16" s="61">
        <f t="shared" si="6"/>
        <v>46.25</v>
      </c>
      <c r="R16" s="21">
        <f t="shared" si="6"/>
        <v>46.25</v>
      </c>
      <c r="S16" s="21">
        <f t="shared" si="6"/>
        <v>46.25</v>
      </c>
      <c r="T16" s="21">
        <f t="shared" si="6"/>
        <v>51.25</v>
      </c>
      <c r="U16" s="21">
        <f t="shared" si="6"/>
        <v>53.25</v>
      </c>
      <c r="V16" s="21">
        <f t="shared" si="6"/>
        <v>55.75</v>
      </c>
      <c r="W16" s="21">
        <f t="shared" si="6"/>
        <v>57.75</v>
      </c>
    </row>
    <row r="17" spans="1:23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  <c r="Q17" s="61"/>
      <c r="R17" s="21"/>
      <c r="S17" s="21"/>
      <c r="T17" s="21"/>
      <c r="U17" s="21"/>
      <c r="V17" s="21"/>
      <c r="W17" s="21"/>
    </row>
    <row r="18" spans="1:23" ht="15.75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2">
        <v>0</v>
      </c>
      <c r="E18" s="32">
        <v>0</v>
      </c>
      <c r="F18" s="32">
        <v>0</v>
      </c>
      <c r="G18" s="32">
        <v>0</v>
      </c>
      <c r="H18" s="32">
        <v>0</v>
      </c>
      <c r="I18" s="58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  <c r="Q18" s="65">
        <v>1</v>
      </c>
      <c r="R18" s="34">
        <v>0</v>
      </c>
      <c r="S18" s="34">
        <v>0</v>
      </c>
      <c r="T18" s="34">
        <v>0</v>
      </c>
      <c r="U18" s="34">
        <v>0</v>
      </c>
      <c r="V18" s="34">
        <v>0</v>
      </c>
      <c r="W18" s="36">
        <v>0</v>
      </c>
    </row>
    <row r="19" spans="1:23" ht="16.5" thickTop="1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2">
        <v>0</v>
      </c>
      <c r="E19" s="32">
        <v>0</v>
      </c>
      <c r="F19" s="32">
        <v>0</v>
      </c>
      <c r="G19" s="32">
        <v>0</v>
      </c>
      <c r="H19" s="32">
        <v>0</v>
      </c>
      <c r="I19" s="58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  <c r="Q19" s="66">
        <v>1</v>
      </c>
      <c r="R19" s="31">
        <v>0</v>
      </c>
      <c r="S19" s="31">
        <v>0</v>
      </c>
      <c r="T19" s="31">
        <v>0</v>
      </c>
      <c r="U19" s="31">
        <v>0</v>
      </c>
      <c r="V19" s="31">
        <v>0</v>
      </c>
      <c r="W19" s="37">
        <v>0</v>
      </c>
    </row>
    <row r="20" spans="1:23" ht="16.5" thickTop="1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2">
        <v>0</v>
      </c>
      <c r="E20" s="32">
        <v>0</v>
      </c>
      <c r="F20" s="32">
        <v>0</v>
      </c>
      <c r="G20" s="32">
        <v>0</v>
      </c>
      <c r="H20" s="32">
        <v>0</v>
      </c>
      <c r="I20" s="58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  <c r="Q20" s="66">
        <v>1</v>
      </c>
      <c r="R20" s="31">
        <v>0</v>
      </c>
      <c r="S20" s="31">
        <v>0</v>
      </c>
      <c r="T20" s="31">
        <v>0</v>
      </c>
      <c r="U20" s="31">
        <v>0</v>
      </c>
      <c r="V20" s="31">
        <v>0</v>
      </c>
      <c r="W20" s="37">
        <v>0</v>
      </c>
    </row>
    <row r="21" spans="1:23" ht="16.5" thickTop="1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2">
        <v>0</v>
      </c>
      <c r="E21" s="32">
        <v>0</v>
      </c>
      <c r="F21" s="32">
        <v>0</v>
      </c>
      <c r="G21" s="32">
        <v>0</v>
      </c>
      <c r="H21" s="32">
        <v>0</v>
      </c>
      <c r="I21" s="58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  <c r="Q21" s="67">
        <v>1</v>
      </c>
      <c r="R21" s="35">
        <v>0</v>
      </c>
      <c r="S21" s="35">
        <v>0</v>
      </c>
      <c r="T21" s="35">
        <v>0</v>
      </c>
      <c r="U21" s="35">
        <v>0</v>
      </c>
      <c r="V21" s="35">
        <v>0</v>
      </c>
      <c r="W21" s="38">
        <v>0</v>
      </c>
    </row>
    <row r="22" spans="1:23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W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  <c r="Q22" s="61">
        <f t="shared" si="7"/>
        <v>4</v>
      </c>
      <c r="R22" s="21">
        <f t="shared" si="7"/>
        <v>0</v>
      </c>
      <c r="S22" s="21">
        <f t="shared" si="7"/>
        <v>0</v>
      </c>
      <c r="T22" s="21">
        <f t="shared" si="7"/>
        <v>0</v>
      </c>
      <c r="U22" s="21">
        <f t="shared" si="7"/>
        <v>0</v>
      </c>
      <c r="V22" s="21">
        <f t="shared" si="7"/>
        <v>0</v>
      </c>
      <c r="W22" s="21">
        <f t="shared" si="7"/>
        <v>0</v>
      </c>
    </row>
    <row r="23" spans="1:23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  <c r="Q23" s="61"/>
      <c r="R23" s="21"/>
      <c r="S23" s="21"/>
      <c r="T23" s="21"/>
      <c r="U23" s="21"/>
      <c r="V23" s="21"/>
      <c r="W23" s="21"/>
    </row>
    <row r="24" spans="1:23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I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ref="J24:W24" si="9" xml:space="preserve"> I$24 + J$18</f>
        <v>0</v>
      </c>
      <c r="K24" s="22">
        <f t="shared" si="9"/>
        <v>0</v>
      </c>
      <c r="L24" s="22">
        <f t="shared" si="9"/>
        <v>0</v>
      </c>
      <c r="M24" s="22">
        <f t="shared" si="9"/>
        <v>0</v>
      </c>
      <c r="N24" s="22">
        <f t="shared" si="9"/>
        <v>0</v>
      </c>
      <c r="O24" s="22">
        <f t="shared" si="9"/>
        <v>0</v>
      </c>
      <c r="P24" s="62">
        <f t="shared" si="9"/>
        <v>0</v>
      </c>
      <c r="Q24" s="63">
        <f t="shared" si="9"/>
        <v>1</v>
      </c>
      <c r="R24" s="22">
        <f t="shared" si="9"/>
        <v>1</v>
      </c>
      <c r="S24" s="22">
        <f t="shared" si="9"/>
        <v>1</v>
      </c>
      <c r="T24" s="22">
        <f t="shared" si="9"/>
        <v>1</v>
      </c>
      <c r="U24" s="22">
        <f t="shared" si="9"/>
        <v>1</v>
      </c>
      <c r="V24" s="22">
        <f t="shared" si="9"/>
        <v>1</v>
      </c>
      <c r="W24" s="22">
        <f t="shared" si="9"/>
        <v>1</v>
      </c>
    </row>
    <row r="25" spans="1:23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I25" si="10" xml:space="preserve"> D$25 + E$19</f>
        <v>0</v>
      </c>
      <c r="F25" s="22">
        <f t="shared" si="10"/>
        <v>0</v>
      </c>
      <c r="G25" s="22">
        <f t="shared" si="10"/>
        <v>0</v>
      </c>
      <c r="H25" s="22">
        <f t="shared" si="10"/>
        <v>0</v>
      </c>
      <c r="I25" s="62">
        <f t="shared" si="10"/>
        <v>0</v>
      </c>
      <c r="J25" s="63">
        <f t="shared" ref="J25:W25" si="11" xml:space="preserve"> I$25 + J$19</f>
        <v>0</v>
      </c>
      <c r="K25" s="22">
        <f t="shared" si="11"/>
        <v>0</v>
      </c>
      <c r="L25" s="22">
        <f t="shared" si="11"/>
        <v>0</v>
      </c>
      <c r="M25" s="22">
        <f t="shared" si="11"/>
        <v>0</v>
      </c>
      <c r="N25" s="22">
        <f t="shared" si="11"/>
        <v>0</v>
      </c>
      <c r="O25" s="22">
        <f t="shared" si="11"/>
        <v>0</v>
      </c>
      <c r="P25" s="62">
        <f t="shared" si="11"/>
        <v>0</v>
      </c>
      <c r="Q25" s="63">
        <f t="shared" si="11"/>
        <v>1</v>
      </c>
      <c r="R25" s="22">
        <f t="shared" si="11"/>
        <v>1</v>
      </c>
      <c r="S25" s="22">
        <f t="shared" si="11"/>
        <v>1</v>
      </c>
      <c r="T25" s="22">
        <f t="shared" si="11"/>
        <v>1</v>
      </c>
      <c r="U25" s="22">
        <f t="shared" si="11"/>
        <v>1</v>
      </c>
      <c r="V25" s="22">
        <f t="shared" si="11"/>
        <v>1</v>
      </c>
      <c r="W25" s="22">
        <f t="shared" si="11"/>
        <v>1</v>
      </c>
    </row>
    <row r="26" spans="1:23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I26" si="12" xml:space="preserve"> D$26 + E$20</f>
        <v>0</v>
      </c>
      <c r="F26" s="22">
        <f t="shared" si="12"/>
        <v>0</v>
      </c>
      <c r="G26" s="22">
        <f t="shared" si="12"/>
        <v>0</v>
      </c>
      <c r="H26" s="22">
        <f t="shared" si="12"/>
        <v>0</v>
      </c>
      <c r="I26" s="62">
        <f t="shared" si="12"/>
        <v>0</v>
      </c>
      <c r="J26" s="63">
        <f t="shared" ref="J26:W26" si="13" xml:space="preserve"> I$26 + J$20</f>
        <v>0</v>
      </c>
      <c r="K26" s="22">
        <f t="shared" si="13"/>
        <v>0</v>
      </c>
      <c r="L26" s="22">
        <f t="shared" si="13"/>
        <v>0</v>
      </c>
      <c r="M26" s="22">
        <f t="shared" si="13"/>
        <v>0</v>
      </c>
      <c r="N26" s="22">
        <f t="shared" si="13"/>
        <v>0</v>
      </c>
      <c r="O26" s="22">
        <f t="shared" si="13"/>
        <v>0</v>
      </c>
      <c r="P26" s="62">
        <f t="shared" si="13"/>
        <v>0</v>
      </c>
      <c r="Q26" s="63">
        <f t="shared" si="13"/>
        <v>1</v>
      </c>
      <c r="R26" s="22">
        <f t="shared" si="13"/>
        <v>1</v>
      </c>
      <c r="S26" s="22">
        <f t="shared" si="13"/>
        <v>1</v>
      </c>
      <c r="T26" s="22">
        <f t="shared" si="13"/>
        <v>1</v>
      </c>
      <c r="U26" s="22">
        <f t="shared" si="13"/>
        <v>1</v>
      </c>
      <c r="V26" s="22">
        <f t="shared" si="13"/>
        <v>1</v>
      </c>
      <c r="W26" s="22">
        <f t="shared" si="13"/>
        <v>1</v>
      </c>
    </row>
    <row r="27" spans="1:23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I27" si="14" xml:space="preserve"> D$27 + E$21</f>
        <v>0</v>
      </c>
      <c r="F27" s="22">
        <f t="shared" si="14"/>
        <v>0</v>
      </c>
      <c r="G27" s="22">
        <f t="shared" si="14"/>
        <v>0</v>
      </c>
      <c r="H27" s="22">
        <f t="shared" si="14"/>
        <v>0</v>
      </c>
      <c r="I27" s="62">
        <f t="shared" si="14"/>
        <v>0</v>
      </c>
      <c r="J27" s="63">
        <f t="shared" ref="J27:W27" si="15" xml:space="preserve"> I$27 + J$21</f>
        <v>0</v>
      </c>
      <c r="K27" s="22">
        <f t="shared" si="15"/>
        <v>0</v>
      </c>
      <c r="L27" s="22">
        <f t="shared" si="15"/>
        <v>0</v>
      </c>
      <c r="M27" s="22">
        <f t="shared" si="15"/>
        <v>0</v>
      </c>
      <c r="N27" s="22">
        <f t="shared" si="15"/>
        <v>0</v>
      </c>
      <c r="O27" s="22">
        <f t="shared" si="15"/>
        <v>0</v>
      </c>
      <c r="P27" s="62">
        <f t="shared" si="15"/>
        <v>0</v>
      </c>
      <c r="Q27" s="63">
        <f t="shared" si="15"/>
        <v>1</v>
      </c>
      <c r="R27" s="22">
        <f t="shared" si="15"/>
        <v>1</v>
      </c>
      <c r="S27" s="22">
        <f t="shared" si="15"/>
        <v>1</v>
      </c>
      <c r="T27" s="22">
        <f t="shared" si="15"/>
        <v>1</v>
      </c>
      <c r="U27" s="22">
        <f t="shared" si="15"/>
        <v>1</v>
      </c>
      <c r="V27" s="22">
        <f t="shared" si="15"/>
        <v>1</v>
      </c>
      <c r="W27" s="22">
        <f t="shared" si="15"/>
        <v>1</v>
      </c>
    </row>
    <row r="28" spans="1:23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W28" si="16" xml:space="preserve"> SUM(D24:D27)</f>
        <v>0</v>
      </c>
      <c r="E28" s="21">
        <f t="shared" si="16"/>
        <v>0</v>
      </c>
      <c r="F28" s="21">
        <f t="shared" si="16"/>
        <v>0</v>
      </c>
      <c r="G28" s="21">
        <f t="shared" si="16"/>
        <v>0</v>
      </c>
      <c r="H28" s="21">
        <f t="shared" si="16"/>
        <v>0</v>
      </c>
      <c r="I28" s="60">
        <f t="shared" si="16"/>
        <v>0</v>
      </c>
      <c r="J28" s="61">
        <f t="shared" si="16"/>
        <v>0</v>
      </c>
      <c r="K28" s="21">
        <f t="shared" si="16"/>
        <v>0</v>
      </c>
      <c r="L28" s="21">
        <f t="shared" si="16"/>
        <v>0</v>
      </c>
      <c r="M28" s="21">
        <f t="shared" si="16"/>
        <v>0</v>
      </c>
      <c r="N28" s="21">
        <f t="shared" si="16"/>
        <v>0</v>
      </c>
      <c r="O28" s="21">
        <f t="shared" si="16"/>
        <v>0</v>
      </c>
      <c r="P28" s="60">
        <f t="shared" si="16"/>
        <v>0</v>
      </c>
      <c r="Q28" s="61">
        <f t="shared" si="16"/>
        <v>4</v>
      </c>
      <c r="R28" s="21">
        <f t="shared" si="16"/>
        <v>4</v>
      </c>
      <c r="S28" s="21">
        <f t="shared" si="16"/>
        <v>4</v>
      </c>
      <c r="T28" s="21">
        <f t="shared" si="16"/>
        <v>4</v>
      </c>
      <c r="U28" s="21">
        <f t="shared" si="16"/>
        <v>4</v>
      </c>
      <c r="V28" s="21">
        <f t="shared" si="16"/>
        <v>4</v>
      </c>
      <c r="W28" s="21">
        <f t="shared" si="16"/>
        <v>4</v>
      </c>
    </row>
    <row r="29" spans="1:23" ht="16.5" thickBot="1" x14ac:dyDescent="0.3">
      <c r="A29" s="19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  <c r="Q29" s="61"/>
      <c r="R29" s="21"/>
      <c r="S29" s="21"/>
      <c r="T29" s="21"/>
      <c r="U29" s="21"/>
      <c r="V29" s="21"/>
      <c r="W29" s="21"/>
    </row>
    <row r="30" spans="1:23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0.5</v>
      </c>
      <c r="E30" s="22">
        <f t="shared" ref="E30:W30" si="17" xml:space="preserve"> (E$12 + E$24) / E$5</f>
        <v>0.66666666666666663</v>
      </c>
      <c r="F30" s="22">
        <f t="shared" si="17"/>
        <v>0.5</v>
      </c>
      <c r="G30" s="22">
        <f t="shared" si="17"/>
        <v>0.5</v>
      </c>
      <c r="H30" s="22">
        <f t="shared" si="17"/>
        <v>0.41666666666666669</v>
      </c>
      <c r="I30" s="62">
        <f t="shared" si="17"/>
        <v>0.6785714285714286</v>
      </c>
      <c r="J30" s="63">
        <f t="shared" si="17"/>
        <v>0.59375</v>
      </c>
      <c r="K30" s="22">
        <f t="shared" si="17"/>
        <v>0.61111111111111116</v>
      </c>
      <c r="L30" s="22">
        <f t="shared" si="17"/>
        <v>0.55000000000000004</v>
      </c>
      <c r="M30" s="22">
        <f t="shared" si="17"/>
        <v>0.79545454545454541</v>
      </c>
      <c r="N30" s="22">
        <f t="shared" si="17"/>
        <v>0.72916666666666663</v>
      </c>
      <c r="O30" s="22">
        <f t="shared" si="17"/>
        <v>0.75</v>
      </c>
      <c r="P30" s="62">
        <f t="shared" si="17"/>
        <v>0.6964285714285714</v>
      </c>
      <c r="Q30" s="63">
        <f t="shared" si="17"/>
        <v>0.8666666666666667</v>
      </c>
      <c r="R30" s="22">
        <f t="shared" si="17"/>
        <v>0.8125</v>
      </c>
      <c r="S30" s="22">
        <f t="shared" si="17"/>
        <v>0.76470588235294112</v>
      </c>
      <c r="T30" s="22">
        <f t="shared" si="17"/>
        <v>0.79166666666666663</v>
      </c>
      <c r="U30" s="22">
        <f t="shared" si="17"/>
        <v>0.77631578947368418</v>
      </c>
      <c r="V30" s="22">
        <f t="shared" si="17"/>
        <v>0.8125</v>
      </c>
      <c r="W30" s="22">
        <f t="shared" si="17"/>
        <v>0.77380952380952384</v>
      </c>
    </row>
    <row r="31" spans="1:23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0.5</v>
      </c>
      <c r="E31" s="22">
        <f t="shared" ref="E31:W31" si="18" xml:space="preserve"> (E$13 + E$25) / E$5</f>
        <v>0.66666666666666663</v>
      </c>
      <c r="F31" s="22">
        <f t="shared" si="18"/>
        <v>0.5</v>
      </c>
      <c r="G31" s="22">
        <f t="shared" si="18"/>
        <v>0.4</v>
      </c>
      <c r="H31" s="22">
        <f t="shared" si="18"/>
        <v>0.41666666666666669</v>
      </c>
      <c r="I31" s="62">
        <f t="shared" si="18"/>
        <v>0.6071428571428571</v>
      </c>
      <c r="J31" s="63">
        <f t="shared" si="18"/>
        <v>0.53125</v>
      </c>
      <c r="K31" s="22">
        <f t="shared" si="18"/>
        <v>0.55555555555555558</v>
      </c>
      <c r="L31" s="22">
        <f t="shared" si="18"/>
        <v>0.5</v>
      </c>
      <c r="M31" s="22">
        <f t="shared" si="18"/>
        <v>0.75</v>
      </c>
      <c r="N31" s="22">
        <f t="shared" si="18"/>
        <v>0.6875</v>
      </c>
      <c r="O31" s="22">
        <f t="shared" si="18"/>
        <v>0.67307692307692313</v>
      </c>
      <c r="P31" s="62">
        <f t="shared" si="18"/>
        <v>0.625</v>
      </c>
      <c r="Q31" s="63">
        <f t="shared" si="18"/>
        <v>0.8</v>
      </c>
      <c r="R31" s="22">
        <f t="shared" si="18"/>
        <v>0.75</v>
      </c>
      <c r="S31" s="22">
        <f t="shared" si="18"/>
        <v>0.70588235294117652</v>
      </c>
      <c r="T31" s="22">
        <f t="shared" si="18"/>
        <v>0.73611111111111116</v>
      </c>
      <c r="U31" s="22">
        <f t="shared" si="18"/>
        <v>0.77631578947368418</v>
      </c>
      <c r="V31" s="22">
        <f t="shared" si="18"/>
        <v>0.73750000000000004</v>
      </c>
      <c r="W31" s="22">
        <f t="shared" si="18"/>
        <v>0.70238095238095233</v>
      </c>
    </row>
    <row r="32" spans="1:23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0.5</v>
      </c>
      <c r="E32" s="22">
        <f t="shared" ref="E32:W32" si="19" xml:space="preserve"> (E$14 + E$26) / E$5</f>
        <v>0.66666666666666663</v>
      </c>
      <c r="F32" s="22">
        <f t="shared" si="19"/>
        <v>0.5</v>
      </c>
      <c r="G32" s="22">
        <f t="shared" si="19"/>
        <v>0.4</v>
      </c>
      <c r="H32" s="22">
        <f t="shared" si="19"/>
        <v>0.5</v>
      </c>
      <c r="I32" s="62">
        <f t="shared" si="19"/>
        <v>0.75</v>
      </c>
      <c r="J32" s="63">
        <f t="shared" si="19"/>
        <v>0.65625</v>
      </c>
      <c r="K32" s="22">
        <f t="shared" si="19"/>
        <v>0.66666666666666663</v>
      </c>
      <c r="L32" s="22">
        <f t="shared" si="19"/>
        <v>0.6</v>
      </c>
      <c r="M32" s="22">
        <f t="shared" si="19"/>
        <v>0.84090909090909094</v>
      </c>
      <c r="N32" s="22">
        <f t="shared" si="19"/>
        <v>0.77083333333333337</v>
      </c>
      <c r="O32" s="22">
        <f t="shared" si="19"/>
        <v>0.71153846153846156</v>
      </c>
      <c r="P32" s="62">
        <f t="shared" si="19"/>
        <v>0.7678571428571429</v>
      </c>
      <c r="Q32" s="63">
        <f t="shared" si="19"/>
        <v>0.93333333333333335</v>
      </c>
      <c r="R32" s="22">
        <f t="shared" si="19"/>
        <v>0.875</v>
      </c>
      <c r="S32" s="22">
        <f t="shared" si="19"/>
        <v>0.82352941176470584</v>
      </c>
      <c r="T32" s="22">
        <f t="shared" si="19"/>
        <v>0.84722222222222221</v>
      </c>
      <c r="U32" s="22">
        <f t="shared" si="19"/>
        <v>0.80263157894736847</v>
      </c>
      <c r="V32" s="22">
        <f t="shared" si="19"/>
        <v>0.76249999999999996</v>
      </c>
      <c r="W32" s="22">
        <f t="shared" si="19"/>
        <v>0.8214285714285714</v>
      </c>
    </row>
    <row r="33" spans="1:23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0.5</v>
      </c>
      <c r="E33" s="22">
        <f t="shared" ref="E33:W33" si="20" xml:space="preserve"> (E$15 + E$27) / E$5</f>
        <v>0.66666666666666663</v>
      </c>
      <c r="F33" s="22">
        <f t="shared" si="20"/>
        <v>0.5</v>
      </c>
      <c r="G33" s="22">
        <f t="shared" si="20"/>
        <v>0.4</v>
      </c>
      <c r="H33" s="22">
        <f t="shared" si="20"/>
        <v>0.5</v>
      </c>
      <c r="I33" s="62">
        <f t="shared" si="20"/>
        <v>0.42857142857142855</v>
      </c>
      <c r="J33" s="63">
        <f t="shared" si="20"/>
        <v>0.375</v>
      </c>
      <c r="K33" s="22">
        <f t="shared" si="20"/>
        <v>0.41666666666666669</v>
      </c>
      <c r="L33" s="22">
        <f t="shared" si="20"/>
        <v>0.375</v>
      </c>
      <c r="M33" s="22">
        <f t="shared" si="20"/>
        <v>0.63636363636363635</v>
      </c>
      <c r="N33" s="22">
        <f t="shared" si="20"/>
        <v>0.58333333333333337</v>
      </c>
      <c r="O33" s="22">
        <f t="shared" si="20"/>
        <v>0.61538461538461542</v>
      </c>
      <c r="P33" s="62">
        <f t="shared" si="20"/>
        <v>0.5714285714285714</v>
      </c>
      <c r="Q33" s="63">
        <f t="shared" si="20"/>
        <v>0.75</v>
      </c>
      <c r="R33" s="22">
        <f t="shared" si="20"/>
        <v>0.703125</v>
      </c>
      <c r="S33" s="22">
        <f t="shared" si="20"/>
        <v>0.66176470588235292</v>
      </c>
      <c r="T33" s="22">
        <f t="shared" si="20"/>
        <v>0.69444444444444442</v>
      </c>
      <c r="U33" s="22">
        <f t="shared" si="20"/>
        <v>0.65789473684210531</v>
      </c>
      <c r="V33" s="22">
        <f t="shared" si="20"/>
        <v>0.67500000000000004</v>
      </c>
      <c r="W33" s="22">
        <f t="shared" si="20"/>
        <v>0.6428571428571429</v>
      </c>
    </row>
    <row r="34" spans="1:23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W34" si="21" xml:space="preserve"> SUM(D30:D33)</f>
        <v>2</v>
      </c>
      <c r="E34" s="21">
        <f t="shared" si="21"/>
        <v>2.6666666666666665</v>
      </c>
      <c r="F34" s="21">
        <f t="shared" si="21"/>
        <v>2</v>
      </c>
      <c r="G34" s="21">
        <f t="shared" si="21"/>
        <v>1.7000000000000002</v>
      </c>
      <c r="H34" s="21">
        <f t="shared" si="21"/>
        <v>1.8333333333333335</v>
      </c>
      <c r="I34" s="60">
        <f t="shared" si="21"/>
        <v>2.464285714285714</v>
      </c>
      <c r="J34" s="61">
        <f t="shared" si="21"/>
        <v>2.15625</v>
      </c>
      <c r="K34" s="21">
        <f t="shared" si="21"/>
        <v>2.25</v>
      </c>
      <c r="L34" s="21">
        <f t="shared" si="21"/>
        <v>2.0249999999999999</v>
      </c>
      <c r="M34" s="21">
        <f t="shared" si="21"/>
        <v>3.0227272727272725</v>
      </c>
      <c r="N34" s="21">
        <f t="shared" si="21"/>
        <v>2.7708333333333335</v>
      </c>
      <c r="O34" s="21">
        <f t="shared" si="21"/>
        <v>2.75</v>
      </c>
      <c r="P34" s="60">
        <f t="shared" si="21"/>
        <v>2.6607142857142856</v>
      </c>
      <c r="Q34" s="61">
        <f t="shared" si="21"/>
        <v>3.35</v>
      </c>
      <c r="R34" s="21">
        <f t="shared" si="21"/>
        <v>3.140625</v>
      </c>
      <c r="S34" s="21">
        <f t="shared" si="21"/>
        <v>2.9558823529411762</v>
      </c>
      <c r="T34" s="21">
        <f t="shared" si="21"/>
        <v>3.0694444444444446</v>
      </c>
      <c r="U34" s="21">
        <f t="shared" si="21"/>
        <v>3.013157894736842</v>
      </c>
      <c r="V34" s="21">
        <f t="shared" si="21"/>
        <v>2.9874999999999998</v>
      </c>
      <c r="W34" s="21">
        <f t="shared" si="21"/>
        <v>2.9404761904761902</v>
      </c>
    </row>
    <row r="35" spans="1:23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</row>
    <row r="36" spans="1:23" ht="15.75" thickBot="1" x14ac:dyDescent="0.3">
      <c r="B36" s="1" t="s">
        <v>44</v>
      </c>
      <c r="C36" s="23">
        <v>1</v>
      </c>
      <c r="D36" s="23">
        <v>2</v>
      </c>
      <c r="E36" s="23">
        <v>3</v>
      </c>
      <c r="F36" s="23" t="s">
        <v>45</v>
      </c>
    </row>
    <row r="37" spans="1:23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4.75</v>
      </c>
      <c r="D37" s="24">
        <f xml:space="preserve"> SUM(J6:P6) + SUM(J18:P18)</f>
        <v>5</v>
      </c>
      <c r="E37" s="24">
        <f xml:space="preserve"> SUM(Q6:W6) + SUM(Q18:W18)</f>
        <v>6.5</v>
      </c>
      <c r="F37" s="24">
        <f xml:space="preserve"> SUM(C37:E37)</f>
        <v>16.25</v>
      </c>
    </row>
    <row r="38" spans="1:23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22" xml:space="preserve"> SUM(C7:I7) + SUM(C19:I19)</f>
        <v>4.25</v>
      </c>
      <c r="D38" s="24">
        <f t="shared" ref="D38:D40" si="23" xml:space="preserve"> SUM(J7:P7) + SUM(J19:P19)</f>
        <v>4.5</v>
      </c>
      <c r="E38" s="24">
        <f t="shared" ref="E38:E40" si="24" xml:space="preserve"> SUM(Q7:W7) + SUM(Q19:W19)</f>
        <v>6</v>
      </c>
      <c r="F38" s="24">
        <f t="shared" ref="F38:F41" si="25" xml:space="preserve"> SUM(C38:E38)</f>
        <v>14.75</v>
      </c>
    </row>
    <row r="39" spans="1:23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22"/>
        <v>5.25</v>
      </c>
      <c r="D39" s="24">
        <f t="shared" si="23"/>
        <v>5.5</v>
      </c>
      <c r="E39" s="24">
        <f t="shared" si="24"/>
        <v>6.5</v>
      </c>
      <c r="F39" s="24">
        <f t="shared" si="25"/>
        <v>17.25</v>
      </c>
    </row>
    <row r="40" spans="1:23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22"/>
        <v>3</v>
      </c>
      <c r="D40" s="24">
        <f t="shared" si="23"/>
        <v>5</v>
      </c>
      <c r="E40" s="24">
        <f t="shared" si="24"/>
        <v>5.5</v>
      </c>
      <c r="F40" s="24">
        <f t="shared" si="25"/>
        <v>13.5</v>
      </c>
    </row>
    <row r="41" spans="1:23" ht="16.5" thickBot="1" x14ac:dyDescent="0.3">
      <c r="A41" s="79"/>
      <c r="B41" s="18" t="s">
        <v>19</v>
      </c>
      <c r="C41" s="21">
        <f xml:space="preserve"> SUM(C37:C40)</f>
        <v>17.25</v>
      </c>
      <c r="D41" s="21">
        <f t="shared" ref="D41:E41" si="26" xml:space="preserve"> SUM(D37:D40)</f>
        <v>20</v>
      </c>
      <c r="E41" s="21">
        <f t="shared" si="26"/>
        <v>24.5</v>
      </c>
      <c r="F41" s="21">
        <f t="shared" si="25"/>
        <v>61.75</v>
      </c>
    </row>
    <row r="42" spans="1:23" ht="15.75" thickBot="1" x14ac:dyDescent="0.3">
      <c r="A42" s="19"/>
    </row>
    <row r="43" spans="1:23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C36</f>
        <v>4.75</v>
      </c>
      <c r="D43" s="24">
        <f xml:space="preserve"> SUM(C37:D37) / D$36</f>
        <v>4.875</v>
      </c>
      <c r="E43" s="24">
        <f xml:space="preserve"> SUM(C37:E37) / E$36</f>
        <v>5.416666666666667</v>
      </c>
    </row>
    <row r="44" spans="1:23" ht="15.75" thickBot="1" x14ac:dyDescent="0.3">
      <c r="A44" s="79"/>
      <c r="B44" s="17" t="str">
        <f xml:space="preserve"> CONCATENATE(Setup!$B$8, ", ", LEFT(Setup!$C$8,2))</f>
        <v>Schroeder, RS</v>
      </c>
      <c r="C44" s="24">
        <f xml:space="preserve"> C38 / C36</f>
        <v>4.25</v>
      </c>
      <c r="D44" s="24">
        <f t="shared" ref="D44:D46" si="27" xml:space="preserve"> SUM(C38:D38) / D$36</f>
        <v>4.375</v>
      </c>
      <c r="E44" s="24">
        <f t="shared" ref="E44:E46" si="28" xml:space="preserve"> SUM(C38:E38) / E$36</f>
        <v>4.916666666666667</v>
      </c>
    </row>
    <row r="45" spans="1:23" ht="15.75" thickBot="1" x14ac:dyDescent="0.3">
      <c r="A45" s="79"/>
      <c r="B45" s="17" t="str">
        <f xml:space="preserve"> CONCATENATE(Setup!$B$9, ", ", LEFT(Setup!$C$9,2))</f>
        <v>Martz, NM</v>
      </c>
      <c r="C45" s="24">
        <f xml:space="preserve"> C39 / C36</f>
        <v>5.25</v>
      </c>
      <c r="D45" s="24">
        <f t="shared" si="27"/>
        <v>5.375</v>
      </c>
      <c r="E45" s="24">
        <f t="shared" si="28"/>
        <v>5.75</v>
      </c>
    </row>
    <row r="46" spans="1:23" ht="15.75" thickBot="1" x14ac:dyDescent="0.3">
      <c r="A46" s="79"/>
      <c r="B46" s="17" t="str">
        <f xml:space="preserve"> CONCATENATE(Setup!$B$10, ", ", LEFT(Setup!$C$10,2))</f>
        <v>Glosecki, MG</v>
      </c>
      <c r="C46" s="24">
        <f xml:space="preserve"> C40 / C36</f>
        <v>3</v>
      </c>
      <c r="D46" s="24">
        <f t="shared" si="27"/>
        <v>4</v>
      </c>
      <c r="E46" s="24">
        <f t="shared" si="28"/>
        <v>4.5</v>
      </c>
    </row>
    <row r="47" spans="1:23" ht="16.5" thickBot="1" x14ac:dyDescent="0.3">
      <c r="A47" s="79"/>
      <c r="B47" s="18" t="s">
        <v>19</v>
      </c>
      <c r="C47" s="21">
        <f xml:space="preserve"> SUM(C43:C46)</f>
        <v>17.25</v>
      </c>
      <c r="D47" s="21">
        <f t="shared" ref="D47:E47" si="29" xml:space="preserve"> SUM(D43:D46)</f>
        <v>18.625</v>
      </c>
      <c r="E47" s="21">
        <f t="shared" si="29"/>
        <v>20.583333333333336</v>
      </c>
    </row>
    <row r="79" spans="18:20" x14ac:dyDescent="0.25">
      <c r="R79" t="s">
        <v>47</v>
      </c>
      <c r="S79">
        <v>50</v>
      </c>
      <c r="T79">
        <v>0</v>
      </c>
    </row>
    <row r="80" spans="18:20" x14ac:dyDescent="0.25">
      <c r="R80" t="s">
        <v>48</v>
      </c>
      <c r="S80" s="24">
        <f>(F41)</f>
        <v>61.75</v>
      </c>
    </row>
    <row r="81" spans="3:24" x14ac:dyDescent="0.25">
      <c r="R81" t="s">
        <v>49</v>
      </c>
      <c r="S81">
        <v>21</v>
      </c>
    </row>
    <row r="82" spans="3:24" x14ac:dyDescent="0.25">
      <c r="R82" t="s">
        <v>50</v>
      </c>
      <c r="S82">
        <f>(50/21)</f>
        <v>2.3809523809523809</v>
      </c>
    </row>
    <row r="85" spans="3:24" x14ac:dyDescent="0.25">
      <c r="C85">
        <v>50</v>
      </c>
      <c r="D85">
        <f>(C85-S82)</f>
        <v>47.61904761904762</v>
      </c>
      <c r="E85">
        <f>(D85-S82)</f>
        <v>45.238095238095241</v>
      </c>
      <c r="F85">
        <f>(E85-S82)</f>
        <v>42.857142857142861</v>
      </c>
      <c r="G85">
        <f>F85-S82</f>
        <v>40.476190476190482</v>
      </c>
      <c r="H85">
        <f>G85-S82</f>
        <v>38.095238095238102</v>
      </c>
      <c r="I85">
        <f>H85-S82</f>
        <v>35.714285714285722</v>
      </c>
      <c r="J85">
        <f>I85-S82</f>
        <v>33.333333333333343</v>
      </c>
      <c r="K85">
        <f>J85-S82</f>
        <v>30.952380952380963</v>
      </c>
      <c r="L85">
        <f>K85-S82</f>
        <v>28.571428571428584</v>
      </c>
      <c r="M85">
        <f>L85-S82</f>
        <v>26.190476190476204</v>
      </c>
      <c r="N85">
        <f>M85-S82</f>
        <v>23.809523809523824</v>
      </c>
      <c r="O85">
        <f>N85-S82</f>
        <v>21.428571428571445</v>
      </c>
      <c r="P85">
        <f>O85-S82</f>
        <v>19.047619047619065</v>
      </c>
      <c r="Q85">
        <f>P85-S82</f>
        <v>16.666666666666686</v>
      </c>
      <c r="R85">
        <f>Q85-S82</f>
        <v>14.285714285714304</v>
      </c>
      <c r="S85">
        <f>R85-S82</f>
        <v>11.904761904761923</v>
      </c>
      <c r="T85">
        <f>S85-S82</f>
        <v>9.5238095238095415</v>
      </c>
      <c r="U85">
        <f>T85-S82</f>
        <v>7.1428571428571601</v>
      </c>
      <c r="V85">
        <f>U85-S82</f>
        <v>4.7619047619047787</v>
      </c>
      <c r="W85">
        <f>V85-S82</f>
        <v>2.3809523809523978</v>
      </c>
      <c r="X85">
        <v>0</v>
      </c>
    </row>
    <row r="86" spans="3:24" x14ac:dyDescent="0.25">
      <c r="C86">
        <v>0</v>
      </c>
      <c r="D86">
        <v>1</v>
      </c>
      <c r="E86">
        <v>2</v>
      </c>
      <c r="F86">
        <v>3</v>
      </c>
      <c r="G86">
        <v>4</v>
      </c>
      <c r="H86">
        <v>5</v>
      </c>
      <c r="I86">
        <v>6</v>
      </c>
      <c r="J86">
        <v>7</v>
      </c>
      <c r="K86">
        <v>8</v>
      </c>
      <c r="L86">
        <v>9</v>
      </c>
      <c r="M86">
        <v>10</v>
      </c>
      <c r="N86">
        <v>11</v>
      </c>
      <c r="O86">
        <v>12</v>
      </c>
      <c r="P86">
        <v>13</v>
      </c>
      <c r="Q86">
        <v>14</v>
      </c>
      <c r="R86">
        <v>15</v>
      </c>
      <c r="S86">
        <v>16</v>
      </c>
      <c r="T86">
        <v>17</v>
      </c>
      <c r="U86">
        <v>18</v>
      </c>
      <c r="V86">
        <v>19</v>
      </c>
      <c r="W86">
        <v>20</v>
      </c>
      <c r="X86">
        <v>21</v>
      </c>
    </row>
    <row r="87" spans="3:24" x14ac:dyDescent="0.25">
      <c r="C87" s="24">
        <f>F41</f>
        <v>61.75</v>
      </c>
      <c r="D87" s="24">
        <f>C87</f>
        <v>61.75</v>
      </c>
      <c r="E87" s="24">
        <f t="shared" ref="E87:X87" si="30">D87-D10-D22</f>
        <v>57.75</v>
      </c>
      <c r="F87" s="24">
        <f t="shared" si="30"/>
        <v>53.75</v>
      </c>
      <c r="G87" s="24">
        <f t="shared" si="30"/>
        <v>53.75</v>
      </c>
      <c r="H87" s="24">
        <f t="shared" si="30"/>
        <v>53.25</v>
      </c>
      <c r="I87" s="24">
        <f t="shared" si="30"/>
        <v>50.75</v>
      </c>
      <c r="J87" s="24">
        <f t="shared" si="30"/>
        <v>44.5</v>
      </c>
      <c r="K87" s="24">
        <f t="shared" si="30"/>
        <v>44.5</v>
      </c>
      <c r="L87" s="24">
        <f t="shared" si="30"/>
        <v>41.5</v>
      </c>
      <c r="M87" s="24">
        <f t="shared" si="30"/>
        <v>41.5</v>
      </c>
      <c r="N87" s="24">
        <f t="shared" si="30"/>
        <v>28.5</v>
      </c>
      <c r="O87" s="24">
        <f t="shared" si="30"/>
        <v>28.5</v>
      </c>
      <c r="P87" s="24">
        <f t="shared" si="30"/>
        <v>26</v>
      </c>
      <c r="Q87" s="24">
        <f t="shared" si="30"/>
        <v>24.5</v>
      </c>
      <c r="R87" s="24">
        <f t="shared" si="30"/>
        <v>11.5</v>
      </c>
      <c r="S87" s="24">
        <f t="shared" si="30"/>
        <v>11.5</v>
      </c>
      <c r="T87" s="24">
        <f t="shared" si="30"/>
        <v>11.5</v>
      </c>
      <c r="U87" s="24">
        <f t="shared" si="30"/>
        <v>6.5</v>
      </c>
      <c r="V87" s="24">
        <f t="shared" si="30"/>
        <v>4.5</v>
      </c>
      <c r="W87" s="24">
        <f t="shared" si="30"/>
        <v>2</v>
      </c>
      <c r="X87" s="24">
        <f t="shared" si="30"/>
        <v>0</v>
      </c>
    </row>
  </sheetData>
  <mergeCells count="10">
    <mergeCell ref="A37:A41"/>
    <mergeCell ref="A43:A47"/>
    <mergeCell ref="C3:I3"/>
    <mergeCell ref="J3:P3"/>
    <mergeCell ref="Q3:W3"/>
    <mergeCell ref="A6:A10"/>
    <mergeCell ref="A30:A34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88"/>
  <sheetViews>
    <sheetView topLeftCell="A73" zoomScale="115" zoomScaleNormal="115" workbookViewId="0">
      <selection activeCell="C4" sqref="C4"/>
    </sheetView>
  </sheetViews>
  <sheetFormatPr defaultRowHeight="15" x14ac:dyDescent="0.25"/>
  <cols>
    <col min="1" max="1" width="9.140625" style="6" customWidth="1"/>
    <col min="2" max="2" width="15.7109375" customWidth="1"/>
    <col min="17" max="17" width="13.85546875" bestFit="1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1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4">
        <f t="shared" si="0"/>
        <v>42281</v>
      </c>
      <c r="J4" s="55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4">
        <f t="shared" si="0"/>
        <v>42288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3.25</v>
      </c>
      <c r="D6" s="33">
        <v>0.5</v>
      </c>
      <c r="E6" s="33">
        <v>0</v>
      </c>
      <c r="F6" s="33">
        <v>1.25</v>
      </c>
      <c r="G6" s="33">
        <v>0</v>
      </c>
      <c r="H6" s="33">
        <v>0</v>
      </c>
      <c r="I6" s="33">
        <v>1.5</v>
      </c>
      <c r="J6" s="59">
        <v>0</v>
      </c>
      <c r="K6" s="32">
        <v>2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3.25</v>
      </c>
      <c r="D7" s="33">
        <v>0.5</v>
      </c>
      <c r="E7" s="33">
        <v>0</v>
      </c>
      <c r="F7" s="33">
        <v>1.25</v>
      </c>
      <c r="G7" s="33">
        <v>1.5</v>
      </c>
      <c r="H7" s="33">
        <v>0</v>
      </c>
      <c r="I7" s="33">
        <v>0</v>
      </c>
      <c r="J7" s="59">
        <v>0</v>
      </c>
      <c r="K7" s="32">
        <v>2.75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3.25</v>
      </c>
      <c r="D8" s="33">
        <v>0.5</v>
      </c>
      <c r="E8" s="33">
        <v>0</v>
      </c>
      <c r="F8" s="33">
        <v>2.75</v>
      </c>
      <c r="G8" s="33">
        <v>0.5</v>
      </c>
      <c r="H8" s="33">
        <v>0</v>
      </c>
      <c r="I8" s="33">
        <v>0</v>
      </c>
      <c r="J8" s="59">
        <v>0.5</v>
      </c>
      <c r="K8" s="32">
        <v>2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3.25</v>
      </c>
      <c r="D9" s="33">
        <v>0.5</v>
      </c>
      <c r="E9" s="33">
        <v>0</v>
      </c>
      <c r="F9" s="33">
        <v>1.25</v>
      </c>
      <c r="G9" s="33">
        <v>0</v>
      </c>
      <c r="H9" s="33">
        <v>0</v>
      </c>
      <c r="I9" s="33">
        <v>0</v>
      </c>
      <c r="J9" s="59">
        <v>0</v>
      </c>
      <c r="K9" s="32">
        <v>2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13</v>
      </c>
      <c r="D10" s="21">
        <f t="shared" ref="D10:P10" si="1" xml:space="preserve"> SUM(D6:D9)</f>
        <v>2</v>
      </c>
      <c r="E10" s="21">
        <f t="shared" si="1"/>
        <v>0</v>
      </c>
      <c r="F10" s="21">
        <f t="shared" si="1"/>
        <v>6.5</v>
      </c>
      <c r="G10" s="21">
        <f t="shared" si="1"/>
        <v>2</v>
      </c>
      <c r="H10" s="21">
        <f t="shared" si="1"/>
        <v>0</v>
      </c>
      <c r="I10" s="60">
        <f t="shared" si="1"/>
        <v>1.5</v>
      </c>
      <c r="J10" s="61">
        <f t="shared" si="1"/>
        <v>0.5</v>
      </c>
      <c r="K10" s="21">
        <f t="shared" si="1"/>
        <v>8.75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3.25</v>
      </c>
      <c r="D12" s="22">
        <f t="shared" ref="D12:P12" si="2" xml:space="preserve"> C$12 + D$6</f>
        <v>3.75</v>
      </c>
      <c r="E12" s="22">
        <f t="shared" si="2"/>
        <v>3.75</v>
      </c>
      <c r="F12" s="22">
        <f t="shared" si="2"/>
        <v>5</v>
      </c>
      <c r="G12" s="22">
        <f t="shared" si="2"/>
        <v>5</v>
      </c>
      <c r="H12" s="22">
        <f t="shared" si="2"/>
        <v>5</v>
      </c>
      <c r="I12" s="62">
        <f t="shared" si="2"/>
        <v>6.5</v>
      </c>
      <c r="J12" s="63">
        <f t="shared" si="2"/>
        <v>6.5</v>
      </c>
      <c r="K12" s="22">
        <f t="shared" si="2"/>
        <v>8.5</v>
      </c>
      <c r="L12" s="22">
        <f t="shared" si="2"/>
        <v>8.5</v>
      </c>
      <c r="M12" s="22">
        <f t="shared" si="2"/>
        <v>8.5</v>
      </c>
      <c r="N12" s="22">
        <f t="shared" si="2"/>
        <v>8.5</v>
      </c>
      <c r="O12" s="22">
        <f t="shared" si="2"/>
        <v>8.5</v>
      </c>
      <c r="P12" s="62">
        <f t="shared" si="2"/>
        <v>8.5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3.25</v>
      </c>
      <c r="D13" s="22">
        <f t="shared" ref="D13:P13" si="3" xml:space="preserve"> C$13 + D$7</f>
        <v>3.75</v>
      </c>
      <c r="E13" s="22">
        <f t="shared" si="3"/>
        <v>3.75</v>
      </c>
      <c r="F13" s="22">
        <f t="shared" si="3"/>
        <v>5</v>
      </c>
      <c r="G13" s="22">
        <f t="shared" si="3"/>
        <v>6.5</v>
      </c>
      <c r="H13" s="22">
        <f t="shared" si="3"/>
        <v>6.5</v>
      </c>
      <c r="I13" s="62">
        <f t="shared" si="3"/>
        <v>6.5</v>
      </c>
      <c r="J13" s="63">
        <f t="shared" si="3"/>
        <v>6.5</v>
      </c>
      <c r="K13" s="22">
        <f t="shared" si="3"/>
        <v>9.25</v>
      </c>
      <c r="L13" s="22">
        <f t="shared" si="3"/>
        <v>9.25</v>
      </c>
      <c r="M13" s="22">
        <f t="shared" si="3"/>
        <v>9.25</v>
      </c>
      <c r="N13" s="22">
        <f t="shared" si="3"/>
        <v>9.25</v>
      </c>
      <c r="O13" s="22">
        <f t="shared" si="3"/>
        <v>9.25</v>
      </c>
      <c r="P13" s="62">
        <f t="shared" si="3"/>
        <v>9.25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3.25</v>
      </c>
      <c r="D14" s="22">
        <f t="shared" ref="D14:P14" si="4" xml:space="preserve"> C$14 + D$8</f>
        <v>3.75</v>
      </c>
      <c r="E14" s="22">
        <f t="shared" si="4"/>
        <v>3.75</v>
      </c>
      <c r="F14" s="22">
        <f t="shared" si="4"/>
        <v>6.5</v>
      </c>
      <c r="G14" s="22">
        <f t="shared" si="4"/>
        <v>7</v>
      </c>
      <c r="H14" s="22">
        <f t="shared" si="4"/>
        <v>7</v>
      </c>
      <c r="I14" s="62">
        <f t="shared" si="4"/>
        <v>7</v>
      </c>
      <c r="J14" s="63">
        <f t="shared" si="4"/>
        <v>7.5</v>
      </c>
      <c r="K14" s="22">
        <f t="shared" si="4"/>
        <v>9.5</v>
      </c>
      <c r="L14" s="22">
        <f t="shared" si="4"/>
        <v>9.5</v>
      </c>
      <c r="M14" s="22">
        <f t="shared" si="4"/>
        <v>9.5</v>
      </c>
      <c r="N14" s="22">
        <f t="shared" si="4"/>
        <v>9.5</v>
      </c>
      <c r="O14" s="22">
        <f t="shared" si="4"/>
        <v>9.5</v>
      </c>
      <c r="P14" s="62">
        <f t="shared" si="4"/>
        <v>9.5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3.25</v>
      </c>
      <c r="D15" s="22">
        <f t="shared" ref="D15:P15" si="5" xml:space="preserve"> C$15 + D$9</f>
        <v>3.75</v>
      </c>
      <c r="E15" s="22">
        <f t="shared" si="5"/>
        <v>3.75</v>
      </c>
      <c r="F15" s="22">
        <f t="shared" si="5"/>
        <v>5</v>
      </c>
      <c r="G15" s="22">
        <f t="shared" si="5"/>
        <v>5</v>
      </c>
      <c r="H15" s="22">
        <f t="shared" si="5"/>
        <v>5</v>
      </c>
      <c r="I15" s="62">
        <f t="shared" si="5"/>
        <v>5</v>
      </c>
      <c r="J15" s="63">
        <f t="shared" si="5"/>
        <v>5</v>
      </c>
      <c r="K15" s="22">
        <f t="shared" si="5"/>
        <v>7</v>
      </c>
      <c r="L15" s="22">
        <f t="shared" si="5"/>
        <v>7</v>
      </c>
      <c r="M15" s="22">
        <f t="shared" si="5"/>
        <v>7</v>
      </c>
      <c r="N15" s="22">
        <f t="shared" si="5"/>
        <v>7</v>
      </c>
      <c r="O15" s="22">
        <f t="shared" si="5"/>
        <v>7</v>
      </c>
      <c r="P15" s="62">
        <f t="shared" si="5"/>
        <v>7</v>
      </c>
    </row>
    <row r="16" spans="1:16" ht="16.5" thickBot="1" x14ac:dyDescent="0.3">
      <c r="A16" s="85"/>
      <c r="B16" s="18" t="s">
        <v>19</v>
      </c>
      <c r="C16" s="21">
        <f xml:space="preserve"> SUM(C12:C15)</f>
        <v>13</v>
      </c>
      <c r="D16" s="21">
        <f t="shared" ref="D16:P16" si="6" xml:space="preserve"> SUM(D12:D15)</f>
        <v>15</v>
      </c>
      <c r="E16" s="21">
        <f t="shared" si="6"/>
        <v>15</v>
      </c>
      <c r="F16" s="21">
        <f t="shared" si="6"/>
        <v>21.5</v>
      </c>
      <c r="G16" s="21">
        <f t="shared" si="6"/>
        <v>23.5</v>
      </c>
      <c r="H16" s="21">
        <f t="shared" si="6"/>
        <v>23.5</v>
      </c>
      <c r="I16" s="60">
        <f t="shared" si="6"/>
        <v>25</v>
      </c>
      <c r="J16" s="61">
        <f t="shared" si="6"/>
        <v>25.5</v>
      </c>
      <c r="K16" s="21">
        <f t="shared" si="6"/>
        <v>34.25</v>
      </c>
      <c r="L16" s="21">
        <f t="shared" si="6"/>
        <v>34.25</v>
      </c>
      <c r="M16" s="21">
        <f t="shared" si="6"/>
        <v>34.25</v>
      </c>
      <c r="N16" s="21">
        <f t="shared" si="6"/>
        <v>34.25</v>
      </c>
      <c r="O16" s="21">
        <f t="shared" si="6"/>
        <v>34.25</v>
      </c>
      <c r="P16" s="60">
        <f t="shared" si="6"/>
        <v>34.25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3.25</v>
      </c>
      <c r="D30" s="22">
        <f xml:space="preserve"> (D$12 + D$24) / D$5</f>
        <v>1.875</v>
      </c>
      <c r="E30" s="22">
        <f t="shared" ref="E30:P30" si="13" xml:space="preserve"> (E$12 + E$24) / E$5</f>
        <v>1.25</v>
      </c>
      <c r="F30" s="22">
        <f t="shared" si="13"/>
        <v>1.25</v>
      </c>
      <c r="G30" s="22">
        <f t="shared" si="13"/>
        <v>1</v>
      </c>
      <c r="H30" s="22">
        <f t="shared" si="13"/>
        <v>0.83333333333333337</v>
      </c>
      <c r="I30" s="62">
        <f t="shared" si="13"/>
        <v>0.9285714285714286</v>
      </c>
      <c r="J30" s="63">
        <f t="shared" si="13"/>
        <v>0.8125</v>
      </c>
      <c r="K30" s="22">
        <f t="shared" si="13"/>
        <v>0.94444444444444442</v>
      </c>
      <c r="L30" s="22">
        <f t="shared" si="13"/>
        <v>0.85</v>
      </c>
      <c r="M30" s="22">
        <f t="shared" si="13"/>
        <v>0.77272727272727271</v>
      </c>
      <c r="N30" s="22">
        <f t="shared" si="13"/>
        <v>0.70833333333333337</v>
      </c>
      <c r="O30" s="22">
        <f t="shared" si="13"/>
        <v>0.65384615384615385</v>
      </c>
      <c r="P30" s="62">
        <f t="shared" si="13"/>
        <v>0.6071428571428571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3.25</v>
      </c>
      <c r="D31" s="22">
        <f xml:space="preserve"> (D$13 + D$25) / D$5</f>
        <v>1.875</v>
      </c>
      <c r="E31" s="22">
        <f t="shared" ref="E31:P31" si="14" xml:space="preserve"> (E$13 + E$25) / E$5</f>
        <v>1.25</v>
      </c>
      <c r="F31" s="22">
        <f t="shared" si="14"/>
        <v>1.25</v>
      </c>
      <c r="G31" s="22">
        <f t="shared" si="14"/>
        <v>1.3</v>
      </c>
      <c r="H31" s="22">
        <f t="shared" si="14"/>
        <v>1.0833333333333333</v>
      </c>
      <c r="I31" s="62">
        <f t="shared" si="14"/>
        <v>0.9285714285714286</v>
      </c>
      <c r="J31" s="63">
        <f t="shared" si="14"/>
        <v>0.8125</v>
      </c>
      <c r="K31" s="22">
        <f t="shared" si="14"/>
        <v>1.0277777777777777</v>
      </c>
      <c r="L31" s="22">
        <f t="shared" si="14"/>
        <v>0.92500000000000004</v>
      </c>
      <c r="M31" s="22">
        <f t="shared" si="14"/>
        <v>0.84090909090909094</v>
      </c>
      <c r="N31" s="22">
        <f t="shared" si="14"/>
        <v>0.77083333333333337</v>
      </c>
      <c r="O31" s="22">
        <f t="shared" si="14"/>
        <v>0.71153846153846156</v>
      </c>
      <c r="P31" s="62">
        <f t="shared" si="14"/>
        <v>0.6607142857142857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3.25</v>
      </c>
      <c r="D32" s="22">
        <f xml:space="preserve"> (D$14 + D$26) / D$5</f>
        <v>1.875</v>
      </c>
      <c r="E32" s="22">
        <f t="shared" ref="E32:P32" si="15" xml:space="preserve"> (E$14 + E$26) / E$5</f>
        <v>1.25</v>
      </c>
      <c r="F32" s="22">
        <f t="shared" si="15"/>
        <v>1.625</v>
      </c>
      <c r="G32" s="22">
        <f t="shared" si="15"/>
        <v>1.4</v>
      </c>
      <c r="H32" s="22">
        <f t="shared" si="15"/>
        <v>1.1666666666666667</v>
      </c>
      <c r="I32" s="62">
        <f t="shared" si="15"/>
        <v>1</v>
      </c>
      <c r="J32" s="63">
        <f t="shared" si="15"/>
        <v>0.9375</v>
      </c>
      <c r="K32" s="22">
        <f t="shared" si="15"/>
        <v>1.0555555555555556</v>
      </c>
      <c r="L32" s="22">
        <f t="shared" si="15"/>
        <v>0.95</v>
      </c>
      <c r="M32" s="22">
        <f t="shared" si="15"/>
        <v>0.86363636363636365</v>
      </c>
      <c r="N32" s="22">
        <f t="shared" si="15"/>
        <v>0.79166666666666663</v>
      </c>
      <c r="O32" s="22">
        <f t="shared" si="15"/>
        <v>0.73076923076923073</v>
      </c>
      <c r="P32" s="62">
        <f t="shared" si="15"/>
        <v>0.6785714285714286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3.25</v>
      </c>
      <c r="D33" s="22">
        <f xml:space="preserve"> (D$15 + D$27) / D$5</f>
        <v>1.875</v>
      </c>
      <c r="E33" s="22">
        <f t="shared" ref="E33:P33" si="16" xml:space="preserve"> (E$15 + E$27) / E$5</f>
        <v>1.25</v>
      </c>
      <c r="F33" s="22">
        <f t="shared" si="16"/>
        <v>1.25</v>
      </c>
      <c r="G33" s="22">
        <f t="shared" si="16"/>
        <v>1</v>
      </c>
      <c r="H33" s="22">
        <f t="shared" si="16"/>
        <v>0.83333333333333337</v>
      </c>
      <c r="I33" s="62">
        <f t="shared" si="16"/>
        <v>0.7142857142857143</v>
      </c>
      <c r="J33" s="63">
        <f t="shared" si="16"/>
        <v>0.625</v>
      </c>
      <c r="K33" s="22">
        <f t="shared" si="16"/>
        <v>0.77777777777777779</v>
      </c>
      <c r="L33" s="22">
        <f t="shared" si="16"/>
        <v>0.7</v>
      </c>
      <c r="M33" s="22">
        <f t="shared" si="16"/>
        <v>0.63636363636363635</v>
      </c>
      <c r="N33" s="22">
        <f t="shared" si="16"/>
        <v>0.58333333333333337</v>
      </c>
      <c r="O33" s="22">
        <f t="shared" si="16"/>
        <v>0.53846153846153844</v>
      </c>
      <c r="P33" s="62">
        <f t="shared" si="16"/>
        <v>0.5</v>
      </c>
    </row>
    <row r="34" spans="1:16" ht="16.5" thickBot="1" x14ac:dyDescent="0.3">
      <c r="A34" s="79"/>
      <c r="B34" s="18" t="s">
        <v>19</v>
      </c>
      <c r="C34" s="21">
        <f xml:space="preserve"> SUM(C30:C33)</f>
        <v>13</v>
      </c>
      <c r="D34" s="21">
        <f t="shared" ref="D34:P34" si="17" xml:space="preserve"> SUM(D30:D33)</f>
        <v>7.5</v>
      </c>
      <c r="E34" s="21">
        <f t="shared" si="17"/>
        <v>5</v>
      </c>
      <c r="F34" s="21">
        <f t="shared" si="17"/>
        <v>5.375</v>
      </c>
      <c r="G34" s="21">
        <f t="shared" si="17"/>
        <v>4.6999999999999993</v>
      </c>
      <c r="H34" s="21">
        <f t="shared" si="17"/>
        <v>3.9166666666666665</v>
      </c>
      <c r="I34" s="60">
        <f t="shared" si="17"/>
        <v>3.5714285714285716</v>
      </c>
      <c r="J34" s="61">
        <f t="shared" si="17"/>
        <v>3.1875</v>
      </c>
      <c r="K34" s="21">
        <f t="shared" si="17"/>
        <v>3.8055555555555554</v>
      </c>
      <c r="L34" s="21">
        <f t="shared" si="17"/>
        <v>3.4249999999999998</v>
      </c>
      <c r="M34" s="21">
        <f t="shared" si="17"/>
        <v>3.1136363636363638</v>
      </c>
      <c r="N34" s="21">
        <f t="shared" si="17"/>
        <v>2.854166666666667</v>
      </c>
      <c r="O34" s="21">
        <f t="shared" si="17"/>
        <v>2.6346153846153846</v>
      </c>
      <c r="P34" s="60">
        <f t="shared" si="17"/>
        <v>2.4464285714285712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6.5</v>
      </c>
      <c r="D37" s="24">
        <f xml:space="preserve"> SUM(J6:P6) + SUM(J18:P18)</f>
        <v>2</v>
      </c>
      <c r="E37" s="24">
        <f xml:space="preserve"> SUM(C37:D37)</f>
        <v>8.5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6.5</v>
      </c>
      <c r="D38" s="24">
        <f t="shared" ref="D38:D40" si="19" xml:space="preserve"> SUM(J7:P7) + SUM(J19:P19)</f>
        <v>2.75</v>
      </c>
      <c r="E38" s="24">
        <f xml:space="preserve"> SUM(C38:D38)</f>
        <v>9.25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7</v>
      </c>
      <c r="D39" s="24">
        <f t="shared" si="19"/>
        <v>2.5</v>
      </c>
      <c r="E39" s="24">
        <f xml:space="preserve"> SUM(C39:D39)</f>
        <v>9.5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5</v>
      </c>
      <c r="D40" s="24">
        <f t="shared" si="19"/>
        <v>2</v>
      </c>
      <c r="E40" s="24">
        <f xml:space="preserve"> SUM(C40:D40)</f>
        <v>7</v>
      </c>
    </row>
    <row r="41" spans="1:16" ht="16.5" thickBot="1" x14ac:dyDescent="0.3">
      <c r="A41" s="79"/>
      <c r="B41" s="18" t="s">
        <v>19</v>
      </c>
      <c r="C41" s="21">
        <f xml:space="preserve"> SUM(C37:C40)</f>
        <v>25</v>
      </c>
      <c r="D41" s="21">
        <f t="shared" ref="D41" si="20" xml:space="preserve"> SUM(D37:D40)</f>
        <v>9.25</v>
      </c>
      <c r="E41" s="21">
        <f xml:space="preserve"> SUM(C41:D41)</f>
        <v>34.25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6.5</v>
      </c>
      <c r="D43" s="24">
        <f xml:space="preserve"> SUM(C37:D37) / D$36</f>
        <v>4.25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6.5</v>
      </c>
      <c r="D44" s="24">
        <f t="shared" ref="D44:D46" si="22" xml:space="preserve"> SUM(C38:D38) / D$36</f>
        <v>4.625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7</v>
      </c>
      <c r="D45" s="24">
        <f t="shared" si="22"/>
        <v>4.75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5</v>
      </c>
      <c r="D46" s="24">
        <f t="shared" si="22"/>
        <v>3.5</v>
      </c>
    </row>
    <row r="47" spans="1:16" ht="16.5" thickBot="1" x14ac:dyDescent="0.3">
      <c r="A47" s="79"/>
      <c r="B47" s="18" t="s">
        <v>19</v>
      </c>
      <c r="C47" s="21">
        <f xml:space="preserve"> SUM(C43:C46)</f>
        <v>25</v>
      </c>
      <c r="D47" s="21">
        <f t="shared" ref="D47" si="23" xml:space="preserve"> SUM(D43:D46)</f>
        <v>17.125</v>
      </c>
    </row>
    <row r="83" spans="2:17" x14ac:dyDescent="0.25">
      <c r="B83" t="s">
        <v>51</v>
      </c>
      <c r="C83">
        <f>C84/14</f>
        <v>2.7142857142857144</v>
      </c>
    </row>
    <row r="84" spans="2:17" x14ac:dyDescent="0.25">
      <c r="B84" t="s">
        <v>52</v>
      </c>
      <c r="C84">
        <v>38</v>
      </c>
    </row>
    <row r="85" spans="2:17" x14ac:dyDescent="0.25">
      <c r="B85" t="s">
        <v>49</v>
      </c>
      <c r="C85">
        <v>0</v>
      </c>
      <c r="D85">
        <v>1</v>
      </c>
      <c r="E85">
        <v>2</v>
      </c>
      <c r="F85">
        <v>3</v>
      </c>
      <c r="G85">
        <v>4</v>
      </c>
      <c r="H85">
        <v>5</v>
      </c>
      <c r="I85">
        <v>6</v>
      </c>
      <c r="J85">
        <v>7</v>
      </c>
      <c r="K85">
        <v>8</v>
      </c>
      <c r="L85">
        <v>9</v>
      </c>
      <c r="M85">
        <v>10</v>
      </c>
      <c r="N85">
        <v>11</v>
      </c>
      <c r="O85">
        <v>12</v>
      </c>
      <c r="P85">
        <v>13</v>
      </c>
      <c r="Q85">
        <v>14</v>
      </c>
    </row>
    <row r="86" spans="2:17" x14ac:dyDescent="0.25">
      <c r="B86" t="s">
        <v>53</v>
      </c>
      <c r="C86">
        <f>C84</f>
        <v>38</v>
      </c>
      <c r="D86">
        <f>C86-C83</f>
        <v>35.285714285714285</v>
      </c>
      <c r="E86">
        <f>D86-C83</f>
        <v>32.571428571428569</v>
      </c>
      <c r="F86">
        <f>E86-C83</f>
        <v>29.857142857142854</v>
      </c>
      <c r="G86">
        <f>F86-C83</f>
        <v>27.142857142857139</v>
      </c>
      <c r="H86">
        <f>G86-C83</f>
        <v>24.428571428571423</v>
      </c>
      <c r="I86">
        <f>H86-C83</f>
        <v>21.714285714285708</v>
      </c>
      <c r="J86">
        <f>I86-C83</f>
        <v>18.999999999999993</v>
      </c>
      <c r="K86">
        <f>J86-C83</f>
        <v>16.285714285714278</v>
      </c>
      <c r="L86">
        <f>K86-C83</f>
        <v>13.571428571428562</v>
      </c>
      <c r="M86">
        <f>L86-C83</f>
        <v>10.857142857142847</v>
      </c>
      <c r="N86">
        <f>M86-C83</f>
        <v>8.1428571428571317</v>
      </c>
      <c r="O86">
        <f>N86-C83</f>
        <v>5.4285714285714173</v>
      </c>
      <c r="P86">
        <f>O86-C83</f>
        <v>2.7142857142857029</v>
      </c>
      <c r="Q86">
        <v>0</v>
      </c>
    </row>
    <row r="87" spans="2:17" x14ac:dyDescent="0.25">
      <c r="B87" t="s">
        <v>54</v>
      </c>
      <c r="C87" s="24">
        <f>E41</f>
        <v>34.25</v>
      </c>
    </row>
    <row r="88" spans="2:17" x14ac:dyDescent="0.25">
      <c r="B88" t="s">
        <v>55</v>
      </c>
      <c r="C88" s="24">
        <f>C87</f>
        <v>34.25</v>
      </c>
      <c r="D88" s="24">
        <f t="shared" ref="D88:Q88" si="24">C88-C10-C22</f>
        <v>21.25</v>
      </c>
      <c r="E88" s="24">
        <f t="shared" si="24"/>
        <v>19.25</v>
      </c>
      <c r="F88" s="24">
        <f t="shared" si="24"/>
        <v>19.25</v>
      </c>
      <c r="G88" s="24">
        <f t="shared" si="24"/>
        <v>12.75</v>
      </c>
      <c r="H88" s="24">
        <f t="shared" si="24"/>
        <v>10.75</v>
      </c>
      <c r="I88" s="24">
        <f t="shared" si="24"/>
        <v>10.75</v>
      </c>
      <c r="J88" s="24">
        <f t="shared" si="24"/>
        <v>9.25</v>
      </c>
      <c r="K88" s="24">
        <f t="shared" si="24"/>
        <v>8.75</v>
      </c>
      <c r="L88" s="24">
        <f t="shared" si="24"/>
        <v>0</v>
      </c>
      <c r="M88" s="24">
        <f t="shared" si="24"/>
        <v>0</v>
      </c>
      <c r="N88" s="24">
        <f t="shared" si="24"/>
        <v>0</v>
      </c>
      <c r="O88" s="24">
        <f t="shared" si="24"/>
        <v>0</v>
      </c>
      <c r="P88" s="24">
        <f t="shared" si="24"/>
        <v>0</v>
      </c>
      <c r="Q88" s="24">
        <f t="shared" si="24"/>
        <v>0</v>
      </c>
    </row>
  </sheetData>
  <mergeCells count="9">
    <mergeCell ref="A37:A41"/>
    <mergeCell ref="A43:A47"/>
    <mergeCell ref="A24:A28"/>
    <mergeCell ref="C3:I3"/>
    <mergeCell ref="J3:P3"/>
    <mergeCell ref="A6:A10"/>
    <mergeCell ref="A12:A16"/>
    <mergeCell ref="A18:A22"/>
    <mergeCell ref="A30:A34"/>
  </mergeCells>
  <pageMargins left="0.7" right="0.7" top="0.75" bottom="0.75" header="0.3" footer="0.3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topLeftCell="A82" zoomScale="115" zoomScaleNormal="115" workbookViewId="0">
      <selection activeCell="H112" sqref="H112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2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Setup!$B$3 + 35</f>
        <v>42289</v>
      </c>
      <c r="D4" s="15">
        <f xml:space="preserve"> C$4 + 1</f>
        <v>42290</v>
      </c>
      <c r="E4" s="15">
        <f t="shared" ref="E4:P4" si="0" xml:space="preserve"> D$4 + 1</f>
        <v>42291</v>
      </c>
      <c r="F4" s="15">
        <f t="shared" si="0"/>
        <v>42292</v>
      </c>
      <c r="G4" s="15">
        <f t="shared" si="0"/>
        <v>42293</v>
      </c>
      <c r="H4" s="15">
        <f t="shared" si="0"/>
        <v>42294</v>
      </c>
      <c r="I4" s="54">
        <f t="shared" si="0"/>
        <v>42295</v>
      </c>
      <c r="J4" s="55">
        <f t="shared" si="0"/>
        <v>42296</v>
      </c>
      <c r="K4" s="15">
        <f t="shared" si="0"/>
        <v>42297</v>
      </c>
      <c r="L4" s="15">
        <f t="shared" si="0"/>
        <v>42298</v>
      </c>
      <c r="M4" s="15">
        <f t="shared" si="0"/>
        <v>42299</v>
      </c>
      <c r="N4" s="15">
        <f t="shared" si="0"/>
        <v>42300</v>
      </c>
      <c r="O4" s="15">
        <f t="shared" si="0"/>
        <v>42301</v>
      </c>
      <c r="P4" s="54">
        <f t="shared" si="0"/>
        <v>42302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3</v>
      </c>
      <c r="E6" s="33">
        <v>0</v>
      </c>
      <c r="F6" s="33">
        <v>0</v>
      </c>
      <c r="G6" s="33">
        <v>3</v>
      </c>
      <c r="H6" s="33">
        <v>0</v>
      </c>
      <c r="I6" s="33">
        <v>0</v>
      </c>
      <c r="J6" s="59">
        <v>1.75</v>
      </c>
      <c r="K6" s="32">
        <v>3</v>
      </c>
      <c r="L6" s="32">
        <v>0</v>
      </c>
      <c r="M6" s="32">
        <v>3.25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3</v>
      </c>
      <c r="E7" s="33">
        <v>0</v>
      </c>
      <c r="F7" s="33">
        <v>0</v>
      </c>
      <c r="G7" s="33">
        <v>0</v>
      </c>
      <c r="H7" s="33">
        <v>3</v>
      </c>
      <c r="I7" s="33">
        <v>0</v>
      </c>
      <c r="J7" s="59">
        <v>1.75</v>
      </c>
      <c r="K7" s="32">
        <v>3</v>
      </c>
      <c r="L7" s="32">
        <v>0</v>
      </c>
      <c r="M7" s="32">
        <v>3.25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3</v>
      </c>
      <c r="E8" s="33">
        <v>0</v>
      </c>
      <c r="F8" s="33">
        <v>3</v>
      </c>
      <c r="G8" s="33">
        <v>0</v>
      </c>
      <c r="H8" s="33">
        <v>2</v>
      </c>
      <c r="I8" s="33">
        <v>3</v>
      </c>
      <c r="J8" s="59">
        <v>0</v>
      </c>
      <c r="K8" s="32">
        <v>3</v>
      </c>
      <c r="L8" s="32">
        <v>0</v>
      </c>
      <c r="M8" s="32">
        <v>3.25</v>
      </c>
      <c r="N8" s="32">
        <v>0</v>
      </c>
      <c r="O8" s="32">
        <v>0</v>
      </c>
      <c r="P8" s="58">
        <v>3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3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3</v>
      </c>
      <c r="L9" s="32">
        <v>0</v>
      </c>
      <c r="M9" s="32">
        <v>3.25</v>
      </c>
      <c r="N9" s="32">
        <v>0</v>
      </c>
      <c r="O9" s="32">
        <v>3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12</v>
      </c>
      <c r="E10" s="21">
        <f t="shared" si="1"/>
        <v>0</v>
      </c>
      <c r="F10" s="21">
        <f t="shared" si="1"/>
        <v>3</v>
      </c>
      <c r="G10" s="21">
        <f t="shared" si="1"/>
        <v>3</v>
      </c>
      <c r="H10" s="21">
        <f t="shared" si="1"/>
        <v>5</v>
      </c>
      <c r="I10" s="60">
        <f t="shared" si="1"/>
        <v>3</v>
      </c>
      <c r="J10" s="61">
        <f t="shared" si="1"/>
        <v>3.5</v>
      </c>
      <c r="K10" s="21">
        <f t="shared" si="1"/>
        <v>12</v>
      </c>
      <c r="L10" s="21">
        <f t="shared" si="1"/>
        <v>0</v>
      </c>
      <c r="M10" s="21">
        <f t="shared" si="1"/>
        <v>13</v>
      </c>
      <c r="N10" s="21">
        <f t="shared" si="1"/>
        <v>0</v>
      </c>
      <c r="O10" s="21">
        <f t="shared" si="1"/>
        <v>3</v>
      </c>
      <c r="P10" s="60">
        <f t="shared" si="1"/>
        <v>3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3</v>
      </c>
      <c r="E12" s="22">
        <f t="shared" si="2"/>
        <v>3</v>
      </c>
      <c r="F12" s="22">
        <f t="shared" si="2"/>
        <v>3</v>
      </c>
      <c r="G12" s="22">
        <f t="shared" si="2"/>
        <v>6</v>
      </c>
      <c r="H12" s="22">
        <f t="shared" si="2"/>
        <v>6</v>
      </c>
      <c r="I12" s="62">
        <f t="shared" si="2"/>
        <v>6</v>
      </c>
      <c r="J12" s="63">
        <f t="shared" si="2"/>
        <v>7.75</v>
      </c>
      <c r="K12" s="22">
        <f t="shared" si="2"/>
        <v>10.75</v>
      </c>
      <c r="L12" s="22">
        <f t="shared" si="2"/>
        <v>10.75</v>
      </c>
      <c r="M12" s="22">
        <f t="shared" si="2"/>
        <v>14</v>
      </c>
      <c r="N12" s="22">
        <f t="shared" si="2"/>
        <v>14</v>
      </c>
      <c r="O12" s="22">
        <f t="shared" si="2"/>
        <v>14</v>
      </c>
      <c r="P12" s="62">
        <f t="shared" si="2"/>
        <v>14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3</v>
      </c>
      <c r="E13" s="22">
        <f t="shared" si="3"/>
        <v>3</v>
      </c>
      <c r="F13" s="22">
        <f t="shared" si="3"/>
        <v>3</v>
      </c>
      <c r="G13" s="22">
        <f t="shared" si="3"/>
        <v>3</v>
      </c>
      <c r="H13" s="22">
        <f t="shared" si="3"/>
        <v>6</v>
      </c>
      <c r="I13" s="62">
        <f t="shared" si="3"/>
        <v>6</v>
      </c>
      <c r="J13" s="63">
        <f t="shared" si="3"/>
        <v>7.75</v>
      </c>
      <c r="K13" s="22">
        <f t="shared" si="3"/>
        <v>10.75</v>
      </c>
      <c r="L13" s="22">
        <f t="shared" si="3"/>
        <v>10.75</v>
      </c>
      <c r="M13" s="22">
        <f t="shared" si="3"/>
        <v>14</v>
      </c>
      <c r="N13" s="22">
        <f t="shared" si="3"/>
        <v>14</v>
      </c>
      <c r="O13" s="22">
        <f t="shared" si="3"/>
        <v>14</v>
      </c>
      <c r="P13" s="62">
        <f t="shared" si="3"/>
        <v>14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3</v>
      </c>
      <c r="E14" s="22">
        <f t="shared" si="4"/>
        <v>3</v>
      </c>
      <c r="F14" s="22">
        <f t="shared" si="4"/>
        <v>6</v>
      </c>
      <c r="G14" s="22">
        <f t="shared" si="4"/>
        <v>6</v>
      </c>
      <c r="H14" s="22">
        <f t="shared" si="4"/>
        <v>8</v>
      </c>
      <c r="I14" s="62">
        <f t="shared" si="4"/>
        <v>11</v>
      </c>
      <c r="J14" s="63">
        <f t="shared" si="4"/>
        <v>11</v>
      </c>
      <c r="K14" s="22">
        <f t="shared" si="4"/>
        <v>14</v>
      </c>
      <c r="L14" s="22">
        <f t="shared" si="4"/>
        <v>14</v>
      </c>
      <c r="M14" s="22">
        <f t="shared" si="4"/>
        <v>17.25</v>
      </c>
      <c r="N14" s="22">
        <f t="shared" si="4"/>
        <v>17.25</v>
      </c>
      <c r="O14" s="22">
        <f t="shared" si="4"/>
        <v>17.25</v>
      </c>
      <c r="P14" s="62">
        <f t="shared" si="4"/>
        <v>20.25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3</v>
      </c>
      <c r="E15" s="22">
        <f t="shared" si="5"/>
        <v>3</v>
      </c>
      <c r="F15" s="22">
        <f t="shared" si="5"/>
        <v>3</v>
      </c>
      <c r="G15" s="22">
        <f t="shared" si="5"/>
        <v>3</v>
      </c>
      <c r="H15" s="22">
        <f t="shared" si="5"/>
        <v>3</v>
      </c>
      <c r="I15" s="62">
        <f t="shared" si="5"/>
        <v>3</v>
      </c>
      <c r="J15" s="63">
        <f t="shared" si="5"/>
        <v>3</v>
      </c>
      <c r="K15" s="22">
        <f t="shared" si="5"/>
        <v>6</v>
      </c>
      <c r="L15" s="22">
        <f t="shared" si="5"/>
        <v>6</v>
      </c>
      <c r="M15" s="22">
        <f t="shared" si="5"/>
        <v>9.25</v>
      </c>
      <c r="N15" s="22">
        <f t="shared" si="5"/>
        <v>9.25</v>
      </c>
      <c r="O15" s="22">
        <f t="shared" si="5"/>
        <v>12.25</v>
      </c>
      <c r="P15" s="62">
        <f t="shared" si="5"/>
        <v>12.25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12</v>
      </c>
      <c r="E16" s="21">
        <f t="shared" si="6"/>
        <v>12</v>
      </c>
      <c r="F16" s="21">
        <f t="shared" si="6"/>
        <v>15</v>
      </c>
      <c r="G16" s="21">
        <f t="shared" si="6"/>
        <v>18</v>
      </c>
      <c r="H16" s="21">
        <f t="shared" si="6"/>
        <v>23</v>
      </c>
      <c r="I16" s="60">
        <f t="shared" si="6"/>
        <v>26</v>
      </c>
      <c r="J16" s="61">
        <f t="shared" si="6"/>
        <v>29.5</v>
      </c>
      <c r="K16" s="21">
        <f t="shared" si="6"/>
        <v>41.5</v>
      </c>
      <c r="L16" s="21">
        <f t="shared" si="6"/>
        <v>41.5</v>
      </c>
      <c r="M16" s="21">
        <f t="shared" si="6"/>
        <v>54.5</v>
      </c>
      <c r="N16" s="21">
        <f t="shared" si="6"/>
        <v>54.5</v>
      </c>
      <c r="O16" s="21">
        <f t="shared" si="6"/>
        <v>57.5</v>
      </c>
      <c r="P16" s="60">
        <f t="shared" si="6"/>
        <v>60.5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1.5</v>
      </c>
      <c r="E30" s="22">
        <f t="shared" ref="E30:P30" si="13" xml:space="preserve"> (E$12 + E$24) / E$5</f>
        <v>1</v>
      </c>
      <c r="F30" s="22">
        <f t="shared" si="13"/>
        <v>0.75</v>
      </c>
      <c r="G30" s="22">
        <f t="shared" si="13"/>
        <v>1.2</v>
      </c>
      <c r="H30" s="22">
        <f t="shared" si="13"/>
        <v>1</v>
      </c>
      <c r="I30" s="62">
        <f t="shared" si="13"/>
        <v>0.8571428571428571</v>
      </c>
      <c r="J30" s="63">
        <f t="shared" si="13"/>
        <v>0.96875</v>
      </c>
      <c r="K30" s="22">
        <f t="shared" si="13"/>
        <v>1.1944444444444444</v>
      </c>
      <c r="L30" s="22">
        <f t="shared" si="13"/>
        <v>1.075</v>
      </c>
      <c r="M30" s="22">
        <f t="shared" si="13"/>
        <v>1.2727272727272727</v>
      </c>
      <c r="N30" s="22">
        <f t="shared" si="13"/>
        <v>1.1666666666666667</v>
      </c>
      <c r="O30" s="22">
        <f t="shared" si="13"/>
        <v>1.0769230769230769</v>
      </c>
      <c r="P30" s="62">
        <f t="shared" si="13"/>
        <v>1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1.5</v>
      </c>
      <c r="E31" s="22">
        <f t="shared" ref="E31:P31" si="14" xml:space="preserve"> (E$13 + E$25) / E$5</f>
        <v>1</v>
      </c>
      <c r="F31" s="22">
        <f t="shared" si="14"/>
        <v>0.75</v>
      </c>
      <c r="G31" s="22">
        <f t="shared" si="14"/>
        <v>0.6</v>
      </c>
      <c r="H31" s="22">
        <f t="shared" si="14"/>
        <v>1</v>
      </c>
      <c r="I31" s="62">
        <f t="shared" si="14"/>
        <v>0.8571428571428571</v>
      </c>
      <c r="J31" s="63">
        <f t="shared" si="14"/>
        <v>0.96875</v>
      </c>
      <c r="K31" s="22">
        <f t="shared" si="14"/>
        <v>1.1944444444444444</v>
      </c>
      <c r="L31" s="22">
        <f t="shared" si="14"/>
        <v>1.075</v>
      </c>
      <c r="M31" s="22">
        <f t="shared" si="14"/>
        <v>1.2727272727272727</v>
      </c>
      <c r="N31" s="22">
        <f t="shared" si="14"/>
        <v>1.1666666666666667</v>
      </c>
      <c r="O31" s="22">
        <f t="shared" si="14"/>
        <v>1.0769230769230769</v>
      </c>
      <c r="P31" s="62">
        <f t="shared" si="14"/>
        <v>1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1.5</v>
      </c>
      <c r="E32" s="22">
        <f t="shared" ref="E32:P32" si="15" xml:space="preserve"> (E$14 + E$26) / E$5</f>
        <v>1</v>
      </c>
      <c r="F32" s="22">
        <f t="shared" si="15"/>
        <v>1.5</v>
      </c>
      <c r="G32" s="22">
        <f t="shared" si="15"/>
        <v>1.2</v>
      </c>
      <c r="H32" s="22">
        <f t="shared" si="15"/>
        <v>1.3333333333333333</v>
      </c>
      <c r="I32" s="62">
        <f t="shared" si="15"/>
        <v>1.5714285714285714</v>
      </c>
      <c r="J32" s="63">
        <f t="shared" si="15"/>
        <v>1.375</v>
      </c>
      <c r="K32" s="22">
        <f t="shared" si="15"/>
        <v>1.5555555555555556</v>
      </c>
      <c r="L32" s="22">
        <f t="shared" si="15"/>
        <v>1.4</v>
      </c>
      <c r="M32" s="22">
        <f t="shared" si="15"/>
        <v>1.5681818181818181</v>
      </c>
      <c r="N32" s="22">
        <f t="shared" si="15"/>
        <v>1.4375</v>
      </c>
      <c r="O32" s="22">
        <f t="shared" si="15"/>
        <v>1.3269230769230769</v>
      </c>
      <c r="P32" s="62">
        <f t="shared" si="15"/>
        <v>1.4464285714285714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1.5</v>
      </c>
      <c r="E33" s="22">
        <f t="shared" ref="E33:P33" si="16" xml:space="preserve"> (E$15 + E$27) / E$5</f>
        <v>1</v>
      </c>
      <c r="F33" s="22">
        <f t="shared" si="16"/>
        <v>0.75</v>
      </c>
      <c r="G33" s="22">
        <f t="shared" si="16"/>
        <v>0.6</v>
      </c>
      <c r="H33" s="22">
        <f t="shared" si="16"/>
        <v>0.5</v>
      </c>
      <c r="I33" s="62">
        <f t="shared" si="16"/>
        <v>0.42857142857142855</v>
      </c>
      <c r="J33" s="63">
        <f t="shared" si="16"/>
        <v>0.375</v>
      </c>
      <c r="K33" s="22">
        <f t="shared" si="16"/>
        <v>0.66666666666666663</v>
      </c>
      <c r="L33" s="22">
        <f t="shared" si="16"/>
        <v>0.6</v>
      </c>
      <c r="M33" s="22">
        <f t="shared" si="16"/>
        <v>0.84090909090909094</v>
      </c>
      <c r="N33" s="22">
        <f t="shared" si="16"/>
        <v>0.77083333333333337</v>
      </c>
      <c r="O33" s="22">
        <f t="shared" si="16"/>
        <v>0.94230769230769229</v>
      </c>
      <c r="P33" s="62">
        <f t="shared" si="16"/>
        <v>0.875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6</v>
      </c>
      <c r="E34" s="21">
        <f t="shared" si="17"/>
        <v>4</v>
      </c>
      <c r="F34" s="21">
        <f t="shared" si="17"/>
        <v>3.75</v>
      </c>
      <c r="G34" s="21">
        <f t="shared" si="17"/>
        <v>3.6</v>
      </c>
      <c r="H34" s="21">
        <f t="shared" si="17"/>
        <v>3.833333333333333</v>
      </c>
      <c r="I34" s="60">
        <f t="shared" si="17"/>
        <v>3.714285714285714</v>
      </c>
      <c r="J34" s="61">
        <f t="shared" si="17"/>
        <v>3.6875</v>
      </c>
      <c r="K34" s="21">
        <f t="shared" si="17"/>
        <v>4.6111111111111116</v>
      </c>
      <c r="L34" s="21">
        <f t="shared" si="17"/>
        <v>4.1499999999999995</v>
      </c>
      <c r="M34" s="21">
        <f t="shared" si="17"/>
        <v>4.9545454545454541</v>
      </c>
      <c r="N34" s="21">
        <f t="shared" si="17"/>
        <v>4.541666666666667</v>
      </c>
      <c r="O34" s="21">
        <f t="shared" si="17"/>
        <v>4.4230769230769234</v>
      </c>
      <c r="P34" s="60">
        <f t="shared" si="17"/>
        <v>4.3214285714285712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6</v>
      </c>
      <c r="D37" s="24">
        <f xml:space="preserve"> SUM(J6:P6) + SUM(J18:P18)</f>
        <v>8</v>
      </c>
      <c r="E37" s="24">
        <f xml:space="preserve"> SUM(C37:D37)</f>
        <v>14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6</v>
      </c>
      <c r="D38" s="24">
        <f t="shared" ref="D38:D40" si="19" xml:space="preserve"> SUM(J7:P7) + SUM(J19:P19)</f>
        <v>8</v>
      </c>
      <c r="E38" s="24">
        <f xml:space="preserve"> SUM(C38:D38)</f>
        <v>14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11</v>
      </c>
      <c r="D39" s="24">
        <f t="shared" si="19"/>
        <v>9.25</v>
      </c>
      <c r="E39" s="24">
        <f xml:space="preserve"> SUM(C39:D39)</f>
        <v>20.25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3</v>
      </c>
      <c r="D40" s="24">
        <f t="shared" si="19"/>
        <v>9.25</v>
      </c>
      <c r="E40" s="24">
        <f xml:space="preserve"> SUM(C40:D40)</f>
        <v>12.25</v>
      </c>
    </row>
    <row r="41" spans="1:16" ht="16.5" thickBot="1" x14ac:dyDescent="0.3">
      <c r="A41" s="79"/>
      <c r="B41" s="18" t="s">
        <v>19</v>
      </c>
      <c r="C41" s="21">
        <f xml:space="preserve"> SUM(C37:C40)</f>
        <v>26</v>
      </c>
      <c r="D41" s="21">
        <f t="shared" ref="D41" si="20" xml:space="preserve"> SUM(D37:D40)</f>
        <v>34.5</v>
      </c>
      <c r="E41" s="21">
        <f xml:space="preserve"> SUM(C41:D41)</f>
        <v>60.5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6</v>
      </c>
      <c r="D43" s="24">
        <f xml:space="preserve"> SUM(C37:D37) / D$36</f>
        <v>7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6</v>
      </c>
      <c r="D44" s="24">
        <f t="shared" ref="D44:D46" si="22" xml:space="preserve"> SUM(C38:D38) / D$36</f>
        <v>7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11</v>
      </c>
      <c r="D45" s="24">
        <f t="shared" si="22"/>
        <v>10.125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3</v>
      </c>
      <c r="D46" s="24">
        <f t="shared" si="22"/>
        <v>6.125</v>
      </c>
    </row>
    <row r="47" spans="1:16" ht="16.5" thickBot="1" x14ac:dyDescent="0.3">
      <c r="A47" s="79"/>
      <c r="B47" s="18" t="s">
        <v>19</v>
      </c>
      <c r="C47" s="21">
        <f xml:space="preserve"> SUM(C43:C46)</f>
        <v>26</v>
      </c>
      <c r="D47" s="21">
        <f t="shared" ref="D47" si="23" xml:space="preserve"> SUM(D43:D46)</f>
        <v>30.25</v>
      </c>
    </row>
    <row r="86" spans="2:17" x14ac:dyDescent="0.25">
      <c r="B86" t="s">
        <v>51</v>
      </c>
      <c r="C86">
        <f>C87/14</f>
        <v>5</v>
      </c>
    </row>
    <row r="87" spans="2:17" x14ac:dyDescent="0.25">
      <c r="B87" t="s">
        <v>52</v>
      </c>
      <c r="C87">
        <v>70</v>
      </c>
    </row>
    <row r="88" spans="2:17" x14ac:dyDescent="0.25">
      <c r="B88" t="s">
        <v>49</v>
      </c>
      <c r="C88">
        <v>0</v>
      </c>
      <c r="D88">
        <v>1</v>
      </c>
      <c r="E88">
        <v>2</v>
      </c>
      <c r="F88">
        <v>3</v>
      </c>
      <c r="G88">
        <v>4</v>
      </c>
      <c r="H88">
        <v>5</v>
      </c>
      <c r="I88">
        <v>6</v>
      </c>
      <c r="J88">
        <v>7</v>
      </c>
      <c r="K88">
        <v>8</v>
      </c>
      <c r="L88">
        <v>9</v>
      </c>
      <c r="M88">
        <v>10</v>
      </c>
      <c r="N88">
        <v>11</v>
      </c>
      <c r="O88">
        <v>12</v>
      </c>
      <c r="P88">
        <v>13</v>
      </c>
      <c r="Q88">
        <v>14</v>
      </c>
    </row>
    <row r="89" spans="2:17" x14ac:dyDescent="0.25">
      <c r="B89" t="s">
        <v>53</v>
      </c>
      <c r="C89">
        <f>C87</f>
        <v>70</v>
      </c>
      <c r="D89">
        <f>C89-C86</f>
        <v>65</v>
      </c>
      <c r="E89">
        <f>D89-C86</f>
        <v>60</v>
      </c>
      <c r="F89">
        <f>E89-C86</f>
        <v>55</v>
      </c>
      <c r="G89">
        <f>F89-C86</f>
        <v>50</v>
      </c>
      <c r="H89">
        <f>G89-C86</f>
        <v>45</v>
      </c>
      <c r="I89">
        <f>H89-C86</f>
        <v>40</v>
      </c>
      <c r="J89">
        <f>I89-C86</f>
        <v>35</v>
      </c>
      <c r="K89">
        <f>J89-C86</f>
        <v>30</v>
      </c>
      <c r="L89">
        <f>K89-C86</f>
        <v>25</v>
      </c>
      <c r="M89">
        <f>L89-C86</f>
        <v>20</v>
      </c>
      <c r="N89">
        <f>M89-C86</f>
        <v>15</v>
      </c>
      <c r="O89">
        <f>N89-C86</f>
        <v>10</v>
      </c>
      <c r="P89">
        <f>O89-C86</f>
        <v>5</v>
      </c>
      <c r="Q89">
        <v>0</v>
      </c>
    </row>
    <row r="90" spans="2:17" x14ac:dyDescent="0.25">
      <c r="B90" t="s">
        <v>54</v>
      </c>
      <c r="C90" s="24">
        <f>E41</f>
        <v>60.5</v>
      </c>
      <c r="D90">
        <v>0</v>
      </c>
      <c r="E90">
        <v>12</v>
      </c>
      <c r="F90">
        <v>0</v>
      </c>
      <c r="G90">
        <v>3</v>
      </c>
      <c r="H90">
        <v>3</v>
      </c>
      <c r="I90">
        <v>5</v>
      </c>
      <c r="J90">
        <v>3</v>
      </c>
      <c r="K90">
        <v>3.5</v>
      </c>
      <c r="L90">
        <v>12</v>
      </c>
      <c r="M90">
        <v>0</v>
      </c>
      <c r="N90">
        <v>13</v>
      </c>
      <c r="O90">
        <v>0</v>
      </c>
      <c r="P90">
        <v>3</v>
      </c>
      <c r="Q90">
        <v>3</v>
      </c>
    </row>
    <row r="91" spans="2:17" x14ac:dyDescent="0.25">
      <c r="B91" t="s">
        <v>55</v>
      </c>
      <c r="C91" s="24">
        <f>C90</f>
        <v>60.5</v>
      </c>
      <c r="D91" s="24">
        <f>C91-D90</f>
        <v>60.5</v>
      </c>
      <c r="E91" s="24">
        <f>D91-E90</f>
        <v>48.5</v>
      </c>
      <c r="F91" s="24">
        <f t="shared" ref="F91:Q91" si="24">E91-F90</f>
        <v>48.5</v>
      </c>
      <c r="G91" s="24">
        <f t="shared" si="24"/>
        <v>45.5</v>
      </c>
      <c r="H91" s="24">
        <f t="shared" si="24"/>
        <v>42.5</v>
      </c>
      <c r="I91" s="24">
        <f t="shared" si="24"/>
        <v>37.5</v>
      </c>
      <c r="J91" s="24">
        <f t="shared" si="24"/>
        <v>34.5</v>
      </c>
      <c r="K91" s="24">
        <f t="shared" si="24"/>
        <v>31</v>
      </c>
      <c r="L91" s="24">
        <f t="shared" si="24"/>
        <v>19</v>
      </c>
      <c r="M91" s="24">
        <f t="shared" si="24"/>
        <v>19</v>
      </c>
      <c r="N91" s="24">
        <f t="shared" si="24"/>
        <v>6</v>
      </c>
      <c r="O91" s="24">
        <f t="shared" si="24"/>
        <v>6</v>
      </c>
      <c r="P91" s="24">
        <f t="shared" si="24"/>
        <v>3</v>
      </c>
      <c r="Q91" s="24">
        <f t="shared" si="24"/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topLeftCell="A80" zoomScale="115" zoomScaleNormal="115" workbookViewId="0">
      <selection activeCell="B86" sqref="B86:Q91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3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Setup!$B$3 + 49</f>
        <v>42303</v>
      </c>
      <c r="D4" s="15">
        <f xml:space="preserve"> C$4 + 1</f>
        <v>42304</v>
      </c>
      <c r="E4" s="15">
        <f t="shared" ref="E4:P4" si="0" xml:space="preserve"> D$4 + 1</f>
        <v>42305</v>
      </c>
      <c r="F4" s="15">
        <f t="shared" si="0"/>
        <v>42306</v>
      </c>
      <c r="G4" s="15">
        <f t="shared" si="0"/>
        <v>42307</v>
      </c>
      <c r="H4" s="15">
        <f t="shared" si="0"/>
        <v>42308</v>
      </c>
      <c r="I4" s="54">
        <f t="shared" si="0"/>
        <v>42309</v>
      </c>
      <c r="J4" s="55">
        <f t="shared" si="0"/>
        <v>42310</v>
      </c>
      <c r="K4" s="15">
        <f t="shared" si="0"/>
        <v>42311</v>
      </c>
      <c r="L4" s="15">
        <f t="shared" si="0"/>
        <v>42312</v>
      </c>
      <c r="M4" s="15">
        <f t="shared" si="0"/>
        <v>42313</v>
      </c>
      <c r="N4" s="15">
        <f t="shared" si="0"/>
        <v>42314</v>
      </c>
      <c r="O4" s="15">
        <f t="shared" si="0"/>
        <v>42315</v>
      </c>
      <c r="P4" s="54">
        <f t="shared" si="0"/>
        <v>42316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3.75</v>
      </c>
      <c r="E6" s="33">
        <v>1</v>
      </c>
      <c r="F6" s="33">
        <v>0</v>
      </c>
      <c r="G6" s="33">
        <v>2</v>
      </c>
      <c r="H6" s="33">
        <v>1</v>
      </c>
      <c r="I6" s="33">
        <v>4.5</v>
      </c>
      <c r="J6" s="59">
        <v>0.5</v>
      </c>
      <c r="K6" s="32">
        <v>4</v>
      </c>
      <c r="L6" s="32">
        <v>2</v>
      </c>
      <c r="M6" s="32">
        <v>1</v>
      </c>
      <c r="N6" s="32">
        <v>1.5</v>
      </c>
      <c r="O6" s="32">
        <v>0</v>
      </c>
      <c r="P6" s="58">
        <v>1.5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1</v>
      </c>
      <c r="D7" s="33">
        <v>1.5</v>
      </c>
      <c r="E7" s="33">
        <v>0</v>
      </c>
      <c r="F7" s="33">
        <v>0</v>
      </c>
      <c r="G7" s="33">
        <v>2</v>
      </c>
      <c r="H7" s="33">
        <v>1</v>
      </c>
      <c r="I7" s="33">
        <v>0</v>
      </c>
      <c r="J7" s="59">
        <v>0.5</v>
      </c>
      <c r="K7" s="32">
        <v>2.5</v>
      </c>
      <c r="L7" s="32">
        <v>4</v>
      </c>
      <c r="M7" s="32">
        <v>4.5</v>
      </c>
      <c r="N7" s="32">
        <v>0.5</v>
      </c>
      <c r="O7" s="32">
        <v>2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3</v>
      </c>
      <c r="E8" s="33">
        <v>1</v>
      </c>
      <c r="F8" s="33">
        <v>3</v>
      </c>
      <c r="G8" s="33">
        <v>0</v>
      </c>
      <c r="H8" s="33">
        <v>2</v>
      </c>
      <c r="I8" s="33">
        <v>1</v>
      </c>
      <c r="J8" s="59">
        <v>1</v>
      </c>
      <c r="K8" s="32">
        <v>2</v>
      </c>
      <c r="L8" s="32">
        <v>1</v>
      </c>
      <c r="M8" s="32">
        <v>1</v>
      </c>
      <c r="N8" s="32">
        <v>3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0.5</v>
      </c>
      <c r="D9" s="33">
        <v>1</v>
      </c>
      <c r="E9" s="33">
        <v>0.5</v>
      </c>
      <c r="F9" s="33">
        <v>0</v>
      </c>
      <c r="G9" s="33">
        <v>1</v>
      </c>
      <c r="H9" s="33">
        <v>3</v>
      </c>
      <c r="I9" s="33">
        <v>2</v>
      </c>
      <c r="J9" s="59">
        <v>0.5</v>
      </c>
      <c r="K9" s="32">
        <v>1</v>
      </c>
      <c r="L9" s="32">
        <v>1.5</v>
      </c>
      <c r="M9" s="32">
        <v>0</v>
      </c>
      <c r="N9" s="32">
        <v>1</v>
      </c>
      <c r="O9" s="32">
        <v>3</v>
      </c>
      <c r="P9" s="58">
        <v>2.5</v>
      </c>
    </row>
    <row r="10" spans="1:16" ht="16.5" thickBot="1" x14ac:dyDescent="0.3">
      <c r="A10" s="85"/>
      <c r="B10" s="18" t="s">
        <v>19</v>
      </c>
      <c r="C10" s="21">
        <f xml:space="preserve"> SUM(C6:C9)</f>
        <v>1.5</v>
      </c>
      <c r="D10" s="21">
        <f t="shared" ref="D10:P10" si="1" xml:space="preserve"> SUM(D6:D9)</f>
        <v>9.25</v>
      </c>
      <c r="E10" s="21">
        <f t="shared" si="1"/>
        <v>2.5</v>
      </c>
      <c r="F10" s="21">
        <f t="shared" si="1"/>
        <v>3</v>
      </c>
      <c r="G10" s="21">
        <f t="shared" si="1"/>
        <v>5</v>
      </c>
      <c r="H10" s="21">
        <f t="shared" si="1"/>
        <v>7</v>
      </c>
      <c r="I10" s="60">
        <f t="shared" si="1"/>
        <v>7.5</v>
      </c>
      <c r="J10" s="61">
        <f t="shared" si="1"/>
        <v>2.5</v>
      </c>
      <c r="K10" s="21">
        <f t="shared" si="1"/>
        <v>9.5</v>
      </c>
      <c r="L10" s="21">
        <f t="shared" si="1"/>
        <v>8.5</v>
      </c>
      <c r="M10" s="21">
        <f t="shared" si="1"/>
        <v>6.5</v>
      </c>
      <c r="N10" s="21">
        <f t="shared" si="1"/>
        <v>6</v>
      </c>
      <c r="O10" s="21">
        <f t="shared" si="1"/>
        <v>5</v>
      </c>
      <c r="P10" s="60">
        <f t="shared" si="1"/>
        <v>4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3.75</v>
      </c>
      <c r="E12" s="22">
        <f t="shared" si="2"/>
        <v>4.75</v>
      </c>
      <c r="F12" s="22">
        <f t="shared" si="2"/>
        <v>4.75</v>
      </c>
      <c r="G12" s="22">
        <f t="shared" si="2"/>
        <v>6.75</v>
      </c>
      <c r="H12" s="22">
        <f t="shared" si="2"/>
        <v>7.75</v>
      </c>
      <c r="I12" s="62">
        <f t="shared" si="2"/>
        <v>12.25</v>
      </c>
      <c r="J12" s="63">
        <f t="shared" si="2"/>
        <v>12.75</v>
      </c>
      <c r="K12" s="22">
        <f t="shared" si="2"/>
        <v>16.75</v>
      </c>
      <c r="L12" s="22">
        <f t="shared" si="2"/>
        <v>18.75</v>
      </c>
      <c r="M12" s="22">
        <f t="shared" si="2"/>
        <v>19.75</v>
      </c>
      <c r="N12" s="22">
        <f t="shared" si="2"/>
        <v>21.25</v>
      </c>
      <c r="O12" s="22">
        <f t="shared" si="2"/>
        <v>21.25</v>
      </c>
      <c r="P12" s="62">
        <f t="shared" si="2"/>
        <v>22.75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1</v>
      </c>
      <c r="D13" s="22">
        <f t="shared" ref="D13:P13" si="3" xml:space="preserve"> C$13 + D$7</f>
        <v>2.5</v>
      </c>
      <c r="E13" s="22">
        <f t="shared" si="3"/>
        <v>2.5</v>
      </c>
      <c r="F13" s="22">
        <f t="shared" si="3"/>
        <v>2.5</v>
      </c>
      <c r="G13" s="22">
        <f t="shared" si="3"/>
        <v>4.5</v>
      </c>
      <c r="H13" s="22">
        <f t="shared" si="3"/>
        <v>5.5</v>
      </c>
      <c r="I13" s="62">
        <f t="shared" si="3"/>
        <v>5.5</v>
      </c>
      <c r="J13" s="63">
        <f t="shared" si="3"/>
        <v>6</v>
      </c>
      <c r="K13" s="22">
        <f t="shared" si="3"/>
        <v>8.5</v>
      </c>
      <c r="L13" s="22">
        <f t="shared" si="3"/>
        <v>12.5</v>
      </c>
      <c r="M13" s="22">
        <f t="shared" si="3"/>
        <v>17</v>
      </c>
      <c r="N13" s="22">
        <f t="shared" si="3"/>
        <v>17.5</v>
      </c>
      <c r="O13" s="22">
        <f t="shared" si="3"/>
        <v>19.5</v>
      </c>
      <c r="P13" s="62">
        <f t="shared" si="3"/>
        <v>19.5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3</v>
      </c>
      <c r="E14" s="22">
        <f t="shared" si="4"/>
        <v>4</v>
      </c>
      <c r="F14" s="22">
        <f t="shared" si="4"/>
        <v>7</v>
      </c>
      <c r="G14" s="22">
        <f t="shared" si="4"/>
        <v>7</v>
      </c>
      <c r="H14" s="22">
        <f t="shared" si="4"/>
        <v>9</v>
      </c>
      <c r="I14" s="62">
        <f t="shared" si="4"/>
        <v>10</v>
      </c>
      <c r="J14" s="63">
        <f t="shared" si="4"/>
        <v>11</v>
      </c>
      <c r="K14" s="22">
        <f t="shared" si="4"/>
        <v>13</v>
      </c>
      <c r="L14" s="22">
        <f t="shared" si="4"/>
        <v>14</v>
      </c>
      <c r="M14" s="22">
        <f t="shared" si="4"/>
        <v>15</v>
      </c>
      <c r="N14" s="22">
        <f t="shared" si="4"/>
        <v>18</v>
      </c>
      <c r="O14" s="22">
        <f t="shared" si="4"/>
        <v>18</v>
      </c>
      <c r="P14" s="62">
        <f t="shared" si="4"/>
        <v>18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0.5</v>
      </c>
      <c r="D15" s="22">
        <f t="shared" ref="D15:P15" si="5" xml:space="preserve"> C$15 + D$9</f>
        <v>1.5</v>
      </c>
      <c r="E15" s="22">
        <f t="shared" si="5"/>
        <v>2</v>
      </c>
      <c r="F15" s="22">
        <f t="shared" si="5"/>
        <v>2</v>
      </c>
      <c r="G15" s="22">
        <f t="shared" si="5"/>
        <v>3</v>
      </c>
      <c r="H15" s="22">
        <f t="shared" si="5"/>
        <v>6</v>
      </c>
      <c r="I15" s="62">
        <f t="shared" si="5"/>
        <v>8</v>
      </c>
      <c r="J15" s="63">
        <f t="shared" si="5"/>
        <v>8.5</v>
      </c>
      <c r="K15" s="22">
        <f t="shared" si="5"/>
        <v>9.5</v>
      </c>
      <c r="L15" s="22">
        <f t="shared" si="5"/>
        <v>11</v>
      </c>
      <c r="M15" s="22">
        <f t="shared" si="5"/>
        <v>11</v>
      </c>
      <c r="N15" s="22">
        <f t="shared" si="5"/>
        <v>12</v>
      </c>
      <c r="O15" s="22">
        <f t="shared" si="5"/>
        <v>15</v>
      </c>
      <c r="P15" s="62">
        <f t="shared" si="5"/>
        <v>17.5</v>
      </c>
    </row>
    <row r="16" spans="1:16" ht="16.5" thickBot="1" x14ac:dyDescent="0.3">
      <c r="A16" s="85"/>
      <c r="B16" s="18" t="s">
        <v>19</v>
      </c>
      <c r="C16" s="21">
        <f xml:space="preserve"> SUM(C12:C15)</f>
        <v>1.5</v>
      </c>
      <c r="D16" s="21">
        <f t="shared" ref="D16:P16" si="6" xml:space="preserve"> SUM(D12:D15)</f>
        <v>10.75</v>
      </c>
      <c r="E16" s="21">
        <f t="shared" si="6"/>
        <v>13.25</v>
      </c>
      <c r="F16" s="21">
        <f t="shared" si="6"/>
        <v>16.25</v>
      </c>
      <c r="G16" s="21">
        <f t="shared" si="6"/>
        <v>21.25</v>
      </c>
      <c r="H16" s="21">
        <f t="shared" si="6"/>
        <v>28.25</v>
      </c>
      <c r="I16" s="60">
        <f t="shared" si="6"/>
        <v>35.75</v>
      </c>
      <c r="J16" s="61">
        <f t="shared" si="6"/>
        <v>38.25</v>
      </c>
      <c r="K16" s="21">
        <f t="shared" si="6"/>
        <v>47.75</v>
      </c>
      <c r="L16" s="21">
        <f t="shared" si="6"/>
        <v>56.25</v>
      </c>
      <c r="M16" s="21">
        <f t="shared" si="6"/>
        <v>62.75</v>
      </c>
      <c r="N16" s="21">
        <f t="shared" si="6"/>
        <v>68.75</v>
      </c>
      <c r="O16" s="21">
        <f t="shared" si="6"/>
        <v>73.75</v>
      </c>
      <c r="P16" s="60">
        <f t="shared" si="6"/>
        <v>77.75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1.875</v>
      </c>
      <c r="E30" s="22">
        <f t="shared" ref="E30:P30" si="13" xml:space="preserve"> (E$12 + E$24) / E$5</f>
        <v>1.5833333333333333</v>
      </c>
      <c r="F30" s="22">
        <f t="shared" si="13"/>
        <v>1.1875</v>
      </c>
      <c r="G30" s="22">
        <f t="shared" si="13"/>
        <v>1.35</v>
      </c>
      <c r="H30" s="22">
        <f t="shared" si="13"/>
        <v>1.2916666666666667</v>
      </c>
      <c r="I30" s="62">
        <f t="shared" si="13"/>
        <v>1.75</v>
      </c>
      <c r="J30" s="63">
        <f t="shared" si="13"/>
        <v>1.59375</v>
      </c>
      <c r="K30" s="22">
        <f t="shared" si="13"/>
        <v>1.8611111111111112</v>
      </c>
      <c r="L30" s="22">
        <f t="shared" si="13"/>
        <v>1.875</v>
      </c>
      <c r="M30" s="22">
        <f t="shared" si="13"/>
        <v>1.7954545454545454</v>
      </c>
      <c r="N30" s="22">
        <f t="shared" si="13"/>
        <v>1.7708333333333333</v>
      </c>
      <c r="O30" s="22">
        <f t="shared" si="13"/>
        <v>1.6346153846153846</v>
      </c>
      <c r="P30" s="62">
        <f t="shared" si="13"/>
        <v>1.625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1</v>
      </c>
      <c r="D31" s="22">
        <f xml:space="preserve"> (D$13 + D$25) / D$5</f>
        <v>1.25</v>
      </c>
      <c r="E31" s="22">
        <f t="shared" ref="E31:P31" si="14" xml:space="preserve"> (E$13 + E$25) / E$5</f>
        <v>0.83333333333333337</v>
      </c>
      <c r="F31" s="22">
        <f t="shared" si="14"/>
        <v>0.625</v>
      </c>
      <c r="G31" s="22">
        <f t="shared" si="14"/>
        <v>0.9</v>
      </c>
      <c r="H31" s="22">
        <f t="shared" si="14"/>
        <v>0.91666666666666663</v>
      </c>
      <c r="I31" s="62">
        <f t="shared" si="14"/>
        <v>0.7857142857142857</v>
      </c>
      <c r="J31" s="63">
        <f t="shared" si="14"/>
        <v>0.75</v>
      </c>
      <c r="K31" s="22">
        <f t="shared" si="14"/>
        <v>0.94444444444444442</v>
      </c>
      <c r="L31" s="22">
        <f t="shared" si="14"/>
        <v>1.25</v>
      </c>
      <c r="M31" s="22">
        <f t="shared" si="14"/>
        <v>1.5454545454545454</v>
      </c>
      <c r="N31" s="22">
        <f t="shared" si="14"/>
        <v>1.4583333333333333</v>
      </c>
      <c r="O31" s="22">
        <f t="shared" si="14"/>
        <v>1.5</v>
      </c>
      <c r="P31" s="62">
        <f t="shared" si="14"/>
        <v>1.3928571428571428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1.5</v>
      </c>
      <c r="E32" s="22">
        <f t="shared" ref="E32:P32" si="15" xml:space="preserve"> (E$14 + E$26) / E$5</f>
        <v>1.3333333333333333</v>
      </c>
      <c r="F32" s="22">
        <f t="shared" si="15"/>
        <v>1.75</v>
      </c>
      <c r="G32" s="22">
        <f t="shared" si="15"/>
        <v>1.4</v>
      </c>
      <c r="H32" s="22">
        <f t="shared" si="15"/>
        <v>1.5</v>
      </c>
      <c r="I32" s="62">
        <f t="shared" si="15"/>
        <v>1.4285714285714286</v>
      </c>
      <c r="J32" s="63">
        <f t="shared" si="15"/>
        <v>1.375</v>
      </c>
      <c r="K32" s="22">
        <f t="shared" si="15"/>
        <v>1.4444444444444444</v>
      </c>
      <c r="L32" s="22">
        <f t="shared" si="15"/>
        <v>1.4</v>
      </c>
      <c r="M32" s="22">
        <f t="shared" si="15"/>
        <v>1.3636363636363635</v>
      </c>
      <c r="N32" s="22">
        <f t="shared" si="15"/>
        <v>1.5</v>
      </c>
      <c r="O32" s="22">
        <f t="shared" si="15"/>
        <v>1.3846153846153846</v>
      </c>
      <c r="P32" s="62">
        <f t="shared" si="15"/>
        <v>1.2857142857142858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0.5</v>
      </c>
      <c r="D33" s="22">
        <f xml:space="preserve"> (D$15 + D$27) / D$5</f>
        <v>0.75</v>
      </c>
      <c r="E33" s="22">
        <f t="shared" ref="E33:P33" si="16" xml:space="preserve"> (E$15 + E$27) / E$5</f>
        <v>0.66666666666666663</v>
      </c>
      <c r="F33" s="22">
        <f t="shared" si="16"/>
        <v>0.5</v>
      </c>
      <c r="G33" s="22">
        <f t="shared" si="16"/>
        <v>0.6</v>
      </c>
      <c r="H33" s="22">
        <f t="shared" si="16"/>
        <v>1</v>
      </c>
      <c r="I33" s="62">
        <f t="shared" si="16"/>
        <v>1.1428571428571428</v>
      </c>
      <c r="J33" s="63">
        <f t="shared" si="16"/>
        <v>1.0625</v>
      </c>
      <c r="K33" s="22">
        <f t="shared" si="16"/>
        <v>1.0555555555555556</v>
      </c>
      <c r="L33" s="22">
        <f t="shared" si="16"/>
        <v>1.1000000000000001</v>
      </c>
      <c r="M33" s="22">
        <f t="shared" si="16"/>
        <v>1</v>
      </c>
      <c r="N33" s="22">
        <f t="shared" si="16"/>
        <v>1</v>
      </c>
      <c r="O33" s="22">
        <f t="shared" si="16"/>
        <v>1.1538461538461537</v>
      </c>
      <c r="P33" s="62">
        <f t="shared" si="16"/>
        <v>1.25</v>
      </c>
    </row>
    <row r="34" spans="1:16" ht="16.5" thickBot="1" x14ac:dyDescent="0.3">
      <c r="A34" s="79"/>
      <c r="B34" s="18" t="s">
        <v>19</v>
      </c>
      <c r="C34" s="21">
        <f xml:space="preserve"> SUM(C30:C33)</f>
        <v>1.5</v>
      </c>
      <c r="D34" s="21">
        <f t="shared" ref="D34:P34" si="17" xml:space="preserve"> SUM(D30:D33)</f>
        <v>5.375</v>
      </c>
      <c r="E34" s="21">
        <f t="shared" si="17"/>
        <v>4.416666666666667</v>
      </c>
      <c r="F34" s="21">
        <f t="shared" si="17"/>
        <v>4.0625</v>
      </c>
      <c r="G34" s="21">
        <f t="shared" si="17"/>
        <v>4.25</v>
      </c>
      <c r="H34" s="21">
        <f t="shared" si="17"/>
        <v>4.7083333333333339</v>
      </c>
      <c r="I34" s="60">
        <f t="shared" si="17"/>
        <v>5.1071428571428577</v>
      </c>
      <c r="J34" s="61">
        <f t="shared" si="17"/>
        <v>4.78125</v>
      </c>
      <c r="K34" s="21">
        <f t="shared" si="17"/>
        <v>5.3055555555555554</v>
      </c>
      <c r="L34" s="21">
        <f t="shared" si="17"/>
        <v>5.625</v>
      </c>
      <c r="M34" s="21">
        <f t="shared" si="17"/>
        <v>5.7045454545454541</v>
      </c>
      <c r="N34" s="21">
        <f t="shared" si="17"/>
        <v>5.7291666666666661</v>
      </c>
      <c r="O34" s="21">
        <f t="shared" si="17"/>
        <v>5.6730769230769234</v>
      </c>
      <c r="P34" s="60">
        <f t="shared" si="17"/>
        <v>5.5535714285714288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12.25</v>
      </c>
      <c r="D37" s="24">
        <f xml:space="preserve"> SUM(J6:P6) + SUM(J18:P18)</f>
        <v>10.5</v>
      </c>
      <c r="E37" s="24">
        <f xml:space="preserve"> SUM(C37:D37)</f>
        <v>22.75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5.5</v>
      </c>
      <c r="D38" s="24">
        <f t="shared" ref="D38:D40" si="19" xml:space="preserve"> SUM(J7:P7) + SUM(J19:P19)</f>
        <v>14</v>
      </c>
      <c r="E38" s="24">
        <f xml:space="preserve"> SUM(C38:D38)</f>
        <v>19.5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10</v>
      </c>
      <c r="D39" s="24">
        <f t="shared" si="19"/>
        <v>8</v>
      </c>
      <c r="E39" s="24">
        <f xml:space="preserve"> SUM(C39:D39)</f>
        <v>18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8</v>
      </c>
      <c r="D40" s="24">
        <f t="shared" si="19"/>
        <v>9.5</v>
      </c>
      <c r="E40" s="24">
        <f xml:space="preserve"> SUM(C40:D40)</f>
        <v>17.5</v>
      </c>
    </row>
    <row r="41" spans="1:16" ht="16.5" thickBot="1" x14ac:dyDescent="0.3">
      <c r="A41" s="79"/>
      <c r="B41" s="18" t="s">
        <v>19</v>
      </c>
      <c r="C41" s="21">
        <f xml:space="preserve"> SUM(C37:C40)</f>
        <v>35.75</v>
      </c>
      <c r="D41" s="21">
        <f t="shared" ref="D41" si="20" xml:space="preserve"> SUM(D37:D40)</f>
        <v>42</v>
      </c>
      <c r="E41" s="21">
        <f xml:space="preserve"> SUM(C41:D41)</f>
        <v>77.75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12.25</v>
      </c>
      <c r="D43" s="24">
        <f xml:space="preserve"> SUM(C37:D37) / D$36</f>
        <v>11.375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5.5</v>
      </c>
      <c r="D44" s="24">
        <f t="shared" ref="D44:D46" si="22" xml:space="preserve"> SUM(C38:D38) / D$36</f>
        <v>9.75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10</v>
      </c>
      <c r="D45" s="24">
        <f t="shared" si="22"/>
        <v>9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8</v>
      </c>
      <c r="D46" s="24">
        <f t="shared" si="22"/>
        <v>8.75</v>
      </c>
    </row>
    <row r="47" spans="1:16" ht="16.5" thickBot="1" x14ac:dyDescent="0.3">
      <c r="A47" s="79"/>
      <c r="B47" s="18" t="s">
        <v>19</v>
      </c>
      <c r="C47" s="21">
        <f xml:space="preserve"> SUM(C43:C46)</f>
        <v>35.75</v>
      </c>
      <c r="D47" s="21">
        <f t="shared" ref="D47" si="23" xml:space="preserve"> SUM(D43:D46)</f>
        <v>38.875</v>
      </c>
    </row>
    <row r="86" spans="2:17" x14ac:dyDescent="0.25">
      <c r="B86" t="s">
        <v>51</v>
      </c>
      <c r="C86">
        <f>C87/14</f>
        <v>6.2857142857142856</v>
      </c>
    </row>
    <row r="87" spans="2:17" x14ac:dyDescent="0.25">
      <c r="B87" t="s">
        <v>52</v>
      </c>
      <c r="C87">
        <v>88</v>
      </c>
    </row>
    <row r="88" spans="2:17" x14ac:dyDescent="0.25">
      <c r="B88" t="s">
        <v>49</v>
      </c>
      <c r="C88">
        <v>0</v>
      </c>
      <c r="D88">
        <v>1</v>
      </c>
      <c r="E88">
        <v>2</v>
      </c>
      <c r="F88">
        <v>3</v>
      </c>
      <c r="G88">
        <v>4</v>
      </c>
      <c r="H88">
        <v>5</v>
      </c>
      <c r="I88">
        <v>6</v>
      </c>
      <c r="J88">
        <v>7</v>
      </c>
      <c r="K88">
        <v>8</v>
      </c>
      <c r="L88">
        <v>9</v>
      </c>
      <c r="M88">
        <v>10</v>
      </c>
      <c r="N88">
        <v>11</v>
      </c>
      <c r="O88">
        <v>12</v>
      </c>
      <c r="P88">
        <v>13</v>
      </c>
      <c r="Q88">
        <v>14</v>
      </c>
    </row>
    <row r="89" spans="2:17" x14ac:dyDescent="0.25">
      <c r="B89" t="s">
        <v>53</v>
      </c>
      <c r="C89">
        <f>C87</f>
        <v>88</v>
      </c>
      <c r="D89">
        <f>C89-C86</f>
        <v>81.714285714285708</v>
      </c>
      <c r="E89">
        <f>D89-C86</f>
        <v>75.428571428571416</v>
      </c>
      <c r="F89">
        <f>E89-C86</f>
        <v>69.142857142857125</v>
      </c>
      <c r="G89">
        <f>F89-C86</f>
        <v>62.85714285714284</v>
      </c>
      <c r="H89">
        <f>G89-C86</f>
        <v>56.571428571428555</v>
      </c>
      <c r="I89">
        <f>H89-C86</f>
        <v>50.28571428571427</v>
      </c>
      <c r="J89">
        <f>I89-C86</f>
        <v>43.999999999999986</v>
      </c>
      <c r="K89">
        <f>J89-C86</f>
        <v>37.714285714285701</v>
      </c>
      <c r="L89">
        <f>K89-C86</f>
        <v>31.428571428571416</v>
      </c>
      <c r="M89">
        <f>L89-C86</f>
        <v>25.142857142857132</v>
      </c>
      <c r="N89">
        <f>M89-C86</f>
        <v>18.857142857142847</v>
      </c>
      <c r="O89">
        <f>N89-C86</f>
        <v>12.571428571428562</v>
      </c>
      <c r="P89">
        <f>O89-C86</f>
        <v>6.2857142857142767</v>
      </c>
      <c r="Q89">
        <v>0</v>
      </c>
    </row>
    <row r="90" spans="2:17" x14ac:dyDescent="0.25">
      <c r="B90" t="s">
        <v>54</v>
      </c>
      <c r="C90" s="24">
        <f>E41</f>
        <v>77.75</v>
      </c>
      <c r="D90" s="24">
        <f>C10</f>
        <v>1.5</v>
      </c>
      <c r="E90" s="24">
        <f>D10</f>
        <v>9.25</v>
      </c>
      <c r="F90" s="24">
        <f t="shared" ref="F90:Q90" si="24">E10</f>
        <v>2.5</v>
      </c>
      <c r="G90" s="24">
        <f t="shared" si="24"/>
        <v>3</v>
      </c>
      <c r="H90" s="24">
        <f t="shared" si="24"/>
        <v>5</v>
      </c>
      <c r="I90" s="24">
        <f t="shared" si="24"/>
        <v>7</v>
      </c>
      <c r="J90" s="24">
        <f t="shared" si="24"/>
        <v>7.5</v>
      </c>
      <c r="K90" s="24">
        <f t="shared" si="24"/>
        <v>2.5</v>
      </c>
      <c r="L90" s="24">
        <f t="shared" si="24"/>
        <v>9.5</v>
      </c>
      <c r="M90" s="24">
        <f t="shared" si="24"/>
        <v>8.5</v>
      </c>
      <c r="N90" s="24">
        <f t="shared" si="24"/>
        <v>6.5</v>
      </c>
      <c r="O90" s="24">
        <f t="shared" si="24"/>
        <v>6</v>
      </c>
      <c r="P90" s="24">
        <f t="shared" si="24"/>
        <v>5</v>
      </c>
      <c r="Q90" s="24">
        <f t="shared" si="24"/>
        <v>4</v>
      </c>
    </row>
    <row r="91" spans="2:17" x14ac:dyDescent="0.25">
      <c r="B91" t="s">
        <v>55</v>
      </c>
      <c r="C91" s="24">
        <f>C90</f>
        <v>77.75</v>
      </c>
      <c r="D91" s="24">
        <f>C91-D90</f>
        <v>76.25</v>
      </c>
      <c r="E91" s="24">
        <f>D91-E90</f>
        <v>67</v>
      </c>
      <c r="F91" s="24">
        <f t="shared" ref="F91:Q91" si="25">E91-F90</f>
        <v>64.5</v>
      </c>
      <c r="G91" s="24">
        <f t="shared" si="25"/>
        <v>61.5</v>
      </c>
      <c r="H91" s="24">
        <f t="shared" si="25"/>
        <v>56.5</v>
      </c>
      <c r="I91" s="24">
        <f t="shared" si="25"/>
        <v>49.5</v>
      </c>
      <c r="J91" s="24">
        <f t="shared" si="25"/>
        <v>42</v>
      </c>
      <c r="K91" s="24">
        <f t="shared" si="25"/>
        <v>39.5</v>
      </c>
      <c r="L91" s="24">
        <f t="shared" si="25"/>
        <v>30</v>
      </c>
      <c r="M91" s="24">
        <f t="shared" si="25"/>
        <v>21.5</v>
      </c>
      <c r="N91" s="24">
        <f t="shared" si="25"/>
        <v>15</v>
      </c>
      <c r="O91" s="24">
        <f t="shared" si="25"/>
        <v>9</v>
      </c>
      <c r="P91" s="24">
        <f t="shared" si="25"/>
        <v>4</v>
      </c>
      <c r="Q91" s="24">
        <f t="shared" si="25"/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tabSelected="1" topLeftCell="A40" zoomScale="115" zoomScaleNormal="115" workbookViewId="0">
      <selection activeCell="C51" sqref="C51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4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Setup!$B$3 + 63</f>
        <v>42317</v>
      </c>
      <c r="D4" s="15">
        <f xml:space="preserve"> C$4 + 1</f>
        <v>42318</v>
      </c>
      <c r="E4" s="15">
        <f t="shared" ref="E4:P4" si="0" xml:space="preserve"> D$4 + 1</f>
        <v>42319</v>
      </c>
      <c r="F4" s="15">
        <f t="shared" si="0"/>
        <v>42320</v>
      </c>
      <c r="G4" s="15">
        <f t="shared" si="0"/>
        <v>42321</v>
      </c>
      <c r="H4" s="15">
        <f t="shared" si="0"/>
        <v>42322</v>
      </c>
      <c r="I4" s="54">
        <f t="shared" si="0"/>
        <v>42323</v>
      </c>
      <c r="J4" s="55">
        <f t="shared" si="0"/>
        <v>42324</v>
      </c>
      <c r="K4" s="15">
        <f t="shared" si="0"/>
        <v>42325</v>
      </c>
      <c r="L4" s="15">
        <f t="shared" si="0"/>
        <v>42326</v>
      </c>
      <c r="M4" s="15">
        <f t="shared" si="0"/>
        <v>42327</v>
      </c>
      <c r="N4" s="15">
        <f t="shared" si="0"/>
        <v>42328</v>
      </c>
      <c r="O4" s="15">
        <f t="shared" si="0"/>
        <v>42329</v>
      </c>
      <c r="P4" s="54">
        <f t="shared" si="0"/>
        <v>42330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4.75</v>
      </c>
      <c r="D6" s="33">
        <v>0.75</v>
      </c>
      <c r="E6" s="33">
        <v>0</v>
      </c>
      <c r="F6" s="33">
        <v>1.5</v>
      </c>
      <c r="G6" s="33">
        <v>1</v>
      </c>
      <c r="H6" s="33">
        <v>0</v>
      </c>
      <c r="I6" s="33">
        <v>2.5</v>
      </c>
      <c r="J6" s="59">
        <v>0</v>
      </c>
      <c r="K6" s="32">
        <v>4</v>
      </c>
      <c r="L6" s="32">
        <v>0</v>
      </c>
      <c r="M6" s="32">
        <v>1.5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0.75</v>
      </c>
      <c r="E7" s="33">
        <v>3</v>
      </c>
      <c r="F7" s="33">
        <v>1.5</v>
      </c>
      <c r="G7" s="33">
        <v>1</v>
      </c>
      <c r="H7" s="33">
        <v>0</v>
      </c>
      <c r="I7" s="33">
        <v>0</v>
      </c>
      <c r="J7" s="59">
        <v>0</v>
      </c>
      <c r="K7" s="32">
        <v>4</v>
      </c>
      <c r="L7" s="32">
        <v>0</v>
      </c>
      <c r="M7" s="32">
        <v>1.5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2</v>
      </c>
      <c r="D8" s="33">
        <v>0</v>
      </c>
      <c r="E8" s="33">
        <v>1</v>
      </c>
      <c r="F8" s="33">
        <v>2</v>
      </c>
      <c r="G8" s="33">
        <v>0</v>
      </c>
      <c r="H8" s="33">
        <v>1</v>
      </c>
      <c r="I8" s="33">
        <v>0</v>
      </c>
      <c r="J8" s="59">
        <v>3</v>
      </c>
      <c r="K8" s="32">
        <v>4</v>
      </c>
      <c r="L8" s="32">
        <v>2</v>
      </c>
      <c r="M8" s="32">
        <v>1.5</v>
      </c>
      <c r="N8" s="32">
        <v>1</v>
      </c>
      <c r="O8" s="32">
        <v>2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1</v>
      </c>
      <c r="D9" s="33">
        <v>2</v>
      </c>
      <c r="E9" s="33">
        <v>0</v>
      </c>
      <c r="F9" s="33">
        <v>1</v>
      </c>
      <c r="G9" s="33">
        <v>0.5</v>
      </c>
      <c r="H9" s="33">
        <v>1</v>
      </c>
      <c r="I9" s="33">
        <v>3</v>
      </c>
      <c r="J9" s="59">
        <v>3</v>
      </c>
      <c r="K9" s="32">
        <v>3</v>
      </c>
      <c r="L9" s="32">
        <v>3</v>
      </c>
      <c r="M9" s="32">
        <v>2.5</v>
      </c>
      <c r="N9" s="32">
        <v>1</v>
      </c>
      <c r="O9" s="32">
        <v>1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7.75</v>
      </c>
      <c r="D10" s="21">
        <f t="shared" ref="D10:P10" si="1" xml:space="preserve"> SUM(D6:D9)</f>
        <v>3.5</v>
      </c>
      <c r="E10" s="21">
        <f t="shared" si="1"/>
        <v>4</v>
      </c>
      <c r="F10" s="21">
        <f t="shared" si="1"/>
        <v>6</v>
      </c>
      <c r="G10" s="21">
        <f t="shared" si="1"/>
        <v>2.5</v>
      </c>
      <c r="H10" s="21">
        <f t="shared" si="1"/>
        <v>2</v>
      </c>
      <c r="I10" s="60">
        <f t="shared" si="1"/>
        <v>5.5</v>
      </c>
      <c r="J10" s="61">
        <f t="shared" si="1"/>
        <v>6</v>
      </c>
      <c r="K10" s="21">
        <f t="shared" si="1"/>
        <v>15</v>
      </c>
      <c r="L10" s="21">
        <f t="shared" si="1"/>
        <v>5</v>
      </c>
      <c r="M10" s="21">
        <f t="shared" si="1"/>
        <v>7</v>
      </c>
      <c r="N10" s="21">
        <f t="shared" si="1"/>
        <v>2</v>
      </c>
      <c r="O10" s="21">
        <f t="shared" si="1"/>
        <v>3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4.75</v>
      </c>
      <c r="D12" s="22">
        <f t="shared" ref="D12:P12" si="2" xml:space="preserve"> C$12 + D$6</f>
        <v>5.5</v>
      </c>
      <c r="E12" s="22">
        <f t="shared" si="2"/>
        <v>5.5</v>
      </c>
      <c r="F12" s="22">
        <f t="shared" si="2"/>
        <v>7</v>
      </c>
      <c r="G12" s="22">
        <f t="shared" si="2"/>
        <v>8</v>
      </c>
      <c r="H12" s="22">
        <f t="shared" si="2"/>
        <v>8</v>
      </c>
      <c r="I12" s="62">
        <f t="shared" si="2"/>
        <v>10.5</v>
      </c>
      <c r="J12" s="63">
        <f t="shared" si="2"/>
        <v>10.5</v>
      </c>
      <c r="K12" s="22">
        <f t="shared" si="2"/>
        <v>14.5</v>
      </c>
      <c r="L12" s="22">
        <f t="shared" si="2"/>
        <v>14.5</v>
      </c>
      <c r="M12" s="22">
        <f t="shared" si="2"/>
        <v>16</v>
      </c>
      <c r="N12" s="22">
        <f t="shared" si="2"/>
        <v>16</v>
      </c>
      <c r="O12" s="22">
        <f t="shared" si="2"/>
        <v>16</v>
      </c>
      <c r="P12" s="62">
        <f t="shared" si="2"/>
        <v>16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0.75</v>
      </c>
      <c r="E13" s="22">
        <f t="shared" si="3"/>
        <v>3.75</v>
      </c>
      <c r="F13" s="22">
        <f t="shared" si="3"/>
        <v>5.25</v>
      </c>
      <c r="G13" s="22">
        <f t="shared" si="3"/>
        <v>6.25</v>
      </c>
      <c r="H13" s="22">
        <f t="shared" si="3"/>
        <v>6.25</v>
      </c>
      <c r="I13" s="62">
        <f t="shared" si="3"/>
        <v>6.25</v>
      </c>
      <c r="J13" s="63">
        <f t="shared" si="3"/>
        <v>6.25</v>
      </c>
      <c r="K13" s="22">
        <f t="shared" si="3"/>
        <v>10.25</v>
      </c>
      <c r="L13" s="22">
        <f t="shared" si="3"/>
        <v>10.25</v>
      </c>
      <c r="M13" s="22">
        <f t="shared" si="3"/>
        <v>11.75</v>
      </c>
      <c r="N13" s="22">
        <f t="shared" si="3"/>
        <v>11.75</v>
      </c>
      <c r="O13" s="22">
        <f t="shared" si="3"/>
        <v>11.75</v>
      </c>
      <c r="P13" s="62">
        <f t="shared" si="3"/>
        <v>11.75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2</v>
      </c>
      <c r="D14" s="22">
        <f t="shared" ref="D14:P14" si="4" xml:space="preserve"> C$14 + D$8</f>
        <v>2</v>
      </c>
      <c r="E14" s="22">
        <f t="shared" si="4"/>
        <v>3</v>
      </c>
      <c r="F14" s="22">
        <f t="shared" si="4"/>
        <v>5</v>
      </c>
      <c r="G14" s="22">
        <f t="shared" si="4"/>
        <v>5</v>
      </c>
      <c r="H14" s="22">
        <f t="shared" si="4"/>
        <v>6</v>
      </c>
      <c r="I14" s="62">
        <f t="shared" si="4"/>
        <v>6</v>
      </c>
      <c r="J14" s="63">
        <f t="shared" si="4"/>
        <v>9</v>
      </c>
      <c r="K14" s="22">
        <f t="shared" si="4"/>
        <v>13</v>
      </c>
      <c r="L14" s="22">
        <f t="shared" si="4"/>
        <v>15</v>
      </c>
      <c r="M14" s="22">
        <f t="shared" si="4"/>
        <v>16.5</v>
      </c>
      <c r="N14" s="22">
        <f t="shared" si="4"/>
        <v>17.5</v>
      </c>
      <c r="O14" s="22">
        <f t="shared" si="4"/>
        <v>19.5</v>
      </c>
      <c r="P14" s="62">
        <f t="shared" si="4"/>
        <v>19.5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1</v>
      </c>
      <c r="D15" s="22">
        <f t="shared" ref="D15:P15" si="5" xml:space="preserve"> C$15 + D$9</f>
        <v>3</v>
      </c>
      <c r="E15" s="22">
        <f t="shared" si="5"/>
        <v>3</v>
      </c>
      <c r="F15" s="22">
        <f t="shared" si="5"/>
        <v>4</v>
      </c>
      <c r="G15" s="22">
        <f t="shared" si="5"/>
        <v>4.5</v>
      </c>
      <c r="H15" s="22">
        <f t="shared" si="5"/>
        <v>5.5</v>
      </c>
      <c r="I15" s="62">
        <f t="shared" si="5"/>
        <v>8.5</v>
      </c>
      <c r="J15" s="63">
        <f t="shared" si="5"/>
        <v>11.5</v>
      </c>
      <c r="K15" s="22">
        <f t="shared" si="5"/>
        <v>14.5</v>
      </c>
      <c r="L15" s="22">
        <f t="shared" si="5"/>
        <v>17.5</v>
      </c>
      <c r="M15" s="22">
        <f t="shared" si="5"/>
        <v>20</v>
      </c>
      <c r="N15" s="22">
        <f t="shared" si="5"/>
        <v>21</v>
      </c>
      <c r="O15" s="22">
        <f t="shared" si="5"/>
        <v>22</v>
      </c>
      <c r="P15" s="62">
        <f t="shared" si="5"/>
        <v>22</v>
      </c>
    </row>
    <row r="16" spans="1:16" ht="16.5" thickBot="1" x14ac:dyDescent="0.3">
      <c r="A16" s="85"/>
      <c r="B16" s="18" t="s">
        <v>19</v>
      </c>
      <c r="C16" s="21">
        <f xml:space="preserve"> SUM(C12:C15)</f>
        <v>7.75</v>
      </c>
      <c r="D16" s="21">
        <f t="shared" ref="D16:P16" si="6" xml:space="preserve"> SUM(D12:D15)</f>
        <v>11.25</v>
      </c>
      <c r="E16" s="21">
        <f t="shared" si="6"/>
        <v>15.25</v>
      </c>
      <c r="F16" s="21">
        <f t="shared" si="6"/>
        <v>21.25</v>
      </c>
      <c r="G16" s="21">
        <f t="shared" si="6"/>
        <v>23.75</v>
      </c>
      <c r="H16" s="21">
        <f t="shared" si="6"/>
        <v>25.75</v>
      </c>
      <c r="I16" s="60">
        <f t="shared" si="6"/>
        <v>31.25</v>
      </c>
      <c r="J16" s="61">
        <f t="shared" si="6"/>
        <v>37.25</v>
      </c>
      <c r="K16" s="21">
        <f t="shared" si="6"/>
        <v>52.25</v>
      </c>
      <c r="L16" s="21">
        <f t="shared" si="6"/>
        <v>57.25</v>
      </c>
      <c r="M16" s="21">
        <f t="shared" si="6"/>
        <v>64.25</v>
      </c>
      <c r="N16" s="21">
        <f t="shared" si="6"/>
        <v>66.25</v>
      </c>
      <c r="O16" s="21">
        <f t="shared" si="6"/>
        <v>69.25</v>
      </c>
      <c r="P16" s="60">
        <f t="shared" si="6"/>
        <v>69.25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1</v>
      </c>
      <c r="K18" s="32">
        <v>0</v>
      </c>
      <c r="L18" s="32">
        <v>0</v>
      </c>
      <c r="M18" s="32">
        <v>0</v>
      </c>
      <c r="N18" s="32">
        <v>2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0.75</v>
      </c>
      <c r="K19" s="32">
        <v>0</v>
      </c>
      <c r="L19" s="32">
        <v>0</v>
      </c>
      <c r="M19" s="32">
        <v>0</v>
      </c>
      <c r="N19" s="32">
        <v>2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1.5</v>
      </c>
      <c r="K20" s="32">
        <v>0</v>
      </c>
      <c r="L20" s="32">
        <v>0</v>
      </c>
      <c r="M20" s="32">
        <v>0</v>
      </c>
      <c r="N20" s="32">
        <v>2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1</v>
      </c>
      <c r="K21" s="32">
        <v>0</v>
      </c>
      <c r="L21" s="32">
        <v>0</v>
      </c>
      <c r="M21" s="32">
        <v>0</v>
      </c>
      <c r="N21" s="32">
        <v>2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4.25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8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1</v>
      </c>
      <c r="K24" s="22">
        <f t="shared" si="8"/>
        <v>1</v>
      </c>
      <c r="L24" s="22">
        <f t="shared" si="8"/>
        <v>1</v>
      </c>
      <c r="M24" s="22">
        <f t="shared" si="8"/>
        <v>1</v>
      </c>
      <c r="N24" s="22">
        <f t="shared" si="8"/>
        <v>3</v>
      </c>
      <c r="O24" s="22">
        <f t="shared" si="8"/>
        <v>3</v>
      </c>
      <c r="P24" s="62">
        <f t="shared" si="8"/>
        <v>3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0.75</v>
      </c>
      <c r="K25" s="22">
        <f t="shared" si="9"/>
        <v>0.75</v>
      </c>
      <c r="L25" s="22">
        <f t="shared" si="9"/>
        <v>0.75</v>
      </c>
      <c r="M25" s="22">
        <f t="shared" si="9"/>
        <v>0.75</v>
      </c>
      <c r="N25" s="22">
        <f t="shared" si="9"/>
        <v>2.75</v>
      </c>
      <c r="O25" s="22">
        <f t="shared" si="9"/>
        <v>2.75</v>
      </c>
      <c r="P25" s="62">
        <f t="shared" si="9"/>
        <v>2.75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1.5</v>
      </c>
      <c r="K26" s="22">
        <f t="shared" si="10"/>
        <v>1.5</v>
      </c>
      <c r="L26" s="22">
        <f t="shared" si="10"/>
        <v>1.5</v>
      </c>
      <c r="M26" s="22">
        <f t="shared" si="10"/>
        <v>1.5</v>
      </c>
      <c r="N26" s="22">
        <f t="shared" si="10"/>
        <v>3.5</v>
      </c>
      <c r="O26" s="22">
        <f t="shared" si="10"/>
        <v>3.5</v>
      </c>
      <c r="P26" s="62">
        <f t="shared" si="10"/>
        <v>3.5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1</v>
      </c>
      <c r="K27" s="22">
        <f t="shared" si="11"/>
        <v>1</v>
      </c>
      <c r="L27" s="22">
        <f t="shared" si="11"/>
        <v>1</v>
      </c>
      <c r="M27" s="22">
        <f t="shared" si="11"/>
        <v>1</v>
      </c>
      <c r="N27" s="22">
        <f t="shared" si="11"/>
        <v>3</v>
      </c>
      <c r="O27" s="22">
        <f t="shared" si="11"/>
        <v>3</v>
      </c>
      <c r="P27" s="62">
        <f t="shared" si="11"/>
        <v>3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4.25</v>
      </c>
      <c r="K28" s="21">
        <f t="shared" si="12"/>
        <v>4.25</v>
      </c>
      <c r="L28" s="21">
        <f t="shared" si="12"/>
        <v>4.25</v>
      </c>
      <c r="M28" s="21">
        <f t="shared" si="12"/>
        <v>4.25</v>
      </c>
      <c r="N28" s="21">
        <f t="shared" si="12"/>
        <v>12.25</v>
      </c>
      <c r="O28" s="21">
        <f t="shared" si="12"/>
        <v>12.25</v>
      </c>
      <c r="P28" s="60">
        <f t="shared" si="12"/>
        <v>12.25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4.75</v>
      </c>
      <c r="D30" s="22">
        <f xml:space="preserve"> (D$12 + D$24) / D$5</f>
        <v>2.75</v>
      </c>
      <c r="E30" s="22">
        <f t="shared" ref="E30:P30" si="13" xml:space="preserve"> (E$12 + E$24) / E$5</f>
        <v>1.8333333333333333</v>
      </c>
      <c r="F30" s="22">
        <f t="shared" si="13"/>
        <v>1.75</v>
      </c>
      <c r="G30" s="22">
        <f t="shared" si="13"/>
        <v>1.6</v>
      </c>
      <c r="H30" s="22">
        <f t="shared" si="13"/>
        <v>1.3333333333333333</v>
      </c>
      <c r="I30" s="62">
        <f t="shared" si="13"/>
        <v>1.5</v>
      </c>
      <c r="J30" s="63">
        <f t="shared" si="13"/>
        <v>1.4375</v>
      </c>
      <c r="K30" s="22">
        <f t="shared" si="13"/>
        <v>1.7222222222222223</v>
      </c>
      <c r="L30" s="22">
        <f t="shared" si="13"/>
        <v>1.55</v>
      </c>
      <c r="M30" s="22">
        <f t="shared" si="13"/>
        <v>1.5454545454545454</v>
      </c>
      <c r="N30" s="22">
        <f t="shared" si="13"/>
        <v>1.5833333333333333</v>
      </c>
      <c r="O30" s="22">
        <f t="shared" si="13"/>
        <v>1.4615384615384615</v>
      </c>
      <c r="P30" s="62">
        <f t="shared" si="13"/>
        <v>1.3571428571428572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0.375</v>
      </c>
      <c r="E31" s="22">
        <f t="shared" ref="E31:P31" si="14" xml:space="preserve"> (E$13 + E$25) / E$5</f>
        <v>1.25</v>
      </c>
      <c r="F31" s="22">
        <f t="shared" si="14"/>
        <v>1.3125</v>
      </c>
      <c r="G31" s="22">
        <f t="shared" si="14"/>
        <v>1.25</v>
      </c>
      <c r="H31" s="22">
        <f t="shared" si="14"/>
        <v>1.0416666666666667</v>
      </c>
      <c r="I31" s="62">
        <f t="shared" si="14"/>
        <v>0.8928571428571429</v>
      </c>
      <c r="J31" s="63">
        <f t="shared" si="14"/>
        <v>0.875</v>
      </c>
      <c r="K31" s="22">
        <f t="shared" si="14"/>
        <v>1.2222222222222223</v>
      </c>
      <c r="L31" s="22">
        <f t="shared" si="14"/>
        <v>1.1000000000000001</v>
      </c>
      <c r="M31" s="22">
        <f t="shared" si="14"/>
        <v>1.1363636363636365</v>
      </c>
      <c r="N31" s="22">
        <f t="shared" si="14"/>
        <v>1.2083333333333333</v>
      </c>
      <c r="O31" s="22">
        <f t="shared" si="14"/>
        <v>1.1153846153846154</v>
      </c>
      <c r="P31" s="62">
        <f t="shared" si="14"/>
        <v>1.0357142857142858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2</v>
      </c>
      <c r="D32" s="22">
        <f xml:space="preserve"> (D$14 + D$26) / D$5</f>
        <v>1</v>
      </c>
      <c r="E32" s="22">
        <f t="shared" ref="E32:P32" si="15" xml:space="preserve"> (E$14 + E$26) / E$5</f>
        <v>1</v>
      </c>
      <c r="F32" s="22">
        <f t="shared" si="15"/>
        <v>1.25</v>
      </c>
      <c r="G32" s="22">
        <f t="shared" si="15"/>
        <v>1</v>
      </c>
      <c r="H32" s="22">
        <f t="shared" si="15"/>
        <v>1</v>
      </c>
      <c r="I32" s="62">
        <f t="shared" si="15"/>
        <v>0.8571428571428571</v>
      </c>
      <c r="J32" s="63">
        <f t="shared" si="15"/>
        <v>1.3125</v>
      </c>
      <c r="K32" s="22">
        <f t="shared" si="15"/>
        <v>1.6111111111111112</v>
      </c>
      <c r="L32" s="22">
        <f t="shared" si="15"/>
        <v>1.65</v>
      </c>
      <c r="M32" s="22">
        <f t="shared" si="15"/>
        <v>1.6363636363636365</v>
      </c>
      <c r="N32" s="22">
        <f t="shared" si="15"/>
        <v>1.75</v>
      </c>
      <c r="O32" s="22">
        <f t="shared" si="15"/>
        <v>1.7692307692307692</v>
      </c>
      <c r="P32" s="62">
        <f t="shared" si="15"/>
        <v>1.6428571428571428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1</v>
      </c>
      <c r="D33" s="22">
        <f xml:space="preserve"> (D$15 + D$27) / D$5</f>
        <v>1.5</v>
      </c>
      <c r="E33" s="22">
        <f t="shared" ref="E33:P33" si="16" xml:space="preserve"> (E$15 + E$27) / E$5</f>
        <v>1</v>
      </c>
      <c r="F33" s="22">
        <f t="shared" si="16"/>
        <v>1</v>
      </c>
      <c r="G33" s="22">
        <f t="shared" si="16"/>
        <v>0.9</v>
      </c>
      <c r="H33" s="22">
        <f t="shared" si="16"/>
        <v>0.91666666666666663</v>
      </c>
      <c r="I33" s="62">
        <f t="shared" si="16"/>
        <v>1.2142857142857142</v>
      </c>
      <c r="J33" s="63">
        <f t="shared" si="16"/>
        <v>1.5625</v>
      </c>
      <c r="K33" s="22">
        <f t="shared" si="16"/>
        <v>1.7222222222222223</v>
      </c>
      <c r="L33" s="22">
        <f t="shared" si="16"/>
        <v>1.85</v>
      </c>
      <c r="M33" s="22">
        <f t="shared" si="16"/>
        <v>1.9090909090909092</v>
      </c>
      <c r="N33" s="22">
        <f t="shared" si="16"/>
        <v>2</v>
      </c>
      <c r="O33" s="22">
        <f t="shared" si="16"/>
        <v>1.9230769230769231</v>
      </c>
      <c r="P33" s="62">
        <f t="shared" si="16"/>
        <v>1.7857142857142858</v>
      </c>
    </row>
    <row r="34" spans="1:16" ht="16.5" thickBot="1" x14ac:dyDescent="0.3">
      <c r="A34" s="79"/>
      <c r="B34" s="18" t="s">
        <v>19</v>
      </c>
      <c r="C34" s="21">
        <f xml:space="preserve"> SUM(C30:C33)</f>
        <v>7.75</v>
      </c>
      <c r="D34" s="21">
        <f t="shared" ref="D34:P34" si="17" xml:space="preserve"> SUM(D30:D33)</f>
        <v>5.625</v>
      </c>
      <c r="E34" s="21">
        <f t="shared" si="17"/>
        <v>5.083333333333333</v>
      </c>
      <c r="F34" s="21">
        <f t="shared" si="17"/>
        <v>5.3125</v>
      </c>
      <c r="G34" s="21">
        <f t="shared" si="17"/>
        <v>4.75</v>
      </c>
      <c r="H34" s="21">
        <f t="shared" si="17"/>
        <v>4.291666666666667</v>
      </c>
      <c r="I34" s="60">
        <f t="shared" si="17"/>
        <v>4.4642857142857144</v>
      </c>
      <c r="J34" s="61">
        <f t="shared" si="17"/>
        <v>5.1875</v>
      </c>
      <c r="K34" s="21">
        <f t="shared" si="17"/>
        <v>6.2777777777777777</v>
      </c>
      <c r="L34" s="21">
        <f t="shared" si="17"/>
        <v>6.15</v>
      </c>
      <c r="M34" s="21">
        <f t="shared" si="17"/>
        <v>6.2272727272727275</v>
      </c>
      <c r="N34" s="21">
        <f t="shared" si="17"/>
        <v>6.5416666666666661</v>
      </c>
      <c r="O34" s="21">
        <f t="shared" si="17"/>
        <v>6.2692307692307692</v>
      </c>
      <c r="P34" s="60">
        <f t="shared" si="17"/>
        <v>5.8214285714285721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10.5</v>
      </c>
      <c r="D37" s="24">
        <f xml:space="preserve"> SUM(J6:P6) + SUM(J18:P18)</f>
        <v>8.5</v>
      </c>
      <c r="E37" s="24">
        <f xml:space="preserve"> SUM(C37:D37)</f>
        <v>19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6.25</v>
      </c>
      <c r="D38" s="24">
        <f t="shared" ref="D38:D40" si="19" xml:space="preserve"> SUM(J7:P7) + SUM(J19:P19)</f>
        <v>8.25</v>
      </c>
      <c r="E38" s="24">
        <f xml:space="preserve"> SUM(C38:D38)</f>
        <v>14.5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6</v>
      </c>
      <c r="D39" s="24">
        <f t="shared" si="19"/>
        <v>17</v>
      </c>
      <c r="E39" s="24">
        <f xml:space="preserve"> SUM(C39:D39)</f>
        <v>23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8.5</v>
      </c>
      <c r="D40" s="24">
        <f t="shared" si="19"/>
        <v>16.5</v>
      </c>
      <c r="E40" s="24">
        <f xml:space="preserve"> SUM(C40:D40)</f>
        <v>25</v>
      </c>
    </row>
    <row r="41" spans="1:16" ht="16.5" thickBot="1" x14ac:dyDescent="0.3">
      <c r="A41" s="79"/>
      <c r="B41" s="18" t="s">
        <v>19</v>
      </c>
      <c r="C41" s="21">
        <f xml:space="preserve"> SUM(C37:C40)</f>
        <v>31.25</v>
      </c>
      <c r="D41" s="21">
        <f t="shared" ref="D41" si="20" xml:space="preserve"> SUM(D37:D40)</f>
        <v>50.25</v>
      </c>
      <c r="E41" s="21">
        <f xml:space="preserve"> SUM(C41:D41)</f>
        <v>81.5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10.5</v>
      </c>
      <c r="D43" s="24">
        <f xml:space="preserve"> SUM(C37:D37) / D$36</f>
        <v>9.5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6.25</v>
      </c>
      <c r="D44" s="24">
        <f t="shared" ref="D44:D46" si="22" xml:space="preserve"> SUM(C38:D38) / D$36</f>
        <v>7.25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6</v>
      </c>
      <c r="D45" s="24">
        <f t="shared" si="22"/>
        <v>11.5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8.5</v>
      </c>
      <c r="D46" s="24">
        <f t="shared" si="22"/>
        <v>12.5</v>
      </c>
    </row>
    <row r="47" spans="1:16" ht="16.5" thickBot="1" x14ac:dyDescent="0.3">
      <c r="A47" s="79"/>
      <c r="B47" s="18" t="s">
        <v>19</v>
      </c>
      <c r="C47" s="21">
        <f xml:space="preserve"> SUM(C43:C46)</f>
        <v>31.25</v>
      </c>
      <c r="D47" s="21">
        <f t="shared" ref="D47" si="23" xml:space="preserve"> SUM(D43:D46)</f>
        <v>40.75</v>
      </c>
    </row>
    <row r="86" spans="2:17" x14ac:dyDescent="0.25">
      <c r="B86" t="s">
        <v>51</v>
      </c>
      <c r="C86">
        <f>C87/14</f>
        <v>6</v>
      </c>
    </row>
    <row r="87" spans="2:17" x14ac:dyDescent="0.25">
      <c r="B87" t="s">
        <v>52</v>
      </c>
      <c r="C87">
        <v>84</v>
      </c>
    </row>
    <row r="88" spans="2:17" x14ac:dyDescent="0.25">
      <c r="B88" t="s">
        <v>49</v>
      </c>
      <c r="C88">
        <v>0</v>
      </c>
      <c r="D88">
        <v>1</v>
      </c>
      <c r="E88">
        <v>2</v>
      </c>
      <c r="F88">
        <v>3</v>
      </c>
      <c r="G88">
        <v>4</v>
      </c>
      <c r="H88">
        <v>5</v>
      </c>
      <c r="I88">
        <v>6</v>
      </c>
      <c r="J88">
        <v>7</v>
      </c>
      <c r="K88">
        <v>8</v>
      </c>
      <c r="L88">
        <v>9</v>
      </c>
      <c r="M88">
        <v>10</v>
      </c>
      <c r="N88">
        <v>11</v>
      </c>
      <c r="O88">
        <v>12</v>
      </c>
      <c r="P88">
        <v>13</v>
      </c>
      <c r="Q88">
        <v>14</v>
      </c>
    </row>
    <row r="89" spans="2:17" x14ac:dyDescent="0.25">
      <c r="B89" t="s">
        <v>53</v>
      </c>
      <c r="C89">
        <f>C87</f>
        <v>84</v>
      </c>
      <c r="D89">
        <f>C89-C86</f>
        <v>78</v>
      </c>
      <c r="E89">
        <f>D89-C86</f>
        <v>72</v>
      </c>
      <c r="F89">
        <f>E89-C86</f>
        <v>66</v>
      </c>
      <c r="G89">
        <f>F89-C86</f>
        <v>60</v>
      </c>
      <c r="H89">
        <f>G89-C86</f>
        <v>54</v>
      </c>
      <c r="I89">
        <f>H89-C86</f>
        <v>48</v>
      </c>
      <c r="J89">
        <f>I89-C86</f>
        <v>42</v>
      </c>
      <c r="K89">
        <f>J89-C86</f>
        <v>36</v>
      </c>
      <c r="L89">
        <f>K89-C86</f>
        <v>30</v>
      </c>
      <c r="M89">
        <f>L89-C86</f>
        <v>24</v>
      </c>
      <c r="N89">
        <f>M89-C86</f>
        <v>18</v>
      </c>
      <c r="O89">
        <f>N89-C86</f>
        <v>12</v>
      </c>
      <c r="P89">
        <f>O89-C86</f>
        <v>6</v>
      </c>
      <c r="Q89">
        <v>0</v>
      </c>
    </row>
    <row r="90" spans="2:17" x14ac:dyDescent="0.25">
      <c r="B90" t="s">
        <v>54</v>
      </c>
      <c r="C90" s="24">
        <f>E41</f>
        <v>81.5</v>
      </c>
      <c r="D90" s="24">
        <f>C10</f>
        <v>7.75</v>
      </c>
      <c r="E90" s="24">
        <f>D10</f>
        <v>3.5</v>
      </c>
      <c r="F90" s="24">
        <f t="shared" ref="F90:Q90" si="24">E10</f>
        <v>4</v>
      </c>
      <c r="G90" s="24">
        <f t="shared" si="24"/>
        <v>6</v>
      </c>
      <c r="H90" s="24">
        <f t="shared" si="24"/>
        <v>2.5</v>
      </c>
      <c r="I90" s="24">
        <f t="shared" si="24"/>
        <v>2</v>
      </c>
      <c r="J90" s="24">
        <f t="shared" si="24"/>
        <v>5.5</v>
      </c>
      <c r="K90" s="24">
        <f t="shared" si="24"/>
        <v>6</v>
      </c>
      <c r="L90" s="24">
        <f t="shared" si="24"/>
        <v>15</v>
      </c>
      <c r="M90" s="24">
        <f t="shared" si="24"/>
        <v>5</v>
      </c>
      <c r="N90" s="24">
        <f t="shared" si="24"/>
        <v>7</v>
      </c>
      <c r="O90" s="24">
        <f t="shared" si="24"/>
        <v>2</v>
      </c>
      <c r="P90" s="24">
        <f t="shared" si="24"/>
        <v>3</v>
      </c>
      <c r="Q90" s="24">
        <f t="shared" si="24"/>
        <v>0</v>
      </c>
    </row>
    <row r="91" spans="2:17" x14ac:dyDescent="0.25">
      <c r="B91" t="s">
        <v>55</v>
      </c>
      <c r="C91" s="24">
        <f>C90</f>
        <v>81.5</v>
      </c>
      <c r="D91" s="24">
        <f>C91-D90</f>
        <v>73.75</v>
      </c>
      <c r="E91" s="24">
        <f>D91-E90</f>
        <v>70.25</v>
      </c>
      <c r="F91" s="24">
        <f t="shared" ref="F91:Q91" si="25">E91-F90</f>
        <v>66.25</v>
      </c>
      <c r="G91" s="24">
        <f t="shared" si="25"/>
        <v>60.25</v>
      </c>
      <c r="H91" s="24">
        <f t="shared" si="25"/>
        <v>57.75</v>
      </c>
      <c r="I91" s="24">
        <f t="shared" si="25"/>
        <v>55.75</v>
      </c>
      <c r="J91" s="24">
        <f t="shared" si="25"/>
        <v>50.25</v>
      </c>
      <c r="K91" s="24">
        <f t="shared" si="25"/>
        <v>44.25</v>
      </c>
      <c r="L91" s="24">
        <f t="shared" si="25"/>
        <v>29.25</v>
      </c>
      <c r="M91" s="24">
        <f t="shared" si="25"/>
        <v>24.25</v>
      </c>
      <c r="N91" s="24">
        <f t="shared" si="25"/>
        <v>17.25</v>
      </c>
      <c r="O91" s="24">
        <f t="shared" si="25"/>
        <v>15.25</v>
      </c>
      <c r="P91" s="24">
        <f t="shared" si="25"/>
        <v>12.25</v>
      </c>
      <c r="Q91" s="24">
        <f t="shared" si="25"/>
        <v>12.25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4" sqref="C4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5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</f>
        <v>42380</v>
      </c>
      <c r="D4" s="15">
        <f xml:space="preserve"> C$4 + 1</f>
        <v>42381</v>
      </c>
      <c r="E4" s="15">
        <f t="shared" ref="E4:P4" si="0" xml:space="preserve"> D$4 + 1</f>
        <v>42382</v>
      </c>
      <c r="F4" s="15">
        <f t="shared" si="0"/>
        <v>42383</v>
      </c>
      <c r="G4" s="15">
        <f t="shared" si="0"/>
        <v>42384</v>
      </c>
      <c r="H4" s="15">
        <f t="shared" si="0"/>
        <v>42385</v>
      </c>
      <c r="I4" s="54">
        <f t="shared" si="0"/>
        <v>42386</v>
      </c>
      <c r="J4" s="55">
        <f t="shared" si="0"/>
        <v>42387</v>
      </c>
      <c r="K4" s="15">
        <f t="shared" si="0"/>
        <v>42388</v>
      </c>
      <c r="L4" s="15">
        <f t="shared" si="0"/>
        <v>42389</v>
      </c>
      <c r="M4" s="15">
        <f t="shared" si="0"/>
        <v>42390</v>
      </c>
      <c r="N4" s="15">
        <f t="shared" si="0"/>
        <v>42391</v>
      </c>
      <c r="O4" s="15">
        <f t="shared" si="0"/>
        <v>42392</v>
      </c>
      <c r="P4" s="54">
        <f t="shared" si="0"/>
        <v>42393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5" thickBot="1" x14ac:dyDescent="0.3">
      <c r="A41" s="79"/>
      <c r="B41" s="18" t="s">
        <v>19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5" thickBot="1" x14ac:dyDescent="0.3">
      <c r="A47" s="79"/>
      <c r="B47" s="18" t="s">
        <v>19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5" sqref="C5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6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+14</f>
        <v>42394</v>
      </c>
      <c r="D4" s="15">
        <f xml:space="preserve"> C$4 + 1</f>
        <v>42395</v>
      </c>
      <c r="E4" s="15">
        <f t="shared" ref="E4:P4" si="0" xml:space="preserve"> D$4 + 1</f>
        <v>42396</v>
      </c>
      <c r="F4" s="15">
        <f t="shared" si="0"/>
        <v>42397</v>
      </c>
      <c r="G4" s="15">
        <f t="shared" si="0"/>
        <v>42398</v>
      </c>
      <c r="H4" s="15">
        <f t="shared" si="0"/>
        <v>42399</v>
      </c>
      <c r="I4" s="54">
        <f t="shared" si="0"/>
        <v>42400</v>
      </c>
      <c r="J4" s="55">
        <f t="shared" si="0"/>
        <v>42401</v>
      </c>
      <c r="K4" s="15">
        <f t="shared" si="0"/>
        <v>42402</v>
      </c>
      <c r="L4" s="15">
        <f t="shared" si="0"/>
        <v>42403</v>
      </c>
      <c r="M4" s="15">
        <f t="shared" si="0"/>
        <v>42404</v>
      </c>
      <c r="N4" s="15">
        <f t="shared" si="0"/>
        <v>42405</v>
      </c>
      <c r="O4" s="15">
        <f t="shared" si="0"/>
        <v>42406</v>
      </c>
      <c r="P4" s="54">
        <f t="shared" si="0"/>
        <v>42407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5" thickBot="1" x14ac:dyDescent="0.3">
      <c r="A41" s="79"/>
      <c r="B41" s="18" t="s">
        <v>19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5" thickBot="1" x14ac:dyDescent="0.3">
      <c r="A47" s="79"/>
      <c r="B47" s="18" t="s">
        <v>19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5" sqref="C5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7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+28</f>
        <v>42408</v>
      </c>
      <c r="D4" s="15">
        <f xml:space="preserve"> C$4 + 1</f>
        <v>42409</v>
      </c>
      <c r="E4" s="15">
        <f t="shared" ref="E4:P4" si="0" xml:space="preserve"> D$4 + 1</f>
        <v>42410</v>
      </c>
      <c r="F4" s="15">
        <f t="shared" si="0"/>
        <v>42411</v>
      </c>
      <c r="G4" s="15">
        <f t="shared" si="0"/>
        <v>42412</v>
      </c>
      <c r="H4" s="15">
        <f t="shared" si="0"/>
        <v>42413</v>
      </c>
      <c r="I4" s="54">
        <f t="shared" si="0"/>
        <v>42414</v>
      </c>
      <c r="J4" s="55">
        <f t="shared" si="0"/>
        <v>42415</v>
      </c>
      <c r="K4" s="15">
        <f t="shared" si="0"/>
        <v>42416</v>
      </c>
      <c r="L4" s="15">
        <f t="shared" si="0"/>
        <v>42417</v>
      </c>
      <c r="M4" s="15">
        <f t="shared" si="0"/>
        <v>42418</v>
      </c>
      <c r="N4" s="15">
        <f t="shared" si="0"/>
        <v>42419</v>
      </c>
      <c r="O4" s="15">
        <f t="shared" si="0"/>
        <v>42420</v>
      </c>
      <c r="P4" s="54">
        <f t="shared" si="0"/>
        <v>42421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5" thickBot="1" x14ac:dyDescent="0.3">
      <c r="A41" s="79"/>
      <c r="B41" s="18" t="s">
        <v>19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5" thickBot="1" x14ac:dyDescent="0.3">
      <c r="A47" s="79"/>
      <c r="B47" s="18" t="s">
        <v>19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5" sqref="C5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8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+ 42</f>
        <v>42422</v>
      </c>
      <c r="D4" s="15">
        <f xml:space="preserve"> C$4 + 1</f>
        <v>42423</v>
      </c>
      <c r="E4" s="15">
        <f t="shared" ref="E4:P4" si="0" xml:space="preserve"> D$4 + 1</f>
        <v>42424</v>
      </c>
      <c r="F4" s="15">
        <f t="shared" si="0"/>
        <v>42425</v>
      </c>
      <c r="G4" s="15">
        <f t="shared" si="0"/>
        <v>42426</v>
      </c>
      <c r="H4" s="15">
        <f t="shared" si="0"/>
        <v>42427</v>
      </c>
      <c r="I4" s="54">
        <f t="shared" si="0"/>
        <v>42428</v>
      </c>
      <c r="J4" s="55">
        <f t="shared" si="0"/>
        <v>42429</v>
      </c>
      <c r="K4" s="15">
        <f t="shared" si="0"/>
        <v>42430</v>
      </c>
      <c r="L4" s="15">
        <f t="shared" si="0"/>
        <v>42431</v>
      </c>
      <c r="M4" s="15">
        <f t="shared" si="0"/>
        <v>42432</v>
      </c>
      <c r="N4" s="15">
        <f t="shared" si="0"/>
        <v>42433</v>
      </c>
      <c r="O4" s="15">
        <f t="shared" si="0"/>
        <v>42434</v>
      </c>
      <c r="P4" s="54">
        <f t="shared" si="0"/>
        <v>42435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5" thickBot="1" x14ac:dyDescent="0.3">
      <c r="A41" s="79"/>
      <c r="B41" s="18" t="s">
        <v>19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5" thickBot="1" x14ac:dyDescent="0.3">
      <c r="A47" s="79"/>
      <c r="B47" s="18" t="s">
        <v>19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5" sqref="C5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9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+56</f>
        <v>42436</v>
      </c>
      <c r="D4" s="15">
        <f xml:space="preserve"> C$4 + 1</f>
        <v>42437</v>
      </c>
      <c r="E4" s="15">
        <f t="shared" ref="E4:P4" si="0" xml:space="preserve"> D$4 + 1</f>
        <v>42438</v>
      </c>
      <c r="F4" s="15">
        <f t="shared" si="0"/>
        <v>42439</v>
      </c>
      <c r="G4" s="15">
        <f t="shared" si="0"/>
        <v>42440</v>
      </c>
      <c r="H4" s="15">
        <f t="shared" si="0"/>
        <v>42441</v>
      </c>
      <c r="I4" s="54">
        <f t="shared" si="0"/>
        <v>42442</v>
      </c>
      <c r="J4" s="55">
        <f t="shared" si="0"/>
        <v>42443</v>
      </c>
      <c r="K4" s="15">
        <f t="shared" si="0"/>
        <v>42444</v>
      </c>
      <c r="L4" s="15">
        <f t="shared" si="0"/>
        <v>42445</v>
      </c>
      <c r="M4" s="15">
        <f t="shared" si="0"/>
        <v>42446</v>
      </c>
      <c r="N4" s="15">
        <f t="shared" si="0"/>
        <v>42447</v>
      </c>
      <c r="O4" s="15">
        <f t="shared" si="0"/>
        <v>42448</v>
      </c>
      <c r="P4" s="54">
        <f t="shared" si="0"/>
        <v>42449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5" thickBot="1" x14ac:dyDescent="0.3">
      <c r="A41" s="79"/>
      <c r="B41" s="18" t="s">
        <v>19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5" thickBot="1" x14ac:dyDescent="0.3">
      <c r="A47" s="79"/>
      <c r="B47" s="18" t="s">
        <v>19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5" sqref="C5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10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+70</f>
        <v>42450</v>
      </c>
      <c r="D4" s="15">
        <f xml:space="preserve"> C$4 + 1</f>
        <v>42451</v>
      </c>
      <c r="E4" s="15">
        <f t="shared" ref="E4:P4" si="0" xml:space="preserve"> D$4 + 1</f>
        <v>42452</v>
      </c>
      <c r="F4" s="15">
        <f t="shared" si="0"/>
        <v>42453</v>
      </c>
      <c r="G4" s="15">
        <f t="shared" si="0"/>
        <v>42454</v>
      </c>
      <c r="H4" s="15">
        <f t="shared" si="0"/>
        <v>42455</v>
      </c>
      <c r="I4" s="54">
        <f t="shared" si="0"/>
        <v>42456</v>
      </c>
      <c r="J4" s="55">
        <f t="shared" si="0"/>
        <v>42457</v>
      </c>
      <c r="K4" s="15">
        <f t="shared" si="0"/>
        <v>42458</v>
      </c>
      <c r="L4" s="15">
        <f t="shared" si="0"/>
        <v>42459</v>
      </c>
      <c r="M4" s="15">
        <f t="shared" si="0"/>
        <v>42460</v>
      </c>
      <c r="N4" s="15">
        <f t="shared" si="0"/>
        <v>42461</v>
      </c>
      <c r="O4" s="15">
        <f t="shared" si="0"/>
        <v>42462</v>
      </c>
      <c r="P4" s="54">
        <f t="shared" si="0"/>
        <v>42463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5" thickBot="1" x14ac:dyDescent="0.3">
      <c r="A41" s="79"/>
      <c r="B41" s="18" t="s">
        <v>19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5" thickBot="1" x14ac:dyDescent="0.3">
      <c r="A47" s="79"/>
      <c r="B47" s="18" t="s">
        <v>19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10"/>
  <sheetViews>
    <sheetView workbookViewId="0">
      <selection activeCell="B4" sqref="B4"/>
    </sheetView>
  </sheetViews>
  <sheetFormatPr defaultRowHeight="15" x14ac:dyDescent="0.25"/>
  <cols>
    <col min="1" max="1" width="17.7109375" bestFit="1" customWidth="1"/>
    <col min="2" max="2" width="14.28515625" customWidth="1"/>
  </cols>
  <sheetData>
    <row r="1" spans="1:3" ht="18.75" x14ac:dyDescent="0.3">
      <c r="B1" s="14" t="s">
        <v>56</v>
      </c>
    </row>
    <row r="3" spans="1:3" x14ac:dyDescent="0.25">
      <c r="A3" s="3" t="s">
        <v>57</v>
      </c>
      <c r="B3" s="39">
        <v>42254</v>
      </c>
    </row>
    <row r="4" spans="1:3" x14ac:dyDescent="0.25">
      <c r="A4" s="3" t="s">
        <v>58</v>
      </c>
      <c r="B4" s="39">
        <v>42380</v>
      </c>
    </row>
    <row r="5" spans="1:3" x14ac:dyDescent="0.25">
      <c r="A5" s="3"/>
    </row>
    <row r="6" spans="1:3" ht="15.75" thickBot="1" x14ac:dyDescent="0.3">
      <c r="B6" s="2" t="s">
        <v>59</v>
      </c>
      <c r="C6" s="2" t="s">
        <v>60</v>
      </c>
    </row>
    <row r="7" spans="1:3" ht="15.75" thickBot="1" x14ac:dyDescent="0.3">
      <c r="A7" s="3" t="s">
        <v>61</v>
      </c>
      <c r="B7" s="13" t="s">
        <v>62</v>
      </c>
      <c r="C7" s="16" t="s">
        <v>63</v>
      </c>
    </row>
    <row r="8" spans="1:3" ht="15.75" thickBot="1" x14ac:dyDescent="0.3">
      <c r="A8" s="3" t="s">
        <v>64</v>
      </c>
      <c r="B8" s="13" t="s">
        <v>65</v>
      </c>
      <c r="C8" s="16" t="s">
        <v>66</v>
      </c>
    </row>
    <row r="9" spans="1:3" ht="15.75" thickBot="1" x14ac:dyDescent="0.3">
      <c r="A9" s="3" t="s">
        <v>67</v>
      </c>
      <c r="B9" s="13" t="s">
        <v>68</v>
      </c>
      <c r="C9" s="16" t="s">
        <v>69</v>
      </c>
    </row>
    <row r="10" spans="1:3" ht="15.75" thickBot="1" x14ac:dyDescent="0.3">
      <c r="A10" s="3" t="s">
        <v>70</v>
      </c>
      <c r="B10" s="13" t="s">
        <v>71</v>
      </c>
      <c r="C10" s="16" t="s">
        <v>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Product</vt:lpstr>
      <vt:lpstr>Sprint 0</vt:lpstr>
      <vt:lpstr>Sprint 1</vt:lpstr>
      <vt:lpstr>Sprint 2</vt:lpstr>
      <vt:lpstr>Sprint 3</vt:lpstr>
      <vt:lpstr>Sprint 4</vt:lpstr>
      <vt:lpstr>Sprint 5</vt:lpstr>
      <vt:lpstr>Sprint 6</vt:lpstr>
      <vt:lpstr>Sprint 7</vt:lpstr>
      <vt:lpstr>Sprint 8</vt:lpstr>
      <vt:lpstr>Sprint 9</vt:lpstr>
      <vt:lpstr>Sprint 10</vt:lpstr>
      <vt:lpstr>Setup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2006-09-16T00:00:00Z</dcterms:created>
  <dcterms:modified xsi:type="dcterms:W3CDTF">2015-12-08T20:56:08Z</dcterms:modified>
</cp:coreProperties>
</file>