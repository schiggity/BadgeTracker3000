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4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5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6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0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1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2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3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4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5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6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67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68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69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0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activeTab="11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Q90" i="49" l="1"/>
  <c r="P90" i="49"/>
  <c r="O90" i="49"/>
  <c r="N90" i="49"/>
  <c r="M90" i="49"/>
  <c r="L90" i="49"/>
  <c r="K90" i="49"/>
  <c r="J90" i="49"/>
  <c r="I90" i="49"/>
  <c r="H90" i="49"/>
  <c r="G90" i="49"/>
  <c r="F90" i="49"/>
  <c r="E90" i="49"/>
  <c r="D90" i="49"/>
  <c r="C90" i="49"/>
  <c r="C91" i="49" s="1"/>
  <c r="D91" i="49" s="1"/>
  <c r="E91" i="49" s="1"/>
  <c r="F91" i="49" s="1"/>
  <c r="G91" i="49" s="1"/>
  <c r="H91" i="49" s="1"/>
  <c r="I91" i="49" s="1"/>
  <c r="J91" i="49" s="1"/>
  <c r="K91" i="49" s="1"/>
  <c r="L91" i="49" s="1"/>
  <c r="M91" i="49" s="1"/>
  <c r="N91" i="49" s="1"/>
  <c r="O91" i="49" s="1"/>
  <c r="P91" i="49" s="1"/>
  <c r="Q91" i="49" s="1"/>
  <c r="C89" i="49"/>
  <c r="D89" i="49" s="1"/>
  <c r="E89" i="49" s="1"/>
  <c r="F89" i="49" s="1"/>
  <c r="G89" i="49" s="1"/>
  <c r="H89" i="49" s="1"/>
  <c r="I89" i="49" s="1"/>
  <c r="J89" i="49" s="1"/>
  <c r="K89" i="49" s="1"/>
  <c r="L89" i="49" s="1"/>
  <c r="M89" i="49" s="1"/>
  <c r="N89" i="49" s="1"/>
  <c r="O89" i="49" s="1"/>
  <c r="P89" i="49" s="1"/>
  <c r="C86" i="49"/>
  <c r="C91" i="48" l="1"/>
  <c r="D91" i="48" s="1"/>
  <c r="E91" i="48" s="1"/>
  <c r="F91" i="48" s="1"/>
  <c r="G91" i="48" s="1"/>
  <c r="H91" i="48" s="1"/>
  <c r="I91" i="48" s="1"/>
  <c r="J91" i="48" s="1"/>
  <c r="K91" i="48" s="1"/>
  <c r="L91" i="48" s="1"/>
  <c r="M91" i="48" s="1"/>
  <c r="N91" i="48" s="1"/>
  <c r="O91" i="48" s="1"/>
  <c r="P91" i="48" s="1"/>
  <c r="Q91" i="48" s="1"/>
  <c r="Q90" i="48"/>
  <c r="P90" i="48"/>
  <c r="O90" i="48"/>
  <c r="N90" i="48"/>
  <c r="M90" i="48"/>
  <c r="L90" i="48"/>
  <c r="K90" i="48"/>
  <c r="J90" i="48"/>
  <c r="I90" i="48"/>
  <c r="H90" i="48"/>
  <c r="G90" i="48"/>
  <c r="F90" i="48"/>
  <c r="E90" i="48"/>
  <c r="D90" i="48"/>
  <c r="C90" i="48"/>
  <c r="C89" i="48"/>
  <c r="C86" i="48"/>
  <c r="D89" i="48" s="1"/>
  <c r="E89" i="48" s="1"/>
  <c r="F89" i="48" s="1"/>
  <c r="G89" i="48" s="1"/>
  <c r="H89" i="48" s="1"/>
  <c r="I89" i="48" s="1"/>
  <c r="J89" i="48" s="1"/>
  <c r="K89" i="48" s="1"/>
  <c r="L89" i="48" s="1"/>
  <c r="M89" i="48" s="1"/>
  <c r="N89" i="48" s="1"/>
  <c r="O89" i="48" s="1"/>
  <c r="P89" i="48" s="1"/>
  <c r="C91" i="47" l="1"/>
  <c r="D91" i="47" s="1"/>
  <c r="E91" i="47" s="1"/>
  <c r="F91" i="47" s="1"/>
  <c r="G91" i="47" s="1"/>
  <c r="H91" i="47" s="1"/>
  <c r="I91" i="47" s="1"/>
  <c r="J91" i="47" s="1"/>
  <c r="K91" i="47" s="1"/>
  <c r="L91" i="47" s="1"/>
  <c r="M91" i="47" s="1"/>
  <c r="N91" i="47" s="1"/>
  <c r="O91" i="47" s="1"/>
  <c r="P91" i="47" s="1"/>
  <c r="Q91" i="47" s="1"/>
  <c r="Q90" i="47"/>
  <c r="P90" i="47"/>
  <c r="O90" i="47"/>
  <c r="N90" i="47"/>
  <c r="M90" i="47"/>
  <c r="L90" i="47"/>
  <c r="K90" i="47"/>
  <c r="J90" i="47"/>
  <c r="I90" i="47"/>
  <c r="H90" i="47"/>
  <c r="G90" i="47"/>
  <c r="F90" i="47"/>
  <c r="E90" i="47"/>
  <c r="D90" i="47"/>
  <c r="C90" i="47"/>
  <c r="C89" i="47"/>
  <c r="C86" i="47"/>
  <c r="D89" i="47" s="1"/>
  <c r="E89" i="47" s="1"/>
  <c r="F89" i="47" s="1"/>
  <c r="G89" i="47" s="1"/>
  <c r="H89" i="47" s="1"/>
  <c r="I89" i="47" s="1"/>
  <c r="J89" i="47" s="1"/>
  <c r="K89" i="47" s="1"/>
  <c r="L89" i="47" s="1"/>
  <c r="M89" i="47" s="1"/>
  <c r="N89" i="47" s="1"/>
  <c r="O89" i="47" s="1"/>
  <c r="P89" i="47" s="1"/>
  <c r="H90" i="46" l="1"/>
  <c r="E90" i="46"/>
  <c r="C89" i="46"/>
  <c r="D89" i="46" s="1"/>
  <c r="E89" i="46" s="1"/>
  <c r="F89" i="46" s="1"/>
  <c r="G89" i="46" s="1"/>
  <c r="H89" i="46" s="1"/>
  <c r="I89" i="46" s="1"/>
  <c r="J89" i="46" s="1"/>
  <c r="K89" i="46" s="1"/>
  <c r="L89" i="46" s="1"/>
  <c r="M89" i="46" s="1"/>
  <c r="N89" i="46" s="1"/>
  <c r="O89" i="46" s="1"/>
  <c r="P89" i="46" s="1"/>
  <c r="C86" i="46"/>
  <c r="O84" i="1" l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S11" i="1" s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B46" i="50"/>
  <c r="B45" i="50"/>
  <c r="B44" i="50"/>
  <c r="C37" i="50"/>
  <c r="C43" i="50" s="1"/>
  <c r="D37" i="50"/>
  <c r="D43" i="50" s="1"/>
  <c r="B43" i="50"/>
  <c r="D38" i="50"/>
  <c r="D39" i="50"/>
  <c r="D40" i="50"/>
  <c r="E40" i="50" s="1"/>
  <c r="C40" i="50"/>
  <c r="B40" i="50"/>
  <c r="C39" i="50"/>
  <c r="D45" i="50"/>
  <c r="B39" i="50"/>
  <c r="C38" i="50"/>
  <c r="D44" i="50" s="1"/>
  <c r="B38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D33" i="50" s="1"/>
  <c r="D34" i="50" s="1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 s="1"/>
  <c r="B44" i="49"/>
  <c r="B43" i="49"/>
  <c r="D37" i="49"/>
  <c r="D38" i="49"/>
  <c r="D39" i="49"/>
  <c r="E39" i="49" s="1"/>
  <c r="D40" i="49"/>
  <c r="C40" i="49"/>
  <c r="B40" i="49"/>
  <c r="C39" i="49"/>
  <c r="D45" i="49"/>
  <c r="B39" i="49"/>
  <c r="B38" i="49"/>
  <c r="C37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 s="1"/>
  <c r="B15" i="49"/>
  <c r="C14" i="49"/>
  <c r="D14" i="49"/>
  <c r="E14" i="49" s="1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C40" i="48"/>
  <c r="C46" i="48" s="1"/>
  <c r="B40" i="48"/>
  <c r="C39" i="48"/>
  <c r="B39" i="48"/>
  <c r="C38" i="48"/>
  <c r="D44" i="48" s="1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 s="1"/>
  <c r="B15" i="48"/>
  <c r="C14" i="48"/>
  <c r="D14" i="48" s="1"/>
  <c r="B14" i="48"/>
  <c r="C13" i="48"/>
  <c r="D13" i="48"/>
  <c r="D31" i="48" s="1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 s="1"/>
  <c r="B39" i="47"/>
  <c r="D38" i="47"/>
  <c r="C38" i="47"/>
  <c r="D44" i="47" s="1"/>
  <c r="B38" i="47"/>
  <c r="D37" i="47"/>
  <c r="E37" i="47" s="1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 s="1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 s="1"/>
  <c r="B43" i="46"/>
  <c r="D37" i="46"/>
  <c r="D38" i="46"/>
  <c r="D39" i="46"/>
  <c r="E39" i="46" s="1"/>
  <c r="D40" i="46"/>
  <c r="C40" i="46"/>
  <c r="B40" i="46"/>
  <c r="C39" i="46"/>
  <c r="D45" i="46" s="1"/>
  <c r="B39" i="46"/>
  <c r="C38" i="46"/>
  <c r="B38" i="46"/>
  <c r="B37" i="46"/>
  <c r="C15" i="46"/>
  <c r="D15" i="46" s="1"/>
  <c r="C27" i="46"/>
  <c r="C33" i="46"/>
  <c r="C34" i="46" s="1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B15" i="46"/>
  <c r="E14" i="46"/>
  <c r="F14" i="46" s="1"/>
  <c r="B14" i="46"/>
  <c r="D13" i="46"/>
  <c r="D31" i="46"/>
  <c r="B13" i="46"/>
  <c r="C30" i="46"/>
  <c r="B12" i="46"/>
  <c r="P10" i="46"/>
  <c r="Q90" i="46" s="1"/>
  <c r="O10" i="46"/>
  <c r="P90" i="46" s="1"/>
  <c r="N10" i="46"/>
  <c r="O90" i="46" s="1"/>
  <c r="M10" i="46"/>
  <c r="N90" i="46" s="1"/>
  <c r="L10" i="46"/>
  <c r="M90" i="46" s="1"/>
  <c r="K10" i="46"/>
  <c r="L90" i="46" s="1"/>
  <c r="J10" i="46"/>
  <c r="K90" i="46" s="1"/>
  <c r="I10" i="46"/>
  <c r="J90" i="46" s="1"/>
  <c r="H10" i="46"/>
  <c r="I90" i="46" s="1"/>
  <c r="G10" i="46"/>
  <c r="F10" i="46"/>
  <c r="G90" i="46" s="1"/>
  <c r="E10" i="46"/>
  <c r="F90" i="46" s="1"/>
  <c r="D10" i="46"/>
  <c r="C10" i="46"/>
  <c r="D90" i="46" s="1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I26" i="2"/>
  <c r="C28" i="2"/>
  <c r="E15" i="50"/>
  <c r="F15" i="50" s="1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9" i="50"/>
  <c r="D24" i="50"/>
  <c r="E38" i="50"/>
  <c r="C44" i="50"/>
  <c r="C46" i="50"/>
  <c r="D12" i="49"/>
  <c r="D30" i="49" s="1"/>
  <c r="C30" i="49"/>
  <c r="C16" i="49"/>
  <c r="E13" i="49"/>
  <c r="F13" i="49" s="1"/>
  <c r="F24" i="49"/>
  <c r="E37" i="49"/>
  <c r="C33" i="49"/>
  <c r="C34" i="49" s="1"/>
  <c r="C43" i="49"/>
  <c r="C45" i="49"/>
  <c r="D25" i="49"/>
  <c r="C32" i="49"/>
  <c r="D43" i="49"/>
  <c r="E12" i="48"/>
  <c r="C45" i="48"/>
  <c r="C16" i="48"/>
  <c r="C30" i="48"/>
  <c r="C33" i="48"/>
  <c r="D24" i="48"/>
  <c r="C31" i="48"/>
  <c r="E26" i="47"/>
  <c r="F26" i="47"/>
  <c r="E15" i="47"/>
  <c r="D27" i="47"/>
  <c r="D33" i="47"/>
  <c r="D24" i="47"/>
  <c r="D30" i="47"/>
  <c r="G26" i="47"/>
  <c r="H26" i="47"/>
  <c r="I26" i="47"/>
  <c r="J26" i="47"/>
  <c r="K26" i="47"/>
  <c r="L26" i="47"/>
  <c r="M26" i="47"/>
  <c r="N26" i="47"/>
  <c r="O26" i="47"/>
  <c r="P26" i="47"/>
  <c r="F13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C44" i="47"/>
  <c r="E12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26" i="46"/>
  <c r="E32" i="46"/>
  <c r="D12" i="46"/>
  <c r="E13" i="46"/>
  <c r="C45" i="46"/>
  <c r="E37" i="46"/>
  <c r="F26" i="46"/>
  <c r="G26" i="46"/>
  <c r="H26" i="46"/>
  <c r="I26" i="46"/>
  <c r="J26" i="46"/>
  <c r="K26" i="46"/>
  <c r="L26" i="46"/>
  <c r="M26" i="46"/>
  <c r="N26" i="46"/>
  <c r="O26" i="46"/>
  <c r="P26" i="46"/>
  <c r="D24" i="46"/>
  <c r="C31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D30" i="50"/>
  <c r="D16" i="50"/>
  <c r="E12" i="50"/>
  <c r="E24" i="50"/>
  <c r="D28" i="50"/>
  <c r="E25" i="49"/>
  <c r="D28" i="49"/>
  <c r="G24" i="49"/>
  <c r="D31" i="49"/>
  <c r="E24" i="48"/>
  <c r="D28" i="48"/>
  <c r="E30" i="48"/>
  <c r="D30" i="48"/>
  <c r="E33" i="47"/>
  <c r="F15" i="47"/>
  <c r="G15" i="47" s="1"/>
  <c r="F12" i="47"/>
  <c r="F31" i="47"/>
  <c r="G13" i="47"/>
  <c r="D31" i="47"/>
  <c r="E24" i="47"/>
  <c r="E30" i="47"/>
  <c r="E31" i="47"/>
  <c r="D28" i="47"/>
  <c r="E31" i="46"/>
  <c r="F13" i="46"/>
  <c r="E24" i="46"/>
  <c r="D28" i="46"/>
  <c r="D30" i="46"/>
  <c r="E12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2" i="50"/>
  <c r="G14" i="50"/>
  <c r="F24" i="50"/>
  <c r="E28" i="50"/>
  <c r="E30" i="50"/>
  <c r="F12" i="50"/>
  <c r="F31" i="50"/>
  <c r="G13" i="50"/>
  <c r="G31" i="50" s="1"/>
  <c r="E31" i="49"/>
  <c r="F25" i="49"/>
  <c r="E28" i="49"/>
  <c r="H24" i="49"/>
  <c r="F24" i="48"/>
  <c r="E28" i="48"/>
  <c r="G12" i="47"/>
  <c r="H13" i="47"/>
  <c r="G31" i="47"/>
  <c r="F24" i="47"/>
  <c r="E28" i="47"/>
  <c r="F33" i="47"/>
  <c r="F24" i="46"/>
  <c r="E28" i="46"/>
  <c r="F31" i="46"/>
  <c r="G13" i="46"/>
  <c r="E30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I13" i="50" s="1"/>
  <c r="G32" i="50"/>
  <c r="H14" i="50"/>
  <c r="F30" i="50"/>
  <c r="G25" i="49"/>
  <c r="F28" i="49"/>
  <c r="I24" i="49"/>
  <c r="F28" i="48"/>
  <c r="G24" i="48"/>
  <c r="F28" i="47"/>
  <c r="G24" i="47"/>
  <c r="I13" i="47"/>
  <c r="I31" i="47" s="1"/>
  <c r="H31" i="47"/>
  <c r="H12" i="47"/>
  <c r="H13" i="46"/>
  <c r="I13" i="46" s="1"/>
  <c r="G31" i="46"/>
  <c r="G12" i="46"/>
  <c r="F30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I14" i="50"/>
  <c r="I32" i="50" s="1"/>
  <c r="H32" i="50"/>
  <c r="G28" i="50"/>
  <c r="H24" i="50"/>
  <c r="J24" i="49"/>
  <c r="H25" i="49"/>
  <c r="G28" i="49"/>
  <c r="H24" i="48"/>
  <c r="G28" i="48"/>
  <c r="J13" i="47"/>
  <c r="K13" i="47" s="1"/>
  <c r="I12" i="47"/>
  <c r="H24" i="47"/>
  <c r="G28" i="47"/>
  <c r="H12" i="46"/>
  <c r="I12" i="46" s="1"/>
  <c r="G30" i="46"/>
  <c r="H31" i="46"/>
  <c r="G28" i="46"/>
  <c r="H24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J14" i="50"/>
  <c r="J32" i="50" s="1"/>
  <c r="I25" i="49"/>
  <c r="H28" i="49"/>
  <c r="K24" i="49"/>
  <c r="H28" i="48"/>
  <c r="I24" i="48"/>
  <c r="J12" i="47"/>
  <c r="K12" i="47" s="1"/>
  <c r="H28" i="47"/>
  <c r="I24" i="47"/>
  <c r="H30" i="47"/>
  <c r="J31" i="47"/>
  <c r="H30" i="46"/>
  <c r="H28" i="46"/>
  <c r="I24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J24" i="50"/>
  <c r="I28" i="50"/>
  <c r="J25" i="49"/>
  <c r="I28" i="49"/>
  <c r="L24" i="49"/>
  <c r="I28" i="48"/>
  <c r="J24" i="48"/>
  <c r="J24" i="47"/>
  <c r="I28" i="47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K24" i="50"/>
  <c r="J28" i="50"/>
  <c r="M24" i="49"/>
  <c r="K25" i="49"/>
  <c r="J28" i="49"/>
  <c r="J28" i="48"/>
  <c r="K24" i="48"/>
  <c r="J28" i="47"/>
  <c r="K24" i="47"/>
  <c r="J28" i="46"/>
  <c r="K24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L25" i="49"/>
  <c r="K28" i="49"/>
  <c r="N24" i="49"/>
  <c r="K28" i="48"/>
  <c r="L24" i="48"/>
  <c r="K28" i="47"/>
  <c r="L24" i="47"/>
  <c r="K28" i="46"/>
  <c r="L24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24" i="50"/>
  <c r="L28" i="50"/>
  <c r="M25" i="49"/>
  <c r="L28" i="49"/>
  <c r="O24" i="49"/>
  <c r="M24" i="48"/>
  <c r="L28" i="48"/>
  <c r="M24" i="47"/>
  <c r="L28" i="47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P24" i="49"/>
  <c r="N25" i="49"/>
  <c r="M28" i="49"/>
  <c r="N24" i="48"/>
  <c r="M28" i="48"/>
  <c r="N24" i="47"/>
  <c r="M28" i="47"/>
  <c r="N24" i="46"/>
  <c r="M28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N28" i="50"/>
  <c r="O24" i="50"/>
  <c r="O25" i="49"/>
  <c r="N28" i="49"/>
  <c r="N28" i="48"/>
  <c r="O24" i="48"/>
  <c r="N28" i="47"/>
  <c r="O24" i="47"/>
  <c r="N28" i="46"/>
  <c r="O24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28" i="50"/>
  <c r="P24" i="50"/>
  <c r="P28" i="50"/>
  <c r="P25" i="49"/>
  <c r="P28" i="49"/>
  <c r="O28" i="49"/>
  <c r="O28" i="48"/>
  <c r="P24" i="48"/>
  <c r="P28" i="48"/>
  <c r="O28" i="47"/>
  <c r="P24" i="47"/>
  <c r="P28" i="47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49"/>
  <c r="B2" i="15"/>
  <c r="B2" i="48"/>
  <c r="B2" i="50"/>
  <c r="B2" i="47"/>
  <c r="B2" i="45"/>
  <c r="B2" i="46"/>
  <c r="B2" i="43"/>
  <c r="B2" i="44"/>
  <c r="B2" i="2"/>
  <c r="B2" i="42"/>
  <c r="D46" i="50" l="1"/>
  <c r="K14" i="50"/>
  <c r="D41" i="50"/>
  <c r="E33" i="50"/>
  <c r="E34" i="50" s="1"/>
  <c r="G15" i="50"/>
  <c r="F33" i="50"/>
  <c r="F34" i="50" s="1"/>
  <c r="F16" i="50"/>
  <c r="E16" i="50"/>
  <c r="H31" i="50"/>
  <c r="G12" i="50"/>
  <c r="E37" i="50"/>
  <c r="C41" i="50"/>
  <c r="D47" i="50"/>
  <c r="J13" i="50"/>
  <c r="I31" i="50"/>
  <c r="C47" i="50"/>
  <c r="G30" i="50"/>
  <c r="D46" i="49"/>
  <c r="D41" i="49"/>
  <c r="E40" i="49"/>
  <c r="C41" i="49"/>
  <c r="E41" i="49" s="1"/>
  <c r="C46" i="49"/>
  <c r="C47" i="49" s="1"/>
  <c r="E15" i="49"/>
  <c r="E16" i="49" s="1"/>
  <c r="D33" i="49"/>
  <c r="D34" i="49"/>
  <c r="W11" i="1"/>
  <c r="E12" i="49"/>
  <c r="V11" i="1"/>
  <c r="E38" i="49"/>
  <c r="F31" i="49"/>
  <c r="G13" i="49"/>
  <c r="D44" i="49"/>
  <c r="D47" i="49" s="1"/>
  <c r="E32" i="49"/>
  <c r="F14" i="49"/>
  <c r="D16" i="49"/>
  <c r="D45" i="48"/>
  <c r="E15" i="48"/>
  <c r="D33" i="48"/>
  <c r="D32" i="48"/>
  <c r="E14" i="48"/>
  <c r="C32" i="48"/>
  <c r="E38" i="48"/>
  <c r="C34" i="48"/>
  <c r="E13" i="48"/>
  <c r="D16" i="48"/>
  <c r="T11" i="1"/>
  <c r="D34" i="48"/>
  <c r="C44" i="48"/>
  <c r="C41" i="48"/>
  <c r="U11" i="1"/>
  <c r="C43" i="48"/>
  <c r="F12" i="48"/>
  <c r="D43" i="48"/>
  <c r="F30" i="48"/>
  <c r="E37" i="48"/>
  <c r="E39" i="48"/>
  <c r="D41" i="48"/>
  <c r="E40" i="48"/>
  <c r="D46" i="48"/>
  <c r="G33" i="47"/>
  <c r="H15" i="47"/>
  <c r="R11" i="1"/>
  <c r="C47" i="47"/>
  <c r="D45" i="47"/>
  <c r="D47" i="47" s="1"/>
  <c r="D41" i="47"/>
  <c r="E16" i="47"/>
  <c r="F14" i="47"/>
  <c r="E32" i="47"/>
  <c r="E34" i="47" s="1"/>
  <c r="F16" i="47"/>
  <c r="D16" i="47"/>
  <c r="D32" i="47"/>
  <c r="D34" i="47" s="1"/>
  <c r="K31" i="47"/>
  <c r="L13" i="47"/>
  <c r="E38" i="47"/>
  <c r="E41" i="47"/>
  <c r="J30" i="47"/>
  <c r="K30" i="47"/>
  <c r="L12" i="47"/>
  <c r="I30" i="47"/>
  <c r="G30" i="47"/>
  <c r="F30" i="47"/>
  <c r="D33" i="46"/>
  <c r="D34" i="46" s="1"/>
  <c r="E15" i="46"/>
  <c r="D16" i="46"/>
  <c r="Q11" i="1"/>
  <c r="J12" i="46"/>
  <c r="J30" i="46" s="1"/>
  <c r="I30" i="46"/>
  <c r="D43" i="46"/>
  <c r="E40" i="46"/>
  <c r="D44" i="46"/>
  <c r="D41" i="46"/>
  <c r="D46" i="46"/>
  <c r="D47" i="46" s="1"/>
  <c r="C46" i="46"/>
  <c r="K12" i="46"/>
  <c r="P11" i="1"/>
  <c r="I31" i="46"/>
  <c r="J13" i="46"/>
  <c r="E38" i="46"/>
  <c r="C44" i="46"/>
  <c r="C47" i="46" s="1"/>
  <c r="F32" i="46"/>
  <c r="G14" i="46"/>
  <c r="E16" i="46"/>
  <c r="C41" i="46"/>
  <c r="E41" i="46" s="1"/>
  <c r="C90" i="46" s="1"/>
  <c r="C91" i="46" s="1"/>
  <c r="D91" i="46" s="1"/>
  <c r="E91" i="46" s="1"/>
  <c r="F91" i="46" s="1"/>
  <c r="G91" i="46" s="1"/>
  <c r="H91" i="46" s="1"/>
  <c r="I91" i="46" s="1"/>
  <c r="J91" i="46" s="1"/>
  <c r="K91" i="46" s="1"/>
  <c r="L91" i="46" s="1"/>
  <c r="M91" i="46" s="1"/>
  <c r="N91" i="46" s="1"/>
  <c r="O91" i="46" s="1"/>
  <c r="P91" i="46" s="1"/>
  <c r="Q91" i="46" s="1"/>
  <c r="O11" i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E41" i="50" l="1"/>
  <c r="L14" i="50"/>
  <c r="K32" i="50"/>
  <c r="H15" i="50"/>
  <c r="G33" i="50"/>
  <c r="G34" i="50" s="1"/>
  <c r="G16" i="50"/>
  <c r="H12" i="50"/>
  <c r="K13" i="50"/>
  <c r="J31" i="50"/>
  <c r="F15" i="49"/>
  <c r="E33" i="49"/>
  <c r="F12" i="49"/>
  <c r="F16" i="49" s="1"/>
  <c r="E30" i="49"/>
  <c r="E34" i="49" s="1"/>
  <c r="G31" i="49"/>
  <c r="H13" i="49"/>
  <c r="G14" i="49"/>
  <c r="F32" i="49"/>
  <c r="E41" i="48"/>
  <c r="D47" i="48"/>
  <c r="F15" i="48"/>
  <c r="E33" i="48"/>
  <c r="E32" i="48"/>
  <c r="F14" i="48"/>
  <c r="C47" i="48"/>
  <c r="F13" i="48"/>
  <c r="E31" i="48"/>
  <c r="E16" i="48"/>
  <c r="G12" i="48"/>
  <c r="F16" i="48"/>
  <c r="H33" i="47"/>
  <c r="I15" i="47"/>
  <c r="F32" i="47"/>
  <c r="G14" i="47"/>
  <c r="F34" i="47"/>
  <c r="M13" i="47"/>
  <c r="L31" i="47"/>
  <c r="L30" i="47"/>
  <c r="M12" i="47"/>
  <c r="F15" i="46"/>
  <c r="E33" i="46"/>
  <c r="E34" i="46" s="1"/>
  <c r="K30" i="46"/>
  <c r="L12" i="46"/>
  <c r="J31" i="46"/>
  <c r="K13" i="46"/>
  <c r="G32" i="46"/>
  <c r="H14" i="46"/>
  <c r="N28" i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L32" i="50" l="1"/>
  <c r="M14" i="50"/>
  <c r="I15" i="50"/>
  <c r="H33" i="50"/>
  <c r="H30" i="50"/>
  <c r="H16" i="50"/>
  <c r="I12" i="50"/>
  <c r="L13" i="50"/>
  <c r="K31" i="50"/>
  <c r="G15" i="49"/>
  <c r="F33" i="49"/>
  <c r="F30" i="49"/>
  <c r="F34" i="49" s="1"/>
  <c r="G12" i="49"/>
  <c r="H31" i="49"/>
  <c r="I13" i="49"/>
  <c r="H14" i="49"/>
  <c r="G32" i="49"/>
  <c r="E34" i="48"/>
  <c r="F33" i="48"/>
  <c r="G15" i="48"/>
  <c r="G14" i="48"/>
  <c r="F32" i="48"/>
  <c r="F31" i="48"/>
  <c r="G13" i="48"/>
  <c r="H12" i="48"/>
  <c r="G30" i="48"/>
  <c r="J15" i="47"/>
  <c r="I33" i="47"/>
  <c r="H14" i="47"/>
  <c r="G32" i="47"/>
  <c r="G34" i="47" s="1"/>
  <c r="G16" i="47"/>
  <c r="N13" i="47"/>
  <c r="M31" i="47"/>
  <c r="N12" i="47"/>
  <c r="M30" i="47"/>
  <c r="F33" i="46"/>
  <c r="F34" i="46" s="1"/>
  <c r="F16" i="46"/>
  <c r="G15" i="46"/>
  <c r="L30" i="46"/>
  <c r="M12" i="46"/>
  <c r="L13" i="46"/>
  <c r="K31" i="46"/>
  <c r="H32" i="46"/>
  <c r="I14" i="46"/>
  <c r="G15" i="45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P84" i="1" s="1"/>
  <c r="N14" i="50" l="1"/>
  <c r="M32" i="50"/>
  <c r="H34" i="50"/>
  <c r="J15" i="50"/>
  <c r="I33" i="50"/>
  <c r="I30" i="50"/>
  <c r="J12" i="50"/>
  <c r="I16" i="50"/>
  <c r="L31" i="50"/>
  <c r="M13" i="50"/>
  <c r="H15" i="49"/>
  <c r="G33" i="49"/>
  <c r="G16" i="49"/>
  <c r="H12" i="49"/>
  <c r="G30" i="49"/>
  <c r="G34" i="49" s="1"/>
  <c r="J13" i="49"/>
  <c r="I31" i="49"/>
  <c r="I14" i="49"/>
  <c r="H32" i="49"/>
  <c r="G33" i="48"/>
  <c r="G34" i="48" s="1"/>
  <c r="H15" i="48"/>
  <c r="F34" i="48"/>
  <c r="G32" i="48"/>
  <c r="H14" i="48"/>
  <c r="H16" i="48" s="1"/>
  <c r="G31" i="48"/>
  <c r="H13" i="48"/>
  <c r="G16" i="48"/>
  <c r="I12" i="48"/>
  <c r="H30" i="48"/>
  <c r="K15" i="47"/>
  <c r="J33" i="47"/>
  <c r="H32" i="47"/>
  <c r="H34" i="47" s="1"/>
  <c r="I14" i="47"/>
  <c r="H16" i="47"/>
  <c r="O13" i="47"/>
  <c r="N31" i="47"/>
  <c r="O12" i="47"/>
  <c r="N30" i="47"/>
  <c r="G33" i="46"/>
  <c r="G34" i="46" s="1"/>
  <c r="H15" i="46"/>
  <c r="G16" i="46"/>
  <c r="N12" i="46"/>
  <c r="M30" i="46"/>
  <c r="M13" i="46"/>
  <c r="L31" i="46"/>
  <c r="J14" i="46"/>
  <c r="I32" i="46"/>
  <c r="S22" i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Q84" i="1" s="1"/>
  <c r="S19" i="1"/>
  <c r="R25" i="1"/>
  <c r="H12" i="45"/>
  <c r="G16" i="45"/>
  <c r="G30" i="45"/>
  <c r="N32" i="50" l="1"/>
  <c r="O14" i="50"/>
  <c r="I34" i="50"/>
  <c r="J33" i="50"/>
  <c r="K15" i="50"/>
  <c r="K12" i="50"/>
  <c r="J16" i="50"/>
  <c r="J30" i="50"/>
  <c r="J34" i="50" s="1"/>
  <c r="N13" i="50"/>
  <c r="M31" i="50"/>
  <c r="I15" i="49"/>
  <c r="H33" i="49"/>
  <c r="H16" i="49"/>
  <c r="I12" i="49"/>
  <c r="H30" i="49"/>
  <c r="H34" i="49"/>
  <c r="J31" i="49"/>
  <c r="K13" i="49"/>
  <c r="I32" i="49"/>
  <c r="J14" i="49"/>
  <c r="I15" i="48"/>
  <c r="H33" i="48"/>
  <c r="H32" i="48"/>
  <c r="I14" i="48"/>
  <c r="H31" i="48"/>
  <c r="I13" i="48"/>
  <c r="H34" i="48"/>
  <c r="J12" i="48"/>
  <c r="I30" i="48"/>
  <c r="K33" i="47"/>
  <c r="L15" i="47"/>
  <c r="I32" i="47"/>
  <c r="I34" i="47" s="1"/>
  <c r="J14" i="47"/>
  <c r="I16" i="47"/>
  <c r="O31" i="47"/>
  <c r="P13" i="47"/>
  <c r="P31" i="47" s="1"/>
  <c r="O30" i="47"/>
  <c r="P12" i="47"/>
  <c r="I15" i="46"/>
  <c r="H16" i="46"/>
  <c r="H33" i="46"/>
  <c r="H34" i="46" s="1"/>
  <c r="N30" i="46"/>
  <c r="O12" i="46"/>
  <c r="N13" i="46"/>
  <c r="M31" i="46"/>
  <c r="K14" i="46"/>
  <c r="J32" i="46"/>
  <c r="T22" i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84" i="1" s="1"/>
  <c r="R29" i="1"/>
  <c r="S23" i="1"/>
  <c r="H30" i="45"/>
  <c r="H34" i="45" s="1"/>
  <c r="H16" i="45"/>
  <c r="I12" i="45"/>
  <c r="T19" i="1"/>
  <c r="S25" i="1"/>
  <c r="O32" i="50" l="1"/>
  <c r="P14" i="50"/>
  <c r="P32" i="50" s="1"/>
  <c r="L15" i="50"/>
  <c r="K33" i="50"/>
  <c r="K30" i="50"/>
  <c r="K16" i="50"/>
  <c r="L12" i="50"/>
  <c r="O13" i="50"/>
  <c r="N31" i="50"/>
  <c r="J15" i="49"/>
  <c r="I33" i="49"/>
  <c r="I16" i="49"/>
  <c r="J12" i="49"/>
  <c r="I30" i="49"/>
  <c r="L13" i="49"/>
  <c r="K31" i="49"/>
  <c r="J32" i="49"/>
  <c r="J16" i="49"/>
  <c r="K14" i="49"/>
  <c r="J15" i="48"/>
  <c r="I33" i="48"/>
  <c r="I16" i="48"/>
  <c r="I32" i="48"/>
  <c r="J14" i="48"/>
  <c r="I31" i="48"/>
  <c r="I34" i="48" s="1"/>
  <c r="J13" i="48"/>
  <c r="J16" i="48" s="1"/>
  <c r="J30" i="48"/>
  <c r="K12" i="48"/>
  <c r="M15" i="47"/>
  <c r="L33" i="47"/>
  <c r="K14" i="47"/>
  <c r="J32" i="47"/>
  <c r="J34" i="47" s="1"/>
  <c r="J16" i="47"/>
  <c r="P30" i="47"/>
  <c r="J15" i="46"/>
  <c r="I33" i="46"/>
  <c r="I34" i="46" s="1"/>
  <c r="I16" i="46"/>
  <c r="O30" i="46"/>
  <c r="P12" i="46"/>
  <c r="P30" i="46" s="1"/>
  <c r="N31" i="46"/>
  <c r="O13" i="46"/>
  <c r="L14" i="46"/>
  <c r="K32" i="46"/>
  <c r="U22" i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84" i="1" s="1"/>
  <c r="S29" i="1"/>
  <c r="T23" i="1"/>
  <c r="K34" i="50" l="1"/>
  <c r="M15" i="50"/>
  <c r="L33" i="50"/>
  <c r="M12" i="50"/>
  <c r="L16" i="50"/>
  <c r="L30" i="50"/>
  <c r="P13" i="50"/>
  <c r="P31" i="50" s="1"/>
  <c r="O31" i="50"/>
  <c r="I34" i="49"/>
  <c r="K15" i="49"/>
  <c r="J33" i="49"/>
  <c r="K12" i="49"/>
  <c r="K16" i="49" s="1"/>
  <c r="J30" i="49"/>
  <c r="J34" i="49" s="1"/>
  <c r="L31" i="49"/>
  <c r="M13" i="49"/>
  <c r="K32" i="49"/>
  <c r="L14" i="49"/>
  <c r="J33" i="48"/>
  <c r="K15" i="48"/>
  <c r="K14" i="48"/>
  <c r="J32" i="48"/>
  <c r="J31" i="48"/>
  <c r="K13" i="48"/>
  <c r="L12" i="48"/>
  <c r="K30" i="48"/>
  <c r="M33" i="47"/>
  <c r="N15" i="47"/>
  <c r="L14" i="47"/>
  <c r="K32" i="47"/>
  <c r="K34" i="47" s="1"/>
  <c r="K16" i="47"/>
  <c r="K15" i="46"/>
  <c r="J33" i="46"/>
  <c r="J34" i="46" s="1"/>
  <c r="J16" i="46"/>
  <c r="P13" i="46"/>
  <c r="P31" i="46" s="1"/>
  <c r="O31" i="46"/>
  <c r="L32" i="46"/>
  <c r="M14" i="46"/>
  <c r="U28" i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84" i="1" s="1"/>
  <c r="T29" i="1"/>
  <c r="U23" i="1"/>
  <c r="V19" i="1"/>
  <c r="U25" i="1"/>
  <c r="L34" i="50" l="1"/>
  <c r="N15" i="50"/>
  <c r="M33" i="50"/>
  <c r="M30" i="50"/>
  <c r="M16" i="50"/>
  <c r="N12" i="50"/>
  <c r="K33" i="49"/>
  <c r="L15" i="49"/>
  <c r="K30" i="49"/>
  <c r="K34" i="49" s="1"/>
  <c r="L12" i="49"/>
  <c r="L16" i="49" s="1"/>
  <c r="M31" i="49"/>
  <c r="N13" i="49"/>
  <c r="L32" i="49"/>
  <c r="M14" i="49"/>
  <c r="K16" i="48"/>
  <c r="L15" i="48"/>
  <c r="K33" i="48"/>
  <c r="J34" i="48"/>
  <c r="K32" i="48"/>
  <c r="L14" i="48"/>
  <c r="K31" i="48"/>
  <c r="K34" i="48" s="1"/>
  <c r="L13" i="48"/>
  <c r="L30" i="48"/>
  <c r="L16" i="48"/>
  <c r="M12" i="48"/>
  <c r="N33" i="47"/>
  <c r="O15" i="47"/>
  <c r="M14" i="47"/>
  <c r="L32" i="47"/>
  <c r="L34" i="47" s="1"/>
  <c r="L16" i="47"/>
  <c r="L15" i="46"/>
  <c r="K16" i="46"/>
  <c r="K33" i="46"/>
  <c r="K34" i="46" s="1"/>
  <c r="M32" i="46"/>
  <c r="N14" i="46"/>
  <c r="J34" i="45"/>
  <c r="L15" i="45"/>
  <c r="K33" i="45"/>
  <c r="W22" i="1"/>
  <c r="V28" i="1"/>
  <c r="W21" i="1"/>
  <c r="V27" i="1"/>
  <c r="W20" i="1"/>
  <c r="V26" i="1"/>
  <c r="O13" i="45"/>
  <c r="N31" i="45"/>
  <c r="U81" i="1"/>
  <c r="U84" i="1" s="1"/>
  <c r="U29" i="1"/>
  <c r="V23" i="1"/>
  <c r="W19" i="1"/>
  <c r="V25" i="1"/>
  <c r="K30" i="45"/>
  <c r="K34" i="45" s="1"/>
  <c r="L12" i="45"/>
  <c r="K16" i="45"/>
  <c r="M34" i="50" l="1"/>
  <c r="O15" i="50"/>
  <c r="N33" i="50"/>
  <c r="N16" i="50"/>
  <c r="O12" i="50"/>
  <c r="N30" i="50"/>
  <c r="L33" i="49"/>
  <c r="M15" i="49"/>
  <c r="L30" i="49"/>
  <c r="M12" i="49"/>
  <c r="O13" i="49"/>
  <c r="N31" i="49"/>
  <c r="N14" i="49"/>
  <c r="M16" i="49"/>
  <c r="M32" i="49"/>
  <c r="L33" i="48"/>
  <c r="M15" i="48"/>
  <c r="L32" i="48"/>
  <c r="M14" i="48"/>
  <c r="M13" i="48"/>
  <c r="L31" i="48"/>
  <c r="N12" i="48"/>
  <c r="M30" i="48"/>
  <c r="P15" i="47"/>
  <c r="P33" i="47" s="1"/>
  <c r="O33" i="47"/>
  <c r="M32" i="47"/>
  <c r="M34" i="47" s="1"/>
  <c r="N14" i="47"/>
  <c r="M16" i="47"/>
  <c r="L33" i="46"/>
  <c r="L34" i="46" s="1"/>
  <c r="M15" i="46"/>
  <c r="L16" i="46"/>
  <c r="N32" i="46"/>
  <c r="O14" i="46"/>
  <c r="X22" i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V84" i="1" s="1"/>
  <c r="W25" i="1"/>
  <c r="X19" i="1"/>
  <c r="N34" i="50" l="1"/>
  <c r="O33" i="50"/>
  <c r="P15" i="50"/>
  <c r="P33" i="50" s="1"/>
  <c r="P12" i="50"/>
  <c r="O30" i="50"/>
  <c r="O16" i="50"/>
  <c r="L34" i="49"/>
  <c r="M33" i="49"/>
  <c r="N15" i="49"/>
  <c r="N12" i="49"/>
  <c r="M30" i="49"/>
  <c r="O31" i="49"/>
  <c r="P13" i="49"/>
  <c r="P31" i="49" s="1"/>
  <c r="N32" i="49"/>
  <c r="O14" i="49"/>
  <c r="L34" i="48"/>
  <c r="N15" i="48"/>
  <c r="M33" i="48"/>
  <c r="N14" i="48"/>
  <c r="M32" i="48"/>
  <c r="M31" i="48"/>
  <c r="N13" i="48"/>
  <c r="M16" i="48"/>
  <c r="N30" i="48"/>
  <c r="O12" i="48"/>
  <c r="N32" i="47"/>
  <c r="N34" i="47" s="1"/>
  <c r="O14" i="47"/>
  <c r="N16" i="47"/>
  <c r="N15" i="46"/>
  <c r="M16" i="46"/>
  <c r="M33" i="46"/>
  <c r="M34" i="46" s="1"/>
  <c r="P14" i="46"/>
  <c r="O32" i="46"/>
  <c r="L34" i="45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W84" i="1" s="1"/>
  <c r="X23" i="1"/>
  <c r="W29" i="1"/>
  <c r="M30" i="45"/>
  <c r="M34" i="45" s="1"/>
  <c r="N12" i="45"/>
  <c r="M16" i="45"/>
  <c r="O34" i="50" l="1"/>
  <c r="P30" i="50"/>
  <c r="P34" i="50" s="1"/>
  <c r="P16" i="50"/>
  <c r="N16" i="49"/>
  <c r="M34" i="49"/>
  <c r="O15" i="49"/>
  <c r="N33" i="49"/>
  <c r="N30" i="49"/>
  <c r="O12" i="49"/>
  <c r="P14" i="49"/>
  <c r="O32" i="49"/>
  <c r="N33" i="48"/>
  <c r="O15" i="48"/>
  <c r="N16" i="48"/>
  <c r="M34" i="48"/>
  <c r="O14" i="48"/>
  <c r="N32" i="48"/>
  <c r="N31" i="48"/>
  <c r="O13" i="48"/>
  <c r="P12" i="48"/>
  <c r="O30" i="48"/>
  <c r="P14" i="47"/>
  <c r="O32" i="47"/>
  <c r="O34" i="47" s="1"/>
  <c r="O16" i="47"/>
  <c r="N33" i="46"/>
  <c r="N34" i="46" s="1"/>
  <c r="N16" i="46"/>
  <c r="O15" i="46"/>
  <c r="P32" i="46"/>
  <c r="N33" i="45"/>
  <c r="O15" i="45"/>
  <c r="O12" i="45"/>
  <c r="N30" i="45"/>
  <c r="N16" i="45"/>
  <c r="Y23" i="1"/>
  <c r="D79" i="1" s="1"/>
  <c r="X81" i="1"/>
  <c r="X84" i="1" s="1"/>
  <c r="X29" i="1"/>
  <c r="O16" i="49" l="1"/>
  <c r="N34" i="49"/>
  <c r="P15" i="49"/>
  <c r="P33" i="49" s="1"/>
  <c r="O33" i="49"/>
  <c r="O30" i="49"/>
  <c r="P12" i="49"/>
  <c r="P30" i="49" s="1"/>
  <c r="P32" i="49"/>
  <c r="N34" i="48"/>
  <c r="P15" i="48"/>
  <c r="P33" i="48" s="1"/>
  <c r="O33" i="48"/>
  <c r="P14" i="48"/>
  <c r="P32" i="48" s="1"/>
  <c r="O32" i="48"/>
  <c r="O16" i="48"/>
  <c r="O31" i="48"/>
  <c r="O34" i="48" s="1"/>
  <c r="P13" i="48"/>
  <c r="P31" i="48" s="1"/>
  <c r="P30" i="48"/>
  <c r="P32" i="47"/>
  <c r="P34" i="47" s="1"/>
  <c r="P16" i="47"/>
  <c r="P15" i="46"/>
  <c r="O16" i="46"/>
  <c r="O33" i="46"/>
  <c r="O34" i="46" s="1"/>
  <c r="N34" i="45"/>
  <c r="O33" i="45"/>
  <c r="P15" i="45"/>
  <c r="P33" i="45" s="1"/>
  <c r="Y29" i="1"/>
  <c r="Y81" i="1"/>
  <c r="Y84" i="1" s="1"/>
  <c r="P12" i="45"/>
  <c r="O16" i="45"/>
  <c r="O30" i="45"/>
  <c r="O34" i="45" s="1"/>
  <c r="O34" i="49" l="1"/>
  <c r="P34" i="49"/>
  <c r="P16" i="49"/>
  <c r="P34" i="48"/>
  <c r="P16" i="48"/>
  <c r="P33" i="46"/>
  <c r="P34" i="46" s="1"/>
  <c r="P16" i="46"/>
  <c r="P30" i="45"/>
  <c r="P34" i="45" s="1"/>
  <c r="P16" i="45"/>
</calcChain>
</file>

<file path=xl/sharedStrings.xml><?xml version="1.0" encoding="utf-8"?>
<sst xmlns="http://schemas.openxmlformats.org/spreadsheetml/2006/main" count="358" uniqueCount="73">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</sst>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31</c:v>
                </c:pt>
                <c:pt idx="14">
                  <c:v>40</c:v>
                </c:pt>
                <c:pt idx="15">
                  <c:v>35</c:v>
                </c:pt>
                <c:pt idx="16">
                  <c:v>30</c:v>
                </c:pt>
                <c:pt idx="17">
                  <c:v>27</c:v>
                </c:pt>
                <c:pt idx="18">
                  <c:v>50</c:v>
                </c:pt>
                <c:pt idx="19">
                  <c:v>44</c:v>
                </c:pt>
                <c:pt idx="20">
                  <c:v>46</c:v>
                </c:pt>
                <c:pt idx="21">
                  <c:v>46</c:v>
                </c:pt>
                <c:pt idx="22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241536"/>
        <c:axId val="17711105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25.946428571428573</c:v>
                </c:pt>
                <c:pt idx="14">
                  <c:v>26.883333333333333</c:v>
                </c:pt>
                <c:pt idx="15">
                  <c:v>27.390625</c:v>
                </c:pt>
                <c:pt idx="16">
                  <c:v>27.544117647058822</c:v>
                </c:pt>
                <c:pt idx="17">
                  <c:v>27.513888888888889</c:v>
                </c:pt>
                <c:pt idx="18">
                  <c:v>28.69736842105263</c:v>
                </c:pt>
                <c:pt idx="19">
                  <c:v>29.462499999999999</c:v>
                </c:pt>
                <c:pt idx="20">
                  <c:v>30.25</c:v>
                </c:pt>
                <c:pt idx="21">
                  <c:v>30.96590909090909</c:v>
                </c:pt>
                <c:pt idx="22">
                  <c:v>30.271739130434781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1536"/>
        <c:axId val="177111056"/>
      </c:lineChart>
      <c:catAx>
        <c:axId val="7024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11056"/>
        <c:crosses val="autoZero"/>
        <c:auto val="0"/>
        <c:lblAlgn val="ctr"/>
        <c:lblOffset val="100"/>
        <c:noMultiLvlLbl val="0"/>
      </c:catAx>
      <c:valAx>
        <c:axId val="17711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6</c:v>
                </c:pt>
                <c:pt idx="17">
                  <c:v>7</c:v>
                </c:pt>
                <c:pt idx="18">
                  <c:v>13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16656"/>
        <c:axId val="17711721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7.2857142857142856</c:v>
                </c:pt>
                <c:pt idx="14">
                  <c:v>7.4</c:v>
                </c:pt>
                <c:pt idx="15">
                  <c:v>7.5625</c:v>
                </c:pt>
                <c:pt idx="16">
                  <c:v>7.4705882352941178</c:v>
                </c:pt>
                <c:pt idx="17">
                  <c:v>7.4444444444444446</c:v>
                </c:pt>
                <c:pt idx="18">
                  <c:v>7.7368421052631575</c:v>
                </c:pt>
                <c:pt idx="19">
                  <c:v>8.0500000000000007</c:v>
                </c:pt>
                <c:pt idx="20">
                  <c:v>8.3333333333333339</c:v>
                </c:pt>
                <c:pt idx="21">
                  <c:v>8.6363636363636367</c:v>
                </c:pt>
                <c:pt idx="22">
                  <c:v>8.3913043478260878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16656"/>
        <c:axId val="177117216"/>
      </c:lineChart>
      <c:catAx>
        <c:axId val="177116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17216"/>
        <c:crosses val="autoZero"/>
        <c:auto val="0"/>
        <c:lblAlgn val="ctr"/>
        <c:lblOffset val="100"/>
        <c:noMultiLvlLbl val="0"/>
      </c:catAx>
      <c:valAx>
        <c:axId val="177117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166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10</c:v>
                </c:pt>
                <c:pt idx="15">
                  <c:v>10</c:v>
                </c:pt>
                <c:pt idx="16">
                  <c:v>7</c:v>
                </c:pt>
                <c:pt idx="17">
                  <c:v>8</c:v>
                </c:pt>
                <c:pt idx="18">
                  <c:v>12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227360"/>
        <c:axId val="1772279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5.75</c:v>
                </c:pt>
                <c:pt idx="14">
                  <c:v>6.0333333333333332</c:v>
                </c:pt>
                <c:pt idx="15">
                  <c:v>6.28125</c:v>
                </c:pt>
                <c:pt idx="16">
                  <c:v>6.3235294117647056</c:v>
                </c:pt>
                <c:pt idx="17">
                  <c:v>6.416666666666667</c:v>
                </c:pt>
                <c:pt idx="18">
                  <c:v>6.7105263157894735</c:v>
                </c:pt>
                <c:pt idx="19">
                  <c:v>7.0750000000000002</c:v>
                </c:pt>
                <c:pt idx="20">
                  <c:v>7.4047619047619051</c:v>
                </c:pt>
                <c:pt idx="21">
                  <c:v>7.75</c:v>
                </c:pt>
                <c:pt idx="22">
                  <c:v>7.5434782608695654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27360"/>
        <c:axId val="177227920"/>
      </c:lineChart>
      <c:catAx>
        <c:axId val="17722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27920"/>
        <c:crosses val="autoZero"/>
        <c:auto val="0"/>
        <c:lblAlgn val="ctr"/>
        <c:lblOffset val="100"/>
        <c:noMultiLvlLbl val="0"/>
      </c:catAx>
      <c:valAx>
        <c:axId val="177227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27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12</c:v>
                </c:pt>
                <c:pt idx="15">
                  <c:v>7</c:v>
                </c:pt>
                <c:pt idx="16">
                  <c:v>9</c:v>
                </c:pt>
                <c:pt idx="17">
                  <c:v>5</c:v>
                </c:pt>
                <c:pt idx="18">
                  <c:v>13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236784"/>
        <c:axId val="17823734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6.2857142857142856</c:v>
                </c:pt>
                <c:pt idx="14">
                  <c:v>6.666666666666667</c:v>
                </c:pt>
                <c:pt idx="15">
                  <c:v>6.6875</c:v>
                </c:pt>
                <c:pt idx="16">
                  <c:v>6.8235294117647056</c:v>
                </c:pt>
                <c:pt idx="17">
                  <c:v>6.7222222222222223</c:v>
                </c:pt>
                <c:pt idx="18">
                  <c:v>7.0526315789473681</c:v>
                </c:pt>
                <c:pt idx="19">
                  <c:v>7.1</c:v>
                </c:pt>
                <c:pt idx="20">
                  <c:v>7.1428571428571432</c:v>
                </c:pt>
                <c:pt idx="21">
                  <c:v>7.1818181818181817</c:v>
                </c:pt>
                <c:pt idx="22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36784"/>
        <c:axId val="178237344"/>
      </c:lineChart>
      <c:catAx>
        <c:axId val="17823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37344"/>
        <c:crosses val="autoZero"/>
        <c:auto val="0"/>
        <c:lblAlgn val="ctr"/>
        <c:lblOffset val="100"/>
        <c:noMultiLvlLbl val="0"/>
      </c:catAx>
      <c:valAx>
        <c:axId val="178237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36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12</c:v>
                </c:pt>
                <c:pt idx="19">
                  <c:v>8</c:v>
                </c:pt>
                <c:pt idx="20">
                  <c:v>10</c:v>
                </c:pt>
                <c:pt idx="21">
                  <c:v>8</c:v>
                </c:pt>
                <c:pt idx="22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373216"/>
        <c:axId val="17837377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6.625</c:v>
                </c:pt>
                <c:pt idx="14">
                  <c:v>6.7833333333333332</c:v>
                </c:pt>
                <c:pt idx="15">
                  <c:v>6.859375</c:v>
                </c:pt>
                <c:pt idx="16">
                  <c:v>6.9264705882352944</c:v>
                </c:pt>
                <c:pt idx="17">
                  <c:v>6.9305555555555554</c:v>
                </c:pt>
                <c:pt idx="18">
                  <c:v>7.1973684210526319</c:v>
                </c:pt>
                <c:pt idx="19">
                  <c:v>7.2374999999999998</c:v>
                </c:pt>
                <c:pt idx="20">
                  <c:v>7.3690476190476186</c:v>
                </c:pt>
                <c:pt idx="21">
                  <c:v>7.3977272727272725</c:v>
                </c:pt>
                <c:pt idx="22">
                  <c:v>7.3369565217391308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73216"/>
        <c:axId val="178373776"/>
      </c:lineChart>
      <c:catAx>
        <c:axId val="17837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73776"/>
        <c:crosses val="autoZero"/>
        <c:auto val="0"/>
        <c:lblAlgn val="ctr"/>
        <c:lblOffset val="100"/>
        <c:noMultiLvlLbl val="0"/>
      </c:catAx>
      <c:valAx>
        <c:axId val="178373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73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Product!$C$84:$W$84</c:f>
              <c:numCache>
                <c:formatCode>0.00</c:formatCode>
                <c:ptCount val="21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  <c:pt idx="13">
                  <c:v>216.75</c:v>
                </c:pt>
                <c:pt idx="14">
                  <c:v>176.75</c:v>
                </c:pt>
                <c:pt idx="15">
                  <c:v>141.75</c:v>
                </c:pt>
                <c:pt idx="16">
                  <c:v>111.75</c:v>
                </c:pt>
                <c:pt idx="17">
                  <c:v>84.75</c:v>
                </c:pt>
                <c:pt idx="18">
                  <c:v>34.75</c:v>
                </c:pt>
                <c:pt idx="19">
                  <c:v>-9.25</c:v>
                </c:pt>
                <c:pt idx="20">
                  <c:v>-55.25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376016"/>
        <c:axId val="178376576"/>
      </c:lineChart>
      <c:catAx>
        <c:axId val="17837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76576"/>
        <c:crosses val="autoZero"/>
        <c:auto val="1"/>
        <c:lblAlgn val="ctr"/>
        <c:lblOffset val="100"/>
        <c:noMultiLvlLbl val="0"/>
      </c:catAx>
      <c:valAx>
        <c:axId val="17837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379376"/>
        <c:axId val="17837993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79376"/>
        <c:axId val="178379936"/>
      </c:lineChart>
      <c:catAx>
        <c:axId val="178379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79936"/>
        <c:crosses val="autoZero"/>
        <c:auto val="1"/>
        <c:lblAlgn val="ctr"/>
        <c:lblOffset val="100"/>
        <c:noMultiLvlLbl val="1"/>
      </c:catAx>
      <c:valAx>
        <c:axId val="1783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7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478416"/>
        <c:axId val="17847897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78416"/>
        <c:axId val="178478976"/>
      </c:lineChart>
      <c:catAx>
        <c:axId val="178478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78976"/>
        <c:crosses val="autoZero"/>
        <c:auto val="1"/>
        <c:lblAlgn val="ctr"/>
        <c:lblOffset val="100"/>
        <c:noMultiLvlLbl val="1"/>
      </c:catAx>
      <c:valAx>
        <c:axId val="178478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78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06064"/>
        <c:axId val="1787066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06064"/>
        <c:axId val="178706624"/>
      </c:lineChart>
      <c:catAx>
        <c:axId val="178706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06624"/>
        <c:crosses val="autoZero"/>
        <c:auto val="1"/>
        <c:lblAlgn val="ctr"/>
        <c:lblOffset val="100"/>
        <c:noMultiLvlLbl val="1"/>
      </c:catAx>
      <c:valAx>
        <c:axId val="178706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06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11664"/>
        <c:axId val="17910686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11664"/>
        <c:axId val="179106864"/>
      </c:lineChart>
      <c:catAx>
        <c:axId val="17871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06864"/>
        <c:crosses val="autoZero"/>
        <c:auto val="1"/>
        <c:lblAlgn val="ctr"/>
        <c:lblOffset val="100"/>
        <c:noMultiLvlLbl val="1"/>
      </c:catAx>
      <c:valAx>
        <c:axId val="179106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1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112464"/>
        <c:axId val="1791130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12464"/>
        <c:axId val="179113024"/>
      </c:lineChart>
      <c:catAx>
        <c:axId val="1791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13024"/>
        <c:crosses val="autoZero"/>
        <c:auto val="1"/>
        <c:lblAlgn val="ctr"/>
        <c:lblOffset val="100"/>
        <c:noMultiLvlLbl val="1"/>
      </c:catAx>
      <c:valAx>
        <c:axId val="179113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124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25168"/>
        <c:axId val="179525728"/>
      </c:lineChart>
      <c:catAx>
        <c:axId val="179525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25728"/>
        <c:crosses val="autoZero"/>
        <c:auto val="1"/>
        <c:lblAlgn val="ctr"/>
        <c:lblOffset val="100"/>
        <c:noMultiLvlLbl val="0"/>
      </c:catAx>
      <c:valAx>
        <c:axId val="17952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25168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526848"/>
        <c:axId val="17953952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26848"/>
        <c:axId val="179539520"/>
      </c:lineChart>
      <c:catAx>
        <c:axId val="17952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39520"/>
        <c:crosses val="autoZero"/>
        <c:auto val="0"/>
        <c:lblAlgn val="ctr"/>
        <c:lblOffset val="100"/>
        <c:noMultiLvlLbl val="1"/>
      </c:catAx>
      <c:valAx>
        <c:axId val="17953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544560"/>
        <c:axId val="1795451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44560"/>
        <c:axId val="179545120"/>
      </c:lineChart>
      <c:catAx>
        <c:axId val="17954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5120"/>
        <c:crosses val="autoZero"/>
        <c:auto val="1"/>
        <c:lblAlgn val="ctr"/>
        <c:lblOffset val="100"/>
        <c:noMultiLvlLbl val="1"/>
      </c:catAx>
      <c:valAx>
        <c:axId val="179545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4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641680"/>
        <c:axId val="17964224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41680"/>
        <c:axId val="179642240"/>
      </c:lineChart>
      <c:catAx>
        <c:axId val="17964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42240"/>
        <c:crosses val="autoZero"/>
        <c:auto val="1"/>
        <c:lblAlgn val="ctr"/>
        <c:lblOffset val="100"/>
        <c:noMultiLvlLbl val="1"/>
      </c:catAx>
      <c:valAx>
        <c:axId val="179642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41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974112"/>
        <c:axId val="17997467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74112"/>
        <c:axId val="179974672"/>
      </c:lineChart>
      <c:catAx>
        <c:axId val="17997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74672"/>
        <c:crosses val="autoZero"/>
        <c:auto val="1"/>
        <c:lblAlgn val="ctr"/>
        <c:lblOffset val="100"/>
        <c:noMultiLvlLbl val="1"/>
      </c:catAx>
      <c:valAx>
        <c:axId val="179974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74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433280"/>
        <c:axId val="17943384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33280"/>
        <c:axId val="179433840"/>
      </c:lineChart>
      <c:catAx>
        <c:axId val="17943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3840"/>
        <c:crosses val="autoZero"/>
        <c:auto val="1"/>
        <c:lblAlgn val="ctr"/>
        <c:lblOffset val="100"/>
        <c:noMultiLvlLbl val="1"/>
      </c:catAx>
      <c:valAx>
        <c:axId val="17943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3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38880"/>
        <c:axId val="179439440"/>
      </c:lineChart>
      <c:catAx>
        <c:axId val="179438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9440"/>
        <c:crosses val="autoZero"/>
        <c:auto val="1"/>
        <c:lblAlgn val="ctr"/>
        <c:lblOffset val="100"/>
        <c:noMultiLvlLbl val="0"/>
      </c:catAx>
      <c:valAx>
        <c:axId val="17943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3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443360"/>
        <c:axId val="17944392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43360"/>
        <c:axId val="179443920"/>
      </c:lineChart>
      <c:catAx>
        <c:axId val="17944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43920"/>
        <c:crosses val="autoZero"/>
        <c:auto val="0"/>
        <c:lblAlgn val="ctr"/>
        <c:lblOffset val="100"/>
        <c:noMultiLvlLbl val="1"/>
      </c:catAx>
      <c:valAx>
        <c:axId val="17944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4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35120"/>
        <c:axId val="1767356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35120"/>
        <c:axId val="176735680"/>
      </c:lineChart>
      <c:catAx>
        <c:axId val="17673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35680"/>
        <c:crosses val="autoZero"/>
        <c:auto val="1"/>
        <c:lblAlgn val="ctr"/>
        <c:lblOffset val="100"/>
        <c:noMultiLvlLbl val="1"/>
      </c:catAx>
      <c:valAx>
        <c:axId val="176735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35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40720"/>
        <c:axId val="1767412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40720"/>
        <c:axId val="176741280"/>
      </c:lineChart>
      <c:catAx>
        <c:axId val="17674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1280"/>
        <c:crosses val="autoZero"/>
        <c:auto val="1"/>
        <c:lblAlgn val="ctr"/>
        <c:lblOffset val="100"/>
        <c:noMultiLvlLbl val="1"/>
      </c:catAx>
      <c:valAx>
        <c:axId val="176741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0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46880"/>
        <c:axId val="1767474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46880"/>
        <c:axId val="176747440"/>
      </c:lineChart>
      <c:catAx>
        <c:axId val="17674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7440"/>
        <c:crosses val="autoZero"/>
        <c:auto val="1"/>
        <c:lblAlgn val="ctr"/>
        <c:lblOffset val="100"/>
        <c:noMultiLvlLbl val="1"/>
      </c:catAx>
      <c:valAx>
        <c:axId val="176747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6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745616"/>
        <c:axId val="2147461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45616"/>
        <c:axId val="214746176"/>
      </c:lineChart>
      <c:catAx>
        <c:axId val="214745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46176"/>
        <c:crosses val="autoZero"/>
        <c:auto val="1"/>
        <c:lblAlgn val="ctr"/>
        <c:lblOffset val="100"/>
        <c:noMultiLvlLbl val="1"/>
      </c:catAx>
      <c:valAx>
        <c:axId val="214746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45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752896"/>
        <c:axId val="21475345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21475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53456"/>
        <c:crosses val="autoZero"/>
        <c:auto val="1"/>
        <c:lblAlgn val="ctr"/>
        <c:lblOffset val="100"/>
        <c:noMultiLvlLbl val="0"/>
      </c:catAx>
      <c:valAx>
        <c:axId val="21475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52896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757376"/>
        <c:axId val="214757936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57376"/>
        <c:axId val="214757936"/>
      </c:lineChart>
      <c:catAx>
        <c:axId val="21475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57936"/>
        <c:crosses val="autoZero"/>
        <c:auto val="0"/>
        <c:lblAlgn val="ctr"/>
        <c:lblOffset val="100"/>
        <c:noMultiLvlLbl val="1"/>
      </c:catAx>
      <c:valAx>
        <c:axId val="21475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5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31056"/>
        <c:axId val="21453161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31056"/>
        <c:axId val="214531616"/>
      </c:lineChart>
      <c:catAx>
        <c:axId val="21453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31616"/>
        <c:crosses val="autoZero"/>
        <c:auto val="1"/>
        <c:lblAlgn val="ctr"/>
        <c:lblOffset val="100"/>
        <c:noMultiLvlLbl val="1"/>
      </c:catAx>
      <c:valAx>
        <c:axId val="214531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310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36656"/>
        <c:axId val="21453721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36656"/>
        <c:axId val="214537216"/>
      </c:lineChart>
      <c:catAx>
        <c:axId val="214536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37216"/>
        <c:crosses val="autoZero"/>
        <c:auto val="1"/>
        <c:lblAlgn val="ctr"/>
        <c:lblOffset val="100"/>
        <c:noMultiLvlLbl val="1"/>
      </c:catAx>
      <c:valAx>
        <c:axId val="214537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366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696672"/>
        <c:axId val="21569723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696672"/>
        <c:axId val="215697232"/>
      </c:lineChart>
      <c:catAx>
        <c:axId val="215696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97232"/>
        <c:crosses val="autoZero"/>
        <c:auto val="1"/>
        <c:lblAlgn val="ctr"/>
        <c:lblOffset val="100"/>
        <c:noMultiLvlLbl val="1"/>
      </c:catAx>
      <c:valAx>
        <c:axId val="215697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96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702272"/>
        <c:axId val="21570283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02272"/>
        <c:axId val="215702832"/>
      </c:lineChart>
      <c:catAx>
        <c:axId val="21570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02832"/>
        <c:crosses val="autoZero"/>
        <c:auto val="1"/>
        <c:lblAlgn val="ctr"/>
        <c:lblOffset val="100"/>
        <c:noMultiLvlLbl val="1"/>
      </c:catAx>
      <c:valAx>
        <c:axId val="215702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02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710112"/>
        <c:axId val="215710672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21571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10672"/>
        <c:crosses val="autoZero"/>
        <c:auto val="1"/>
        <c:lblAlgn val="ctr"/>
        <c:lblOffset val="100"/>
        <c:noMultiLvlLbl val="0"/>
      </c:catAx>
      <c:valAx>
        <c:axId val="21571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1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599328"/>
        <c:axId val="17659988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99328"/>
        <c:axId val="176599888"/>
      </c:lineChart>
      <c:catAx>
        <c:axId val="17659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99888"/>
        <c:crosses val="autoZero"/>
        <c:auto val="0"/>
        <c:lblAlgn val="ctr"/>
        <c:lblOffset val="100"/>
        <c:noMultiLvlLbl val="1"/>
      </c:catAx>
      <c:valAx>
        <c:axId val="17659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9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604928"/>
        <c:axId val="1766054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04928"/>
        <c:axId val="176605488"/>
      </c:lineChart>
      <c:catAx>
        <c:axId val="17660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05488"/>
        <c:crosses val="autoZero"/>
        <c:auto val="1"/>
        <c:lblAlgn val="ctr"/>
        <c:lblOffset val="100"/>
        <c:noMultiLvlLbl val="1"/>
      </c:catAx>
      <c:valAx>
        <c:axId val="176605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04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610528"/>
        <c:axId val="1766110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10528"/>
        <c:axId val="176611088"/>
      </c:lineChart>
      <c:catAx>
        <c:axId val="17661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11088"/>
        <c:crosses val="autoZero"/>
        <c:auto val="1"/>
        <c:lblAlgn val="ctr"/>
        <c:lblOffset val="100"/>
        <c:noMultiLvlLbl val="1"/>
      </c:catAx>
      <c:valAx>
        <c:axId val="176611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10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928288"/>
        <c:axId val="21592884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28288"/>
        <c:axId val="215928848"/>
      </c:lineChart>
      <c:catAx>
        <c:axId val="21592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28848"/>
        <c:crosses val="autoZero"/>
        <c:auto val="1"/>
        <c:lblAlgn val="ctr"/>
        <c:lblOffset val="100"/>
        <c:noMultiLvlLbl val="1"/>
      </c:catAx>
      <c:valAx>
        <c:axId val="21592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28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933888"/>
        <c:axId val="21593444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33888"/>
        <c:axId val="215934448"/>
      </c:lineChart>
      <c:catAx>
        <c:axId val="215933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34448"/>
        <c:crosses val="autoZero"/>
        <c:auto val="1"/>
        <c:lblAlgn val="ctr"/>
        <c:lblOffset val="100"/>
        <c:noMultiLvlLbl val="1"/>
      </c:catAx>
      <c:valAx>
        <c:axId val="215934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33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940048"/>
        <c:axId val="21594060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40048"/>
        <c:axId val="215940608"/>
      </c:lineChart>
      <c:catAx>
        <c:axId val="21594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40608"/>
        <c:crosses val="autoZero"/>
        <c:auto val="0"/>
        <c:lblAlgn val="ctr"/>
        <c:lblOffset val="100"/>
        <c:noMultiLvlLbl val="1"/>
      </c:catAx>
      <c:valAx>
        <c:axId val="2159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4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836320"/>
        <c:axId val="21483688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836320"/>
        <c:axId val="214836880"/>
      </c:lineChart>
      <c:catAx>
        <c:axId val="21483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36880"/>
        <c:crosses val="autoZero"/>
        <c:auto val="1"/>
        <c:lblAlgn val="ctr"/>
        <c:lblOffset val="100"/>
        <c:noMultiLvlLbl val="1"/>
      </c:catAx>
      <c:valAx>
        <c:axId val="214836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36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841920"/>
        <c:axId val="21484248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841920"/>
        <c:axId val="214842480"/>
      </c:lineChart>
      <c:catAx>
        <c:axId val="214841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42480"/>
        <c:crosses val="autoZero"/>
        <c:auto val="1"/>
        <c:lblAlgn val="ctr"/>
        <c:lblOffset val="100"/>
        <c:noMultiLvlLbl val="1"/>
      </c:catAx>
      <c:valAx>
        <c:axId val="2148424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41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848080"/>
        <c:axId val="21703964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848080"/>
        <c:axId val="217039648"/>
      </c:lineChart>
      <c:catAx>
        <c:axId val="21484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039648"/>
        <c:crosses val="autoZero"/>
        <c:auto val="1"/>
        <c:lblAlgn val="ctr"/>
        <c:lblOffset val="100"/>
        <c:noMultiLvlLbl val="1"/>
      </c:catAx>
      <c:valAx>
        <c:axId val="21703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848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044688"/>
        <c:axId val="21704524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44688"/>
        <c:axId val="217045248"/>
      </c:lineChart>
      <c:catAx>
        <c:axId val="217044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045248"/>
        <c:crosses val="autoZero"/>
        <c:auto val="1"/>
        <c:lblAlgn val="ctr"/>
        <c:lblOffset val="100"/>
        <c:noMultiLvlLbl val="1"/>
      </c:catAx>
      <c:valAx>
        <c:axId val="217045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044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50848"/>
        <c:axId val="2170514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1705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051408"/>
        <c:crosses val="autoZero"/>
        <c:auto val="1"/>
        <c:lblAlgn val="ctr"/>
        <c:lblOffset val="100"/>
        <c:noMultiLvlLbl val="0"/>
      </c:catAx>
      <c:valAx>
        <c:axId val="21705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0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1.5</c:v>
                </c:pt>
                <c:pt idx="1">
                  <c:v>0</c:v>
                </c:pt>
                <c:pt idx="2">
                  <c:v>3.5</c:v>
                </c:pt>
                <c:pt idx="3">
                  <c:v>3</c:v>
                </c:pt>
                <c:pt idx="4">
                  <c:v>0</c:v>
                </c:pt>
                <c:pt idx="5">
                  <c:v>13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055328"/>
        <c:axId val="216949536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1.5</c:v>
                </c:pt>
                <c:pt idx="1">
                  <c:v>0.75</c:v>
                </c:pt>
                <c:pt idx="2">
                  <c:v>1.6666666666666665</c:v>
                </c:pt>
                <c:pt idx="3">
                  <c:v>2</c:v>
                </c:pt>
                <c:pt idx="4">
                  <c:v>1.6</c:v>
                </c:pt>
                <c:pt idx="5">
                  <c:v>3.5</c:v>
                </c:pt>
                <c:pt idx="6">
                  <c:v>4.4285714285714288</c:v>
                </c:pt>
                <c:pt idx="7">
                  <c:v>4.5</c:v>
                </c:pt>
                <c:pt idx="8">
                  <c:v>4.2222222222222223</c:v>
                </c:pt>
                <c:pt idx="9">
                  <c:v>4.0999999999999996</c:v>
                </c:pt>
                <c:pt idx="10">
                  <c:v>4.2727272727272725</c:v>
                </c:pt>
                <c:pt idx="11">
                  <c:v>4.3333333333333339</c:v>
                </c:pt>
                <c:pt idx="12">
                  <c:v>4.7692307692307692</c:v>
                </c:pt>
                <c:pt idx="13">
                  <c:v>5.0714285714285712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55328"/>
        <c:axId val="216949536"/>
      </c:lineChart>
      <c:catAx>
        <c:axId val="21705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49536"/>
        <c:crosses val="autoZero"/>
        <c:auto val="0"/>
        <c:lblAlgn val="ctr"/>
        <c:lblOffset val="100"/>
        <c:noMultiLvlLbl val="1"/>
      </c:catAx>
      <c:valAx>
        <c:axId val="2169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05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954576"/>
        <c:axId val="21695513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1.2857142857142858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54576"/>
        <c:axId val="216955136"/>
      </c:lineChart>
      <c:catAx>
        <c:axId val="21695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5136"/>
        <c:crosses val="autoZero"/>
        <c:auto val="1"/>
        <c:lblAlgn val="ctr"/>
        <c:lblOffset val="100"/>
        <c:noMultiLvlLbl val="1"/>
      </c:catAx>
      <c:valAx>
        <c:axId val="216955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4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960176"/>
        <c:axId val="21696073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1.1538461538461537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60176"/>
        <c:axId val="216960736"/>
      </c:lineChart>
      <c:catAx>
        <c:axId val="216960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60736"/>
        <c:crosses val="autoZero"/>
        <c:auto val="1"/>
        <c:lblAlgn val="ctr"/>
        <c:lblOffset val="100"/>
        <c:noMultiLvlLbl val="1"/>
      </c:catAx>
      <c:valAx>
        <c:axId val="216960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60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966336"/>
        <c:axId val="21696689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1</c:v>
                </c:pt>
                <c:pt idx="9">
                  <c:v>0.9</c:v>
                </c:pt>
                <c:pt idx="10">
                  <c:v>1.0909090909090908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66336"/>
        <c:axId val="216966896"/>
      </c:lineChart>
      <c:catAx>
        <c:axId val="21696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66896"/>
        <c:crosses val="autoZero"/>
        <c:auto val="1"/>
        <c:lblAlgn val="ctr"/>
        <c:lblOffset val="100"/>
        <c:noMultiLvlLbl val="1"/>
      </c:catAx>
      <c:valAx>
        <c:axId val="216966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663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971936"/>
        <c:axId val="21697249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1.5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1.125</c:v>
                </c:pt>
                <c:pt idx="8">
                  <c:v>1</c:v>
                </c:pt>
                <c:pt idx="9">
                  <c:v>1</c:v>
                </c:pt>
                <c:pt idx="10">
                  <c:v>0.90909090909090906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71936"/>
        <c:axId val="216972496"/>
      </c:lineChart>
      <c:catAx>
        <c:axId val="216971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72496"/>
        <c:crosses val="autoZero"/>
        <c:auto val="1"/>
        <c:lblAlgn val="ctr"/>
        <c:lblOffset val="100"/>
        <c:noMultiLvlLbl val="1"/>
      </c:catAx>
      <c:valAx>
        <c:axId val="21697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71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6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6'!$C$91:$Q$91</c:f>
              <c:numCache>
                <c:formatCode>0.00</c:formatCode>
                <c:ptCount val="15"/>
                <c:pt idx="0">
                  <c:v>71</c:v>
                </c:pt>
                <c:pt idx="1">
                  <c:v>69.5</c:v>
                </c:pt>
                <c:pt idx="2">
                  <c:v>69.5</c:v>
                </c:pt>
                <c:pt idx="3">
                  <c:v>66</c:v>
                </c:pt>
                <c:pt idx="4">
                  <c:v>63</c:v>
                </c:pt>
                <c:pt idx="5">
                  <c:v>63</c:v>
                </c:pt>
                <c:pt idx="6">
                  <c:v>50</c:v>
                </c:pt>
                <c:pt idx="7">
                  <c:v>40</c:v>
                </c:pt>
                <c:pt idx="8">
                  <c:v>35</c:v>
                </c:pt>
                <c:pt idx="9">
                  <c:v>33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9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977536"/>
        <c:axId val="216978096"/>
      </c:lineChart>
      <c:catAx>
        <c:axId val="21697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78096"/>
        <c:crosses val="autoZero"/>
        <c:auto val="1"/>
        <c:lblAlgn val="ctr"/>
        <c:lblOffset val="100"/>
        <c:noMultiLvlLbl val="0"/>
      </c:catAx>
      <c:valAx>
        <c:axId val="21697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7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15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10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981456"/>
        <c:axId val="217358128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2.333333333333333</c:v>
                </c:pt>
                <c:pt idx="3">
                  <c:v>2.5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4.375</c:v>
                </c:pt>
                <c:pt idx="8">
                  <c:v>4.3333333333333339</c:v>
                </c:pt>
                <c:pt idx="9">
                  <c:v>4.3</c:v>
                </c:pt>
                <c:pt idx="10">
                  <c:v>4.1818181818181817</c:v>
                </c:pt>
                <c:pt idx="11">
                  <c:v>4.666666666666667</c:v>
                </c:pt>
                <c:pt idx="12">
                  <c:v>4.7692307692307692</c:v>
                </c:pt>
                <c:pt idx="13">
                  <c:v>4.6428571428571423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981456"/>
        <c:axId val="217358128"/>
      </c:lineChart>
      <c:catAx>
        <c:axId val="21698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58128"/>
        <c:crosses val="autoZero"/>
        <c:auto val="0"/>
        <c:lblAlgn val="ctr"/>
        <c:lblOffset val="100"/>
        <c:noMultiLvlLbl val="1"/>
      </c:catAx>
      <c:valAx>
        <c:axId val="21735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8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363168"/>
        <c:axId val="21736372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1</c:v>
                </c:pt>
                <c:pt idx="5">
                  <c:v>1.5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1.1666666666666667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63168"/>
        <c:axId val="217363728"/>
      </c:lineChart>
      <c:catAx>
        <c:axId val="21736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63728"/>
        <c:crosses val="autoZero"/>
        <c:auto val="1"/>
        <c:lblAlgn val="ctr"/>
        <c:lblOffset val="100"/>
        <c:noMultiLvlLbl val="1"/>
      </c:catAx>
      <c:valAx>
        <c:axId val="217363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63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368768"/>
        <c:axId val="21736932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1.1818181818181819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68768"/>
        <c:axId val="217369328"/>
      </c:lineChart>
      <c:catAx>
        <c:axId val="21736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69328"/>
        <c:crosses val="autoZero"/>
        <c:auto val="1"/>
        <c:lblAlgn val="ctr"/>
        <c:lblOffset val="100"/>
        <c:noMultiLvlLbl val="1"/>
      </c:catAx>
      <c:valAx>
        <c:axId val="217369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687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374928"/>
        <c:axId val="2173754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1.2222222222222223</c:v>
                </c:pt>
                <c:pt idx="9">
                  <c:v>1.1000000000000001</c:v>
                </c:pt>
                <c:pt idx="10">
                  <c:v>1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74928"/>
        <c:axId val="217375488"/>
      </c:lineChart>
      <c:catAx>
        <c:axId val="21737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75488"/>
        <c:crosses val="autoZero"/>
        <c:auto val="1"/>
        <c:lblAlgn val="ctr"/>
        <c:lblOffset val="100"/>
        <c:noMultiLvlLbl val="1"/>
      </c:catAx>
      <c:valAx>
        <c:axId val="217375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74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380528"/>
        <c:axId val="2173810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1.4</c:v>
                </c:pt>
                <c:pt idx="5">
                  <c:v>1.3333333333333333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80528"/>
        <c:axId val="217381088"/>
      </c:lineChart>
      <c:catAx>
        <c:axId val="21738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81088"/>
        <c:crosses val="autoZero"/>
        <c:auto val="1"/>
        <c:lblAlgn val="ctr"/>
        <c:lblOffset val="100"/>
        <c:noMultiLvlLbl val="1"/>
      </c:catAx>
      <c:valAx>
        <c:axId val="217381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80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7 Burn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7'!$C$89:$Q$89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7'!$C$91:$Q$91</c:f>
              <c:numCache>
                <c:formatCode>0.00</c:formatCode>
                <c:ptCount val="15"/>
                <c:pt idx="0">
                  <c:v>65</c:v>
                </c:pt>
                <c:pt idx="1">
                  <c:v>65</c:v>
                </c:pt>
                <c:pt idx="2">
                  <c:v>63</c:v>
                </c:pt>
                <c:pt idx="3">
                  <c:v>58</c:v>
                </c:pt>
                <c:pt idx="4">
                  <c:v>55</c:v>
                </c:pt>
                <c:pt idx="5">
                  <c:v>40</c:v>
                </c:pt>
                <c:pt idx="6">
                  <c:v>35</c:v>
                </c:pt>
                <c:pt idx="7">
                  <c:v>30</c:v>
                </c:pt>
                <c:pt idx="8">
                  <c:v>30</c:v>
                </c:pt>
                <c:pt idx="9">
                  <c:v>26</c:v>
                </c:pt>
                <c:pt idx="10">
                  <c:v>22</c:v>
                </c:pt>
                <c:pt idx="11">
                  <c:v>19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386128"/>
        <c:axId val="217386688"/>
      </c:lineChart>
      <c:catAx>
        <c:axId val="21738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86688"/>
        <c:crosses val="autoZero"/>
        <c:auto val="1"/>
        <c:lblAlgn val="ctr"/>
        <c:lblOffset val="100"/>
        <c:noMultiLvlLbl val="0"/>
      </c:catAx>
      <c:valAx>
        <c:axId val="21738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8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25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390048"/>
        <c:axId val="18013294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4</c:v>
                </c:pt>
                <c:pt idx="1">
                  <c:v>3.5</c:v>
                </c:pt>
                <c:pt idx="2">
                  <c:v>4.666666666666667</c:v>
                </c:pt>
                <c:pt idx="3">
                  <c:v>4.25</c:v>
                </c:pt>
                <c:pt idx="4">
                  <c:v>4.4000000000000004</c:v>
                </c:pt>
                <c:pt idx="5">
                  <c:v>4.166666666666667</c:v>
                </c:pt>
                <c:pt idx="6">
                  <c:v>3.8571428571428572</c:v>
                </c:pt>
                <c:pt idx="7">
                  <c:v>6.5</c:v>
                </c:pt>
                <c:pt idx="8">
                  <c:v>6.1111111111111107</c:v>
                </c:pt>
                <c:pt idx="9">
                  <c:v>6</c:v>
                </c:pt>
                <c:pt idx="10">
                  <c:v>5.8181818181818175</c:v>
                </c:pt>
                <c:pt idx="11">
                  <c:v>5.916666666666667</c:v>
                </c:pt>
                <c:pt idx="12">
                  <c:v>5.6153846153846159</c:v>
                </c:pt>
                <c:pt idx="13">
                  <c:v>5.5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90048"/>
        <c:axId val="180132944"/>
      </c:lineChart>
      <c:catAx>
        <c:axId val="21739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32944"/>
        <c:crosses val="autoZero"/>
        <c:auto val="0"/>
        <c:lblAlgn val="ctr"/>
        <c:lblOffset val="100"/>
        <c:noMultiLvlLbl val="1"/>
      </c:catAx>
      <c:valAx>
        <c:axId val="18013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9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7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137984"/>
        <c:axId val="1801385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1.1666666666666667</c:v>
                </c:pt>
                <c:pt idx="6">
                  <c:v>1</c:v>
                </c:pt>
                <c:pt idx="7">
                  <c:v>1.75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1.5454545454545454</c:v>
                </c:pt>
                <c:pt idx="11">
                  <c:v>1.5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37984"/>
        <c:axId val="180138544"/>
      </c:lineChart>
      <c:catAx>
        <c:axId val="18013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38544"/>
        <c:crosses val="autoZero"/>
        <c:auto val="1"/>
        <c:lblAlgn val="ctr"/>
        <c:lblOffset val="100"/>
        <c:noMultiLvlLbl val="1"/>
      </c:catAx>
      <c:valAx>
        <c:axId val="18013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37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143584"/>
        <c:axId val="1801441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1.6666666666666667</c:v>
                </c:pt>
                <c:pt idx="3">
                  <c:v>1.25</c:v>
                </c:pt>
                <c:pt idx="4">
                  <c:v>1.2</c:v>
                </c:pt>
                <c:pt idx="5">
                  <c:v>1</c:v>
                </c:pt>
                <c:pt idx="6">
                  <c:v>1.1428571428571428</c:v>
                </c:pt>
                <c:pt idx="7">
                  <c:v>1.875</c:v>
                </c:pt>
                <c:pt idx="8">
                  <c:v>1.7777777777777777</c:v>
                </c:pt>
                <c:pt idx="9">
                  <c:v>1.9</c:v>
                </c:pt>
                <c:pt idx="10">
                  <c:v>1.7272727272727273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43584"/>
        <c:axId val="180144144"/>
      </c:lineChart>
      <c:catAx>
        <c:axId val="18014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44144"/>
        <c:crosses val="autoZero"/>
        <c:auto val="1"/>
        <c:lblAlgn val="ctr"/>
        <c:lblOffset val="100"/>
        <c:noMultiLvlLbl val="1"/>
      </c:catAx>
      <c:valAx>
        <c:axId val="18014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43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149744"/>
        <c:axId val="18015030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0.75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1.5</c:v>
                </c:pt>
                <c:pt idx="8">
                  <c:v>1.3333333333333333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49744"/>
        <c:axId val="180150304"/>
      </c:lineChart>
      <c:catAx>
        <c:axId val="18014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50304"/>
        <c:crosses val="autoZero"/>
        <c:auto val="1"/>
        <c:lblAlgn val="ctr"/>
        <c:lblOffset val="100"/>
        <c:noMultiLvlLbl val="1"/>
      </c:catAx>
      <c:valAx>
        <c:axId val="180150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49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155344"/>
        <c:axId val="18015590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1.25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1.375</c:v>
                </c:pt>
                <c:pt idx="8">
                  <c:v>1.2222222222222223</c:v>
                </c:pt>
                <c:pt idx="9">
                  <c:v>1.1000000000000001</c:v>
                </c:pt>
                <c:pt idx="10">
                  <c:v>1.2727272727272727</c:v>
                </c:pt>
                <c:pt idx="11">
                  <c:v>1.4166666666666667</c:v>
                </c:pt>
                <c:pt idx="12">
                  <c:v>1.3076923076923077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5344"/>
        <c:axId val="180155904"/>
      </c:lineChart>
      <c:catAx>
        <c:axId val="18015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55904"/>
        <c:crosses val="autoZero"/>
        <c:auto val="1"/>
        <c:lblAlgn val="ctr"/>
        <c:lblOffset val="100"/>
        <c:noMultiLvlLbl val="1"/>
      </c:catAx>
      <c:valAx>
        <c:axId val="1801559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55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8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8'!$C$89:$Q$89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8'!$C$91:$Q$91</c:f>
              <c:numCache>
                <c:formatCode>0.00</c:formatCode>
                <c:ptCount val="15"/>
                <c:pt idx="0">
                  <c:v>77</c:v>
                </c:pt>
                <c:pt idx="1">
                  <c:v>73</c:v>
                </c:pt>
                <c:pt idx="2">
                  <c:v>70</c:v>
                </c:pt>
                <c:pt idx="3">
                  <c:v>63</c:v>
                </c:pt>
                <c:pt idx="4">
                  <c:v>60</c:v>
                </c:pt>
                <c:pt idx="5">
                  <c:v>55</c:v>
                </c:pt>
                <c:pt idx="6">
                  <c:v>52</c:v>
                </c:pt>
                <c:pt idx="7">
                  <c:v>50</c:v>
                </c:pt>
                <c:pt idx="8">
                  <c:v>25</c:v>
                </c:pt>
                <c:pt idx="9">
                  <c:v>22</c:v>
                </c:pt>
                <c:pt idx="10">
                  <c:v>17</c:v>
                </c:pt>
                <c:pt idx="11">
                  <c:v>13</c:v>
                </c:pt>
                <c:pt idx="12">
                  <c:v>6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160944"/>
        <c:axId val="180161504"/>
      </c:lineChart>
      <c:catAx>
        <c:axId val="18016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61504"/>
        <c:crosses val="autoZero"/>
        <c:auto val="1"/>
        <c:lblAlgn val="ctr"/>
        <c:lblOffset val="100"/>
        <c:noMultiLvlLbl val="0"/>
      </c:catAx>
      <c:valAx>
        <c:axId val="18016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6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2</c:v>
                </c:pt>
                <c:pt idx="1">
                  <c:v>16</c:v>
                </c:pt>
                <c:pt idx="2">
                  <c:v>2</c:v>
                </c:pt>
                <c:pt idx="3">
                  <c:v>16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5</c:v>
                </c:pt>
                <c:pt idx="8">
                  <c:v>14</c:v>
                </c:pt>
                <c:pt idx="9">
                  <c:v>4</c:v>
                </c:pt>
                <c:pt idx="10">
                  <c:v>14</c:v>
                </c:pt>
                <c:pt idx="11">
                  <c:v>5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164864"/>
        <c:axId val="219544544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2</c:v>
                </c:pt>
                <c:pt idx="1">
                  <c:v>9</c:v>
                </c:pt>
                <c:pt idx="2">
                  <c:v>6.666666666666667</c:v>
                </c:pt>
                <c:pt idx="3">
                  <c:v>9</c:v>
                </c:pt>
                <c:pt idx="4">
                  <c:v>7.6</c:v>
                </c:pt>
                <c:pt idx="5">
                  <c:v>7</c:v>
                </c:pt>
                <c:pt idx="6">
                  <c:v>6.2857142857142847</c:v>
                </c:pt>
                <c:pt idx="7">
                  <c:v>6.125</c:v>
                </c:pt>
                <c:pt idx="8">
                  <c:v>7.0000000000000009</c:v>
                </c:pt>
                <c:pt idx="9">
                  <c:v>6.7</c:v>
                </c:pt>
                <c:pt idx="10">
                  <c:v>7.3636363636363633</c:v>
                </c:pt>
                <c:pt idx="11">
                  <c:v>7.166666666666667</c:v>
                </c:pt>
                <c:pt idx="12">
                  <c:v>6.9230769230769234</c:v>
                </c:pt>
                <c:pt idx="13">
                  <c:v>6.4285714285714279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4864"/>
        <c:axId val="219544544"/>
      </c:lineChart>
      <c:catAx>
        <c:axId val="180164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44544"/>
        <c:crosses val="autoZero"/>
        <c:auto val="0"/>
        <c:lblAlgn val="ctr"/>
        <c:lblOffset val="100"/>
        <c:noMultiLvlLbl val="1"/>
      </c:catAx>
      <c:valAx>
        <c:axId val="2195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6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549584"/>
        <c:axId val="21955014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2.3333333333333335</c:v>
                </c:pt>
                <c:pt idx="3">
                  <c:v>3.5</c:v>
                </c:pt>
                <c:pt idx="4">
                  <c:v>2.8</c:v>
                </c:pt>
                <c:pt idx="5">
                  <c:v>2.3333333333333335</c:v>
                </c:pt>
                <c:pt idx="6">
                  <c:v>2</c:v>
                </c:pt>
                <c:pt idx="7">
                  <c:v>1.75</c:v>
                </c:pt>
                <c:pt idx="8">
                  <c:v>2.3333333333333335</c:v>
                </c:pt>
                <c:pt idx="9">
                  <c:v>2.1</c:v>
                </c:pt>
                <c:pt idx="10">
                  <c:v>2.5454545454545454</c:v>
                </c:pt>
                <c:pt idx="11">
                  <c:v>2.3333333333333335</c:v>
                </c:pt>
                <c:pt idx="12">
                  <c:v>2.1538461538461537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49584"/>
        <c:axId val="219550144"/>
      </c:lineChart>
      <c:catAx>
        <c:axId val="219549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50144"/>
        <c:crosses val="autoZero"/>
        <c:auto val="1"/>
        <c:lblAlgn val="ctr"/>
        <c:lblOffset val="100"/>
        <c:noMultiLvlLbl val="1"/>
      </c:catAx>
      <c:valAx>
        <c:axId val="219550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49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555184"/>
        <c:axId val="21955574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2.3333333333333335</c:v>
                </c:pt>
                <c:pt idx="3">
                  <c:v>3.5</c:v>
                </c:pt>
                <c:pt idx="4">
                  <c:v>2.8</c:v>
                </c:pt>
                <c:pt idx="5">
                  <c:v>2.3333333333333335</c:v>
                </c:pt>
                <c:pt idx="6">
                  <c:v>2</c:v>
                </c:pt>
                <c:pt idx="7">
                  <c:v>1.75</c:v>
                </c:pt>
                <c:pt idx="8">
                  <c:v>2.3333333333333335</c:v>
                </c:pt>
                <c:pt idx="9">
                  <c:v>2.1</c:v>
                </c:pt>
                <c:pt idx="10">
                  <c:v>2.5454545454545454</c:v>
                </c:pt>
                <c:pt idx="11">
                  <c:v>2.3333333333333335</c:v>
                </c:pt>
                <c:pt idx="12">
                  <c:v>2.1538461538461537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55184"/>
        <c:axId val="219555744"/>
      </c:lineChart>
      <c:catAx>
        <c:axId val="21955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55744"/>
        <c:crosses val="autoZero"/>
        <c:auto val="1"/>
        <c:lblAlgn val="ctr"/>
        <c:lblOffset val="100"/>
        <c:noMultiLvlLbl val="1"/>
      </c:catAx>
      <c:valAx>
        <c:axId val="219555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55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561344"/>
        <c:axId val="2195619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1</c:v>
                </c:pt>
                <c:pt idx="4">
                  <c:v>1.2</c:v>
                </c:pt>
                <c:pt idx="5">
                  <c:v>1.3333333333333333</c:v>
                </c:pt>
                <c:pt idx="6">
                  <c:v>1.1428571428571428</c:v>
                </c:pt>
                <c:pt idx="7">
                  <c:v>1.25</c:v>
                </c:pt>
                <c:pt idx="8">
                  <c:v>1.1111111111111112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1.25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61344"/>
        <c:axId val="219561904"/>
      </c:lineChart>
      <c:catAx>
        <c:axId val="21956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61904"/>
        <c:crosses val="autoZero"/>
        <c:auto val="1"/>
        <c:lblAlgn val="ctr"/>
        <c:lblOffset val="100"/>
        <c:noMultiLvlLbl val="1"/>
      </c:catAx>
      <c:valAx>
        <c:axId val="2195619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61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566944"/>
        <c:axId val="2195675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1.1428571428571428</c:v>
                </c:pt>
                <c:pt idx="7">
                  <c:v>1.375</c:v>
                </c:pt>
                <c:pt idx="8">
                  <c:v>1.2222222222222223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1.25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66944"/>
        <c:axId val="219567504"/>
      </c:lineChart>
      <c:catAx>
        <c:axId val="21956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67504"/>
        <c:crosses val="autoZero"/>
        <c:auto val="1"/>
        <c:lblAlgn val="ctr"/>
        <c:lblOffset val="100"/>
        <c:noMultiLvlLbl val="1"/>
      </c:catAx>
      <c:valAx>
        <c:axId val="21956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6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9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9'!$C$89:$Q$89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9'!$C$91:$Q$91</c:f>
              <c:numCache>
                <c:formatCode>0.00</c:formatCode>
                <c:ptCount val="15"/>
                <c:pt idx="0">
                  <c:v>90</c:v>
                </c:pt>
                <c:pt idx="1">
                  <c:v>88</c:v>
                </c:pt>
                <c:pt idx="2">
                  <c:v>72</c:v>
                </c:pt>
                <c:pt idx="3">
                  <c:v>70</c:v>
                </c:pt>
                <c:pt idx="4">
                  <c:v>54</c:v>
                </c:pt>
                <c:pt idx="5">
                  <c:v>52</c:v>
                </c:pt>
                <c:pt idx="6">
                  <c:v>48</c:v>
                </c:pt>
                <c:pt idx="7">
                  <c:v>46</c:v>
                </c:pt>
                <c:pt idx="8">
                  <c:v>41</c:v>
                </c:pt>
                <c:pt idx="9">
                  <c:v>27</c:v>
                </c:pt>
                <c:pt idx="10">
                  <c:v>23</c:v>
                </c:pt>
                <c:pt idx="11">
                  <c:v>9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392976"/>
        <c:axId val="257363856"/>
      </c:lineChart>
      <c:catAx>
        <c:axId val="25739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63856"/>
        <c:crosses val="autoZero"/>
        <c:auto val="1"/>
        <c:lblAlgn val="ctr"/>
        <c:lblOffset val="100"/>
        <c:noMultiLvlLbl val="0"/>
      </c:catAx>
      <c:valAx>
        <c:axId val="25736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9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2</c:v>
                </c:pt>
                <c:pt idx="1">
                  <c:v>14</c:v>
                </c:pt>
                <c:pt idx="2">
                  <c:v>2</c:v>
                </c:pt>
                <c:pt idx="3">
                  <c:v>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573104"/>
        <c:axId val="21957366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2</c:v>
                </c:pt>
                <c:pt idx="1">
                  <c:v>8</c:v>
                </c:pt>
                <c:pt idx="2">
                  <c:v>6</c:v>
                </c:pt>
                <c:pt idx="3">
                  <c:v>10.75</c:v>
                </c:pt>
                <c:pt idx="4">
                  <c:v>9.1999999999999993</c:v>
                </c:pt>
                <c:pt idx="5">
                  <c:v>7.6666666666666661</c:v>
                </c:pt>
                <c:pt idx="6">
                  <c:v>6.5714285714285712</c:v>
                </c:pt>
                <c:pt idx="7">
                  <c:v>7.625</c:v>
                </c:pt>
                <c:pt idx="8">
                  <c:v>6.7777777777777777</c:v>
                </c:pt>
                <c:pt idx="9">
                  <c:v>6.1</c:v>
                </c:pt>
                <c:pt idx="10">
                  <c:v>5.5454545454545459</c:v>
                </c:pt>
                <c:pt idx="11">
                  <c:v>5.083333333333333</c:v>
                </c:pt>
                <c:pt idx="12">
                  <c:v>4.6923076923076925</c:v>
                </c:pt>
                <c:pt idx="13">
                  <c:v>4.3571428571428577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73104"/>
        <c:axId val="219573664"/>
      </c:lineChart>
      <c:catAx>
        <c:axId val="21957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73664"/>
        <c:crosses val="autoZero"/>
        <c:auto val="0"/>
        <c:lblAlgn val="ctr"/>
        <c:lblOffset val="100"/>
        <c:noMultiLvlLbl val="1"/>
      </c:catAx>
      <c:valAx>
        <c:axId val="2195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7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721536"/>
        <c:axId val="2207220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2.3333333333333335</c:v>
                </c:pt>
                <c:pt idx="3">
                  <c:v>3.75</c:v>
                </c:pt>
                <c:pt idx="4">
                  <c:v>3</c:v>
                </c:pt>
                <c:pt idx="5">
                  <c:v>2.5</c:v>
                </c:pt>
                <c:pt idx="6">
                  <c:v>2.1428571428571428</c:v>
                </c:pt>
                <c:pt idx="7">
                  <c:v>2.25</c:v>
                </c:pt>
                <c:pt idx="8">
                  <c:v>2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21536"/>
        <c:axId val="220722096"/>
      </c:lineChart>
      <c:catAx>
        <c:axId val="22072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22096"/>
        <c:crosses val="autoZero"/>
        <c:auto val="1"/>
        <c:lblAlgn val="ctr"/>
        <c:lblOffset val="100"/>
        <c:noMultiLvlLbl val="1"/>
      </c:catAx>
      <c:valAx>
        <c:axId val="220722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21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727136"/>
        <c:axId val="2207276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2.3333333333333335</c:v>
                </c:pt>
                <c:pt idx="3">
                  <c:v>3.75</c:v>
                </c:pt>
                <c:pt idx="4">
                  <c:v>3</c:v>
                </c:pt>
                <c:pt idx="5">
                  <c:v>2.5</c:v>
                </c:pt>
                <c:pt idx="6">
                  <c:v>2.1428571428571428</c:v>
                </c:pt>
                <c:pt idx="7">
                  <c:v>2.25</c:v>
                </c:pt>
                <c:pt idx="8">
                  <c:v>2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27136"/>
        <c:axId val="220727696"/>
      </c:lineChart>
      <c:catAx>
        <c:axId val="22072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27696"/>
        <c:crosses val="autoZero"/>
        <c:auto val="1"/>
        <c:lblAlgn val="ctr"/>
        <c:lblOffset val="100"/>
        <c:noMultiLvlLbl val="1"/>
      </c:catAx>
      <c:valAx>
        <c:axId val="220727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27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733296"/>
        <c:axId val="22073385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1.6</c:v>
                </c:pt>
                <c:pt idx="5">
                  <c:v>1.3333333333333333</c:v>
                </c:pt>
                <c:pt idx="6">
                  <c:v>1.1428571428571428</c:v>
                </c:pt>
                <c:pt idx="7">
                  <c:v>1.375</c:v>
                </c:pt>
                <c:pt idx="8">
                  <c:v>1.2222222222222223</c:v>
                </c:pt>
                <c:pt idx="9">
                  <c:v>1.1000000000000001</c:v>
                </c:pt>
                <c:pt idx="10">
                  <c:v>1</c:v>
                </c:pt>
                <c:pt idx="11">
                  <c:v>0.91666666666666663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33296"/>
        <c:axId val="220733856"/>
      </c:lineChart>
      <c:catAx>
        <c:axId val="22073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33856"/>
        <c:crosses val="autoZero"/>
        <c:auto val="1"/>
        <c:lblAlgn val="ctr"/>
        <c:lblOffset val="100"/>
        <c:noMultiLvlLbl val="1"/>
      </c:catAx>
      <c:valAx>
        <c:axId val="220733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33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738896"/>
        <c:axId val="22073945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1.3333333333333333</c:v>
                </c:pt>
                <c:pt idx="3">
                  <c:v>1.25</c:v>
                </c:pt>
                <c:pt idx="4">
                  <c:v>1.6</c:v>
                </c:pt>
                <c:pt idx="5">
                  <c:v>1.3333333333333333</c:v>
                </c:pt>
                <c:pt idx="6">
                  <c:v>1.1428571428571428</c:v>
                </c:pt>
                <c:pt idx="7">
                  <c:v>1.75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38896"/>
        <c:axId val="220739456"/>
      </c:lineChart>
      <c:catAx>
        <c:axId val="220738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39456"/>
        <c:crosses val="autoZero"/>
        <c:auto val="1"/>
        <c:lblAlgn val="ctr"/>
        <c:lblOffset val="100"/>
        <c:noMultiLvlLbl val="1"/>
      </c:catAx>
      <c:valAx>
        <c:axId val="220739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38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35</xdr:row>
      <xdr:rowOff>19255</xdr:rowOff>
    </xdr:from>
    <xdr:to>
      <xdr:col>16</xdr:col>
      <xdr:colOff>66261</xdr:colOff>
      <xdr:row>50</xdr:row>
      <xdr:rowOff>87381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8283</xdr:colOff>
      <xdr:row>91</xdr:row>
      <xdr:rowOff>7453</xdr:rowOff>
    </xdr:from>
    <xdr:to>
      <xdr:col>12</xdr:col>
      <xdr:colOff>165652</xdr:colOff>
      <xdr:row>107</xdr:row>
      <xdr:rowOff>173934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24849</xdr:colOff>
      <xdr:row>51</xdr:row>
      <xdr:rowOff>2690</xdr:rowOff>
    </xdr:from>
    <xdr:to>
      <xdr:col>8</xdr:col>
      <xdr:colOff>184703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612912</xdr:colOff>
      <xdr:row>91</xdr:row>
      <xdr:rowOff>124240</xdr:rowOff>
    </xdr:from>
    <xdr:to>
      <xdr:col>12</xdr:col>
      <xdr:colOff>438977</xdr:colOff>
      <xdr:row>109</xdr:row>
      <xdr:rowOff>182218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538370</xdr:colOff>
      <xdr:row>92</xdr:row>
      <xdr:rowOff>149086</xdr:rowOff>
    </xdr:from>
    <xdr:to>
      <xdr:col>14</xdr:col>
      <xdr:colOff>364435</xdr:colOff>
      <xdr:row>111</xdr:row>
      <xdr:rowOff>16564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215347</xdr:colOff>
      <xdr:row>92</xdr:row>
      <xdr:rowOff>132522</xdr:rowOff>
    </xdr:from>
    <xdr:to>
      <xdr:col>13</xdr:col>
      <xdr:colOff>41412</xdr:colOff>
      <xdr:row>111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75" workbookViewId="0">
      <selection activeCell="U95" sqref="U95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4" t="s">
        <v>0</v>
      </c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1" t="s">
        <v>3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 t="s">
        <v>4</v>
      </c>
      <c r="O3" s="72"/>
      <c r="P3" s="72"/>
      <c r="Q3" s="72"/>
      <c r="R3" s="72"/>
      <c r="S3" s="72"/>
      <c r="T3" s="72"/>
      <c r="U3" s="72"/>
      <c r="V3" s="72"/>
      <c r="W3" s="72"/>
      <c r="X3" s="72"/>
      <c r="Y3" s="73"/>
    </row>
    <row r="4" spans="1:25" ht="15.75" x14ac:dyDescent="0.25">
      <c r="C4" s="70" t="s">
        <v>5</v>
      </c>
      <c r="D4" s="70"/>
      <c r="E4" s="70"/>
      <c r="F4" s="70" t="s">
        <v>6</v>
      </c>
      <c r="G4" s="70"/>
      <c r="H4" s="70" t="s">
        <v>7</v>
      </c>
      <c r="I4" s="70"/>
      <c r="J4" s="70" t="s">
        <v>8</v>
      </c>
      <c r="K4" s="70"/>
      <c r="L4" s="76" t="s">
        <v>9</v>
      </c>
      <c r="M4" s="77"/>
      <c r="N4" s="77" t="s">
        <v>10</v>
      </c>
      <c r="O4" s="78"/>
      <c r="P4" s="70" t="s">
        <v>11</v>
      </c>
      <c r="Q4" s="70"/>
      <c r="R4" s="70" t="s">
        <v>12</v>
      </c>
      <c r="S4" s="70"/>
      <c r="T4" s="70" t="s">
        <v>13</v>
      </c>
      <c r="U4" s="70"/>
      <c r="V4" s="70" t="s">
        <v>14</v>
      </c>
      <c r="W4" s="70"/>
      <c r="X4" s="70" t="s">
        <v>15</v>
      </c>
      <c r="Y4" s="70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8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9</v>
      </c>
      <c r="Q7" s="22">
        <f>SUM('Sprint 6'!J6:P6)</f>
        <v>9</v>
      </c>
      <c r="R7" s="22">
        <f>SUM('Sprint 7'!C6:I6)</f>
        <v>10</v>
      </c>
      <c r="S7" s="22">
        <f>SUM('Sprint 7'!J6:P6)</f>
        <v>6</v>
      </c>
      <c r="T7" s="22">
        <f>SUM('Sprint 8'!C6:I6)</f>
        <v>7</v>
      </c>
      <c r="U7" s="22">
        <f>SUM('Sprint 8'!J6:P6)</f>
        <v>13</v>
      </c>
      <c r="V7" s="22">
        <f>SUM('Sprint 9'!C6:I6)</f>
        <v>14</v>
      </c>
      <c r="W7" s="22">
        <f>SUM('Sprint 9'!J6:P6)</f>
        <v>14</v>
      </c>
      <c r="X7" s="22">
        <f>SUM('Sprint 10'!C6:I6)</f>
        <v>15</v>
      </c>
      <c r="Y7" s="22">
        <f>SUM('Sprint 10'!J6:P6)</f>
        <v>3</v>
      </c>
    </row>
    <row r="8" spans="1:25" x14ac:dyDescent="0.25">
      <c r="A8" s="68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7</v>
      </c>
      <c r="Q8" s="22">
        <f>SUM('Sprint 6'!J7:P7)</f>
        <v>10</v>
      </c>
      <c r="R8" s="22">
        <f>SUM('Sprint 7'!C7:I7)</f>
        <v>10</v>
      </c>
      <c r="S8" s="22">
        <f>SUM('Sprint 7'!J7:P7)</f>
        <v>7</v>
      </c>
      <c r="T8" s="22">
        <f>SUM('Sprint 8'!C7:I7)</f>
        <v>8</v>
      </c>
      <c r="U8" s="22">
        <f>SUM('Sprint 8'!J7:P7)</f>
        <v>12</v>
      </c>
      <c r="V8" s="22">
        <f>SUM('Sprint 9'!C7:I7)</f>
        <v>14</v>
      </c>
      <c r="W8" s="22">
        <f>SUM('Sprint 9'!J7:P7)</f>
        <v>14</v>
      </c>
      <c r="X8" s="22">
        <f>SUM('Sprint 10'!C7:I7)</f>
        <v>15</v>
      </c>
      <c r="Y8" s="22">
        <f>SUM('Sprint 10'!J7:P7)</f>
        <v>3</v>
      </c>
    </row>
    <row r="9" spans="1:25" x14ac:dyDescent="0.25">
      <c r="A9" s="68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7</v>
      </c>
      <c r="Q9" s="22">
        <f>SUM('Sprint 6'!J8:P8)</f>
        <v>12</v>
      </c>
      <c r="R9" s="22">
        <f>SUM('Sprint 7'!C8:I8)</f>
        <v>7</v>
      </c>
      <c r="S9" s="22">
        <f>SUM('Sprint 7'!J8:P8)</f>
        <v>9</v>
      </c>
      <c r="T9" s="22">
        <f>SUM('Sprint 8'!C8:I8)</f>
        <v>5</v>
      </c>
      <c r="U9" s="22">
        <f>SUM('Sprint 8'!J8:P8)</f>
        <v>13</v>
      </c>
      <c r="V9" s="22">
        <f>SUM('Sprint 9'!C8:I8)</f>
        <v>8</v>
      </c>
      <c r="W9" s="22">
        <f>SUM('Sprint 9'!J8:P8)</f>
        <v>8</v>
      </c>
      <c r="X9" s="22">
        <f>SUM('Sprint 10'!C8:I8)</f>
        <v>8</v>
      </c>
      <c r="Y9" s="22">
        <f>SUM('Sprint 10'!J8:P8)</f>
        <v>3</v>
      </c>
    </row>
    <row r="10" spans="1:25" x14ac:dyDescent="0.25">
      <c r="A10" s="68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8</v>
      </c>
      <c r="Q10" s="22">
        <f>SUM('Sprint 6'!J9:P9)</f>
        <v>9</v>
      </c>
      <c r="R10" s="22">
        <f>SUM('Sprint 7'!C9:I9)</f>
        <v>8</v>
      </c>
      <c r="S10" s="22">
        <f>SUM('Sprint 7'!J9:P9)</f>
        <v>8</v>
      </c>
      <c r="T10" s="22">
        <f>SUM('Sprint 8'!C9:I9)</f>
        <v>7</v>
      </c>
      <c r="U10" s="22">
        <f>SUM('Sprint 8'!J9:P9)</f>
        <v>12</v>
      </c>
      <c r="V10" s="22">
        <f>SUM('Sprint 9'!C9:I9)</f>
        <v>8</v>
      </c>
      <c r="W10" s="22">
        <f>SUM('Sprint 9'!J9:P9)</f>
        <v>10</v>
      </c>
      <c r="X10" s="22">
        <f>SUM('Sprint 10'!C9:I9)</f>
        <v>8</v>
      </c>
      <c r="Y10" s="22">
        <f>SUM('Sprint 10'!J9:P9)</f>
        <v>6</v>
      </c>
    </row>
    <row r="11" spans="1:25" ht="15.75" x14ac:dyDescent="0.25">
      <c r="A11" s="68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31</v>
      </c>
      <c r="Q11" s="64">
        <f t="shared" si="3"/>
        <v>40</v>
      </c>
      <c r="R11" s="64">
        <f t="shared" si="3"/>
        <v>35</v>
      </c>
      <c r="S11" s="64">
        <f t="shared" si="3"/>
        <v>30</v>
      </c>
      <c r="T11" s="64">
        <f t="shared" si="3"/>
        <v>27</v>
      </c>
      <c r="U11" s="64">
        <f t="shared" si="3"/>
        <v>50</v>
      </c>
      <c r="V11" s="64">
        <f t="shared" si="3"/>
        <v>44</v>
      </c>
      <c r="W11" s="64">
        <f t="shared" si="3"/>
        <v>46</v>
      </c>
      <c r="X11" s="64">
        <f t="shared" si="3"/>
        <v>46</v>
      </c>
      <c r="Y11" s="64">
        <f t="shared" si="3"/>
        <v>15</v>
      </c>
    </row>
    <row r="12" spans="1:25" x14ac:dyDescent="0.25">
      <c r="A12" s="6"/>
      <c r="M12" s="47"/>
      <c r="N12" s="48"/>
    </row>
    <row r="13" spans="1:25" x14ac:dyDescent="0.25">
      <c r="A13" s="68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8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8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8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8"/>
      <c r="B17" s="9" t="s">
        <v>19</v>
      </c>
      <c r="C17" s="21">
        <f t="shared" ref="C17:M17" si="4" xml:space="preserve"> SUM(C13:C16)</f>
        <v>0</v>
      </c>
      <c r="D17" s="21">
        <f t="shared" si="4"/>
        <v>0</v>
      </c>
      <c r="E17" s="21">
        <f t="shared" si="4"/>
        <v>4</v>
      </c>
      <c r="F17" s="21">
        <f t="shared" si="4"/>
        <v>0</v>
      </c>
      <c r="G17" s="21">
        <f t="shared" si="4"/>
        <v>0</v>
      </c>
      <c r="H17" s="21">
        <f t="shared" si="4"/>
        <v>0</v>
      </c>
      <c r="I17" s="21">
        <f t="shared" si="4"/>
        <v>0</v>
      </c>
      <c r="J17" s="21">
        <f t="shared" si="4"/>
        <v>0</v>
      </c>
      <c r="K17" s="21">
        <f t="shared" si="4"/>
        <v>0</v>
      </c>
      <c r="L17" s="21">
        <f t="shared" si="4"/>
        <v>0</v>
      </c>
      <c r="M17" s="21">
        <f t="shared" si="4"/>
        <v>0</v>
      </c>
      <c r="N17" s="46">
        <f t="shared" ref="N17:Y17" si="5">SUM(N13:N16)</f>
        <v>0</v>
      </c>
      <c r="O17" s="64">
        <f t="shared" si="5"/>
        <v>0</v>
      </c>
      <c r="P17" s="64">
        <f t="shared" si="5"/>
        <v>0</v>
      </c>
      <c r="Q17" s="64">
        <f t="shared" si="5"/>
        <v>0</v>
      </c>
      <c r="R17" s="64">
        <f t="shared" si="5"/>
        <v>0</v>
      </c>
      <c r="S17" s="64">
        <f t="shared" si="5"/>
        <v>0</v>
      </c>
      <c r="T17" s="64">
        <f t="shared" si="5"/>
        <v>0</v>
      </c>
      <c r="U17" s="64">
        <f t="shared" si="5"/>
        <v>0</v>
      </c>
      <c r="V17" s="64">
        <f t="shared" si="5"/>
        <v>0</v>
      </c>
      <c r="W17" s="64">
        <f t="shared" si="5"/>
        <v>0</v>
      </c>
      <c r="X17" s="64">
        <f t="shared" si="5"/>
        <v>0</v>
      </c>
      <c r="Y17" s="64">
        <f t="shared" si="5"/>
        <v>0</v>
      </c>
    </row>
    <row r="18" spans="1:25" x14ac:dyDescent="0.25">
      <c r="M18" s="47"/>
      <c r="N18" s="48"/>
    </row>
    <row r="19" spans="1:25" x14ac:dyDescent="0.25">
      <c r="A19" s="69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6" xml:space="preserve"> D19 + E7 + E13</f>
        <v>16.25</v>
      </c>
      <c r="F19" s="24">
        <f t="shared" si="6"/>
        <v>22.75</v>
      </c>
      <c r="G19" s="24">
        <f t="shared" si="6"/>
        <v>24.75</v>
      </c>
      <c r="H19" s="24">
        <f t="shared" si="6"/>
        <v>30.75</v>
      </c>
      <c r="I19" s="24">
        <f t="shared" si="6"/>
        <v>38.75</v>
      </c>
      <c r="J19" s="24">
        <f t="shared" si="6"/>
        <v>51</v>
      </c>
      <c r="K19" s="24">
        <f t="shared" si="6"/>
        <v>61.5</v>
      </c>
      <c r="L19" s="24">
        <f t="shared" si="6"/>
        <v>72</v>
      </c>
      <c r="M19" s="24">
        <f t="shared" si="6"/>
        <v>76</v>
      </c>
      <c r="N19" s="24">
        <f t="shared" si="6"/>
        <v>82</v>
      </c>
      <c r="O19" s="24">
        <f t="shared" si="6"/>
        <v>93</v>
      </c>
      <c r="P19" s="24">
        <f t="shared" si="6"/>
        <v>102</v>
      </c>
      <c r="Q19" s="24">
        <f t="shared" si="6"/>
        <v>111</v>
      </c>
      <c r="R19" s="24">
        <f t="shared" si="6"/>
        <v>121</v>
      </c>
      <c r="S19" s="24">
        <f t="shared" si="6"/>
        <v>127</v>
      </c>
      <c r="T19" s="24">
        <f t="shared" si="6"/>
        <v>134</v>
      </c>
      <c r="U19" s="24">
        <f t="shared" si="6"/>
        <v>147</v>
      </c>
      <c r="V19" s="24">
        <f t="shared" si="6"/>
        <v>161</v>
      </c>
      <c r="W19" s="24">
        <f t="shared" si="6"/>
        <v>175</v>
      </c>
      <c r="X19" s="24">
        <f t="shared" si="6"/>
        <v>190</v>
      </c>
      <c r="Y19" s="24">
        <f t="shared" si="6"/>
        <v>193</v>
      </c>
    </row>
    <row r="20" spans="1:25" x14ac:dyDescent="0.25">
      <c r="A20" s="69"/>
      <c r="B20" s="8" t="str">
        <f xml:space="preserve"> CONCATENATE(Setup!$B$8, ", ", LEFT(Setup!$C$8,2))</f>
        <v>Schroeder, RS</v>
      </c>
      <c r="C20" s="24">
        <f xml:space="preserve"> C8 + C14</f>
        <v>4.25</v>
      </c>
      <c r="D20" s="24">
        <f xml:space="preserve"> C20 + D8 + D14</f>
        <v>8.75</v>
      </c>
      <c r="E20" s="24">
        <f t="shared" ref="E20:S20" si="7" xml:space="preserve"> D20 + E8 + E14</f>
        <v>14.75</v>
      </c>
      <c r="F20" s="24">
        <f t="shared" si="7"/>
        <v>21.25</v>
      </c>
      <c r="G20" s="24">
        <f t="shared" si="7"/>
        <v>24</v>
      </c>
      <c r="H20" s="24">
        <f t="shared" si="7"/>
        <v>30</v>
      </c>
      <c r="I20" s="24">
        <f t="shared" si="7"/>
        <v>38</v>
      </c>
      <c r="J20" s="24">
        <f t="shared" si="7"/>
        <v>43.5</v>
      </c>
      <c r="K20" s="24">
        <f t="shared" si="7"/>
        <v>57.5</v>
      </c>
      <c r="L20" s="24">
        <f t="shared" si="7"/>
        <v>57.5</v>
      </c>
      <c r="M20" s="24">
        <f t="shared" si="7"/>
        <v>57.5</v>
      </c>
      <c r="N20" s="24">
        <f t="shared" si="7"/>
        <v>63.5</v>
      </c>
      <c r="O20" s="24">
        <f t="shared" si="7"/>
        <v>73.5</v>
      </c>
      <c r="P20" s="24">
        <f t="shared" si="7"/>
        <v>80.5</v>
      </c>
      <c r="Q20" s="24">
        <f t="shared" si="7"/>
        <v>90.5</v>
      </c>
      <c r="R20" s="24">
        <f t="shared" si="7"/>
        <v>100.5</v>
      </c>
      <c r="S20" s="24">
        <f t="shared" si="7"/>
        <v>107.5</v>
      </c>
      <c r="T20" s="24">
        <f t="shared" si="6"/>
        <v>115.5</v>
      </c>
      <c r="U20" s="24">
        <f t="shared" si="6"/>
        <v>127.5</v>
      </c>
      <c r="V20" s="24">
        <f t="shared" si="6"/>
        <v>141.5</v>
      </c>
      <c r="W20" s="24">
        <f t="shared" si="6"/>
        <v>155.5</v>
      </c>
      <c r="X20" s="24">
        <f t="shared" si="6"/>
        <v>170.5</v>
      </c>
      <c r="Y20" s="24">
        <f t="shared" si="6"/>
        <v>173.5</v>
      </c>
    </row>
    <row r="21" spans="1:25" x14ac:dyDescent="0.25">
      <c r="A21" s="69"/>
      <c r="B21" s="8" t="str">
        <f xml:space="preserve"> CONCATENATE(Setup!$B$9, ", ", LEFT(Setup!$C$9,2))</f>
        <v>Martz, NM</v>
      </c>
      <c r="C21" s="24">
        <f xml:space="preserve"> C9 + C15</f>
        <v>5.25</v>
      </c>
      <c r="D21" s="24">
        <f xml:space="preserve"> C21 + D9 + D15</f>
        <v>10.75</v>
      </c>
      <c r="E21" s="24">
        <f t="shared" si="6"/>
        <v>17.25</v>
      </c>
      <c r="F21" s="24">
        <f t="shared" si="6"/>
        <v>24.25</v>
      </c>
      <c r="G21" s="24">
        <f t="shared" si="6"/>
        <v>26.75</v>
      </c>
      <c r="H21" s="24">
        <f t="shared" si="6"/>
        <v>37.75</v>
      </c>
      <c r="I21" s="24">
        <f t="shared" si="6"/>
        <v>47</v>
      </c>
      <c r="J21" s="24">
        <f t="shared" si="6"/>
        <v>57</v>
      </c>
      <c r="K21" s="24">
        <f t="shared" si="6"/>
        <v>65</v>
      </c>
      <c r="L21" s="24">
        <f t="shared" si="6"/>
        <v>65</v>
      </c>
      <c r="M21" s="24">
        <f t="shared" si="6"/>
        <v>65</v>
      </c>
      <c r="N21" s="24">
        <f t="shared" si="6"/>
        <v>73</v>
      </c>
      <c r="O21" s="24">
        <f t="shared" si="6"/>
        <v>81</v>
      </c>
      <c r="P21" s="24">
        <f t="shared" si="6"/>
        <v>88</v>
      </c>
      <c r="Q21" s="24">
        <f t="shared" si="6"/>
        <v>100</v>
      </c>
      <c r="R21" s="24">
        <f t="shared" si="6"/>
        <v>107</v>
      </c>
      <c r="S21" s="24">
        <f t="shared" si="6"/>
        <v>116</v>
      </c>
      <c r="T21" s="24">
        <f t="shared" si="6"/>
        <v>121</v>
      </c>
      <c r="U21" s="24">
        <f t="shared" si="6"/>
        <v>134</v>
      </c>
      <c r="V21" s="24">
        <f t="shared" si="6"/>
        <v>142</v>
      </c>
      <c r="W21" s="24">
        <f t="shared" si="6"/>
        <v>150</v>
      </c>
      <c r="X21" s="24">
        <f t="shared" si="6"/>
        <v>158</v>
      </c>
      <c r="Y21" s="24">
        <f t="shared" si="6"/>
        <v>161</v>
      </c>
    </row>
    <row r="22" spans="1:25" x14ac:dyDescent="0.25">
      <c r="A22" s="69"/>
      <c r="B22" s="8" t="str">
        <f xml:space="preserve"> CONCATENATE(Setup!$B$10, ", ", LEFT(Setup!$C$10,2))</f>
        <v>Glosecki, MG</v>
      </c>
      <c r="C22" s="24">
        <f xml:space="preserve"> C10 + C16</f>
        <v>3</v>
      </c>
      <c r="D22" s="24">
        <f xml:space="preserve"> C22 + D10 + D16</f>
        <v>8</v>
      </c>
      <c r="E22" s="24">
        <f t="shared" si="6"/>
        <v>13.5</v>
      </c>
      <c r="F22" s="24">
        <f t="shared" si="6"/>
        <v>18.5</v>
      </c>
      <c r="G22" s="24">
        <f t="shared" si="6"/>
        <v>20.5</v>
      </c>
      <c r="H22" s="24">
        <f t="shared" si="6"/>
        <v>23.5</v>
      </c>
      <c r="I22" s="24">
        <f t="shared" si="6"/>
        <v>32.75</v>
      </c>
      <c r="J22" s="24">
        <f t="shared" si="6"/>
        <v>40.75</v>
      </c>
      <c r="K22" s="24">
        <f t="shared" si="6"/>
        <v>50.25</v>
      </c>
      <c r="L22" s="24">
        <f t="shared" si="6"/>
        <v>58.75</v>
      </c>
      <c r="M22" s="24">
        <f t="shared" si="6"/>
        <v>70.75</v>
      </c>
      <c r="N22" s="24">
        <f t="shared" si="6"/>
        <v>76.75</v>
      </c>
      <c r="O22" s="24">
        <f t="shared" si="6"/>
        <v>84.75</v>
      </c>
      <c r="P22" s="24">
        <f t="shared" si="6"/>
        <v>92.75</v>
      </c>
      <c r="Q22" s="24">
        <f t="shared" si="6"/>
        <v>101.75</v>
      </c>
      <c r="R22" s="24">
        <f t="shared" si="6"/>
        <v>109.75</v>
      </c>
      <c r="S22" s="24">
        <f t="shared" si="6"/>
        <v>117.75</v>
      </c>
      <c r="T22" s="24">
        <f t="shared" si="6"/>
        <v>124.75</v>
      </c>
      <c r="U22" s="24">
        <f t="shared" si="6"/>
        <v>136.75</v>
      </c>
      <c r="V22" s="24">
        <f t="shared" si="6"/>
        <v>144.75</v>
      </c>
      <c r="W22" s="24">
        <f t="shared" si="6"/>
        <v>154.75</v>
      </c>
      <c r="X22" s="24">
        <f t="shared" si="6"/>
        <v>162.75</v>
      </c>
      <c r="Y22" s="24">
        <f t="shared" si="6"/>
        <v>168.75</v>
      </c>
    </row>
    <row r="23" spans="1:25" ht="15.75" x14ac:dyDescent="0.25">
      <c r="A23" s="69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8" xml:space="preserve"> D23 + E11 + E17</f>
        <v>61.75</v>
      </c>
      <c r="F23" s="21">
        <f t="shared" si="8"/>
        <v>86.75</v>
      </c>
      <c r="G23" s="21">
        <f t="shared" si="8"/>
        <v>96</v>
      </c>
      <c r="H23" s="21">
        <f t="shared" si="8"/>
        <v>122</v>
      </c>
      <c r="I23" s="21">
        <f t="shared" si="8"/>
        <v>156.5</v>
      </c>
      <c r="J23" s="21">
        <f t="shared" si="8"/>
        <v>192.25</v>
      </c>
      <c r="K23" s="21">
        <f t="shared" si="8"/>
        <v>234.25</v>
      </c>
      <c r="L23" s="21">
        <f t="shared" si="8"/>
        <v>253.25</v>
      </c>
      <c r="M23" s="45">
        <f t="shared" si="8"/>
        <v>269.25</v>
      </c>
      <c r="N23" s="46">
        <f t="shared" si="8"/>
        <v>295.25</v>
      </c>
      <c r="O23" s="21">
        <f t="shared" si="8"/>
        <v>332.25</v>
      </c>
      <c r="P23" s="21">
        <f t="shared" si="8"/>
        <v>363.25</v>
      </c>
      <c r="Q23" s="21">
        <f t="shared" si="8"/>
        <v>403.25</v>
      </c>
      <c r="R23" s="21">
        <f t="shared" si="8"/>
        <v>438.25</v>
      </c>
      <c r="S23" s="21">
        <f t="shared" si="8"/>
        <v>468.25</v>
      </c>
      <c r="T23" s="21">
        <f t="shared" si="8"/>
        <v>495.25</v>
      </c>
      <c r="U23" s="21">
        <f t="shared" si="8"/>
        <v>545.25</v>
      </c>
      <c r="V23" s="21">
        <f t="shared" si="8"/>
        <v>589.25</v>
      </c>
      <c r="W23" s="21">
        <f t="shared" si="8"/>
        <v>635.25</v>
      </c>
      <c r="X23" s="21">
        <f t="shared" si="8"/>
        <v>681.25</v>
      </c>
      <c r="Y23" s="21">
        <f t="shared" si="8"/>
        <v>696.25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69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xml:space="preserve"> D19 / D$6</f>
        <v>4.875</v>
      </c>
      <c r="E25" s="28">
        <f xml:space="preserve"> E19 / E$6</f>
        <v>5.416666666666667</v>
      </c>
      <c r="F25" s="28">
        <f t="shared" ref="F25:Y25" si="9" xml:space="preserve"> F19 / F$6</f>
        <v>5.6875</v>
      </c>
      <c r="G25" s="28">
        <f t="shared" si="9"/>
        <v>4.95</v>
      </c>
      <c r="H25" s="28">
        <f t="shared" si="9"/>
        <v>5.125</v>
      </c>
      <c r="I25" s="28">
        <f t="shared" si="9"/>
        <v>5.5357142857142856</v>
      </c>
      <c r="J25" s="28">
        <f t="shared" si="9"/>
        <v>6.375</v>
      </c>
      <c r="K25" s="28">
        <f t="shared" si="9"/>
        <v>6.833333333333333</v>
      </c>
      <c r="L25" s="28">
        <f t="shared" si="9"/>
        <v>7.2</v>
      </c>
      <c r="M25" s="49">
        <f t="shared" si="9"/>
        <v>6.9090909090909092</v>
      </c>
      <c r="N25" s="50">
        <f t="shared" si="9"/>
        <v>6.833333333333333</v>
      </c>
      <c r="O25" s="28">
        <f t="shared" si="9"/>
        <v>7.1538461538461542</v>
      </c>
      <c r="P25" s="28">
        <f t="shared" si="9"/>
        <v>7.2857142857142856</v>
      </c>
      <c r="Q25" s="28">
        <f t="shared" si="9"/>
        <v>7.4</v>
      </c>
      <c r="R25" s="28">
        <f t="shared" si="9"/>
        <v>7.5625</v>
      </c>
      <c r="S25" s="28">
        <f t="shared" si="9"/>
        <v>7.4705882352941178</v>
      </c>
      <c r="T25" s="28">
        <f t="shared" si="9"/>
        <v>7.4444444444444446</v>
      </c>
      <c r="U25" s="28">
        <f t="shared" si="9"/>
        <v>7.7368421052631575</v>
      </c>
      <c r="V25" s="28">
        <f t="shared" si="9"/>
        <v>8.0500000000000007</v>
      </c>
      <c r="W25" s="28">
        <f t="shared" si="9"/>
        <v>8.3333333333333339</v>
      </c>
      <c r="X25" s="28">
        <f t="shared" si="9"/>
        <v>8.6363636363636367</v>
      </c>
      <c r="Y25" s="28">
        <f t="shared" si="9"/>
        <v>8.3913043478260878</v>
      </c>
    </row>
    <row r="26" spans="1:25" x14ac:dyDescent="0.25">
      <c r="A26" s="69"/>
      <c r="B26" s="8" t="str">
        <f xml:space="preserve"> CONCATENATE(Setup!$B$8, ", ", LEFT(Setup!$C$8,2))</f>
        <v>Schroeder, RS</v>
      </c>
      <c r="C26" s="28">
        <f t="shared" ref="C26:E29" si="10" xml:space="preserve"> C20 / C$6</f>
        <v>4.25</v>
      </c>
      <c r="D26" s="28">
        <f t="shared" si="10"/>
        <v>4.375</v>
      </c>
      <c r="E26" s="28">
        <f t="shared" si="10"/>
        <v>4.916666666666667</v>
      </c>
      <c r="F26" s="28">
        <f t="shared" ref="F26:Y26" si="11" xml:space="preserve"> F20 / F$6</f>
        <v>5.3125</v>
      </c>
      <c r="G26" s="28">
        <f t="shared" si="11"/>
        <v>4.8</v>
      </c>
      <c r="H26" s="28">
        <f t="shared" si="11"/>
        <v>5</v>
      </c>
      <c r="I26" s="28">
        <f t="shared" si="11"/>
        <v>5.4285714285714288</v>
      </c>
      <c r="J26" s="28">
        <f t="shared" si="11"/>
        <v>5.4375</v>
      </c>
      <c r="K26" s="28">
        <f t="shared" si="11"/>
        <v>6.3888888888888893</v>
      </c>
      <c r="L26" s="28">
        <f t="shared" si="11"/>
        <v>5.75</v>
      </c>
      <c r="M26" s="49">
        <f t="shared" si="11"/>
        <v>5.2272727272727275</v>
      </c>
      <c r="N26" s="50">
        <f t="shared" si="11"/>
        <v>5.291666666666667</v>
      </c>
      <c r="O26" s="28">
        <f t="shared" si="11"/>
        <v>5.6538461538461542</v>
      </c>
      <c r="P26" s="28">
        <f t="shared" si="11"/>
        <v>5.75</v>
      </c>
      <c r="Q26" s="28">
        <f t="shared" si="11"/>
        <v>6.0333333333333332</v>
      </c>
      <c r="R26" s="28">
        <f t="shared" si="11"/>
        <v>6.28125</v>
      </c>
      <c r="S26" s="28">
        <f t="shared" si="11"/>
        <v>6.3235294117647056</v>
      </c>
      <c r="T26" s="28">
        <f t="shared" si="11"/>
        <v>6.416666666666667</v>
      </c>
      <c r="U26" s="28">
        <f t="shared" si="11"/>
        <v>6.7105263157894735</v>
      </c>
      <c r="V26" s="28">
        <f t="shared" si="11"/>
        <v>7.0750000000000002</v>
      </c>
      <c r="W26" s="28">
        <f t="shared" si="11"/>
        <v>7.4047619047619051</v>
      </c>
      <c r="X26" s="28">
        <f t="shared" si="11"/>
        <v>7.75</v>
      </c>
      <c r="Y26" s="28">
        <f t="shared" si="11"/>
        <v>7.5434782608695654</v>
      </c>
    </row>
    <row r="27" spans="1:25" x14ac:dyDescent="0.25">
      <c r="A27" s="69"/>
      <c r="B27" s="8" t="str">
        <f xml:space="preserve"> CONCATENATE(Setup!$B$9, ", ", LEFT(Setup!$C$9,2))</f>
        <v>Martz, NM</v>
      </c>
      <c r="C27" s="28">
        <f t="shared" si="10"/>
        <v>5.25</v>
      </c>
      <c r="D27" s="28">
        <f t="shared" si="10"/>
        <v>5.375</v>
      </c>
      <c r="E27" s="28">
        <f t="shared" si="10"/>
        <v>5.75</v>
      </c>
      <c r="F27" s="28">
        <f t="shared" ref="F27:Y27" si="12" xml:space="preserve"> F21 / F$6</f>
        <v>6.0625</v>
      </c>
      <c r="G27" s="28">
        <f t="shared" si="12"/>
        <v>5.35</v>
      </c>
      <c r="H27" s="28">
        <f t="shared" si="12"/>
        <v>6.291666666666667</v>
      </c>
      <c r="I27" s="28">
        <f t="shared" si="12"/>
        <v>6.7142857142857144</v>
      </c>
      <c r="J27" s="28">
        <f t="shared" si="12"/>
        <v>7.125</v>
      </c>
      <c r="K27" s="28">
        <f t="shared" si="12"/>
        <v>7.2222222222222223</v>
      </c>
      <c r="L27" s="28">
        <f t="shared" si="12"/>
        <v>6.5</v>
      </c>
      <c r="M27" s="49">
        <f t="shared" si="12"/>
        <v>5.9090909090909092</v>
      </c>
      <c r="N27" s="50">
        <f t="shared" si="12"/>
        <v>6.083333333333333</v>
      </c>
      <c r="O27" s="28">
        <f t="shared" si="12"/>
        <v>6.2307692307692308</v>
      </c>
      <c r="P27" s="28">
        <f t="shared" si="12"/>
        <v>6.2857142857142856</v>
      </c>
      <c r="Q27" s="28">
        <f t="shared" si="12"/>
        <v>6.666666666666667</v>
      </c>
      <c r="R27" s="28">
        <f t="shared" si="12"/>
        <v>6.6875</v>
      </c>
      <c r="S27" s="28">
        <f t="shared" si="12"/>
        <v>6.8235294117647056</v>
      </c>
      <c r="T27" s="28">
        <f t="shared" si="12"/>
        <v>6.7222222222222223</v>
      </c>
      <c r="U27" s="28">
        <f t="shared" si="12"/>
        <v>7.0526315789473681</v>
      </c>
      <c r="V27" s="28">
        <f t="shared" si="12"/>
        <v>7.1</v>
      </c>
      <c r="W27" s="28">
        <f t="shared" si="12"/>
        <v>7.1428571428571432</v>
      </c>
      <c r="X27" s="28">
        <f t="shared" si="12"/>
        <v>7.1818181818181817</v>
      </c>
      <c r="Y27" s="28">
        <f t="shared" si="12"/>
        <v>7</v>
      </c>
    </row>
    <row r="28" spans="1:25" x14ac:dyDescent="0.25">
      <c r="A28" s="69"/>
      <c r="B28" s="8" t="str">
        <f xml:space="preserve"> CONCATENATE(Setup!$B$10, ", ", LEFT(Setup!$C$10,2))</f>
        <v>Glosecki, MG</v>
      </c>
      <c r="C28" s="28">
        <f t="shared" si="10"/>
        <v>3</v>
      </c>
      <c r="D28" s="28">
        <f t="shared" si="10"/>
        <v>4</v>
      </c>
      <c r="E28" s="28">
        <f t="shared" si="10"/>
        <v>4.5</v>
      </c>
      <c r="F28" s="28">
        <f t="shared" ref="F28:Y28" si="13" xml:space="preserve"> F22 / F$6</f>
        <v>4.625</v>
      </c>
      <c r="G28" s="28">
        <f t="shared" si="13"/>
        <v>4.0999999999999996</v>
      </c>
      <c r="H28" s="28">
        <f t="shared" si="13"/>
        <v>3.9166666666666665</v>
      </c>
      <c r="I28" s="28">
        <f t="shared" si="13"/>
        <v>4.6785714285714288</v>
      </c>
      <c r="J28" s="28">
        <f t="shared" si="13"/>
        <v>5.09375</v>
      </c>
      <c r="K28" s="28">
        <f t="shared" si="13"/>
        <v>5.583333333333333</v>
      </c>
      <c r="L28" s="28">
        <f t="shared" si="13"/>
        <v>5.875</v>
      </c>
      <c r="M28" s="49">
        <f t="shared" si="13"/>
        <v>6.4318181818181817</v>
      </c>
      <c r="N28" s="50">
        <f t="shared" si="13"/>
        <v>6.395833333333333</v>
      </c>
      <c r="O28" s="28">
        <f t="shared" si="13"/>
        <v>6.5192307692307692</v>
      </c>
      <c r="P28" s="28">
        <f t="shared" si="13"/>
        <v>6.625</v>
      </c>
      <c r="Q28" s="28">
        <f t="shared" si="13"/>
        <v>6.7833333333333332</v>
      </c>
      <c r="R28" s="28">
        <f t="shared" si="13"/>
        <v>6.859375</v>
      </c>
      <c r="S28" s="28">
        <f t="shared" si="13"/>
        <v>6.9264705882352944</v>
      </c>
      <c r="T28" s="28">
        <f t="shared" si="13"/>
        <v>6.9305555555555554</v>
      </c>
      <c r="U28" s="28">
        <f t="shared" si="13"/>
        <v>7.1973684210526319</v>
      </c>
      <c r="V28" s="28">
        <f t="shared" si="13"/>
        <v>7.2374999999999998</v>
      </c>
      <c r="W28" s="28">
        <f t="shared" si="13"/>
        <v>7.3690476190476186</v>
      </c>
      <c r="X28" s="28">
        <f t="shared" si="13"/>
        <v>7.3977272727272725</v>
      </c>
      <c r="Y28" s="28">
        <f t="shared" si="13"/>
        <v>7.3369565217391308</v>
      </c>
    </row>
    <row r="29" spans="1:25" ht="15.75" x14ac:dyDescent="0.25">
      <c r="A29" s="69"/>
      <c r="B29" s="9" t="s">
        <v>19</v>
      </c>
      <c r="C29" s="29">
        <f t="shared" si="10"/>
        <v>17.25</v>
      </c>
      <c r="D29" s="29">
        <f t="shared" si="10"/>
        <v>18.625</v>
      </c>
      <c r="E29" s="29">
        <f t="shared" si="10"/>
        <v>20.583333333333332</v>
      </c>
      <c r="F29" s="29">
        <f t="shared" ref="F29:Y29" si="14" xml:space="preserve"> F23 / F$6</f>
        <v>21.6875</v>
      </c>
      <c r="G29" s="29">
        <f t="shared" si="14"/>
        <v>19.2</v>
      </c>
      <c r="H29" s="29">
        <f t="shared" si="14"/>
        <v>20.333333333333332</v>
      </c>
      <c r="I29" s="29">
        <f t="shared" si="14"/>
        <v>22.357142857142858</v>
      </c>
      <c r="J29" s="29">
        <f t="shared" si="14"/>
        <v>24.03125</v>
      </c>
      <c r="K29" s="29">
        <f t="shared" si="14"/>
        <v>26.027777777777779</v>
      </c>
      <c r="L29" s="29">
        <f t="shared" si="14"/>
        <v>25.324999999999999</v>
      </c>
      <c r="M29" s="51">
        <f t="shared" si="14"/>
        <v>24.477272727272727</v>
      </c>
      <c r="N29" s="52">
        <f t="shared" si="14"/>
        <v>24.604166666666668</v>
      </c>
      <c r="O29" s="29">
        <f t="shared" si="14"/>
        <v>25.557692307692307</v>
      </c>
      <c r="P29" s="29">
        <f t="shared" si="14"/>
        <v>25.946428571428573</v>
      </c>
      <c r="Q29" s="29">
        <f t="shared" si="14"/>
        <v>26.883333333333333</v>
      </c>
      <c r="R29" s="29">
        <f t="shared" si="14"/>
        <v>27.390625</v>
      </c>
      <c r="S29" s="29">
        <f t="shared" si="14"/>
        <v>27.544117647058822</v>
      </c>
      <c r="T29" s="29">
        <f t="shared" si="14"/>
        <v>27.513888888888889</v>
      </c>
      <c r="U29" s="29">
        <f t="shared" si="14"/>
        <v>28.69736842105263</v>
      </c>
      <c r="V29" s="29">
        <f t="shared" si="14"/>
        <v>29.462499999999999</v>
      </c>
      <c r="W29" s="29">
        <f t="shared" si="14"/>
        <v>30.25</v>
      </c>
      <c r="X29" s="29">
        <f t="shared" si="14"/>
        <v>30.96590909090909</v>
      </c>
      <c r="Y29" s="29">
        <f t="shared" si="14"/>
        <v>30.271739130434781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Y23</f>
        <v>696.25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15">F23</f>
        <v>86.75</v>
      </c>
      <c r="G81" s="24">
        <f t="shared" si="15"/>
        <v>96</v>
      </c>
      <c r="H81" s="24">
        <f t="shared" si="15"/>
        <v>122</v>
      </c>
      <c r="I81" s="24">
        <f t="shared" si="15"/>
        <v>156.5</v>
      </c>
      <c r="J81" s="24">
        <f t="shared" si="15"/>
        <v>192.25</v>
      </c>
      <c r="K81" s="24">
        <f t="shared" si="15"/>
        <v>234.25</v>
      </c>
      <c r="L81" s="24">
        <f t="shared" si="15"/>
        <v>253.25</v>
      </c>
      <c r="M81" s="24">
        <f t="shared" si="15"/>
        <v>269.25</v>
      </c>
      <c r="N81" s="24">
        <f t="shared" si="15"/>
        <v>295.25</v>
      </c>
      <c r="O81" s="24">
        <f t="shared" si="15"/>
        <v>332.25</v>
      </c>
      <c r="P81" s="24">
        <f t="shared" si="15"/>
        <v>363.25</v>
      </c>
      <c r="Q81" s="24">
        <f t="shared" si="15"/>
        <v>403.25</v>
      </c>
      <c r="R81" s="24">
        <f t="shared" si="15"/>
        <v>438.25</v>
      </c>
      <c r="S81" s="24">
        <f t="shared" si="15"/>
        <v>468.25</v>
      </c>
      <c r="T81" s="24">
        <f t="shared" si="15"/>
        <v>495.25</v>
      </c>
      <c r="U81" s="24">
        <f t="shared" si="15"/>
        <v>545.25</v>
      </c>
      <c r="V81" s="24">
        <f t="shared" si="15"/>
        <v>589.25</v>
      </c>
      <c r="W81" s="24">
        <f t="shared" si="15"/>
        <v>635.25</v>
      </c>
      <c r="X81" s="24">
        <f t="shared" si="15"/>
        <v>681.25</v>
      </c>
      <c r="Y81" s="24">
        <f>Y23</f>
        <v>696.25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216.75</v>
      </c>
      <c r="Q84" s="24">
        <f>C79-Q81</f>
        <v>176.75</v>
      </c>
      <c r="R84" s="24">
        <f>C79-R81</f>
        <v>141.75</v>
      </c>
      <c r="S84" s="24">
        <f>C79-S81</f>
        <v>111.75</v>
      </c>
      <c r="T84" s="24">
        <f>C79-T81</f>
        <v>84.75</v>
      </c>
      <c r="U84" s="24">
        <f>C79-U81</f>
        <v>34.75</v>
      </c>
      <c r="V84" s="24">
        <f>C79-V81</f>
        <v>-9.25</v>
      </c>
      <c r="W84" s="24">
        <f>C79-W81</f>
        <v>-55.25</v>
      </c>
      <c r="X84" s="24">
        <f>C79-X81</f>
        <v>-101.25</v>
      </c>
      <c r="Y84" s="24">
        <f>C79-Y81</f>
        <v>-116.25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t="shared" ref="D24:I24" si="8" xml:space="preserve"> C$24 + D$18</f>
        <v>0</v>
      </c>
      <c r="E24" s="22">
        <f t="shared" si="8"/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t="shared" ref="D25:I25" si="10" xml:space="preserve"> C$25 + D$19</f>
        <v>0</v>
      </c>
      <c r="E25" s="22">
        <f t="shared" si="10"/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t="shared" ref="D26:I26" si="12" xml:space="preserve"> C$26 + D$20</f>
        <v>0</v>
      </c>
      <c r="E26" s="22">
        <f t="shared" si="12"/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t="shared" ref="D27:I27" si="14" xml:space="preserve"> C$27 + D$21</f>
        <v>0</v>
      </c>
      <c r="E27" s="22">
        <f t="shared" si="14"/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4.25</v>
      </c>
      <c r="D38" s="24">
        <f xml:space="preserve"> SUM(J7:P7) + SUM(J19:P19)</f>
        <v>4.5</v>
      </c>
      <c r="E38" s="24">
        <f xml:space="preserve"> SUM(Q7:W7) + SUM(Q19:W19)</f>
        <v>6</v>
      </c>
      <c r="F38" s="24">
        <f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5.25</v>
      </c>
      <c r="D39" s="24">
        <f xml:space="preserve"> SUM(J8:P8) + SUM(J20:P20)</f>
        <v>5.5</v>
      </c>
      <c r="E39" s="24">
        <f xml:space="preserve"> SUM(Q8:W8) + SUM(Q20:W20)</f>
        <v>6.5</v>
      </c>
      <c r="F39" s="24">
        <f xml:space="preserve"> SUM(C39:E39)</f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3</v>
      </c>
      <c r="D40" s="24">
        <f xml:space="preserve"> SUM(J9:P9) + SUM(J21:P21)</f>
        <v>5</v>
      </c>
      <c r="E40" s="24">
        <f xml:space="preserve"> SUM(Q9:W9) + SUM(Q21:W21)</f>
        <v>5.5</v>
      </c>
      <c r="F40" s="24">
        <f xml:space="preserve"> SUM(C40:E40)</f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xml:space="preserve"> SUM(D37:D40)</f>
        <v>20</v>
      </c>
      <c r="E41" s="21">
        <f xml:space="preserve"> SUM(E37:E40)</f>
        <v>24.5</v>
      </c>
      <c r="F41" s="21">
        <f xml:space="preserve"> SUM(C41:E41)</f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xml:space="preserve"> SUM(C38:D38) / D$36</f>
        <v>4.375</v>
      </c>
      <c r="E44" s="24">
        <f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xml:space="preserve"> SUM(C39:D39) / D$36</f>
        <v>5.375</v>
      </c>
      <c r="E45" s="24">
        <f xml:space="preserve"> SUM(C39:E39) / E$36</f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xml:space="preserve"> SUM(C40:D40) / D$36</f>
        <v>4</v>
      </c>
      <c r="E46" s="24">
        <f xml:space="preserve"> SUM(C40:E40) / E$36</f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xml:space="preserve"> SUM(D43:D46)</f>
        <v>18.625</v>
      </c>
      <c r="E47" s="21">
        <f xml:space="preserve"> SUM(E43:E46)</f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22">D87-D10-D22</f>
        <v>57.75</v>
      </c>
      <c r="F87" s="24">
        <f t="shared" si="22"/>
        <v>53.75</v>
      </c>
      <c r="G87" s="24">
        <f t="shared" si="22"/>
        <v>53.75</v>
      </c>
      <c r="H87" s="24">
        <f t="shared" si="22"/>
        <v>53.25</v>
      </c>
      <c r="I87" s="24">
        <f t="shared" si="22"/>
        <v>50.75</v>
      </c>
      <c r="J87" s="24">
        <f t="shared" si="22"/>
        <v>44.5</v>
      </c>
      <c r="K87" s="24">
        <f t="shared" si="22"/>
        <v>44.5</v>
      </c>
      <c r="L87" s="24">
        <f t="shared" si="22"/>
        <v>41.5</v>
      </c>
      <c r="M87" s="24">
        <f t="shared" si="22"/>
        <v>41.5</v>
      </c>
      <c r="N87" s="24">
        <f t="shared" si="22"/>
        <v>28.5</v>
      </c>
      <c r="O87" s="24">
        <f t="shared" si="22"/>
        <v>28.5</v>
      </c>
      <c r="P87" s="24">
        <f t="shared" si="22"/>
        <v>26</v>
      </c>
      <c r="Q87" s="24">
        <f t="shared" si="22"/>
        <v>24.5</v>
      </c>
      <c r="R87" s="24">
        <f t="shared" si="22"/>
        <v>11.5</v>
      </c>
      <c r="S87" s="24">
        <f t="shared" si="22"/>
        <v>11.5</v>
      </c>
      <c r="T87" s="24">
        <f t="shared" si="22"/>
        <v>11.5</v>
      </c>
      <c r="U87" s="24">
        <f t="shared" si="22"/>
        <v>6.5</v>
      </c>
      <c r="V87" s="24">
        <f t="shared" si="22"/>
        <v>4.5</v>
      </c>
      <c r="W87" s="24">
        <f t="shared" si="22"/>
        <v>2</v>
      </c>
      <c r="X87" s="24">
        <f t="shared" si="22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6.5</v>
      </c>
      <c r="D38" s="24">
        <f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7</v>
      </c>
      <c r="D39" s="24">
        <f xml:space="preserve"> SUM(J8:P8) + SUM(J20:P20)</f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5</v>
      </c>
      <c r="D40" s="24">
        <f xml:space="preserve"> SUM(J9:P9) + SUM(J21:P21)</f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6.5</v>
      </c>
      <c r="D44" s="24">
        <f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7</v>
      </c>
      <c r="D45" s="24">
        <f xml:space="preserve"> SUM(C39:D39) / D$36</f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5</v>
      </c>
      <c r="D46" s="24">
        <f xml:space="preserve"> SUM(C40:D40) / D$36</f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18">C88-C10-C22</f>
        <v>21.25</v>
      </c>
      <c r="E88" s="24">
        <f t="shared" si="18"/>
        <v>19.25</v>
      </c>
      <c r="F88" s="24">
        <f t="shared" si="18"/>
        <v>19.25</v>
      </c>
      <c r="G88" s="24">
        <f t="shared" si="18"/>
        <v>12.75</v>
      </c>
      <c r="H88" s="24">
        <f t="shared" si="18"/>
        <v>10.75</v>
      </c>
      <c r="I88" s="24">
        <f t="shared" si="18"/>
        <v>10.75</v>
      </c>
      <c r="J88" s="24">
        <f t="shared" si="18"/>
        <v>9.25</v>
      </c>
      <c r="K88" s="24">
        <f t="shared" si="18"/>
        <v>8.75</v>
      </c>
      <c r="L88" s="24">
        <f t="shared" si="18"/>
        <v>0</v>
      </c>
      <c r="M88" s="24">
        <f t="shared" si="18"/>
        <v>0</v>
      </c>
      <c r="N88" s="24">
        <f t="shared" si="18"/>
        <v>0</v>
      </c>
      <c r="O88" s="24">
        <f t="shared" si="18"/>
        <v>0</v>
      </c>
      <c r="P88" s="24">
        <f t="shared" si="18"/>
        <v>0</v>
      </c>
      <c r="Q88" s="24">
        <f t="shared" si="18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6</v>
      </c>
      <c r="D38" s="24">
        <f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11</v>
      </c>
      <c r="D39" s="24">
        <f xml:space="preserve"> SUM(J8:P8) + SUM(J20:P20)</f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3</v>
      </c>
      <c r="D40" s="24">
        <f xml:space="preserve"> SUM(J9:P9) + SUM(J21:P21)</f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6</v>
      </c>
      <c r="D44" s="24">
        <f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11</v>
      </c>
      <c r="D45" s="24">
        <f xml:space="preserve"> SUM(C39:D39) / D$36</f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3</v>
      </c>
      <c r="D46" s="24">
        <f xml:space="preserve"> SUM(C40:D40) / D$36</f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18">E91-F90</f>
        <v>48.5</v>
      </c>
      <c r="G91" s="24">
        <f t="shared" si="18"/>
        <v>45.5</v>
      </c>
      <c r="H91" s="24">
        <f t="shared" si="18"/>
        <v>42.5</v>
      </c>
      <c r="I91" s="24">
        <f t="shared" si="18"/>
        <v>37.5</v>
      </c>
      <c r="J91" s="24">
        <f t="shared" si="18"/>
        <v>34.5</v>
      </c>
      <c r="K91" s="24">
        <f t="shared" si="18"/>
        <v>31</v>
      </c>
      <c r="L91" s="24">
        <f t="shared" si="18"/>
        <v>19</v>
      </c>
      <c r="M91" s="24">
        <f t="shared" si="18"/>
        <v>19</v>
      </c>
      <c r="N91" s="24">
        <f t="shared" si="18"/>
        <v>6</v>
      </c>
      <c r="O91" s="24">
        <f t="shared" si="18"/>
        <v>6</v>
      </c>
      <c r="P91" s="24">
        <f t="shared" si="18"/>
        <v>3</v>
      </c>
      <c r="Q91" s="24">
        <f t="shared" si="18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5.5</v>
      </c>
      <c r="D38" s="24">
        <f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10</v>
      </c>
      <c r="D39" s="24">
        <f xml:space="preserve"> SUM(J8:P8) + SUM(J20:P20)</f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5.5</v>
      </c>
      <c r="D44" s="24">
        <f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10</v>
      </c>
      <c r="D45" s="24">
        <f xml:space="preserve"> SUM(C39:D39) / D$36</f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18">E10</f>
        <v>2.5</v>
      </c>
      <c r="G90" s="24">
        <f t="shared" si="18"/>
        <v>3</v>
      </c>
      <c r="H90" s="24">
        <f t="shared" si="18"/>
        <v>5</v>
      </c>
      <c r="I90" s="24">
        <f t="shared" si="18"/>
        <v>7</v>
      </c>
      <c r="J90" s="24">
        <f t="shared" si="18"/>
        <v>7.5</v>
      </c>
      <c r="K90" s="24">
        <f t="shared" si="18"/>
        <v>2.5</v>
      </c>
      <c r="L90" s="24">
        <f t="shared" si="18"/>
        <v>9.5</v>
      </c>
      <c r="M90" s="24">
        <f t="shared" si="18"/>
        <v>8.5</v>
      </c>
      <c r="N90" s="24">
        <f t="shared" si="18"/>
        <v>6.5</v>
      </c>
      <c r="O90" s="24">
        <f t="shared" si="18"/>
        <v>6</v>
      </c>
      <c r="P90" s="24">
        <f t="shared" si="18"/>
        <v>5</v>
      </c>
      <c r="Q90" s="24">
        <f t="shared" si="18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19">E91-F90</f>
        <v>64.5</v>
      </c>
      <c r="G91" s="24">
        <f t="shared" si="19"/>
        <v>61.5</v>
      </c>
      <c r="H91" s="24">
        <f t="shared" si="19"/>
        <v>56.5</v>
      </c>
      <c r="I91" s="24">
        <f t="shared" si="19"/>
        <v>49.5</v>
      </c>
      <c r="J91" s="24">
        <f t="shared" si="19"/>
        <v>42</v>
      </c>
      <c r="K91" s="24">
        <f t="shared" si="19"/>
        <v>39.5</v>
      </c>
      <c r="L91" s="24">
        <f t="shared" si="19"/>
        <v>30</v>
      </c>
      <c r="M91" s="24">
        <f t="shared" si="19"/>
        <v>21.5</v>
      </c>
      <c r="N91" s="24">
        <f t="shared" si="19"/>
        <v>15</v>
      </c>
      <c r="O91" s="24">
        <f t="shared" si="19"/>
        <v>9</v>
      </c>
      <c r="P91" s="24">
        <f t="shared" si="19"/>
        <v>4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0</v>
      </c>
      <c r="D38" s="24">
        <f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0</v>
      </c>
      <c r="D39" s="24">
        <f xml:space="preserve"> SUM(J8:P8) + SUM(J20:P20)</f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8.5</v>
      </c>
      <c r="D40" s="24">
        <f xml:space="preserve"> SUM(J9:P9) + SUM(J21:P21)</f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0</v>
      </c>
      <c r="D44" s="24">
        <f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0</v>
      </c>
      <c r="D45" s="24">
        <f xml:space="preserve"> SUM(C39:D39) / D$36</f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8.5</v>
      </c>
      <c r="D46" s="24">
        <f xml:space="preserve"> SUM(C40:D40) / D$36</f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0" zoomScale="115" zoomScaleNormal="115" workbookViewId="0">
      <selection activeCell="D103" sqref="D10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6</v>
      </c>
      <c r="D38" s="24">
        <f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8</v>
      </c>
      <c r="D39" s="24">
        <f xml:space="preserve"> SUM(J8:P8) + SUM(J20:P20)</f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6</v>
      </c>
      <c r="D40" s="24">
        <f xml:space="preserve"> SUM(J9:P9) + SUM(J21:P21)</f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6</v>
      </c>
      <c r="D44" s="24">
        <f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8</v>
      </c>
      <c r="D45" s="24">
        <f xml:space="preserve"> SUM(C39:D39) / D$36</f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6</v>
      </c>
      <c r="D46" s="24">
        <f xml:space="preserve"> SUM(C40:D40) / D$36</f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18">E10</f>
        <v>4</v>
      </c>
      <c r="G90" s="24">
        <f t="shared" si="18"/>
        <v>2</v>
      </c>
      <c r="H90" s="24">
        <f t="shared" si="18"/>
        <v>5</v>
      </c>
      <c r="I90" s="24">
        <f t="shared" si="18"/>
        <v>5</v>
      </c>
      <c r="J90" s="24">
        <f t="shared" si="18"/>
        <v>4</v>
      </c>
      <c r="K90" s="24">
        <f t="shared" si="18"/>
        <v>2</v>
      </c>
      <c r="L90" s="24">
        <f t="shared" si="18"/>
        <v>2</v>
      </c>
      <c r="M90" s="24">
        <f t="shared" si="18"/>
        <v>5</v>
      </c>
      <c r="N90" s="24">
        <f t="shared" si="18"/>
        <v>2</v>
      </c>
      <c r="O90" s="24">
        <f t="shared" si="18"/>
        <v>17</v>
      </c>
      <c r="P90" s="24">
        <f t="shared" si="18"/>
        <v>6</v>
      </c>
      <c r="Q90" s="24">
        <f t="shared" si="18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19">E91-F90</f>
        <v>53</v>
      </c>
      <c r="G91" s="24">
        <f t="shared" si="19"/>
        <v>51</v>
      </c>
      <c r="H91" s="24">
        <f t="shared" si="19"/>
        <v>46</v>
      </c>
      <c r="I91" s="24">
        <f t="shared" si="19"/>
        <v>41</v>
      </c>
      <c r="J91" s="24">
        <f t="shared" si="19"/>
        <v>37</v>
      </c>
      <c r="K91" s="24">
        <f t="shared" si="19"/>
        <v>35</v>
      </c>
      <c r="L91" s="24">
        <f t="shared" si="19"/>
        <v>33</v>
      </c>
      <c r="M91" s="24">
        <f t="shared" si="19"/>
        <v>28</v>
      </c>
      <c r="N91" s="24">
        <f t="shared" si="19"/>
        <v>26</v>
      </c>
      <c r="O91" s="24">
        <f t="shared" si="19"/>
        <v>9</v>
      </c>
      <c r="P91" s="24">
        <f t="shared" si="19"/>
        <v>3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6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3</v>
      </c>
      <c r="G6" s="33">
        <v>0</v>
      </c>
      <c r="H6" s="33">
        <v>3</v>
      </c>
      <c r="I6" s="33">
        <v>3</v>
      </c>
      <c r="J6" s="59">
        <v>4</v>
      </c>
      <c r="K6" s="32">
        <v>0</v>
      </c>
      <c r="L6" s="32">
        <v>2</v>
      </c>
      <c r="M6" s="32">
        <v>0</v>
      </c>
      <c r="N6" s="32">
        <v>0</v>
      </c>
      <c r="O6" s="32">
        <v>3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4</v>
      </c>
      <c r="I7" s="33">
        <v>3</v>
      </c>
      <c r="J7" s="59">
        <v>0</v>
      </c>
      <c r="K7" s="32">
        <v>0</v>
      </c>
      <c r="L7" s="32">
        <v>0</v>
      </c>
      <c r="M7" s="32">
        <v>3</v>
      </c>
      <c r="N7" s="32">
        <v>0</v>
      </c>
      <c r="O7" s="32">
        <v>5</v>
      </c>
      <c r="P7" s="58">
        <v>2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2</v>
      </c>
      <c r="F8" s="33">
        <v>0</v>
      </c>
      <c r="G8" s="33">
        <v>0</v>
      </c>
      <c r="H8" s="33">
        <v>3</v>
      </c>
      <c r="I8" s="33">
        <v>2</v>
      </c>
      <c r="J8" s="59">
        <v>0</v>
      </c>
      <c r="K8" s="32">
        <v>2</v>
      </c>
      <c r="L8" s="32">
        <v>0</v>
      </c>
      <c r="M8" s="32">
        <v>3</v>
      </c>
      <c r="N8" s="32">
        <v>4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1.5</v>
      </c>
      <c r="D9" s="33">
        <v>0</v>
      </c>
      <c r="E9" s="33">
        <v>1.5</v>
      </c>
      <c r="F9" s="33">
        <v>0</v>
      </c>
      <c r="G9" s="33">
        <v>0</v>
      </c>
      <c r="H9" s="33">
        <v>3</v>
      </c>
      <c r="I9" s="33">
        <v>2</v>
      </c>
      <c r="J9" s="59">
        <v>1</v>
      </c>
      <c r="K9" s="32">
        <v>0</v>
      </c>
      <c r="L9" s="32">
        <v>1</v>
      </c>
      <c r="M9" s="32">
        <v>0</v>
      </c>
      <c r="N9" s="32">
        <v>1</v>
      </c>
      <c r="O9" s="32">
        <v>2</v>
      </c>
      <c r="P9" s="58">
        <v>4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0</v>
      </c>
      <c r="E10" s="21">
        <f t="shared" si="1"/>
        <v>3.5</v>
      </c>
      <c r="F10" s="21">
        <f t="shared" si="1"/>
        <v>3</v>
      </c>
      <c r="G10" s="21">
        <f t="shared" si="1"/>
        <v>0</v>
      </c>
      <c r="H10" s="21">
        <f t="shared" si="1"/>
        <v>13</v>
      </c>
      <c r="I10" s="60">
        <f t="shared" si="1"/>
        <v>10</v>
      </c>
      <c r="J10" s="61">
        <f t="shared" si="1"/>
        <v>5</v>
      </c>
      <c r="K10" s="21">
        <f t="shared" si="1"/>
        <v>2</v>
      </c>
      <c r="L10" s="21">
        <f t="shared" si="1"/>
        <v>3</v>
      </c>
      <c r="M10" s="21">
        <f t="shared" si="1"/>
        <v>6</v>
      </c>
      <c r="N10" s="21">
        <f t="shared" si="1"/>
        <v>5</v>
      </c>
      <c r="O10" s="21">
        <f t="shared" si="1"/>
        <v>10</v>
      </c>
      <c r="P10" s="60">
        <f t="shared" si="1"/>
        <v>9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3</v>
      </c>
      <c r="G12" s="22">
        <f t="shared" si="2"/>
        <v>3</v>
      </c>
      <c r="H12" s="22">
        <f t="shared" si="2"/>
        <v>6</v>
      </c>
      <c r="I12" s="62">
        <f t="shared" si="2"/>
        <v>9</v>
      </c>
      <c r="J12" s="63">
        <f t="shared" si="2"/>
        <v>13</v>
      </c>
      <c r="K12" s="22">
        <f t="shared" si="2"/>
        <v>13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18</v>
      </c>
      <c r="P12" s="62">
        <f t="shared" si="2"/>
        <v>18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4</v>
      </c>
      <c r="I13" s="62">
        <f t="shared" si="3"/>
        <v>7</v>
      </c>
      <c r="J13" s="63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15</v>
      </c>
      <c r="P13" s="62">
        <f t="shared" si="3"/>
        <v>17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9</v>
      </c>
      <c r="L14" s="22">
        <f t="shared" si="4"/>
        <v>9</v>
      </c>
      <c r="M14" s="22">
        <f t="shared" si="4"/>
        <v>12</v>
      </c>
      <c r="N14" s="22">
        <f t="shared" si="4"/>
        <v>16</v>
      </c>
      <c r="O14" s="22">
        <f t="shared" si="4"/>
        <v>16</v>
      </c>
      <c r="P14" s="62">
        <f t="shared" si="4"/>
        <v>19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1.5</v>
      </c>
      <c r="D15" s="22">
        <f t="shared" ref="D15:P15" si="5" xml:space="preserve"> C$15 + D$9</f>
        <v>1.5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9</v>
      </c>
      <c r="K15" s="22">
        <f t="shared" si="5"/>
        <v>9</v>
      </c>
      <c r="L15" s="22">
        <f t="shared" si="5"/>
        <v>10</v>
      </c>
      <c r="M15" s="22">
        <f t="shared" si="5"/>
        <v>10</v>
      </c>
      <c r="N15" s="22">
        <f t="shared" si="5"/>
        <v>11</v>
      </c>
      <c r="O15" s="22">
        <f t="shared" si="5"/>
        <v>13</v>
      </c>
      <c r="P15" s="62">
        <f t="shared" si="5"/>
        <v>17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1.5</v>
      </c>
      <c r="E16" s="21">
        <f t="shared" si="6"/>
        <v>5</v>
      </c>
      <c r="F16" s="21">
        <f t="shared" si="6"/>
        <v>8</v>
      </c>
      <c r="G16" s="21">
        <f t="shared" si="6"/>
        <v>8</v>
      </c>
      <c r="H16" s="21">
        <f t="shared" si="6"/>
        <v>21</v>
      </c>
      <c r="I16" s="60">
        <f t="shared" si="6"/>
        <v>31</v>
      </c>
      <c r="J16" s="61">
        <f t="shared" si="6"/>
        <v>36</v>
      </c>
      <c r="K16" s="21">
        <f t="shared" si="6"/>
        <v>38</v>
      </c>
      <c r="L16" s="21">
        <f t="shared" si="6"/>
        <v>41</v>
      </c>
      <c r="M16" s="21">
        <f t="shared" si="6"/>
        <v>47</v>
      </c>
      <c r="N16" s="21">
        <f t="shared" si="6"/>
        <v>52</v>
      </c>
      <c r="O16" s="21">
        <f t="shared" si="6"/>
        <v>62</v>
      </c>
      <c r="P16" s="60">
        <f t="shared" si="6"/>
        <v>71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0.75</v>
      </c>
      <c r="G30" s="22">
        <f t="shared" si="13"/>
        <v>0.6</v>
      </c>
      <c r="H30" s="22">
        <f t="shared" si="13"/>
        <v>1</v>
      </c>
      <c r="I30" s="62">
        <f t="shared" si="13"/>
        <v>1.2857142857142858</v>
      </c>
      <c r="J30" s="63">
        <f t="shared" si="13"/>
        <v>1.625</v>
      </c>
      <c r="K30" s="22">
        <f t="shared" si="13"/>
        <v>1.4444444444444444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1.3846153846153846</v>
      </c>
      <c r="P30" s="62">
        <f t="shared" si="13"/>
        <v>1.2857142857142858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0.66666666666666663</v>
      </c>
      <c r="I31" s="62">
        <f t="shared" si="14"/>
        <v>1</v>
      </c>
      <c r="J31" s="63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1.1538461538461537</v>
      </c>
      <c r="P31" s="62">
        <f t="shared" si="14"/>
        <v>1.2142857142857142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0.4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1</v>
      </c>
      <c r="L32" s="22">
        <f t="shared" si="15"/>
        <v>0.9</v>
      </c>
      <c r="M32" s="22">
        <f t="shared" si="15"/>
        <v>1.0909090909090908</v>
      </c>
      <c r="N32" s="22">
        <f t="shared" si="15"/>
        <v>1.3333333333333333</v>
      </c>
      <c r="O32" s="22">
        <f t="shared" si="15"/>
        <v>1.2307692307692308</v>
      </c>
      <c r="P32" s="62">
        <f t="shared" si="15"/>
        <v>1.3571428571428572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1.5</v>
      </c>
      <c r="D33" s="22">
        <f xml:space="preserve"> (D$15 + D$27) / D$5</f>
        <v>0.75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1.125</v>
      </c>
      <c r="K33" s="22">
        <f t="shared" si="16"/>
        <v>1</v>
      </c>
      <c r="L33" s="22">
        <f t="shared" si="16"/>
        <v>1</v>
      </c>
      <c r="M33" s="22">
        <f t="shared" si="16"/>
        <v>0.90909090909090906</v>
      </c>
      <c r="N33" s="22">
        <f t="shared" si="16"/>
        <v>0.91666666666666663</v>
      </c>
      <c r="O33" s="22">
        <f t="shared" si="16"/>
        <v>1</v>
      </c>
      <c r="P33" s="62">
        <f t="shared" si="16"/>
        <v>1.2142857142857142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0.75</v>
      </c>
      <c r="E34" s="21">
        <f t="shared" si="17"/>
        <v>1.6666666666666665</v>
      </c>
      <c r="F34" s="21">
        <f t="shared" si="17"/>
        <v>2</v>
      </c>
      <c r="G34" s="21">
        <f t="shared" si="17"/>
        <v>1.6</v>
      </c>
      <c r="H34" s="21">
        <f t="shared" si="17"/>
        <v>3.5</v>
      </c>
      <c r="I34" s="60">
        <f t="shared" si="17"/>
        <v>4.4285714285714288</v>
      </c>
      <c r="J34" s="61">
        <f t="shared" si="17"/>
        <v>4.5</v>
      </c>
      <c r="K34" s="21">
        <f t="shared" si="17"/>
        <v>4.2222222222222223</v>
      </c>
      <c r="L34" s="21">
        <f t="shared" si="17"/>
        <v>4.0999999999999996</v>
      </c>
      <c r="M34" s="21">
        <f t="shared" si="17"/>
        <v>4.2727272727272725</v>
      </c>
      <c r="N34" s="21">
        <f t="shared" si="17"/>
        <v>4.3333333333333339</v>
      </c>
      <c r="O34" s="21">
        <f t="shared" si="17"/>
        <v>4.7692307692307692</v>
      </c>
      <c r="P34" s="60">
        <f t="shared" si="17"/>
        <v>5.0714285714285712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9</v>
      </c>
      <c r="D37" s="24">
        <f xml:space="preserve"> SUM(J6:P6) + SUM(J18:P18)</f>
        <v>9</v>
      </c>
      <c r="E37" s="24">
        <f xml:space="preserve"> SUM(C37:D37)</f>
        <v>18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7</v>
      </c>
      <c r="D38" s="24">
        <f xml:space="preserve"> SUM(J7:P7) + SUM(J19:P19)</f>
        <v>10</v>
      </c>
      <c r="E38" s="24">
        <f xml:space="preserve"> SUM(C38:D38)</f>
        <v>17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7</v>
      </c>
      <c r="D39" s="24">
        <f xml:space="preserve"> SUM(J8:P8) + SUM(J20:P20)</f>
        <v>12</v>
      </c>
      <c r="E39" s="24">
        <f xml:space="preserve"> SUM(C39:D39)</f>
        <v>19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9</v>
      </c>
      <c r="E40" s="24">
        <f xml:space="preserve"> SUM(C40:D40)</f>
        <v>17</v>
      </c>
    </row>
    <row r="41" spans="1:16" ht="16.5" thickBot="1" x14ac:dyDescent="0.3">
      <c r="A41" s="79"/>
      <c r="B41" s="18" t="s">
        <v>19</v>
      </c>
      <c r="C41" s="21">
        <f xml:space="preserve"> SUM(C37:C40)</f>
        <v>31</v>
      </c>
      <c r="D41" s="21">
        <f xml:space="preserve"> SUM(D37:D40)</f>
        <v>40</v>
      </c>
      <c r="E41" s="21">
        <f xml:space="preserve"> SUM(C41:D41)</f>
        <v>71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9</v>
      </c>
      <c r="D43" s="24">
        <f xml:space="preserve"> SUM(C37:D37) / D$36</f>
        <v>9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7</v>
      </c>
      <c r="D44" s="24">
        <f xml:space="preserve"> SUM(C38:D38) / D$36</f>
        <v>8.5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7</v>
      </c>
      <c r="D45" s="24">
        <f xml:space="preserve"> SUM(C39:D39) / D$36</f>
        <v>9.5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8.5</v>
      </c>
    </row>
    <row r="47" spans="1:16" ht="16.5" thickBot="1" x14ac:dyDescent="0.3">
      <c r="A47" s="79"/>
      <c r="B47" s="18" t="s">
        <v>19</v>
      </c>
      <c r="C47" s="21">
        <f xml:space="preserve"> SUM(C43:C46)</f>
        <v>31</v>
      </c>
      <c r="D47" s="21">
        <f xml:space="preserve"> SUM(D43:D46)</f>
        <v>35.5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71</v>
      </c>
      <c r="D90" s="24">
        <f>C10</f>
        <v>1.5</v>
      </c>
      <c r="E90" s="24">
        <f>D10</f>
        <v>0</v>
      </c>
      <c r="F90" s="24">
        <f t="shared" ref="F90:Q90" si="18">E10</f>
        <v>3.5</v>
      </c>
      <c r="G90" s="24">
        <f t="shared" si="18"/>
        <v>3</v>
      </c>
      <c r="H90" s="24">
        <f t="shared" si="18"/>
        <v>0</v>
      </c>
      <c r="I90" s="24">
        <f t="shared" si="18"/>
        <v>13</v>
      </c>
      <c r="J90" s="24">
        <f t="shared" si="18"/>
        <v>10</v>
      </c>
      <c r="K90" s="24">
        <f t="shared" si="18"/>
        <v>5</v>
      </c>
      <c r="L90" s="24">
        <f t="shared" si="18"/>
        <v>2</v>
      </c>
      <c r="M90" s="24">
        <f t="shared" si="18"/>
        <v>3</v>
      </c>
      <c r="N90" s="24">
        <f t="shared" si="18"/>
        <v>6</v>
      </c>
      <c r="O90" s="24">
        <f t="shared" si="18"/>
        <v>5</v>
      </c>
      <c r="P90" s="24">
        <f t="shared" si="18"/>
        <v>10</v>
      </c>
      <c r="Q90" s="24">
        <f t="shared" si="18"/>
        <v>9</v>
      </c>
    </row>
    <row r="91" spans="2:17" x14ac:dyDescent="0.25">
      <c r="B91" t="s">
        <v>55</v>
      </c>
      <c r="C91" s="24">
        <f>C90</f>
        <v>71</v>
      </c>
      <c r="D91" s="24">
        <f>C91-D90</f>
        <v>69.5</v>
      </c>
      <c r="E91" s="24">
        <f>D91-E90</f>
        <v>69.5</v>
      </c>
      <c r="F91" s="24">
        <f t="shared" ref="F91:Q91" si="19">E91-F90</f>
        <v>66</v>
      </c>
      <c r="G91" s="24">
        <f t="shared" si="19"/>
        <v>63</v>
      </c>
      <c r="H91" s="24">
        <f t="shared" si="19"/>
        <v>63</v>
      </c>
      <c r="I91" s="24">
        <f t="shared" si="19"/>
        <v>50</v>
      </c>
      <c r="J91" s="24">
        <f t="shared" si="19"/>
        <v>40</v>
      </c>
      <c r="K91" s="24">
        <f t="shared" si="19"/>
        <v>35</v>
      </c>
      <c r="L91" s="24">
        <f t="shared" si="19"/>
        <v>33</v>
      </c>
      <c r="M91" s="24">
        <f t="shared" si="19"/>
        <v>30</v>
      </c>
      <c r="N91" s="24">
        <f t="shared" si="19"/>
        <v>24</v>
      </c>
      <c r="O91" s="24">
        <f t="shared" si="19"/>
        <v>19</v>
      </c>
      <c r="P91" s="24">
        <f t="shared" si="19"/>
        <v>9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2</v>
      </c>
      <c r="F6" s="33">
        <v>0</v>
      </c>
      <c r="G6" s="33">
        <v>3</v>
      </c>
      <c r="H6" s="33">
        <v>4</v>
      </c>
      <c r="I6" s="33">
        <v>1</v>
      </c>
      <c r="J6" s="59">
        <v>0</v>
      </c>
      <c r="K6" s="32">
        <v>0</v>
      </c>
      <c r="L6" s="32">
        <v>3</v>
      </c>
      <c r="M6" s="32">
        <v>0</v>
      </c>
      <c r="N6" s="32">
        <v>1</v>
      </c>
      <c r="O6" s="32">
        <v>2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3</v>
      </c>
      <c r="G7" s="33">
        <v>5</v>
      </c>
      <c r="H7" s="33">
        <v>0</v>
      </c>
      <c r="I7" s="33">
        <v>2</v>
      </c>
      <c r="J7" s="59">
        <v>0</v>
      </c>
      <c r="K7" s="32">
        <v>0</v>
      </c>
      <c r="L7" s="32">
        <v>0</v>
      </c>
      <c r="M7" s="32">
        <v>3</v>
      </c>
      <c r="N7" s="32">
        <v>3</v>
      </c>
      <c r="O7" s="32">
        <v>0</v>
      </c>
      <c r="P7" s="58">
        <v>1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2</v>
      </c>
      <c r="E8" s="33">
        <v>0</v>
      </c>
      <c r="F8" s="33">
        <v>0</v>
      </c>
      <c r="G8" s="33">
        <v>3</v>
      </c>
      <c r="H8" s="33">
        <v>0</v>
      </c>
      <c r="I8" s="33">
        <v>2</v>
      </c>
      <c r="J8" s="59">
        <v>0</v>
      </c>
      <c r="K8" s="32">
        <v>4</v>
      </c>
      <c r="L8" s="32">
        <v>0</v>
      </c>
      <c r="M8" s="32">
        <v>0</v>
      </c>
      <c r="N8" s="32">
        <v>3</v>
      </c>
      <c r="O8" s="32">
        <v>0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3</v>
      </c>
      <c r="F9" s="33">
        <v>0</v>
      </c>
      <c r="G9" s="33">
        <v>4</v>
      </c>
      <c r="H9" s="33">
        <v>1</v>
      </c>
      <c r="I9" s="33">
        <v>0</v>
      </c>
      <c r="J9" s="59">
        <v>0</v>
      </c>
      <c r="K9" s="32">
        <v>0</v>
      </c>
      <c r="L9" s="32">
        <v>1</v>
      </c>
      <c r="M9" s="32">
        <v>0</v>
      </c>
      <c r="N9" s="32">
        <v>3</v>
      </c>
      <c r="O9" s="32">
        <v>4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2</v>
      </c>
      <c r="E10" s="21">
        <f t="shared" si="1"/>
        <v>5</v>
      </c>
      <c r="F10" s="21">
        <f t="shared" si="1"/>
        <v>3</v>
      </c>
      <c r="G10" s="21">
        <f t="shared" si="1"/>
        <v>15</v>
      </c>
      <c r="H10" s="21">
        <f t="shared" si="1"/>
        <v>5</v>
      </c>
      <c r="I10" s="60">
        <f t="shared" si="1"/>
        <v>5</v>
      </c>
      <c r="J10" s="61">
        <f t="shared" si="1"/>
        <v>0</v>
      </c>
      <c r="K10" s="21">
        <f t="shared" si="1"/>
        <v>4</v>
      </c>
      <c r="L10" s="21">
        <f t="shared" si="1"/>
        <v>4</v>
      </c>
      <c r="M10" s="21">
        <f t="shared" si="1"/>
        <v>3</v>
      </c>
      <c r="N10" s="21">
        <f t="shared" si="1"/>
        <v>10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2</v>
      </c>
      <c r="F12" s="22">
        <f t="shared" si="2"/>
        <v>2</v>
      </c>
      <c r="G12" s="22">
        <f t="shared" si="2"/>
        <v>5</v>
      </c>
      <c r="H12" s="22">
        <f t="shared" si="2"/>
        <v>9</v>
      </c>
      <c r="I12" s="62">
        <f t="shared" si="2"/>
        <v>10</v>
      </c>
      <c r="J12" s="63">
        <f t="shared" si="2"/>
        <v>10</v>
      </c>
      <c r="K12" s="22">
        <f t="shared" si="2"/>
        <v>10</v>
      </c>
      <c r="L12" s="22">
        <f t="shared" si="2"/>
        <v>13</v>
      </c>
      <c r="M12" s="22">
        <f t="shared" si="2"/>
        <v>13</v>
      </c>
      <c r="N12" s="22">
        <f t="shared" si="2"/>
        <v>14</v>
      </c>
      <c r="O12" s="22">
        <f t="shared" si="2"/>
        <v>16</v>
      </c>
      <c r="P12" s="62">
        <f t="shared" si="2"/>
        <v>16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3</v>
      </c>
      <c r="G13" s="22">
        <f t="shared" si="3"/>
        <v>8</v>
      </c>
      <c r="H13" s="22">
        <f t="shared" si="3"/>
        <v>8</v>
      </c>
      <c r="I13" s="62">
        <f t="shared" si="3"/>
        <v>10</v>
      </c>
      <c r="J13" s="63">
        <f t="shared" si="3"/>
        <v>10</v>
      </c>
      <c r="K13" s="22">
        <f t="shared" si="3"/>
        <v>10</v>
      </c>
      <c r="L13" s="22">
        <f t="shared" si="3"/>
        <v>10</v>
      </c>
      <c r="M13" s="22">
        <f t="shared" si="3"/>
        <v>13</v>
      </c>
      <c r="N13" s="22">
        <f t="shared" si="3"/>
        <v>16</v>
      </c>
      <c r="O13" s="22">
        <f t="shared" si="3"/>
        <v>16</v>
      </c>
      <c r="P13" s="62">
        <f t="shared" si="3"/>
        <v>17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5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11</v>
      </c>
      <c r="L14" s="22">
        <f t="shared" si="4"/>
        <v>11</v>
      </c>
      <c r="M14" s="22">
        <f t="shared" si="4"/>
        <v>11</v>
      </c>
      <c r="N14" s="22">
        <f t="shared" si="4"/>
        <v>14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3</v>
      </c>
      <c r="F15" s="22">
        <f t="shared" si="5"/>
        <v>3</v>
      </c>
      <c r="G15" s="22">
        <f t="shared" si="5"/>
        <v>7</v>
      </c>
      <c r="H15" s="22">
        <f t="shared" si="5"/>
        <v>8</v>
      </c>
      <c r="I15" s="62">
        <f t="shared" si="5"/>
        <v>8</v>
      </c>
      <c r="J15" s="63">
        <f t="shared" si="5"/>
        <v>8</v>
      </c>
      <c r="K15" s="22">
        <f t="shared" si="5"/>
        <v>8</v>
      </c>
      <c r="L15" s="22">
        <f t="shared" si="5"/>
        <v>9</v>
      </c>
      <c r="M15" s="22">
        <f t="shared" si="5"/>
        <v>9</v>
      </c>
      <c r="N15" s="22">
        <f t="shared" si="5"/>
        <v>12</v>
      </c>
      <c r="O15" s="22">
        <f t="shared" si="5"/>
        <v>16</v>
      </c>
      <c r="P15" s="62">
        <f t="shared" si="5"/>
        <v>16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2</v>
      </c>
      <c r="E16" s="21">
        <f t="shared" si="6"/>
        <v>7</v>
      </c>
      <c r="F16" s="21">
        <f t="shared" si="6"/>
        <v>10</v>
      </c>
      <c r="G16" s="21">
        <f t="shared" si="6"/>
        <v>25</v>
      </c>
      <c r="H16" s="21">
        <f t="shared" si="6"/>
        <v>30</v>
      </c>
      <c r="I16" s="60">
        <f t="shared" si="6"/>
        <v>35</v>
      </c>
      <c r="J16" s="61">
        <f t="shared" si="6"/>
        <v>35</v>
      </c>
      <c r="K16" s="21">
        <f t="shared" si="6"/>
        <v>39</v>
      </c>
      <c r="L16" s="21">
        <f t="shared" si="6"/>
        <v>43</v>
      </c>
      <c r="M16" s="21">
        <f t="shared" si="6"/>
        <v>46</v>
      </c>
      <c r="N16" s="21">
        <f t="shared" si="6"/>
        <v>56</v>
      </c>
      <c r="O16" s="21">
        <f t="shared" si="6"/>
        <v>62</v>
      </c>
      <c r="P16" s="60">
        <f t="shared" si="6"/>
        <v>65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0.66666666666666663</v>
      </c>
      <c r="F30" s="22">
        <f t="shared" si="13"/>
        <v>0.5</v>
      </c>
      <c r="G30" s="22">
        <f t="shared" si="13"/>
        <v>1</v>
      </c>
      <c r="H30" s="22">
        <f t="shared" si="13"/>
        <v>1.5</v>
      </c>
      <c r="I30" s="62">
        <f t="shared" si="13"/>
        <v>1.4285714285714286</v>
      </c>
      <c r="J30" s="63">
        <f t="shared" si="13"/>
        <v>1.25</v>
      </c>
      <c r="K30" s="22">
        <f t="shared" si="13"/>
        <v>1.1111111111111112</v>
      </c>
      <c r="L30" s="22">
        <f t="shared" si="13"/>
        <v>1.3</v>
      </c>
      <c r="M30" s="22">
        <f t="shared" si="13"/>
        <v>1.1818181818181819</v>
      </c>
      <c r="N30" s="22">
        <f t="shared" si="13"/>
        <v>1.1666666666666667</v>
      </c>
      <c r="O30" s="22">
        <f t="shared" si="13"/>
        <v>1.2307692307692308</v>
      </c>
      <c r="P30" s="62">
        <f t="shared" si="13"/>
        <v>1.1428571428571428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0.75</v>
      </c>
      <c r="G31" s="22">
        <f t="shared" si="14"/>
        <v>1.6</v>
      </c>
      <c r="H31" s="22">
        <f t="shared" si="14"/>
        <v>1.3333333333333333</v>
      </c>
      <c r="I31" s="62">
        <f t="shared" si="14"/>
        <v>1.4285714285714286</v>
      </c>
      <c r="J31" s="63">
        <f t="shared" si="14"/>
        <v>1.25</v>
      </c>
      <c r="K31" s="22">
        <f t="shared" si="14"/>
        <v>1.1111111111111112</v>
      </c>
      <c r="L31" s="22">
        <f t="shared" si="14"/>
        <v>1</v>
      </c>
      <c r="M31" s="22">
        <f t="shared" si="14"/>
        <v>1.1818181818181819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1.2142857142857142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1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1.2222222222222223</v>
      </c>
      <c r="L32" s="22">
        <f t="shared" si="15"/>
        <v>1.1000000000000001</v>
      </c>
      <c r="M32" s="22">
        <f t="shared" si="15"/>
        <v>1</v>
      </c>
      <c r="N32" s="22">
        <f t="shared" si="15"/>
        <v>1.1666666666666667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1.4</v>
      </c>
      <c r="H33" s="22">
        <f t="shared" si="16"/>
        <v>1.3333333333333333</v>
      </c>
      <c r="I33" s="62">
        <f t="shared" si="16"/>
        <v>1.1428571428571428</v>
      </c>
      <c r="J33" s="63">
        <f t="shared" si="16"/>
        <v>1</v>
      </c>
      <c r="K33" s="22">
        <f t="shared" si="16"/>
        <v>0.88888888888888884</v>
      </c>
      <c r="L33" s="22">
        <f t="shared" si="16"/>
        <v>0.9</v>
      </c>
      <c r="M33" s="22">
        <f t="shared" si="16"/>
        <v>0.81818181818181823</v>
      </c>
      <c r="N33" s="22">
        <f t="shared" si="16"/>
        <v>1</v>
      </c>
      <c r="O33" s="22">
        <f t="shared" si="16"/>
        <v>1.2307692307692308</v>
      </c>
      <c r="P33" s="62">
        <f t="shared" si="16"/>
        <v>1.1428571428571428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1</v>
      </c>
      <c r="E34" s="21">
        <f t="shared" si="17"/>
        <v>2.333333333333333</v>
      </c>
      <c r="F34" s="21">
        <f t="shared" si="17"/>
        <v>2.5</v>
      </c>
      <c r="G34" s="21">
        <f t="shared" si="17"/>
        <v>5</v>
      </c>
      <c r="H34" s="21">
        <f t="shared" si="17"/>
        <v>5</v>
      </c>
      <c r="I34" s="60">
        <f t="shared" si="17"/>
        <v>5</v>
      </c>
      <c r="J34" s="61">
        <f t="shared" si="17"/>
        <v>4.375</v>
      </c>
      <c r="K34" s="21">
        <f t="shared" si="17"/>
        <v>4.3333333333333339</v>
      </c>
      <c r="L34" s="21">
        <f t="shared" si="17"/>
        <v>4.3</v>
      </c>
      <c r="M34" s="21">
        <f t="shared" si="17"/>
        <v>4.1818181818181817</v>
      </c>
      <c r="N34" s="21">
        <f t="shared" si="17"/>
        <v>4.666666666666667</v>
      </c>
      <c r="O34" s="21">
        <f t="shared" si="17"/>
        <v>4.7692307692307692</v>
      </c>
      <c r="P34" s="60">
        <f t="shared" si="17"/>
        <v>4.6428571428571423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</v>
      </c>
      <c r="D37" s="24">
        <f xml:space="preserve"> SUM(J6:P6) + SUM(J18:P18)</f>
        <v>6</v>
      </c>
      <c r="E37" s="24">
        <f xml:space="preserve"> SUM(C37:D37)</f>
        <v>16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10</v>
      </c>
      <c r="D38" s="24">
        <f xml:space="preserve"> SUM(J7:P7) + SUM(J19:P19)</f>
        <v>7</v>
      </c>
      <c r="E38" s="24">
        <f xml:space="preserve"> SUM(C38:D38)</f>
        <v>17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7</v>
      </c>
      <c r="D39" s="24">
        <f xml:space="preserve"> SUM(J8:P8) + SUM(J20:P20)</f>
        <v>9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8</v>
      </c>
      <c r="E40" s="24">
        <f xml:space="preserve"> SUM(C40:D40)</f>
        <v>16</v>
      </c>
    </row>
    <row r="41" spans="1:16" ht="16.5" thickBot="1" x14ac:dyDescent="0.3">
      <c r="A41" s="79"/>
      <c r="B41" s="18" t="s">
        <v>19</v>
      </c>
      <c r="C41" s="21">
        <f xml:space="preserve"> SUM(C37:C40)</f>
        <v>35</v>
      </c>
      <c r="D41" s="21">
        <f xml:space="preserve"> SUM(D37:D40)</f>
        <v>30</v>
      </c>
      <c r="E41" s="21">
        <f xml:space="preserve"> SUM(C41:D41)</f>
        <v>65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</v>
      </c>
      <c r="D43" s="24">
        <f xml:space="preserve"> SUM(C37:D37) / D$36</f>
        <v>8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10</v>
      </c>
      <c r="D44" s="24">
        <f xml:space="preserve"> SUM(C38:D38) / D$36</f>
        <v>8.5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7</v>
      </c>
      <c r="D45" s="24">
        <f xml:space="preserve"> SUM(C39:D39) / D$36</f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8</v>
      </c>
    </row>
    <row r="47" spans="1:16" ht="16.5" thickBot="1" x14ac:dyDescent="0.3">
      <c r="A47" s="79"/>
      <c r="B47" s="18" t="s">
        <v>19</v>
      </c>
      <c r="C47" s="21">
        <f xml:space="preserve"> SUM(C43:C46)</f>
        <v>35</v>
      </c>
      <c r="D47" s="21">
        <f xml:space="preserve"> SUM(D43:D46)</f>
        <v>32.5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65</v>
      </c>
      <c r="D90" s="24">
        <f>C10</f>
        <v>0</v>
      </c>
      <c r="E90" s="24">
        <f>D10</f>
        <v>2</v>
      </c>
      <c r="F90" s="24">
        <f t="shared" ref="F90:Q90" si="18">E10</f>
        <v>5</v>
      </c>
      <c r="G90" s="24">
        <f t="shared" si="18"/>
        <v>3</v>
      </c>
      <c r="H90" s="24">
        <f t="shared" si="18"/>
        <v>15</v>
      </c>
      <c r="I90" s="24">
        <f t="shared" si="18"/>
        <v>5</v>
      </c>
      <c r="J90" s="24">
        <f t="shared" si="18"/>
        <v>5</v>
      </c>
      <c r="K90" s="24">
        <f t="shared" si="18"/>
        <v>0</v>
      </c>
      <c r="L90" s="24">
        <f t="shared" si="18"/>
        <v>4</v>
      </c>
      <c r="M90" s="24">
        <f t="shared" si="18"/>
        <v>4</v>
      </c>
      <c r="N90" s="24">
        <f t="shared" si="18"/>
        <v>3</v>
      </c>
      <c r="O90" s="24">
        <f t="shared" si="18"/>
        <v>10</v>
      </c>
      <c r="P90" s="24">
        <f t="shared" si="18"/>
        <v>6</v>
      </c>
      <c r="Q90" s="24">
        <f t="shared" si="18"/>
        <v>3</v>
      </c>
    </row>
    <row r="91" spans="2:17" x14ac:dyDescent="0.25">
      <c r="B91" t="s">
        <v>55</v>
      </c>
      <c r="C91" s="24">
        <f>C90</f>
        <v>65</v>
      </c>
      <c r="D91" s="24">
        <f>C91-D90</f>
        <v>65</v>
      </c>
      <c r="E91" s="24">
        <f>D91-E90</f>
        <v>63</v>
      </c>
      <c r="F91" s="24">
        <f t="shared" ref="F91:Q91" si="19">E91-F90</f>
        <v>58</v>
      </c>
      <c r="G91" s="24">
        <f t="shared" si="19"/>
        <v>55</v>
      </c>
      <c r="H91" s="24">
        <f t="shared" si="19"/>
        <v>40</v>
      </c>
      <c r="I91" s="24">
        <f t="shared" si="19"/>
        <v>35</v>
      </c>
      <c r="J91" s="24">
        <f t="shared" si="19"/>
        <v>30</v>
      </c>
      <c r="K91" s="24">
        <f t="shared" si="19"/>
        <v>30</v>
      </c>
      <c r="L91" s="24">
        <f t="shared" si="19"/>
        <v>26</v>
      </c>
      <c r="M91" s="24">
        <f t="shared" si="19"/>
        <v>22</v>
      </c>
      <c r="N91" s="24">
        <f t="shared" si="19"/>
        <v>19</v>
      </c>
      <c r="O91" s="24">
        <f t="shared" si="19"/>
        <v>9</v>
      </c>
      <c r="P91" s="24">
        <f t="shared" si="19"/>
        <v>3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4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1</v>
      </c>
      <c r="D6" s="33">
        <v>0</v>
      </c>
      <c r="E6" s="33">
        <v>2</v>
      </c>
      <c r="F6" s="33">
        <v>1</v>
      </c>
      <c r="G6" s="33">
        <v>0</v>
      </c>
      <c r="H6" s="33">
        <v>3</v>
      </c>
      <c r="I6" s="33">
        <v>0</v>
      </c>
      <c r="J6" s="59">
        <v>7</v>
      </c>
      <c r="K6" s="32">
        <v>2</v>
      </c>
      <c r="L6" s="32">
        <v>0</v>
      </c>
      <c r="M6" s="32">
        <v>1</v>
      </c>
      <c r="N6" s="32">
        <v>1</v>
      </c>
      <c r="O6" s="32">
        <v>2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</v>
      </c>
      <c r="E7" s="33">
        <v>3</v>
      </c>
      <c r="F7" s="33">
        <v>0</v>
      </c>
      <c r="G7" s="33">
        <v>1</v>
      </c>
      <c r="H7" s="33">
        <v>0</v>
      </c>
      <c r="I7" s="33">
        <v>2</v>
      </c>
      <c r="J7" s="59">
        <v>7</v>
      </c>
      <c r="K7" s="32">
        <v>1</v>
      </c>
      <c r="L7" s="32">
        <v>3</v>
      </c>
      <c r="M7" s="32">
        <v>0</v>
      </c>
      <c r="N7" s="32">
        <v>1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1</v>
      </c>
      <c r="D8" s="33">
        <v>0</v>
      </c>
      <c r="E8" s="33">
        <v>2</v>
      </c>
      <c r="F8" s="33">
        <v>0</v>
      </c>
      <c r="G8" s="33">
        <v>2</v>
      </c>
      <c r="H8" s="33">
        <v>0</v>
      </c>
      <c r="I8" s="33">
        <v>0</v>
      </c>
      <c r="J8" s="59">
        <v>7</v>
      </c>
      <c r="K8" s="32">
        <v>0</v>
      </c>
      <c r="L8" s="32">
        <v>2</v>
      </c>
      <c r="M8" s="32">
        <v>0</v>
      </c>
      <c r="N8" s="32">
        <v>2</v>
      </c>
      <c r="O8" s="32">
        <v>0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2</v>
      </c>
      <c r="G9" s="33">
        <v>2</v>
      </c>
      <c r="H9" s="33">
        <v>0</v>
      </c>
      <c r="I9" s="33">
        <v>0</v>
      </c>
      <c r="J9" s="59">
        <v>4</v>
      </c>
      <c r="K9" s="32">
        <v>0</v>
      </c>
      <c r="L9" s="32">
        <v>0</v>
      </c>
      <c r="M9" s="32">
        <v>3</v>
      </c>
      <c r="N9" s="32">
        <v>3</v>
      </c>
      <c r="O9" s="32">
        <v>0</v>
      </c>
      <c r="P9" s="58">
        <v>2</v>
      </c>
    </row>
    <row r="10" spans="1:16" ht="16.5" thickBot="1" x14ac:dyDescent="0.3">
      <c r="A10" s="85"/>
      <c r="B10" s="18" t="s">
        <v>19</v>
      </c>
      <c r="C10" s="21">
        <f xml:space="preserve"> SUM(C6:C9)</f>
        <v>4</v>
      </c>
      <c r="D10" s="21">
        <f t="shared" ref="D10:P10" si="1" xml:space="preserve"> SUM(D6:D9)</f>
        <v>3</v>
      </c>
      <c r="E10" s="21">
        <f t="shared" si="1"/>
        <v>7</v>
      </c>
      <c r="F10" s="21">
        <f t="shared" si="1"/>
        <v>3</v>
      </c>
      <c r="G10" s="21">
        <f t="shared" si="1"/>
        <v>5</v>
      </c>
      <c r="H10" s="21">
        <f t="shared" si="1"/>
        <v>3</v>
      </c>
      <c r="I10" s="60">
        <f t="shared" si="1"/>
        <v>2</v>
      </c>
      <c r="J10" s="61">
        <f t="shared" si="1"/>
        <v>25</v>
      </c>
      <c r="K10" s="21">
        <f t="shared" si="1"/>
        <v>3</v>
      </c>
      <c r="L10" s="21">
        <f t="shared" si="1"/>
        <v>5</v>
      </c>
      <c r="M10" s="21">
        <f t="shared" si="1"/>
        <v>4</v>
      </c>
      <c r="N10" s="21">
        <f t="shared" si="1"/>
        <v>7</v>
      </c>
      <c r="O10" s="21">
        <f t="shared" si="1"/>
        <v>2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1</v>
      </c>
      <c r="D12" s="22">
        <f t="shared" ref="D12:P12" si="2" xml:space="preserve"> C$12 + D$6</f>
        <v>1</v>
      </c>
      <c r="E12" s="22">
        <f t="shared" si="2"/>
        <v>3</v>
      </c>
      <c r="F12" s="22">
        <f t="shared" si="2"/>
        <v>4</v>
      </c>
      <c r="G12" s="22">
        <f t="shared" si="2"/>
        <v>4</v>
      </c>
      <c r="H12" s="22">
        <f t="shared" si="2"/>
        <v>7</v>
      </c>
      <c r="I12" s="62">
        <f t="shared" si="2"/>
        <v>7</v>
      </c>
      <c r="J12" s="63">
        <f t="shared" si="2"/>
        <v>14</v>
      </c>
      <c r="K12" s="22">
        <f t="shared" si="2"/>
        <v>16</v>
      </c>
      <c r="L12" s="22">
        <f t="shared" si="2"/>
        <v>16</v>
      </c>
      <c r="M12" s="22">
        <f t="shared" si="2"/>
        <v>17</v>
      </c>
      <c r="N12" s="22">
        <f t="shared" si="2"/>
        <v>18</v>
      </c>
      <c r="O12" s="22">
        <f t="shared" si="2"/>
        <v>20</v>
      </c>
      <c r="P12" s="62">
        <f t="shared" si="2"/>
        <v>20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</v>
      </c>
      <c r="E13" s="22">
        <f t="shared" si="3"/>
        <v>5</v>
      </c>
      <c r="F13" s="22">
        <f t="shared" si="3"/>
        <v>5</v>
      </c>
      <c r="G13" s="22">
        <f t="shared" si="3"/>
        <v>6</v>
      </c>
      <c r="H13" s="22">
        <f t="shared" si="3"/>
        <v>6</v>
      </c>
      <c r="I13" s="62">
        <f t="shared" si="3"/>
        <v>8</v>
      </c>
      <c r="J13" s="63">
        <f t="shared" si="3"/>
        <v>15</v>
      </c>
      <c r="K13" s="22">
        <f t="shared" si="3"/>
        <v>16</v>
      </c>
      <c r="L13" s="22">
        <f t="shared" si="3"/>
        <v>19</v>
      </c>
      <c r="M13" s="22">
        <f t="shared" si="3"/>
        <v>19</v>
      </c>
      <c r="N13" s="22">
        <f t="shared" si="3"/>
        <v>20</v>
      </c>
      <c r="O13" s="22">
        <f t="shared" si="3"/>
        <v>20</v>
      </c>
      <c r="P13" s="62">
        <f t="shared" si="3"/>
        <v>20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1</v>
      </c>
      <c r="D14" s="22">
        <f t="shared" ref="D14:P14" si="4" xml:space="preserve"> C$14 + D$8</f>
        <v>1</v>
      </c>
      <c r="E14" s="22">
        <f t="shared" si="4"/>
        <v>3</v>
      </c>
      <c r="F14" s="22">
        <f t="shared" si="4"/>
        <v>3</v>
      </c>
      <c r="G14" s="22">
        <f t="shared" si="4"/>
        <v>5</v>
      </c>
      <c r="H14" s="22">
        <f t="shared" si="4"/>
        <v>5</v>
      </c>
      <c r="I14" s="62">
        <f t="shared" si="4"/>
        <v>5</v>
      </c>
      <c r="J14" s="63">
        <f t="shared" si="4"/>
        <v>12</v>
      </c>
      <c r="K14" s="22">
        <f t="shared" si="4"/>
        <v>12</v>
      </c>
      <c r="L14" s="22">
        <f t="shared" si="4"/>
        <v>14</v>
      </c>
      <c r="M14" s="22">
        <f t="shared" si="4"/>
        <v>14</v>
      </c>
      <c r="N14" s="22">
        <f t="shared" si="4"/>
        <v>16</v>
      </c>
      <c r="O14" s="22">
        <f t="shared" si="4"/>
        <v>16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5</v>
      </c>
      <c r="G15" s="22">
        <f t="shared" si="5"/>
        <v>7</v>
      </c>
      <c r="H15" s="22">
        <f t="shared" si="5"/>
        <v>7</v>
      </c>
      <c r="I15" s="62">
        <f t="shared" si="5"/>
        <v>7</v>
      </c>
      <c r="J15" s="63">
        <f t="shared" si="5"/>
        <v>11</v>
      </c>
      <c r="K15" s="22">
        <f t="shared" si="5"/>
        <v>11</v>
      </c>
      <c r="L15" s="22">
        <f t="shared" si="5"/>
        <v>11</v>
      </c>
      <c r="M15" s="22">
        <f t="shared" si="5"/>
        <v>14</v>
      </c>
      <c r="N15" s="22">
        <f t="shared" si="5"/>
        <v>17</v>
      </c>
      <c r="O15" s="22">
        <f t="shared" si="5"/>
        <v>17</v>
      </c>
      <c r="P15" s="62">
        <f t="shared" si="5"/>
        <v>19</v>
      </c>
    </row>
    <row r="16" spans="1:16" ht="16.5" thickBot="1" x14ac:dyDescent="0.3">
      <c r="A16" s="85"/>
      <c r="B16" s="18" t="s">
        <v>19</v>
      </c>
      <c r="C16" s="21">
        <f xml:space="preserve"> SUM(C12:C15)</f>
        <v>4</v>
      </c>
      <c r="D16" s="21">
        <f t="shared" ref="D16:P16" si="6" xml:space="preserve"> SUM(D12:D15)</f>
        <v>7</v>
      </c>
      <c r="E16" s="21">
        <f t="shared" si="6"/>
        <v>14</v>
      </c>
      <c r="F16" s="21">
        <f t="shared" si="6"/>
        <v>17</v>
      </c>
      <c r="G16" s="21">
        <f t="shared" si="6"/>
        <v>22</v>
      </c>
      <c r="H16" s="21">
        <f t="shared" si="6"/>
        <v>25</v>
      </c>
      <c r="I16" s="60">
        <f t="shared" si="6"/>
        <v>27</v>
      </c>
      <c r="J16" s="61">
        <f t="shared" si="6"/>
        <v>52</v>
      </c>
      <c r="K16" s="21">
        <f t="shared" si="6"/>
        <v>55</v>
      </c>
      <c r="L16" s="21">
        <f t="shared" si="6"/>
        <v>60</v>
      </c>
      <c r="M16" s="21">
        <f t="shared" si="6"/>
        <v>64</v>
      </c>
      <c r="N16" s="21">
        <f t="shared" si="6"/>
        <v>71</v>
      </c>
      <c r="O16" s="21">
        <f t="shared" si="6"/>
        <v>73</v>
      </c>
      <c r="P16" s="60">
        <f t="shared" si="6"/>
        <v>77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1</v>
      </c>
      <c r="D30" s="22">
        <f xml:space="preserve"> (D$12 + D$24) / D$5</f>
        <v>0.5</v>
      </c>
      <c r="E30" s="22">
        <f t="shared" ref="E30:P30" si="13" xml:space="preserve"> (E$12 + E$24) / E$5</f>
        <v>1</v>
      </c>
      <c r="F30" s="22">
        <f t="shared" si="13"/>
        <v>1</v>
      </c>
      <c r="G30" s="22">
        <f t="shared" si="13"/>
        <v>0.8</v>
      </c>
      <c r="H30" s="22">
        <f t="shared" si="13"/>
        <v>1.1666666666666667</v>
      </c>
      <c r="I30" s="62">
        <f t="shared" si="13"/>
        <v>1</v>
      </c>
      <c r="J30" s="63">
        <f t="shared" si="13"/>
        <v>1.75</v>
      </c>
      <c r="K30" s="22">
        <f t="shared" si="13"/>
        <v>1.7777777777777777</v>
      </c>
      <c r="L30" s="22">
        <f t="shared" si="13"/>
        <v>1.6</v>
      </c>
      <c r="M30" s="22">
        <f t="shared" si="13"/>
        <v>1.5454545454545454</v>
      </c>
      <c r="N30" s="22">
        <f t="shared" si="13"/>
        <v>1.5</v>
      </c>
      <c r="O30" s="22">
        <f t="shared" si="13"/>
        <v>1.5384615384615385</v>
      </c>
      <c r="P30" s="62">
        <f t="shared" si="13"/>
        <v>1.4285714285714286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</v>
      </c>
      <c r="E31" s="22">
        <f t="shared" ref="E31:P31" si="14" xml:space="preserve"> (E$13 + E$25) / E$5</f>
        <v>1.6666666666666667</v>
      </c>
      <c r="F31" s="22">
        <f t="shared" si="14"/>
        <v>1.25</v>
      </c>
      <c r="G31" s="22">
        <f t="shared" si="14"/>
        <v>1.2</v>
      </c>
      <c r="H31" s="22">
        <f t="shared" si="14"/>
        <v>1</v>
      </c>
      <c r="I31" s="62">
        <f t="shared" si="14"/>
        <v>1.1428571428571428</v>
      </c>
      <c r="J31" s="63">
        <f t="shared" si="14"/>
        <v>1.875</v>
      </c>
      <c r="K31" s="22">
        <f t="shared" si="14"/>
        <v>1.7777777777777777</v>
      </c>
      <c r="L31" s="22">
        <f t="shared" si="14"/>
        <v>1.9</v>
      </c>
      <c r="M31" s="22">
        <f t="shared" si="14"/>
        <v>1.7272727272727273</v>
      </c>
      <c r="N31" s="22">
        <f t="shared" si="14"/>
        <v>1.6666666666666667</v>
      </c>
      <c r="O31" s="22">
        <f t="shared" si="14"/>
        <v>1.5384615384615385</v>
      </c>
      <c r="P31" s="62">
        <f t="shared" si="14"/>
        <v>1.4285714285714286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1</v>
      </c>
      <c r="D32" s="22">
        <f xml:space="preserve"> (D$14 + D$26) / D$5</f>
        <v>0.5</v>
      </c>
      <c r="E32" s="22">
        <f t="shared" ref="E32:P32" si="15" xml:space="preserve"> (E$14 + E$26) / E$5</f>
        <v>1</v>
      </c>
      <c r="F32" s="22">
        <f t="shared" si="15"/>
        <v>0.75</v>
      </c>
      <c r="G32" s="22">
        <f t="shared" si="15"/>
        <v>1</v>
      </c>
      <c r="H32" s="22">
        <f t="shared" si="15"/>
        <v>0.83333333333333337</v>
      </c>
      <c r="I32" s="62">
        <f t="shared" si="15"/>
        <v>0.7142857142857143</v>
      </c>
      <c r="J32" s="63">
        <f t="shared" si="15"/>
        <v>1.5</v>
      </c>
      <c r="K32" s="22">
        <f t="shared" si="15"/>
        <v>1.3333333333333333</v>
      </c>
      <c r="L32" s="22">
        <f t="shared" si="15"/>
        <v>1.4</v>
      </c>
      <c r="M32" s="22">
        <f t="shared" si="15"/>
        <v>1.2727272727272727</v>
      </c>
      <c r="N32" s="22">
        <f t="shared" si="15"/>
        <v>1.3333333333333333</v>
      </c>
      <c r="O32" s="22">
        <f t="shared" si="15"/>
        <v>1.2307692307692308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1.25</v>
      </c>
      <c r="G33" s="22">
        <f t="shared" si="16"/>
        <v>1.4</v>
      </c>
      <c r="H33" s="22">
        <f t="shared" si="16"/>
        <v>1.1666666666666667</v>
      </c>
      <c r="I33" s="62">
        <f t="shared" si="16"/>
        <v>1</v>
      </c>
      <c r="J33" s="63">
        <f t="shared" si="16"/>
        <v>1.375</v>
      </c>
      <c r="K33" s="22">
        <f t="shared" si="16"/>
        <v>1.2222222222222223</v>
      </c>
      <c r="L33" s="22">
        <f t="shared" si="16"/>
        <v>1.1000000000000001</v>
      </c>
      <c r="M33" s="22">
        <f t="shared" si="16"/>
        <v>1.2727272727272727</v>
      </c>
      <c r="N33" s="22">
        <f t="shared" si="16"/>
        <v>1.4166666666666667</v>
      </c>
      <c r="O33" s="22">
        <f t="shared" si="16"/>
        <v>1.3076923076923077</v>
      </c>
      <c r="P33" s="62">
        <f t="shared" si="16"/>
        <v>1.3571428571428572</v>
      </c>
    </row>
    <row r="34" spans="1:16" ht="16.5" thickBot="1" x14ac:dyDescent="0.3">
      <c r="A34" s="79"/>
      <c r="B34" s="18" t="s">
        <v>19</v>
      </c>
      <c r="C34" s="21">
        <f xml:space="preserve"> SUM(C30:C33)</f>
        <v>4</v>
      </c>
      <c r="D34" s="21">
        <f t="shared" ref="D34:P34" si="17" xml:space="preserve"> SUM(D30:D33)</f>
        <v>3.5</v>
      </c>
      <c r="E34" s="21">
        <f t="shared" si="17"/>
        <v>4.666666666666667</v>
      </c>
      <c r="F34" s="21">
        <f t="shared" si="17"/>
        <v>4.25</v>
      </c>
      <c r="G34" s="21">
        <f t="shared" si="17"/>
        <v>4.4000000000000004</v>
      </c>
      <c r="H34" s="21">
        <f t="shared" si="17"/>
        <v>4.166666666666667</v>
      </c>
      <c r="I34" s="60">
        <f t="shared" si="17"/>
        <v>3.8571428571428572</v>
      </c>
      <c r="J34" s="61">
        <f t="shared" si="17"/>
        <v>6.5</v>
      </c>
      <c r="K34" s="21">
        <f t="shared" si="17"/>
        <v>6.1111111111111107</v>
      </c>
      <c r="L34" s="21">
        <f t="shared" si="17"/>
        <v>6</v>
      </c>
      <c r="M34" s="21">
        <f t="shared" si="17"/>
        <v>5.8181818181818175</v>
      </c>
      <c r="N34" s="21">
        <f t="shared" si="17"/>
        <v>5.916666666666667</v>
      </c>
      <c r="O34" s="21">
        <f t="shared" si="17"/>
        <v>5.6153846153846159</v>
      </c>
      <c r="P34" s="60">
        <f t="shared" si="17"/>
        <v>5.5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7</v>
      </c>
      <c r="D37" s="24">
        <f xml:space="preserve"> SUM(J6:P6) + SUM(J18:P18)</f>
        <v>13</v>
      </c>
      <c r="E37" s="24">
        <f xml:space="preserve"> SUM(C37:D37)</f>
        <v>20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8</v>
      </c>
      <c r="D38" s="24">
        <f xml:space="preserve"> SUM(J7:P7) + SUM(J19:P19)</f>
        <v>12</v>
      </c>
      <c r="E38" s="24">
        <f xml:space="preserve"> SUM(C38:D38)</f>
        <v>20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5</v>
      </c>
      <c r="D39" s="24">
        <f xml:space="preserve"> SUM(J8:P8) + SUM(J20:P20)</f>
        <v>13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7</v>
      </c>
      <c r="D40" s="24">
        <f xml:space="preserve"> SUM(J9:P9) + SUM(J21:P21)</f>
        <v>12</v>
      </c>
      <c r="E40" s="24">
        <f xml:space="preserve"> SUM(C40:D40)</f>
        <v>19</v>
      </c>
    </row>
    <row r="41" spans="1:16" ht="16.5" thickBot="1" x14ac:dyDescent="0.3">
      <c r="A41" s="79"/>
      <c r="B41" s="18" t="s">
        <v>19</v>
      </c>
      <c r="C41" s="21">
        <f xml:space="preserve"> SUM(C37:C40)</f>
        <v>27</v>
      </c>
      <c r="D41" s="21">
        <f xml:space="preserve"> SUM(D37:D40)</f>
        <v>50</v>
      </c>
      <c r="E41" s="21">
        <f xml:space="preserve"> SUM(C41:D41)</f>
        <v>77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7</v>
      </c>
      <c r="D43" s="24">
        <f xml:space="preserve"> SUM(C37:D37) / D$36</f>
        <v>10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8</v>
      </c>
      <c r="D44" s="24">
        <f xml:space="preserve"> SUM(C38:D38) / D$36</f>
        <v>10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5</v>
      </c>
      <c r="D45" s="24">
        <f xml:space="preserve"> SUM(C39:D39) / D$36</f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7</v>
      </c>
      <c r="D46" s="24">
        <f xml:space="preserve"> SUM(C40:D40) / D$36</f>
        <v>9.5</v>
      </c>
    </row>
    <row r="47" spans="1:16" ht="16.5" thickBot="1" x14ac:dyDescent="0.3">
      <c r="A47" s="79"/>
      <c r="B47" s="18" t="s">
        <v>19</v>
      </c>
      <c r="C47" s="21">
        <f xml:space="preserve"> SUM(C43:C46)</f>
        <v>27</v>
      </c>
      <c r="D47" s="21">
        <f xml:space="preserve"> SUM(D43:D46)</f>
        <v>38.5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77</v>
      </c>
      <c r="D90" s="24">
        <f>C10</f>
        <v>4</v>
      </c>
      <c r="E90" s="24">
        <f>D10</f>
        <v>3</v>
      </c>
      <c r="F90" s="24">
        <f t="shared" ref="F90:Q90" si="18">E10</f>
        <v>7</v>
      </c>
      <c r="G90" s="24">
        <f t="shared" si="18"/>
        <v>3</v>
      </c>
      <c r="H90" s="24">
        <f t="shared" si="18"/>
        <v>5</v>
      </c>
      <c r="I90" s="24">
        <f t="shared" si="18"/>
        <v>3</v>
      </c>
      <c r="J90" s="24">
        <f t="shared" si="18"/>
        <v>2</v>
      </c>
      <c r="K90" s="24">
        <f t="shared" si="18"/>
        <v>25</v>
      </c>
      <c r="L90" s="24">
        <f t="shared" si="18"/>
        <v>3</v>
      </c>
      <c r="M90" s="24">
        <f t="shared" si="18"/>
        <v>5</v>
      </c>
      <c r="N90" s="24">
        <f t="shared" si="18"/>
        <v>4</v>
      </c>
      <c r="O90" s="24">
        <f t="shared" si="18"/>
        <v>7</v>
      </c>
      <c r="P90" s="24">
        <f t="shared" si="18"/>
        <v>2</v>
      </c>
      <c r="Q90" s="24">
        <f t="shared" si="18"/>
        <v>4</v>
      </c>
    </row>
    <row r="91" spans="2:17" x14ac:dyDescent="0.25">
      <c r="B91" t="s">
        <v>55</v>
      </c>
      <c r="C91" s="24">
        <f>C90</f>
        <v>77</v>
      </c>
      <c r="D91" s="24">
        <f>C91-D90</f>
        <v>73</v>
      </c>
      <c r="E91" s="24">
        <f>D91-E90</f>
        <v>70</v>
      </c>
      <c r="F91" s="24">
        <f t="shared" ref="F91:Q91" si="19">E91-F90</f>
        <v>63</v>
      </c>
      <c r="G91" s="24">
        <f t="shared" si="19"/>
        <v>60</v>
      </c>
      <c r="H91" s="24">
        <f t="shared" si="19"/>
        <v>55</v>
      </c>
      <c r="I91" s="24">
        <f t="shared" si="19"/>
        <v>52</v>
      </c>
      <c r="J91" s="24">
        <f t="shared" si="19"/>
        <v>50</v>
      </c>
      <c r="K91" s="24">
        <f t="shared" si="19"/>
        <v>25</v>
      </c>
      <c r="L91" s="24">
        <f t="shared" si="19"/>
        <v>22</v>
      </c>
      <c r="M91" s="24">
        <f t="shared" si="19"/>
        <v>17</v>
      </c>
      <c r="N91" s="24">
        <f t="shared" si="19"/>
        <v>13</v>
      </c>
      <c r="O91" s="24">
        <f t="shared" si="19"/>
        <v>6</v>
      </c>
      <c r="P91" s="24">
        <f t="shared" si="19"/>
        <v>4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31" zoomScale="115" zoomScaleNormal="115" workbookViewId="0">
      <selection activeCell="P102" sqref="P10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7</v>
      </c>
      <c r="E6" s="33">
        <v>0</v>
      </c>
      <c r="F6" s="33">
        <v>7</v>
      </c>
      <c r="G6" s="33">
        <v>0</v>
      </c>
      <c r="H6" s="33">
        <v>0</v>
      </c>
      <c r="I6" s="33">
        <v>0</v>
      </c>
      <c r="J6" s="59">
        <v>0</v>
      </c>
      <c r="K6" s="32">
        <v>7</v>
      </c>
      <c r="L6" s="32">
        <v>0</v>
      </c>
      <c r="M6" s="32">
        <v>7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7</v>
      </c>
      <c r="E7" s="33">
        <v>0</v>
      </c>
      <c r="F7" s="33">
        <v>7</v>
      </c>
      <c r="G7" s="33">
        <v>0</v>
      </c>
      <c r="H7" s="33">
        <v>0</v>
      </c>
      <c r="I7" s="33">
        <v>0</v>
      </c>
      <c r="J7" s="59">
        <v>0</v>
      </c>
      <c r="K7" s="32">
        <v>7</v>
      </c>
      <c r="L7" s="32">
        <v>0</v>
      </c>
      <c r="M7" s="32">
        <v>7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2</v>
      </c>
      <c r="E8" s="33">
        <v>0</v>
      </c>
      <c r="F8" s="33">
        <v>2</v>
      </c>
      <c r="G8" s="33">
        <v>2</v>
      </c>
      <c r="H8" s="33">
        <v>2</v>
      </c>
      <c r="I8" s="33">
        <v>0</v>
      </c>
      <c r="J8" s="59">
        <v>2</v>
      </c>
      <c r="K8" s="32">
        <v>0</v>
      </c>
      <c r="L8" s="32">
        <v>3</v>
      </c>
      <c r="M8" s="32">
        <v>0</v>
      </c>
      <c r="N8" s="32">
        <v>2</v>
      </c>
      <c r="O8" s="32">
        <v>1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2</v>
      </c>
      <c r="D9" s="33">
        <v>0</v>
      </c>
      <c r="E9" s="33">
        <v>2</v>
      </c>
      <c r="F9" s="33">
        <v>0</v>
      </c>
      <c r="G9" s="33">
        <v>0</v>
      </c>
      <c r="H9" s="33">
        <v>2</v>
      </c>
      <c r="I9" s="33">
        <v>2</v>
      </c>
      <c r="J9" s="59">
        <v>3</v>
      </c>
      <c r="K9" s="32">
        <v>0</v>
      </c>
      <c r="L9" s="32">
        <v>1</v>
      </c>
      <c r="M9" s="32">
        <v>0</v>
      </c>
      <c r="N9" s="32">
        <v>3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2</v>
      </c>
      <c r="D10" s="21">
        <f t="shared" ref="D10:P10" si="1" xml:space="preserve"> SUM(D6:D9)</f>
        <v>16</v>
      </c>
      <c r="E10" s="21">
        <f t="shared" si="1"/>
        <v>2</v>
      </c>
      <c r="F10" s="21">
        <f t="shared" si="1"/>
        <v>16</v>
      </c>
      <c r="G10" s="21">
        <f t="shared" si="1"/>
        <v>2</v>
      </c>
      <c r="H10" s="21">
        <f t="shared" si="1"/>
        <v>4</v>
      </c>
      <c r="I10" s="60">
        <f t="shared" si="1"/>
        <v>2</v>
      </c>
      <c r="J10" s="61">
        <f t="shared" si="1"/>
        <v>5</v>
      </c>
      <c r="K10" s="21">
        <f t="shared" si="1"/>
        <v>14</v>
      </c>
      <c r="L10" s="21">
        <f t="shared" si="1"/>
        <v>4</v>
      </c>
      <c r="M10" s="21">
        <f t="shared" si="1"/>
        <v>14</v>
      </c>
      <c r="N10" s="21">
        <f t="shared" si="1"/>
        <v>5</v>
      </c>
      <c r="O10" s="21">
        <f t="shared" si="1"/>
        <v>4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7</v>
      </c>
      <c r="E12" s="22">
        <f t="shared" si="2"/>
        <v>7</v>
      </c>
      <c r="F12" s="22">
        <f t="shared" si="2"/>
        <v>14</v>
      </c>
      <c r="G12" s="22">
        <f t="shared" si="2"/>
        <v>14</v>
      </c>
      <c r="H12" s="22">
        <f t="shared" si="2"/>
        <v>14</v>
      </c>
      <c r="I12" s="62">
        <f t="shared" si="2"/>
        <v>14</v>
      </c>
      <c r="J12" s="63">
        <f t="shared" si="2"/>
        <v>14</v>
      </c>
      <c r="K12" s="22">
        <f t="shared" si="2"/>
        <v>21</v>
      </c>
      <c r="L12" s="22">
        <f t="shared" si="2"/>
        <v>21</v>
      </c>
      <c r="M12" s="22">
        <f t="shared" si="2"/>
        <v>28</v>
      </c>
      <c r="N12" s="22">
        <f t="shared" si="2"/>
        <v>28</v>
      </c>
      <c r="O12" s="22">
        <f t="shared" si="2"/>
        <v>28</v>
      </c>
      <c r="P12" s="62">
        <f t="shared" si="2"/>
        <v>28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7</v>
      </c>
      <c r="E13" s="22">
        <f t="shared" si="3"/>
        <v>7</v>
      </c>
      <c r="F13" s="22">
        <f t="shared" si="3"/>
        <v>14</v>
      </c>
      <c r="G13" s="22">
        <f t="shared" si="3"/>
        <v>14</v>
      </c>
      <c r="H13" s="22">
        <f t="shared" si="3"/>
        <v>14</v>
      </c>
      <c r="I13" s="62">
        <f t="shared" si="3"/>
        <v>14</v>
      </c>
      <c r="J13" s="63">
        <f t="shared" si="3"/>
        <v>14</v>
      </c>
      <c r="K13" s="22">
        <f t="shared" si="3"/>
        <v>21</v>
      </c>
      <c r="L13" s="22">
        <f t="shared" si="3"/>
        <v>21</v>
      </c>
      <c r="M13" s="22">
        <f t="shared" si="3"/>
        <v>28</v>
      </c>
      <c r="N13" s="22">
        <f t="shared" si="3"/>
        <v>28</v>
      </c>
      <c r="O13" s="22">
        <f t="shared" si="3"/>
        <v>28</v>
      </c>
      <c r="P13" s="62">
        <f t="shared" si="3"/>
        <v>28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4</v>
      </c>
      <c r="G14" s="22">
        <f t="shared" si="4"/>
        <v>6</v>
      </c>
      <c r="H14" s="22">
        <f t="shared" si="4"/>
        <v>8</v>
      </c>
      <c r="I14" s="62">
        <f t="shared" si="4"/>
        <v>8</v>
      </c>
      <c r="J14" s="63">
        <f t="shared" si="4"/>
        <v>10</v>
      </c>
      <c r="K14" s="22">
        <f t="shared" si="4"/>
        <v>10</v>
      </c>
      <c r="L14" s="22">
        <f t="shared" si="4"/>
        <v>13</v>
      </c>
      <c r="M14" s="22">
        <f t="shared" si="4"/>
        <v>13</v>
      </c>
      <c r="N14" s="22">
        <f t="shared" si="4"/>
        <v>15</v>
      </c>
      <c r="O14" s="22">
        <f t="shared" si="4"/>
        <v>16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2</v>
      </c>
      <c r="D15" s="22">
        <f t="shared" ref="D15:P15" si="5" xml:space="preserve"> C$15 + D$9</f>
        <v>2</v>
      </c>
      <c r="E15" s="22">
        <f t="shared" si="5"/>
        <v>4</v>
      </c>
      <c r="F15" s="22">
        <f t="shared" si="5"/>
        <v>4</v>
      </c>
      <c r="G15" s="22">
        <f t="shared" si="5"/>
        <v>4</v>
      </c>
      <c r="H15" s="22">
        <f t="shared" si="5"/>
        <v>6</v>
      </c>
      <c r="I15" s="62">
        <f t="shared" si="5"/>
        <v>8</v>
      </c>
      <c r="J15" s="63">
        <f t="shared" si="5"/>
        <v>11</v>
      </c>
      <c r="K15" s="22">
        <f t="shared" si="5"/>
        <v>11</v>
      </c>
      <c r="L15" s="22">
        <f t="shared" si="5"/>
        <v>12</v>
      </c>
      <c r="M15" s="22">
        <f t="shared" si="5"/>
        <v>12</v>
      </c>
      <c r="N15" s="22">
        <f t="shared" si="5"/>
        <v>15</v>
      </c>
      <c r="O15" s="22">
        <f t="shared" si="5"/>
        <v>18</v>
      </c>
      <c r="P15" s="62">
        <f t="shared" si="5"/>
        <v>18</v>
      </c>
    </row>
    <row r="16" spans="1:16" ht="16.5" thickBot="1" x14ac:dyDescent="0.3">
      <c r="A16" s="85"/>
      <c r="B16" s="18" t="s">
        <v>19</v>
      </c>
      <c r="C16" s="21">
        <f xml:space="preserve"> SUM(C12:C15)</f>
        <v>2</v>
      </c>
      <c r="D16" s="21">
        <f t="shared" ref="D16:P16" si="6" xml:space="preserve"> SUM(D12:D15)</f>
        <v>18</v>
      </c>
      <c r="E16" s="21">
        <f t="shared" si="6"/>
        <v>20</v>
      </c>
      <c r="F16" s="21">
        <f t="shared" si="6"/>
        <v>36</v>
      </c>
      <c r="G16" s="21">
        <f t="shared" si="6"/>
        <v>38</v>
      </c>
      <c r="H16" s="21">
        <f t="shared" si="6"/>
        <v>42</v>
      </c>
      <c r="I16" s="60">
        <f t="shared" si="6"/>
        <v>44</v>
      </c>
      <c r="J16" s="61">
        <f t="shared" si="6"/>
        <v>49</v>
      </c>
      <c r="K16" s="21">
        <f t="shared" si="6"/>
        <v>63</v>
      </c>
      <c r="L16" s="21">
        <f t="shared" si="6"/>
        <v>67</v>
      </c>
      <c r="M16" s="21">
        <f t="shared" si="6"/>
        <v>81</v>
      </c>
      <c r="N16" s="21">
        <f t="shared" si="6"/>
        <v>86</v>
      </c>
      <c r="O16" s="21">
        <f t="shared" si="6"/>
        <v>90</v>
      </c>
      <c r="P16" s="60">
        <f t="shared" si="6"/>
        <v>90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3.5</v>
      </c>
      <c r="E30" s="22">
        <f t="shared" ref="E30:P30" si="13" xml:space="preserve"> (E$12 + E$24) / E$5</f>
        <v>2.3333333333333335</v>
      </c>
      <c r="F30" s="22">
        <f t="shared" si="13"/>
        <v>3.5</v>
      </c>
      <c r="G30" s="22">
        <f t="shared" si="13"/>
        <v>2.8</v>
      </c>
      <c r="H30" s="22">
        <f t="shared" si="13"/>
        <v>2.3333333333333335</v>
      </c>
      <c r="I30" s="62">
        <f t="shared" si="13"/>
        <v>2</v>
      </c>
      <c r="J30" s="63">
        <f t="shared" si="13"/>
        <v>1.75</v>
      </c>
      <c r="K30" s="22">
        <f t="shared" si="13"/>
        <v>2.3333333333333335</v>
      </c>
      <c r="L30" s="22">
        <f t="shared" si="13"/>
        <v>2.1</v>
      </c>
      <c r="M30" s="22">
        <f t="shared" si="13"/>
        <v>2.5454545454545454</v>
      </c>
      <c r="N30" s="22">
        <f t="shared" si="13"/>
        <v>2.3333333333333335</v>
      </c>
      <c r="O30" s="22">
        <f t="shared" si="13"/>
        <v>2.1538461538461537</v>
      </c>
      <c r="P30" s="62">
        <f t="shared" si="13"/>
        <v>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3.5</v>
      </c>
      <c r="E31" s="22">
        <f t="shared" ref="E31:P31" si="14" xml:space="preserve"> (E$13 + E$25) / E$5</f>
        <v>2.3333333333333335</v>
      </c>
      <c r="F31" s="22">
        <f t="shared" si="14"/>
        <v>3.5</v>
      </c>
      <c r="G31" s="22">
        <f t="shared" si="14"/>
        <v>2.8</v>
      </c>
      <c r="H31" s="22">
        <f t="shared" si="14"/>
        <v>2.3333333333333335</v>
      </c>
      <c r="I31" s="62">
        <f t="shared" si="14"/>
        <v>2</v>
      </c>
      <c r="J31" s="63">
        <f t="shared" si="14"/>
        <v>1.75</v>
      </c>
      <c r="K31" s="22">
        <f t="shared" si="14"/>
        <v>2.3333333333333335</v>
      </c>
      <c r="L31" s="22">
        <f t="shared" si="14"/>
        <v>2.1</v>
      </c>
      <c r="M31" s="22">
        <f t="shared" si="14"/>
        <v>2.5454545454545454</v>
      </c>
      <c r="N31" s="22">
        <f t="shared" si="14"/>
        <v>2.3333333333333335</v>
      </c>
      <c r="O31" s="22">
        <f t="shared" si="14"/>
        <v>2.1538461538461537</v>
      </c>
      <c r="P31" s="62">
        <f t="shared" si="14"/>
        <v>2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</v>
      </c>
      <c r="E32" s="22">
        <f t="shared" ref="E32:P32" si="15" xml:space="preserve"> (E$14 + E$26) / E$5</f>
        <v>0.66666666666666663</v>
      </c>
      <c r="F32" s="22">
        <f t="shared" si="15"/>
        <v>1</v>
      </c>
      <c r="G32" s="22">
        <f t="shared" si="15"/>
        <v>1.2</v>
      </c>
      <c r="H32" s="22">
        <f t="shared" si="15"/>
        <v>1.3333333333333333</v>
      </c>
      <c r="I32" s="62">
        <f t="shared" si="15"/>
        <v>1.1428571428571428</v>
      </c>
      <c r="J32" s="63">
        <f t="shared" si="15"/>
        <v>1.25</v>
      </c>
      <c r="K32" s="22">
        <f t="shared" si="15"/>
        <v>1.1111111111111112</v>
      </c>
      <c r="L32" s="22">
        <f t="shared" si="15"/>
        <v>1.3</v>
      </c>
      <c r="M32" s="22">
        <f t="shared" si="15"/>
        <v>1.1818181818181819</v>
      </c>
      <c r="N32" s="22">
        <f t="shared" si="15"/>
        <v>1.25</v>
      </c>
      <c r="O32" s="22">
        <f t="shared" si="15"/>
        <v>1.2307692307692308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2</v>
      </c>
      <c r="D33" s="22">
        <f xml:space="preserve"> (D$15 + D$27) / D$5</f>
        <v>1</v>
      </c>
      <c r="E33" s="22">
        <f t="shared" ref="E33:P33" si="16" xml:space="preserve"> (E$15 + E$27) / E$5</f>
        <v>1.3333333333333333</v>
      </c>
      <c r="F33" s="22">
        <f t="shared" si="16"/>
        <v>1</v>
      </c>
      <c r="G33" s="22">
        <f t="shared" si="16"/>
        <v>0.8</v>
      </c>
      <c r="H33" s="22">
        <f t="shared" si="16"/>
        <v>1</v>
      </c>
      <c r="I33" s="62">
        <f t="shared" si="16"/>
        <v>1.1428571428571428</v>
      </c>
      <c r="J33" s="63">
        <f t="shared" si="16"/>
        <v>1.375</v>
      </c>
      <c r="K33" s="22">
        <f t="shared" si="16"/>
        <v>1.2222222222222223</v>
      </c>
      <c r="L33" s="22">
        <f t="shared" si="16"/>
        <v>1.2</v>
      </c>
      <c r="M33" s="22">
        <f t="shared" si="16"/>
        <v>1.0909090909090908</v>
      </c>
      <c r="N33" s="22">
        <f t="shared" si="16"/>
        <v>1.25</v>
      </c>
      <c r="O33" s="22">
        <f t="shared" si="16"/>
        <v>1.3846153846153846</v>
      </c>
      <c r="P33" s="62">
        <f t="shared" si="16"/>
        <v>1.2857142857142858</v>
      </c>
    </row>
    <row r="34" spans="1:16" ht="16.5" thickBot="1" x14ac:dyDescent="0.3">
      <c r="A34" s="79"/>
      <c r="B34" s="18" t="s">
        <v>19</v>
      </c>
      <c r="C34" s="21">
        <f xml:space="preserve"> SUM(C30:C33)</f>
        <v>2</v>
      </c>
      <c r="D34" s="21">
        <f t="shared" ref="D34:P34" si="17" xml:space="preserve"> SUM(D30:D33)</f>
        <v>9</v>
      </c>
      <c r="E34" s="21">
        <f t="shared" si="17"/>
        <v>6.666666666666667</v>
      </c>
      <c r="F34" s="21">
        <f t="shared" si="17"/>
        <v>9</v>
      </c>
      <c r="G34" s="21">
        <f t="shared" si="17"/>
        <v>7.6</v>
      </c>
      <c r="H34" s="21">
        <f t="shared" si="17"/>
        <v>7</v>
      </c>
      <c r="I34" s="60">
        <f t="shared" si="17"/>
        <v>6.2857142857142847</v>
      </c>
      <c r="J34" s="61">
        <f t="shared" si="17"/>
        <v>6.125</v>
      </c>
      <c r="K34" s="21">
        <f t="shared" si="17"/>
        <v>7.0000000000000009</v>
      </c>
      <c r="L34" s="21">
        <f t="shared" si="17"/>
        <v>6.7</v>
      </c>
      <c r="M34" s="21">
        <f t="shared" si="17"/>
        <v>7.3636363636363633</v>
      </c>
      <c r="N34" s="21">
        <f t="shared" si="17"/>
        <v>7.166666666666667</v>
      </c>
      <c r="O34" s="21">
        <f t="shared" si="17"/>
        <v>6.9230769230769234</v>
      </c>
      <c r="P34" s="60">
        <f t="shared" si="17"/>
        <v>6.4285714285714279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14</v>
      </c>
      <c r="D37" s="24">
        <f xml:space="preserve"> SUM(J6:P6) + SUM(J18:P18)</f>
        <v>14</v>
      </c>
      <c r="E37" s="24">
        <f xml:space="preserve"> SUM(C37:D37)</f>
        <v>28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14</v>
      </c>
      <c r="D38" s="24">
        <f xml:space="preserve"> SUM(J7:P7) + SUM(J19:P19)</f>
        <v>14</v>
      </c>
      <c r="E38" s="24">
        <f xml:space="preserve"> SUM(C38:D38)</f>
        <v>28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8</v>
      </c>
      <c r="D39" s="24">
        <f xml:space="preserve"> SUM(J8:P8) + SUM(J20:P20)</f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10</v>
      </c>
      <c r="E40" s="24">
        <f xml:space="preserve"> SUM(C40:D40)</f>
        <v>18</v>
      </c>
    </row>
    <row r="41" spans="1:16" ht="16.5" thickBot="1" x14ac:dyDescent="0.3">
      <c r="A41" s="79"/>
      <c r="B41" s="18" t="s">
        <v>19</v>
      </c>
      <c r="C41" s="21">
        <f xml:space="preserve"> SUM(C37:C40)</f>
        <v>44</v>
      </c>
      <c r="D41" s="21">
        <f xml:space="preserve"> SUM(D37:D40)</f>
        <v>46</v>
      </c>
      <c r="E41" s="21">
        <f xml:space="preserve"> SUM(C41:D41)</f>
        <v>90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14</v>
      </c>
      <c r="D43" s="24">
        <f xml:space="preserve"> SUM(C37:D37) / D$36</f>
        <v>14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14</v>
      </c>
      <c r="D44" s="24">
        <f xml:space="preserve"> SUM(C38:D38) / D$36</f>
        <v>14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8</v>
      </c>
      <c r="D45" s="24">
        <f xml:space="preserve"> SUM(C39:D39) / D$36</f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9</v>
      </c>
    </row>
    <row r="47" spans="1:16" ht="16.5" thickBot="1" x14ac:dyDescent="0.3">
      <c r="A47" s="79"/>
      <c r="B47" s="18" t="s">
        <v>19</v>
      </c>
      <c r="C47" s="21">
        <f xml:space="preserve"> SUM(C43:C46)</f>
        <v>44</v>
      </c>
      <c r="D47" s="21">
        <f xml:space="preserve"> SUM(D43:D46)</f>
        <v>45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90</v>
      </c>
      <c r="D90" s="24">
        <f>C10</f>
        <v>2</v>
      </c>
      <c r="E90" s="24">
        <f>D10</f>
        <v>16</v>
      </c>
      <c r="F90" s="24">
        <f t="shared" ref="F90:Q90" si="18">E10</f>
        <v>2</v>
      </c>
      <c r="G90" s="24">
        <f t="shared" si="18"/>
        <v>16</v>
      </c>
      <c r="H90" s="24">
        <f t="shared" si="18"/>
        <v>2</v>
      </c>
      <c r="I90" s="24">
        <f t="shared" si="18"/>
        <v>4</v>
      </c>
      <c r="J90" s="24">
        <f t="shared" si="18"/>
        <v>2</v>
      </c>
      <c r="K90" s="24">
        <f t="shared" si="18"/>
        <v>5</v>
      </c>
      <c r="L90" s="24">
        <f t="shared" si="18"/>
        <v>14</v>
      </c>
      <c r="M90" s="24">
        <f t="shared" si="18"/>
        <v>4</v>
      </c>
      <c r="N90" s="24">
        <f t="shared" si="18"/>
        <v>14</v>
      </c>
      <c r="O90" s="24">
        <f t="shared" si="18"/>
        <v>5</v>
      </c>
      <c r="P90" s="24">
        <f t="shared" si="18"/>
        <v>4</v>
      </c>
      <c r="Q90" s="24">
        <f t="shared" si="18"/>
        <v>0</v>
      </c>
    </row>
    <row r="91" spans="2:17" x14ac:dyDescent="0.25">
      <c r="B91" t="s">
        <v>55</v>
      </c>
      <c r="C91" s="24">
        <f>C90</f>
        <v>90</v>
      </c>
      <c r="D91" s="24">
        <f>C91-D90</f>
        <v>88</v>
      </c>
      <c r="E91" s="24">
        <f>D91-E90</f>
        <v>72</v>
      </c>
      <c r="F91" s="24">
        <f t="shared" ref="F91:Q91" si="19">E91-F90</f>
        <v>70</v>
      </c>
      <c r="G91" s="24">
        <f t="shared" si="19"/>
        <v>54</v>
      </c>
      <c r="H91" s="24">
        <f t="shared" si="19"/>
        <v>52</v>
      </c>
      <c r="I91" s="24">
        <f t="shared" si="19"/>
        <v>48</v>
      </c>
      <c r="J91" s="24">
        <f t="shared" si="19"/>
        <v>46</v>
      </c>
      <c r="K91" s="24">
        <f t="shared" si="19"/>
        <v>41</v>
      </c>
      <c r="L91" s="24">
        <f t="shared" si="19"/>
        <v>27</v>
      </c>
      <c r="M91" s="24">
        <f t="shared" si="19"/>
        <v>23</v>
      </c>
      <c r="N91" s="24">
        <f t="shared" si="19"/>
        <v>9</v>
      </c>
      <c r="O91" s="24">
        <f t="shared" si="19"/>
        <v>4</v>
      </c>
      <c r="P91" s="24">
        <f t="shared" si="19"/>
        <v>0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workbookViewId="0">
      <selection activeCell="K11" sqref="K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7</v>
      </c>
      <c r="E6" s="33">
        <v>0</v>
      </c>
      <c r="F6" s="33">
        <v>8</v>
      </c>
      <c r="G6" s="33">
        <v>0</v>
      </c>
      <c r="H6" s="33">
        <v>0</v>
      </c>
      <c r="I6" s="33">
        <v>0</v>
      </c>
      <c r="J6" s="59">
        <v>3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7</v>
      </c>
      <c r="E7" s="33">
        <v>0</v>
      </c>
      <c r="F7" s="33">
        <v>8</v>
      </c>
      <c r="G7" s="33">
        <v>0</v>
      </c>
      <c r="H7" s="33">
        <v>0</v>
      </c>
      <c r="I7" s="33">
        <v>0</v>
      </c>
      <c r="J7" s="59">
        <v>3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8</v>
      </c>
      <c r="G8" s="33">
        <v>0</v>
      </c>
      <c r="H8" s="33">
        <v>0</v>
      </c>
      <c r="I8" s="33">
        <v>0</v>
      </c>
      <c r="J8" s="59">
        <v>3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2</v>
      </c>
      <c r="D9" s="33">
        <v>0</v>
      </c>
      <c r="E9" s="33">
        <v>2</v>
      </c>
      <c r="F9" s="33">
        <v>1</v>
      </c>
      <c r="G9" s="33">
        <v>3</v>
      </c>
      <c r="H9" s="33">
        <v>0</v>
      </c>
      <c r="I9" s="33">
        <v>0</v>
      </c>
      <c r="J9" s="59">
        <v>6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2</v>
      </c>
      <c r="D10" s="21">
        <f t="shared" ref="D10:P10" si="1" xml:space="preserve"> SUM(D6:D9)</f>
        <v>14</v>
      </c>
      <c r="E10" s="21">
        <f t="shared" si="1"/>
        <v>2</v>
      </c>
      <c r="F10" s="21">
        <f t="shared" si="1"/>
        <v>25</v>
      </c>
      <c r="G10" s="21">
        <f t="shared" si="1"/>
        <v>3</v>
      </c>
      <c r="H10" s="21">
        <f t="shared" si="1"/>
        <v>0</v>
      </c>
      <c r="I10" s="60">
        <f t="shared" si="1"/>
        <v>0</v>
      </c>
      <c r="J10" s="61">
        <f t="shared" si="1"/>
        <v>15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7</v>
      </c>
      <c r="E12" s="22">
        <f t="shared" si="2"/>
        <v>7</v>
      </c>
      <c r="F12" s="22">
        <f t="shared" si="2"/>
        <v>15</v>
      </c>
      <c r="G12" s="22">
        <f t="shared" si="2"/>
        <v>15</v>
      </c>
      <c r="H12" s="22">
        <f t="shared" si="2"/>
        <v>15</v>
      </c>
      <c r="I12" s="62">
        <f t="shared" si="2"/>
        <v>15</v>
      </c>
      <c r="J12" s="63">
        <f t="shared" si="2"/>
        <v>18</v>
      </c>
      <c r="K12" s="22">
        <f t="shared" si="2"/>
        <v>18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2">
        <f t="shared" si="2"/>
        <v>18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7</v>
      </c>
      <c r="E13" s="22">
        <f t="shared" si="3"/>
        <v>7</v>
      </c>
      <c r="F13" s="22">
        <f t="shared" si="3"/>
        <v>15</v>
      </c>
      <c r="G13" s="22">
        <f t="shared" si="3"/>
        <v>15</v>
      </c>
      <c r="H13" s="22">
        <f t="shared" si="3"/>
        <v>15</v>
      </c>
      <c r="I13" s="62">
        <f t="shared" si="3"/>
        <v>15</v>
      </c>
      <c r="J13" s="63">
        <f t="shared" si="3"/>
        <v>18</v>
      </c>
      <c r="K13" s="22">
        <f t="shared" si="3"/>
        <v>18</v>
      </c>
      <c r="L13" s="22">
        <f t="shared" si="3"/>
        <v>18</v>
      </c>
      <c r="M13" s="22">
        <f t="shared" si="3"/>
        <v>18</v>
      </c>
      <c r="N13" s="22">
        <f t="shared" si="3"/>
        <v>18</v>
      </c>
      <c r="O13" s="22">
        <f t="shared" si="3"/>
        <v>18</v>
      </c>
      <c r="P13" s="62">
        <f t="shared" si="3"/>
        <v>18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8</v>
      </c>
      <c r="G14" s="22">
        <f t="shared" si="4"/>
        <v>8</v>
      </c>
      <c r="H14" s="22">
        <f t="shared" si="4"/>
        <v>8</v>
      </c>
      <c r="I14" s="62">
        <f t="shared" si="4"/>
        <v>8</v>
      </c>
      <c r="J14" s="63">
        <f t="shared" si="4"/>
        <v>11</v>
      </c>
      <c r="K14" s="22">
        <f t="shared" si="4"/>
        <v>11</v>
      </c>
      <c r="L14" s="22">
        <f t="shared" si="4"/>
        <v>11</v>
      </c>
      <c r="M14" s="22">
        <f t="shared" si="4"/>
        <v>11</v>
      </c>
      <c r="N14" s="22">
        <f t="shared" si="4"/>
        <v>11</v>
      </c>
      <c r="O14" s="22">
        <f t="shared" si="4"/>
        <v>11</v>
      </c>
      <c r="P14" s="62">
        <f t="shared" si="4"/>
        <v>11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2</v>
      </c>
      <c r="D15" s="22">
        <f t="shared" ref="D15:P15" si="5" xml:space="preserve"> C$15 + D$9</f>
        <v>2</v>
      </c>
      <c r="E15" s="22">
        <f t="shared" si="5"/>
        <v>4</v>
      </c>
      <c r="F15" s="22">
        <f t="shared" si="5"/>
        <v>5</v>
      </c>
      <c r="G15" s="22">
        <f t="shared" si="5"/>
        <v>8</v>
      </c>
      <c r="H15" s="22">
        <f t="shared" si="5"/>
        <v>8</v>
      </c>
      <c r="I15" s="62">
        <f t="shared" si="5"/>
        <v>8</v>
      </c>
      <c r="J15" s="63">
        <f t="shared" si="5"/>
        <v>14</v>
      </c>
      <c r="K15" s="22">
        <f t="shared" si="5"/>
        <v>14</v>
      </c>
      <c r="L15" s="22">
        <f t="shared" si="5"/>
        <v>14</v>
      </c>
      <c r="M15" s="22">
        <f t="shared" si="5"/>
        <v>14</v>
      </c>
      <c r="N15" s="22">
        <f t="shared" si="5"/>
        <v>14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2</v>
      </c>
      <c r="D16" s="21">
        <f t="shared" ref="D16:P16" si="6" xml:space="preserve"> SUM(D12:D15)</f>
        <v>16</v>
      </c>
      <c r="E16" s="21">
        <f t="shared" si="6"/>
        <v>18</v>
      </c>
      <c r="F16" s="21">
        <f t="shared" si="6"/>
        <v>43</v>
      </c>
      <c r="G16" s="21">
        <f t="shared" si="6"/>
        <v>46</v>
      </c>
      <c r="H16" s="21">
        <f t="shared" si="6"/>
        <v>46</v>
      </c>
      <c r="I16" s="60">
        <f t="shared" si="6"/>
        <v>46</v>
      </c>
      <c r="J16" s="61">
        <f t="shared" si="6"/>
        <v>61</v>
      </c>
      <c r="K16" s="21">
        <f t="shared" si="6"/>
        <v>61</v>
      </c>
      <c r="L16" s="21">
        <f t="shared" si="6"/>
        <v>61</v>
      </c>
      <c r="M16" s="21">
        <f t="shared" si="6"/>
        <v>61</v>
      </c>
      <c r="N16" s="21">
        <f t="shared" si="6"/>
        <v>61</v>
      </c>
      <c r="O16" s="21">
        <f t="shared" si="6"/>
        <v>61</v>
      </c>
      <c r="P16" s="60">
        <f t="shared" si="6"/>
        <v>61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3.5</v>
      </c>
      <c r="E30" s="22">
        <f t="shared" ref="E30:P30" si="13" xml:space="preserve"> (E$12 + E$24) / E$5</f>
        <v>2.3333333333333335</v>
      </c>
      <c r="F30" s="22">
        <f t="shared" si="13"/>
        <v>3.75</v>
      </c>
      <c r="G30" s="22">
        <f t="shared" si="13"/>
        <v>3</v>
      </c>
      <c r="H30" s="22">
        <f t="shared" si="13"/>
        <v>2.5</v>
      </c>
      <c r="I30" s="62">
        <f t="shared" si="13"/>
        <v>2.1428571428571428</v>
      </c>
      <c r="J30" s="63">
        <f t="shared" si="13"/>
        <v>2.25</v>
      </c>
      <c r="K30" s="22">
        <f t="shared" si="13"/>
        <v>2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2">
        <f t="shared" si="13"/>
        <v>1.2857142857142858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3.5</v>
      </c>
      <c r="E31" s="22">
        <f t="shared" ref="E31:P31" si="14" xml:space="preserve"> (E$13 + E$25) / E$5</f>
        <v>2.3333333333333335</v>
      </c>
      <c r="F31" s="22">
        <f t="shared" si="14"/>
        <v>3.75</v>
      </c>
      <c r="G31" s="22">
        <f t="shared" si="14"/>
        <v>3</v>
      </c>
      <c r="H31" s="22">
        <f t="shared" si="14"/>
        <v>2.5</v>
      </c>
      <c r="I31" s="62">
        <f t="shared" si="14"/>
        <v>2.1428571428571428</v>
      </c>
      <c r="J31" s="63">
        <f t="shared" si="14"/>
        <v>2.25</v>
      </c>
      <c r="K31" s="22">
        <f t="shared" si="14"/>
        <v>2</v>
      </c>
      <c r="L31" s="22">
        <f t="shared" si="14"/>
        <v>1.8</v>
      </c>
      <c r="M31" s="22">
        <f t="shared" si="14"/>
        <v>1.6363636363636365</v>
      </c>
      <c r="N31" s="22">
        <f t="shared" si="14"/>
        <v>1.5</v>
      </c>
      <c r="O31" s="22">
        <f t="shared" si="14"/>
        <v>1.3846153846153846</v>
      </c>
      <c r="P31" s="62">
        <f t="shared" si="14"/>
        <v>1.2857142857142858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2</v>
      </c>
      <c r="G32" s="22">
        <f t="shared" si="15"/>
        <v>1.6</v>
      </c>
      <c r="H32" s="22">
        <f t="shared" si="15"/>
        <v>1.3333333333333333</v>
      </c>
      <c r="I32" s="62">
        <f t="shared" si="15"/>
        <v>1.1428571428571428</v>
      </c>
      <c r="J32" s="63">
        <f t="shared" si="15"/>
        <v>1.375</v>
      </c>
      <c r="K32" s="22">
        <f t="shared" si="15"/>
        <v>1.2222222222222223</v>
      </c>
      <c r="L32" s="22">
        <f t="shared" si="15"/>
        <v>1.1000000000000001</v>
      </c>
      <c r="M32" s="22">
        <f t="shared" si="15"/>
        <v>1</v>
      </c>
      <c r="N32" s="22">
        <f t="shared" si="15"/>
        <v>0.91666666666666663</v>
      </c>
      <c r="O32" s="22">
        <f t="shared" si="15"/>
        <v>0.84615384615384615</v>
      </c>
      <c r="P32" s="62">
        <f t="shared" si="15"/>
        <v>0.7857142857142857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2</v>
      </c>
      <c r="D33" s="22">
        <f xml:space="preserve"> (D$15 + D$27) / D$5</f>
        <v>1</v>
      </c>
      <c r="E33" s="22">
        <f t="shared" ref="E33:P33" si="16" xml:space="preserve"> (E$15 + E$27) / E$5</f>
        <v>1.3333333333333333</v>
      </c>
      <c r="F33" s="22">
        <f t="shared" si="16"/>
        <v>1.25</v>
      </c>
      <c r="G33" s="22">
        <f t="shared" si="16"/>
        <v>1.6</v>
      </c>
      <c r="H33" s="22">
        <f t="shared" si="16"/>
        <v>1.3333333333333333</v>
      </c>
      <c r="I33" s="62">
        <f t="shared" si="16"/>
        <v>1.1428571428571428</v>
      </c>
      <c r="J33" s="63">
        <f t="shared" si="16"/>
        <v>1.75</v>
      </c>
      <c r="K33" s="22">
        <f t="shared" si="16"/>
        <v>1.5555555555555556</v>
      </c>
      <c r="L33" s="22">
        <f t="shared" si="16"/>
        <v>1.4</v>
      </c>
      <c r="M33" s="22">
        <f t="shared" si="16"/>
        <v>1.2727272727272727</v>
      </c>
      <c r="N33" s="22">
        <f t="shared" si="16"/>
        <v>1.1666666666666667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2</v>
      </c>
      <c r="D34" s="21">
        <f t="shared" ref="D34:P34" si="17" xml:space="preserve"> SUM(D30:D33)</f>
        <v>8</v>
      </c>
      <c r="E34" s="21">
        <f t="shared" si="17"/>
        <v>6</v>
      </c>
      <c r="F34" s="21">
        <f t="shared" si="17"/>
        <v>10.75</v>
      </c>
      <c r="G34" s="21">
        <f t="shared" si="17"/>
        <v>9.1999999999999993</v>
      </c>
      <c r="H34" s="21">
        <f t="shared" si="17"/>
        <v>7.6666666666666661</v>
      </c>
      <c r="I34" s="60">
        <f t="shared" si="17"/>
        <v>6.5714285714285712</v>
      </c>
      <c r="J34" s="61">
        <f t="shared" si="17"/>
        <v>7.625</v>
      </c>
      <c r="K34" s="21">
        <f t="shared" si="17"/>
        <v>6.7777777777777777</v>
      </c>
      <c r="L34" s="21">
        <f t="shared" si="17"/>
        <v>6.1</v>
      </c>
      <c r="M34" s="21">
        <f t="shared" si="17"/>
        <v>5.5454545454545459</v>
      </c>
      <c r="N34" s="21">
        <f t="shared" si="17"/>
        <v>5.083333333333333</v>
      </c>
      <c r="O34" s="21">
        <f t="shared" si="17"/>
        <v>4.6923076923076925</v>
      </c>
      <c r="P34" s="60">
        <f t="shared" si="17"/>
        <v>4.3571428571428577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15</v>
      </c>
      <c r="D37" s="24">
        <f xml:space="preserve"> SUM(J6:P6) + SUM(J18:P18)</f>
        <v>3</v>
      </c>
      <c r="E37" s="24">
        <f xml:space="preserve"> SUM(C37:D37)</f>
        <v>18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15</v>
      </c>
      <c r="D38" s="24">
        <f xml:space="preserve"> SUM(J7:P7) + SUM(J19:P19)</f>
        <v>3</v>
      </c>
      <c r="E38" s="24">
        <f xml:space="preserve"> SUM(C38:D38)</f>
        <v>18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8</v>
      </c>
      <c r="D39" s="24">
        <f xml:space="preserve"> SUM(J8:P8) + SUM(J20:P20)</f>
        <v>3</v>
      </c>
      <c r="E39" s="24">
        <f xml:space="preserve"> SUM(C39:D39)</f>
        <v>11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6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46</v>
      </c>
      <c r="D41" s="21">
        <f xml:space="preserve"> SUM(D37:D40)</f>
        <v>15</v>
      </c>
      <c r="E41" s="21">
        <f xml:space="preserve"> SUM(C41:D41)</f>
        <v>61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15</v>
      </c>
      <c r="D43" s="24">
        <f xml:space="preserve"> SUM(C37:D37) / D$36</f>
        <v>9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15</v>
      </c>
      <c r="D44" s="24">
        <f xml:space="preserve"> SUM(C38:D38) / D$36</f>
        <v>9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8</v>
      </c>
      <c r="D45" s="24">
        <f xml:space="preserve"> SUM(C39:D39) / D$36</f>
        <v>5.5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46</v>
      </c>
      <c r="D47" s="21">
        <f xml:space="preserve"> SUM(D43:D46)</f>
        <v>30.5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2016-04-05T02:55:46Z</dcterms:modified>
</cp:coreProperties>
</file>