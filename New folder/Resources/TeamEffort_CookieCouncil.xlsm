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9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0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1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2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3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4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5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6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0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1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2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3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4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67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68.xml" ContentType="application/vnd.openxmlformats-officedocument.drawingml.chartshap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69.xml" ContentType="application/vnd.openxmlformats-officedocument.drawingml.chartshapes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70.xml" ContentType="application/vnd.openxmlformats-officedocument.drawingml.chartshapes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3040" windowHeight="9375" tabRatio="695" firstSheet="4" activeTab="9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  <fileRecoveryPr repairLoad="1"/>
</workbook>
</file>

<file path=xl/calcChain.xml><?xml version="1.0" encoding="utf-8"?>
<calcChain xmlns="http://schemas.openxmlformats.org/spreadsheetml/2006/main">
  <c r="C91" i="48" l="1"/>
  <c r="D91" i="48" s="1"/>
  <c r="E91" i="48" s="1"/>
  <c r="F91" i="48" s="1"/>
  <c r="G91" i="48" s="1"/>
  <c r="H91" i="48" s="1"/>
  <c r="I91" i="48" s="1"/>
  <c r="J91" i="48" s="1"/>
  <c r="K91" i="48" s="1"/>
  <c r="L91" i="48" s="1"/>
  <c r="M91" i="48" s="1"/>
  <c r="N91" i="48" s="1"/>
  <c r="O91" i="48" s="1"/>
  <c r="P91" i="48" s="1"/>
  <c r="Q91" i="48" s="1"/>
  <c r="Q90" i="48"/>
  <c r="P90" i="48"/>
  <c r="O90" i="48"/>
  <c r="N90" i="48"/>
  <c r="M90" i="48"/>
  <c r="L90" i="48"/>
  <c r="K90" i="48"/>
  <c r="J90" i="48"/>
  <c r="I90" i="48"/>
  <c r="H90" i="48"/>
  <c r="G90" i="48"/>
  <c r="F90" i="48"/>
  <c r="E90" i="48"/>
  <c r="D90" i="48"/>
  <c r="C90" i="48"/>
  <c r="C89" i="48"/>
  <c r="C86" i="48"/>
  <c r="D89" i="48" s="1"/>
  <c r="E89" i="48" s="1"/>
  <c r="F89" i="48" s="1"/>
  <c r="G89" i="48" s="1"/>
  <c r="H89" i="48" s="1"/>
  <c r="I89" i="48" s="1"/>
  <c r="J89" i="48" s="1"/>
  <c r="K89" i="48" s="1"/>
  <c r="L89" i="48" s="1"/>
  <c r="M89" i="48" s="1"/>
  <c r="N89" i="48" s="1"/>
  <c r="O89" i="48" s="1"/>
  <c r="P89" i="48" s="1"/>
  <c r="C91" i="47" l="1"/>
  <c r="D91" i="47" s="1"/>
  <c r="E91" i="47" s="1"/>
  <c r="F91" i="47" s="1"/>
  <c r="G91" i="47" s="1"/>
  <c r="H91" i="47" s="1"/>
  <c r="I91" i="47" s="1"/>
  <c r="J91" i="47" s="1"/>
  <c r="K91" i="47" s="1"/>
  <c r="L91" i="47" s="1"/>
  <c r="M91" i="47" s="1"/>
  <c r="N91" i="47" s="1"/>
  <c r="O91" i="47" s="1"/>
  <c r="P91" i="47" s="1"/>
  <c r="Q91" i="47" s="1"/>
  <c r="Q90" i="47"/>
  <c r="P90" i="47"/>
  <c r="O90" i="47"/>
  <c r="N90" i="47"/>
  <c r="M90" i="47"/>
  <c r="L90" i="47"/>
  <c r="K90" i="47"/>
  <c r="J90" i="47"/>
  <c r="I90" i="47"/>
  <c r="H90" i="47"/>
  <c r="G90" i="47"/>
  <c r="F90" i="47"/>
  <c r="E90" i="47"/>
  <c r="D90" i="47"/>
  <c r="C90" i="47"/>
  <c r="C89" i="47"/>
  <c r="C86" i="47"/>
  <c r="D89" i="47" s="1"/>
  <c r="E89" i="47" s="1"/>
  <c r="F89" i="47" s="1"/>
  <c r="G89" i="47" s="1"/>
  <c r="H89" i="47" s="1"/>
  <c r="I89" i="47" s="1"/>
  <c r="J89" i="47" s="1"/>
  <c r="K89" i="47" s="1"/>
  <c r="L89" i="47" s="1"/>
  <c r="M89" i="47" s="1"/>
  <c r="N89" i="47" s="1"/>
  <c r="O89" i="47" s="1"/>
  <c r="P89" i="47" s="1"/>
  <c r="H90" i="46" l="1"/>
  <c r="E90" i="46"/>
  <c r="C89" i="46"/>
  <c r="D89" i="46" s="1"/>
  <c r="E89" i="46" s="1"/>
  <c r="F89" i="46" s="1"/>
  <c r="G89" i="46" s="1"/>
  <c r="H89" i="46" s="1"/>
  <c r="I89" i="46" s="1"/>
  <c r="J89" i="46" s="1"/>
  <c r="K89" i="46" s="1"/>
  <c r="L89" i="46" s="1"/>
  <c r="M89" i="46" s="1"/>
  <c r="N89" i="46" s="1"/>
  <c r="O89" i="46" s="1"/>
  <c r="P89" i="46" s="1"/>
  <c r="C86" i="46"/>
  <c r="O84" i="1" l="1"/>
  <c r="N84" i="1"/>
  <c r="M84" i="1"/>
  <c r="L84" i="1"/>
  <c r="K84" i="1"/>
  <c r="J84" i="1"/>
  <c r="I84" i="1"/>
  <c r="H84" i="1"/>
  <c r="G84" i="1"/>
  <c r="F84" i="1"/>
  <c r="E84" i="1"/>
  <c r="D84" i="1"/>
  <c r="C84" i="1"/>
  <c r="C91" i="45"/>
  <c r="D91" i="45" s="1"/>
  <c r="E91" i="45" s="1"/>
  <c r="F91" i="45" s="1"/>
  <c r="G91" i="45" s="1"/>
  <c r="H91" i="45" s="1"/>
  <c r="I91" i="45" s="1"/>
  <c r="J91" i="45" s="1"/>
  <c r="K91" i="45" s="1"/>
  <c r="L91" i="45" s="1"/>
  <c r="M91" i="45" s="1"/>
  <c r="N91" i="45" s="1"/>
  <c r="O91" i="45" s="1"/>
  <c r="P91" i="45" s="1"/>
  <c r="Q91" i="45" s="1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D90" i="45"/>
  <c r="C90" i="45"/>
  <c r="C89" i="45"/>
  <c r="C86" i="45"/>
  <c r="D89" i="45" l="1"/>
  <c r="E89" i="45" s="1"/>
  <c r="F89" i="45" s="1"/>
  <c r="G89" i="45" s="1"/>
  <c r="H89" i="45" s="1"/>
  <c r="I89" i="45" s="1"/>
  <c r="J89" i="45" s="1"/>
  <c r="K89" i="45" s="1"/>
  <c r="L89" i="45" s="1"/>
  <c r="M89" i="45" s="1"/>
  <c r="N89" i="45" s="1"/>
  <c r="O89" i="45" s="1"/>
  <c r="P89" i="45" s="1"/>
  <c r="E10" i="43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E11" i="1"/>
  <c r="E17" i="1"/>
  <c r="E23" i="1"/>
  <c r="E81" i="1"/>
  <c r="F11" i="1"/>
  <c r="F17" i="1"/>
  <c r="F23" i="1"/>
  <c r="F81" i="1"/>
  <c r="G11" i="1"/>
  <c r="G17" i="1"/>
  <c r="G23" i="1"/>
  <c r="G81" i="1"/>
  <c r="C81" i="1"/>
  <c r="E79" i="1"/>
  <c r="Y82" i="1" s="1"/>
  <c r="Y83" i="1" s="1"/>
  <c r="M82" i="1"/>
  <c r="M83" i="1" s="1"/>
  <c r="X82" i="1"/>
  <c r="X83" i="1" s="1"/>
  <c r="V82" i="1"/>
  <c r="V83" i="1" s="1"/>
  <c r="T82" i="1"/>
  <c r="T83" i="1" s="1"/>
  <c r="R82" i="1"/>
  <c r="R83" i="1" s="1"/>
  <c r="P82" i="1"/>
  <c r="P83" i="1" s="1"/>
  <c r="N82" i="1"/>
  <c r="N83" i="1" s="1"/>
  <c r="K82" i="1"/>
  <c r="K83" i="1" s="1"/>
  <c r="I82" i="1"/>
  <c r="I83" i="1" s="1"/>
  <c r="G82" i="1"/>
  <c r="G83" i="1" s="1"/>
  <c r="E82" i="1"/>
  <c r="E83" i="1" s="1"/>
  <c r="C82" i="1"/>
  <c r="C83" i="1" s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 s="1"/>
  <c r="F82" i="1"/>
  <c r="F83" i="1" s="1"/>
  <c r="H82" i="1"/>
  <c r="H83" i="1" s="1"/>
  <c r="J82" i="1"/>
  <c r="J83" i="1" s="1"/>
  <c r="L82" i="1"/>
  <c r="L83" i="1" s="1"/>
  <c r="O82" i="1"/>
  <c r="O83" i="1" s="1"/>
  <c r="Q82" i="1"/>
  <c r="Q83" i="1" s="1"/>
  <c r="S82" i="1"/>
  <c r="S83" i="1" s="1"/>
  <c r="U82" i="1"/>
  <c r="U83" i="1" s="1"/>
  <c r="W82" i="1"/>
  <c r="W83" i="1" s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S11" i="1" s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9" i="1" s="1"/>
  <c r="N10" i="1"/>
  <c r="N11" i="1" s="1"/>
  <c r="N23" i="1" s="1"/>
  <c r="N81" i="1" s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C40" i="48"/>
  <c r="C46" i="48" s="1"/>
  <c r="B40" i="48"/>
  <c r="C39" i="48"/>
  <c r="B39" i="48"/>
  <c r="C38" i="48"/>
  <c r="D44" i="48" s="1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 s="1"/>
  <c r="B15" i="48"/>
  <c r="C14" i="48"/>
  <c r="D14" i="48" s="1"/>
  <c r="B14" i="48"/>
  <c r="C13" i="48"/>
  <c r="D13" i="48"/>
  <c r="D31" i="48" s="1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 s="1"/>
  <c r="B39" i="47"/>
  <c r="D38" i="47"/>
  <c r="C38" i="47"/>
  <c r="D44" i="47" s="1"/>
  <c r="B38" i="47"/>
  <c r="D37" i="47"/>
  <c r="E37" i="47" s="1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 s="1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 s="1"/>
  <c r="B43" i="46"/>
  <c r="D37" i="46"/>
  <c r="D38" i="46"/>
  <c r="D39" i="46"/>
  <c r="E39" i="46" s="1"/>
  <c r="D40" i="46"/>
  <c r="C40" i="46"/>
  <c r="B40" i="46"/>
  <c r="C39" i="46"/>
  <c r="D45" i="46" s="1"/>
  <c r="B39" i="46"/>
  <c r="C38" i="46"/>
  <c r="B38" i="46"/>
  <c r="B37" i="46"/>
  <c r="C15" i="46"/>
  <c r="D15" i="46" s="1"/>
  <c r="C27" i="46"/>
  <c r="C33" i="46"/>
  <c r="C34" i="46" s="1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B15" i="46"/>
  <c r="E14" i="46"/>
  <c r="F14" i="46" s="1"/>
  <c r="B14" i="46"/>
  <c r="D13" i="46"/>
  <c r="D31" i="46"/>
  <c r="B13" i="46"/>
  <c r="C30" i="46"/>
  <c r="B12" i="46"/>
  <c r="P10" i="46"/>
  <c r="Q90" i="46" s="1"/>
  <c r="O10" i="46"/>
  <c r="P90" i="46" s="1"/>
  <c r="N10" i="46"/>
  <c r="O90" i="46" s="1"/>
  <c r="M10" i="46"/>
  <c r="N90" i="46" s="1"/>
  <c r="L10" i="46"/>
  <c r="M90" i="46" s="1"/>
  <c r="K10" i="46"/>
  <c r="L90" i="46" s="1"/>
  <c r="J10" i="46"/>
  <c r="K90" i="46" s="1"/>
  <c r="I10" i="46"/>
  <c r="J90" i="46" s="1"/>
  <c r="H10" i="46"/>
  <c r="I90" i="46" s="1"/>
  <c r="G10" i="46"/>
  <c r="F10" i="46"/>
  <c r="G90" i="46" s="1"/>
  <c r="E10" i="46"/>
  <c r="F90" i="46" s="1"/>
  <c r="D10" i="46"/>
  <c r="C10" i="46"/>
  <c r="D90" i="46" s="1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 s="1"/>
  <c r="B43" i="45"/>
  <c r="D37" i="45"/>
  <c r="D38" i="45"/>
  <c r="D39" i="45"/>
  <c r="D40" i="45"/>
  <c r="D41" i="45" s="1"/>
  <c r="C40" i="45"/>
  <c r="B40" i="45"/>
  <c r="C39" i="45"/>
  <c r="D45" i="45" s="1"/>
  <c r="B39" i="45"/>
  <c r="C38" i="45"/>
  <c r="D44" i="45" s="1"/>
  <c r="B38" i="45"/>
  <c r="B37" i="45"/>
  <c r="C15" i="45"/>
  <c r="D15" i="45" s="1"/>
  <c r="C27" i="45"/>
  <c r="C33" i="45"/>
  <c r="C34" i="45" s="1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D45" i="44"/>
  <c r="B39" i="44"/>
  <c r="D38" i="44"/>
  <c r="C38" i="44"/>
  <c r="D44" i="44"/>
  <c r="B38" i="44"/>
  <c r="D37" i="44"/>
  <c r="D41" i="44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D13" i="44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E41" i="44"/>
  <c r="K20" i="1"/>
  <c r="L20" i="1"/>
  <c r="M20" i="1"/>
  <c r="N20" i="1"/>
  <c r="K21" i="1"/>
  <c r="L21" i="1"/>
  <c r="M21" i="1"/>
  <c r="N21" i="1"/>
  <c r="O21" i="1" s="1"/>
  <c r="D44" i="43"/>
  <c r="D45" i="43"/>
  <c r="D46" i="43"/>
  <c r="K22" i="1"/>
  <c r="L22" i="1"/>
  <c r="M22" i="1"/>
  <c r="C33" i="43"/>
  <c r="C34" i="43"/>
  <c r="C16" i="43"/>
  <c r="K19" i="1"/>
  <c r="L19" i="1"/>
  <c r="M19" i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L11" i="1"/>
  <c r="I26" i="2"/>
  <c r="C28" i="2"/>
  <c r="V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C45" i="48"/>
  <c r="C16" i="48"/>
  <c r="C30" i="48"/>
  <c r="C33" i="48"/>
  <c r="D24" i="48"/>
  <c r="C31" i="48"/>
  <c r="E26" i="47"/>
  <c r="F26" i="47"/>
  <c r="E15" i="47"/>
  <c r="D27" i="47"/>
  <c r="D33" i="47"/>
  <c r="D24" i="47"/>
  <c r="D30" i="47"/>
  <c r="G26" i="47"/>
  <c r="H26" i="47"/>
  <c r="I26" i="47"/>
  <c r="J26" i="47"/>
  <c r="K26" i="47"/>
  <c r="L26" i="47"/>
  <c r="M26" i="47"/>
  <c r="N26" i="47"/>
  <c r="O26" i="47"/>
  <c r="P26" i="47"/>
  <c r="F13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C44" i="47"/>
  <c r="E12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26" i="46"/>
  <c r="E32" i="46"/>
  <c r="D12" i="46"/>
  <c r="E13" i="46"/>
  <c r="C45" i="46"/>
  <c r="E37" i="46"/>
  <c r="F26" i="46"/>
  <c r="G26" i="46"/>
  <c r="H26" i="46"/>
  <c r="I26" i="46"/>
  <c r="J26" i="46"/>
  <c r="K26" i="46"/>
  <c r="L26" i="46"/>
  <c r="M26" i="46"/>
  <c r="N26" i="46"/>
  <c r="O26" i="46"/>
  <c r="P26" i="46"/>
  <c r="D24" i="46"/>
  <c r="C31" i="46"/>
  <c r="C44" i="45"/>
  <c r="C45" i="45"/>
  <c r="D32" i="45"/>
  <c r="E14" i="45"/>
  <c r="D12" i="45"/>
  <c r="D30" i="45" s="1"/>
  <c r="E13" i="45"/>
  <c r="F13" i="45" s="1"/>
  <c r="D24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32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E33" i="50"/>
  <c r="F15" i="50"/>
  <c r="D30" i="50"/>
  <c r="D34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/>
  <c r="D16" i="49"/>
  <c r="E12" i="49"/>
  <c r="E24" i="48"/>
  <c r="D28" i="48"/>
  <c r="E30" i="48"/>
  <c r="D30" i="48"/>
  <c r="E33" i="47"/>
  <c r="F15" i="47"/>
  <c r="G15" i="47" s="1"/>
  <c r="F12" i="47"/>
  <c r="F31" i="47"/>
  <c r="G13" i="47"/>
  <c r="D31" i="47"/>
  <c r="E24" i="47"/>
  <c r="E30" i="47"/>
  <c r="E31" i="47"/>
  <c r="D28" i="47"/>
  <c r="E31" i="46"/>
  <c r="F13" i="46"/>
  <c r="E24" i="46"/>
  <c r="D28" i="46"/>
  <c r="D30" i="46"/>
  <c r="E12" i="46"/>
  <c r="E32" i="45"/>
  <c r="F14" i="45"/>
  <c r="E24" i="45"/>
  <c r="D28" i="45"/>
  <c r="E31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E31" i="49"/>
  <c r="E34" i="49"/>
  <c r="F33" i="49"/>
  <c r="G15" i="49"/>
  <c r="G32" i="49"/>
  <c r="H14" i="49"/>
  <c r="F25" i="49"/>
  <c r="E28" i="49"/>
  <c r="H24" i="49"/>
  <c r="G13" i="49"/>
  <c r="F31" i="49"/>
  <c r="F24" i="48"/>
  <c r="E28" i="48"/>
  <c r="G12" i="47"/>
  <c r="H13" i="47"/>
  <c r="G31" i="47"/>
  <c r="F24" i="47"/>
  <c r="E28" i="47"/>
  <c r="F33" i="47"/>
  <c r="F24" i="46"/>
  <c r="E28" i="46"/>
  <c r="F31" i="46"/>
  <c r="G13" i="46"/>
  <c r="E30" i="46"/>
  <c r="F12" i="46"/>
  <c r="F24" i="45"/>
  <c r="E28" i="45"/>
  <c r="F32" i="45"/>
  <c r="G1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F28" i="49"/>
  <c r="H32" i="49"/>
  <c r="I14" i="49"/>
  <c r="G33" i="49"/>
  <c r="H15" i="49"/>
  <c r="G31" i="49"/>
  <c r="H13" i="49"/>
  <c r="I24" i="49"/>
  <c r="F30" i="49"/>
  <c r="F34" i="49"/>
  <c r="F16" i="49"/>
  <c r="G12" i="49"/>
  <c r="F28" i="48"/>
  <c r="G24" i="48"/>
  <c r="F28" i="47"/>
  <c r="G24" i="47"/>
  <c r="I13" i="47"/>
  <c r="I31" i="47" s="1"/>
  <c r="H31" i="47"/>
  <c r="H12" i="47"/>
  <c r="H13" i="46"/>
  <c r="I13" i="46" s="1"/>
  <c r="G31" i="46"/>
  <c r="G12" i="46"/>
  <c r="F30" i="46"/>
  <c r="F28" i="46"/>
  <c r="G24" i="46"/>
  <c r="G32" i="45"/>
  <c r="H14" i="45"/>
  <c r="H32" i="45" s="1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H24" i="48"/>
  <c r="G28" i="48"/>
  <c r="J13" i="47"/>
  <c r="K13" i="47" s="1"/>
  <c r="I12" i="47"/>
  <c r="H24" i="47"/>
  <c r="G28" i="47"/>
  <c r="H12" i="46"/>
  <c r="I12" i="46" s="1"/>
  <c r="G30" i="46"/>
  <c r="H31" i="46"/>
  <c r="G28" i="46"/>
  <c r="H24" i="46"/>
  <c r="I14" i="45"/>
  <c r="I32" i="45" s="1"/>
  <c r="G28" i="45"/>
  <c r="H24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H28" i="48"/>
  <c r="I24" i="48"/>
  <c r="J12" i="47"/>
  <c r="K12" i="47" s="1"/>
  <c r="H28" i="47"/>
  <c r="I24" i="47"/>
  <c r="H30" i="47"/>
  <c r="J31" i="47"/>
  <c r="H30" i="46"/>
  <c r="H28" i="46"/>
  <c r="I24" i="46"/>
  <c r="J14" i="45"/>
  <c r="K14" i="45" s="1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24" i="47"/>
  <c r="I28" i="47"/>
  <c r="I28" i="46"/>
  <c r="J24" i="46"/>
  <c r="I28" i="45"/>
  <c r="J2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J28" i="48"/>
  <c r="K24" i="48"/>
  <c r="J28" i="47"/>
  <c r="K24" i="47"/>
  <c r="J28" i="46"/>
  <c r="K24" i="46"/>
  <c r="J28" i="45"/>
  <c r="K24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K28" i="48"/>
  <c r="L24" i="48"/>
  <c r="K28" i="47"/>
  <c r="L24" i="47"/>
  <c r="K28" i="46"/>
  <c r="L24" i="46"/>
  <c r="K28" i="45"/>
  <c r="L2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24" i="48"/>
  <c r="L28" i="48"/>
  <c r="M24" i="47"/>
  <c r="L28" i="47"/>
  <c r="M24" i="46"/>
  <c r="L28" i="46"/>
  <c r="M24" i="45"/>
  <c r="L28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L23" i="1"/>
  <c r="K81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24" i="48"/>
  <c r="M28" i="48"/>
  <c r="N24" i="47"/>
  <c r="M28" i="47"/>
  <c r="N24" i="46"/>
  <c r="M28" i="46"/>
  <c r="N24" i="45"/>
  <c r="M28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M23" i="1"/>
  <c r="L81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N28" i="49"/>
  <c r="P13" i="49"/>
  <c r="O31" i="49"/>
  <c r="O33" i="49"/>
  <c r="P15" i="49"/>
  <c r="P33" i="49"/>
  <c r="N16" i="49"/>
  <c r="N30" i="49"/>
  <c r="O12" i="49"/>
  <c r="N31" i="49"/>
  <c r="N28" i="48"/>
  <c r="O24" i="48"/>
  <c r="N28" i="47"/>
  <c r="O24" i="47"/>
  <c r="N28" i="46"/>
  <c r="O24" i="46"/>
  <c r="N28" i="45"/>
  <c r="O24" i="45"/>
  <c r="O25" i="44"/>
  <c r="N28" i="44"/>
  <c r="O33" i="44"/>
  <c r="P15" i="44"/>
  <c r="P33" i="44"/>
  <c r="M34" i="44"/>
  <c r="N31" i="44"/>
  <c r="P13" i="44"/>
  <c r="O31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M81" i="1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O28" i="48"/>
  <c r="P24" i="48"/>
  <c r="P28" i="48"/>
  <c r="O28" i="47"/>
  <c r="P24" i="47"/>
  <c r="P28" i="47"/>
  <c r="O28" i="46"/>
  <c r="P24" i="46"/>
  <c r="P28" i="46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P16" i="15"/>
  <c r="O16" i="15"/>
  <c r="O15" i="2"/>
  <c r="O33" i="2"/>
  <c r="O13" i="2"/>
  <c r="O31" i="2"/>
  <c r="O12" i="2"/>
  <c r="O30" i="2"/>
  <c r="N16" i="2"/>
  <c r="O14" i="2"/>
  <c r="O32" i="2"/>
  <c r="M29" i="1"/>
  <c r="M25" i="1"/>
  <c r="N34" i="2"/>
  <c r="O28" i="2"/>
  <c r="O34" i="2"/>
  <c r="P13" i="2"/>
  <c r="P31" i="2"/>
  <c r="P14" i="2"/>
  <c r="P32" i="2"/>
  <c r="P12" i="2"/>
  <c r="P30" i="2"/>
  <c r="O16" i="2"/>
  <c r="P15" i="2"/>
  <c r="P33" i="2"/>
  <c r="Q14" i="2"/>
  <c r="Q32" i="2"/>
  <c r="Q12" i="2"/>
  <c r="Q30" i="2"/>
  <c r="P16" i="2"/>
  <c r="Q13" i="2"/>
  <c r="Q31" i="2"/>
  <c r="P28" i="2"/>
  <c r="Q15" i="2"/>
  <c r="Q33" i="2"/>
  <c r="R15" i="2"/>
  <c r="R33" i="2"/>
  <c r="Q28" i="2"/>
  <c r="R12" i="2"/>
  <c r="R30" i="2"/>
  <c r="Q16" i="2"/>
  <c r="R28" i="2"/>
  <c r="R13" i="2"/>
  <c r="R31" i="2"/>
  <c r="P34" i="2"/>
  <c r="R14" i="2"/>
  <c r="R32" i="2"/>
  <c r="S12" i="2"/>
  <c r="S30" i="2"/>
  <c r="R16" i="2"/>
  <c r="Q34" i="2"/>
  <c r="S14" i="2"/>
  <c r="S32" i="2"/>
  <c r="S13" i="2"/>
  <c r="S31" i="2"/>
  <c r="R34" i="2"/>
  <c r="S15" i="2"/>
  <c r="S33" i="2"/>
  <c r="T14" i="2"/>
  <c r="T32" i="2"/>
  <c r="T15" i="2"/>
  <c r="T33" i="2"/>
  <c r="T12" i="2"/>
  <c r="T30" i="2"/>
  <c r="S16" i="2"/>
  <c r="S34" i="2"/>
  <c r="T13" i="2"/>
  <c r="T31" i="2"/>
  <c r="S28" i="2"/>
  <c r="U13" i="2"/>
  <c r="U31" i="2"/>
  <c r="T34" i="2"/>
  <c r="U15" i="2"/>
  <c r="U33" i="2"/>
  <c r="T28" i="2"/>
  <c r="U12" i="2"/>
  <c r="U30" i="2"/>
  <c r="T16" i="2"/>
  <c r="U14" i="2"/>
  <c r="U32" i="2"/>
  <c r="V15" i="2"/>
  <c r="V33" i="2"/>
  <c r="V12" i="2"/>
  <c r="V30" i="2"/>
  <c r="U16" i="2"/>
  <c r="V13" i="2"/>
  <c r="V31" i="2"/>
  <c r="V14" i="2"/>
  <c r="V32" i="2"/>
  <c r="U28" i="2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W16" i="2"/>
  <c r="W34" i="2"/>
  <c r="B2" i="49"/>
  <c r="B2" i="42"/>
  <c r="B2" i="15"/>
  <c r="B2" i="46"/>
  <c r="B2" i="48"/>
  <c r="B2" i="43"/>
  <c r="B2" i="50"/>
  <c r="B2" i="44"/>
  <c r="B2" i="47"/>
  <c r="B2" i="2"/>
  <c r="B2" i="45"/>
  <c r="D45" i="48" l="1"/>
  <c r="E15" i="48"/>
  <c r="D33" i="48"/>
  <c r="D32" i="48"/>
  <c r="E14" i="48"/>
  <c r="C32" i="48"/>
  <c r="E38" i="48"/>
  <c r="C34" i="48"/>
  <c r="E13" i="48"/>
  <c r="D16" i="48"/>
  <c r="T11" i="1"/>
  <c r="D34" i="48"/>
  <c r="C44" i="48"/>
  <c r="C41" i="48"/>
  <c r="U11" i="1"/>
  <c r="C43" i="48"/>
  <c r="F12" i="48"/>
  <c r="D43" i="48"/>
  <c r="F30" i="48"/>
  <c r="E37" i="48"/>
  <c r="E39" i="48"/>
  <c r="D41" i="48"/>
  <c r="E40" i="48"/>
  <c r="D46" i="48"/>
  <c r="G33" i="47"/>
  <c r="H15" i="47"/>
  <c r="R11" i="1"/>
  <c r="C47" i="47"/>
  <c r="D45" i="47"/>
  <c r="D47" i="47" s="1"/>
  <c r="D41" i="47"/>
  <c r="E16" i="47"/>
  <c r="F14" i="47"/>
  <c r="E32" i="47"/>
  <c r="E34" i="47" s="1"/>
  <c r="F16" i="47"/>
  <c r="D16" i="47"/>
  <c r="D32" i="47"/>
  <c r="D34" i="47" s="1"/>
  <c r="K31" i="47"/>
  <c r="L13" i="47"/>
  <c r="E38" i="47"/>
  <c r="E41" i="47"/>
  <c r="J30" i="47"/>
  <c r="K30" i="47"/>
  <c r="L12" i="47"/>
  <c r="I30" i="47"/>
  <c r="G30" i="47"/>
  <c r="F30" i="47"/>
  <c r="D33" i="46"/>
  <c r="D34" i="46" s="1"/>
  <c r="E15" i="46"/>
  <c r="D16" i="46"/>
  <c r="Q11" i="1"/>
  <c r="J12" i="46"/>
  <c r="J30" i="46" s="1"/>
  <c r="I30" i="46"/>
  <c r="D43" i="46"/>
  <c r="E40" i="46"/>
  <c r="D44" i="46"/>
  <c r="D41" i="46"/>
  <c r="D46" i="46"/>
  <c r="D47" i="46" s="1"/>
  <c r="C46" i="46"/>
  <c r="K12" i="46"/>
  <c r="P11" i="1"/>
  <c r="I31" i="46"/>
  <c r="J13" i="46"/>
  <c r="E38" i="46"/>
  <c r="C44" i="46"/>
  <c r="C47" i="46" s="1"/>
  <c r="F32" i="46"/>
  <c r="G14" i="46"/>
  <c r="E16" i="46"/>
  <c r="C41" i="46"/>
  <c r="E41" i="46" s="1"/>
  <c r="C90" i="46" s="1"/>
  <c r="C91" i="46" s="1"/>
  <c r="D91" i="46" s="1"/>
  <c r="E91" i="46" s="1"/>
  <c r="F91" i="46" s="1"/>
  <c r="G91" i="46" s="1"/>
  <c r="H91" i="46" s="1"/>
  <c r="I91" i="46" s="1"/>
  <c r="J91" i="46" s="1"/>
  <c r="K91" i="46" s="1"/>
  <c r="L91" i="46" s="1"/>
  <c r="M91" i="46" s="1"/>
  <c r="N91" i="46" s="1"/>
  <c r="O91" i="46" s="1"/>
  <c r="P91" i="46" s="1"/>
  <c r="Q91" i="46" s="1"/>
  <c r="O11" i="1"/>
  <c r="O23" i="1" s="1"/>
  <c r="D46" i="45"/>
  <c r="N22" i="1"/>
  <c r="O22" i="1" s="1"/>
  <c r="O28" i="1" s="1"/>
  <c r="C46" i="45"/>
  <c r="C47" i="45" s="1"/>
  <c r="D33" i="45"/>
  <c r="E15" i="45"/>
  <c r="P22" i="1"/>
  <c r="E40" i="45"/>
  <c r="D16" i="45"/>
  <c r="E38" i="45"/>
  <c r="O20" i="1"/>
  <c r="P20" i="1" s="1"/>
  <c r="K32" i="45"/>
  <c r="L14" i="45"/>
  <c r="O27" i="1"/>
  <c r="P21" i="1"/>
  <c r="E39" i="45"/>
  <c r="G13" i="45"/>
  <c r="H13" i="45" s="1"/>
  <c r="F31" i="45"/>
  <c r="D34" i="45"/>
  <c r="G31" i="45"/>
  <c r="O26" i="1"/>
  <c r="N26" i="1"/>
  <c r="O19" i="1"/>
  <c r="P19" i="1" s="1"/>
  <c r="N25" i="1"/>
  <c r="D43" i="45"/>
  <c r="E37" i="45"/>
  <c r="O25" i="1"/>
  <c r="N29" i="1"/>
  <c r="E12" i="45"/>
  <c r="C41" i="45"/>
  <c r="E41" i="45" s="1"/>
  <c r="E41" i="48" l="1"/>
  <c r="D47" i="48"/>
  <c r="F15" i="48"/>
  <c r="E33" i="48"/>
  <c r="E32" i="48"/>
  <c r="F14" i="48"/>
  <c r="C47" i="48"/>
  <c r="F13" i="48"/>
  <c r="E31" i="48"/>
  <c r="E16" i="48"/>
  <c r="G12" i="48"/>
  <c r="F16" i="48"/>
  <c r="H33" i="47"/>
  <c r="I15" i="47"/>
  <c r="F32" i="47"/>
  <c r="G14" i="47"/>
  <c r="F34" i="47"/>
  <c r="M13" i="47"/>
  <c r="L31" i="47"/>
  <c r="L30" i="47"/>
  <c r="M12" i="47"/>
  <c r="F15" i="46"/>
  <c r="E33" i="46"/>
  <c r="E34" i="46" s="1"/>
  <c r="K30" i="46"/>
  <c r="L12" i="46"/>
  <c r="J31" i="46"/>
  <c r="K13" i="46"/>
  <c r="G32" i="46"/>
  <c r="H14" i="46"/>
  <c r="N28" i="1"/>
  <c r="D47" i="45"/>
  <c r="Q22" i="1"/>
  <c r="P28" i="1"/>
  <c r="F15" i="45"/>
  <c r="E33" i="45"/>
  <c r="L32" i="45"/>
  <c r="M14" i="45"/>
  <c r="Q21" i="1"/>
  <c r="P27" i="1"/>
  <c r="H31" i="45"/>
  <c r="I13" i="45"/>
  <c r="Q20" i="1"/>
  <c r="P26" i="1"/>
  <c r="Q19" i="1"/>
  <c r="P25" i="1"/>
  <c r="E16" i="45"/>
  <c r="E30" i="45"/>
  <c r="E34" i="45" s="1"/>
  <c r="F12" i="45"/>
  <c r="P23" i="1"/>
  <c r="O81" i="1"/>
  <c r="O29" i="1"/>
  <c r="E34" i="48" l="1"/>
  <c r="F33" i="48"/>
  <c r="G15" i="48"/>
  <c r="G14" i="48"/>
  <c r="F32" i="48"/>
  <c r="F31" i="48"/>
  <c r="G13" i="48"/>
  <c r="H12" i="48"/>
  <c r="G30" i="48"/>
  <c r="J15" i="47"/>
  <c r="I33" i="47"/>
  <c r="H14" i="47"/>
  <c r="G32" i="47"/>
  <c r="G34" i="47" s="1"/>
  <c r="G16" i="47"/>
  <c r="N13" i="47"/>
  <c r="M31" i="47"/>
  <c r="N12" i="47"/>
  <c r="M30" i="47"/>
  <c r="F33" i="46"/>
  <c r="F34" i="46" s="1"/>
  <c r="F16" i="46"/>
  <c r="G15" i="46"/>
  <c r="L30" i="46"/>
  <c r="M12" i="46"/>
  <c r="L13" i="46"/>
  <c r="K31" i="46"/>
  <c r="H32" i="46"/>
  <c r="I14" i="46"/>
  <c r="G15" i="45"/>
  <c r="F33" i="45"/>
  <c r="R22" i="1"/>
  <c r="Q28" i="1"/>
  <c r="N14" i="45"/>
  <c r="M32" i="45"/>
  <c r="Q27" i="1"/>
  <c r="R21" i="1"/>
  <c r="I31" i="45"/>
  <c r="J13" i="45"/>
  <c r="R20" i="1"/>
  <c r="Q26" i="1"/>
  <c r="F16" i="45"/>
  <c r="F30" i="45"/>
  <c r="F34" i="45" s="1"/>
  <c r="G12" i="45"/>
  <c r="R19" i="1"/>
  <c r="Q25" i="1"/>
  <c r="Q23" i="1"/>
  <c r="P29" i="1"/>
  <c r="P81" i="1"/>
  <c r="P84" i="1" s="1"/>
  <c r="G33" i="48" l="1"/>
  <c r="G34" i="48" s="1"/>
  <c r="H15" i="48"/>
  <c r="F34" i="48"/>
  <c r="G32" i="48"/>
  <c r="H14" i="48"/>
  <c r="H16" i="48" s="1"/>
  <c r="G31" i="48"/>
  <c r="H13" i="48"/>
  <c r="G16" i="48"/>
  <c r="I12" i="48"/>
  <c r="H30" i="48"/>
  <c r="K15" i="47"/>
  <c r="J33" i="47"/>
  <c r="H32" i="47"/>
  <c r="H34" i="47" s="1"/>
  <c r="I14" i="47"/>
  <c r="H16" i="47"/>
  <c r="O13" i="47"/>
  <c r="N31" i="47"/>
  <c r="O12" i="47"/>
  <c r="N30" i="47"/>
  <c r="G33" i="46"/>
  <c r="G34" i="46" s="1"/>
  <c r="H15" i="46"/>
  <c r="G16" i="46"/>
  <c r="N12" i="46"/>
  <c r="M30" i="46"/>
  <c r="M13" i="46"/>
  <c r="L31" i="46"/>
  <c r="J14" i="46"/>
  <c r="I32" i="46"/>
  <c r="S22" i="1"/>
  <c r="R28" i="1"/>
  <c r="G33" i="45"/>
  <c r="H15" i="45"/>
  <c r="N32" i="45"/>
  <c r="O14" i="45"/>
  <c r="S21" i="1"/>
  <c r="R27" i="1"/>
  <c r="S20" i="1"/>
  <c r="R26" i="1"/>
  <c r="K13" i="45"/>
  <c r="J31" i="45"/>
  <c r="R23" i="1"/>
  <c r="Q29" i="1"/>
  <c r="Q81" i="1"/>
  <c r="Q84" i="1" s="1"/>
  <c r="S19" i="1"/>
  <c r="R25" i="1"/>
  <c r="H12" i="45"/>
  <c r="G16" i="45"/>
  <c r="G30" i="45"/>
  <c r="I15" i="48" l="1"/>
  <c r="H33" i="48"/>
  <c r="H32" i="48"/>
  <c r="I14" i="48"/>
  <c r="H31" i="48"/>
  <c r="I13" i="48"/>
  <c r="H34" i="48"/>
  <c r="J12" i="48"/>
  <c r="I30" i="48"/>
  <c r="K33" i="47"/>
  <c r="L15" i="47"/>
  <c r="I32" i="47"/>
  <c r="I34" i="47" s="1"/>
  <c r="J14" i="47"/>
  <c r="I16" i="47"/>
  <c r="O31" i="47"/>
  <c r="P13" i="47"/>
  <c r="P31" i="47" s="1"/>
  <c r="O30" i="47"/>
  <c r="P12" i="47"/>
  <c r="I15" i="46"/>
  <c r="H16" i="46"/>
  <c r="H33" i="46"/>
  <c r="H34" i="46" s="1"/>
  <c r="N30" i="46"/>
  <c r="O12" i="46"/>
  <c r="N13" i="46"/>
  <c r="M31" i="46"/>
  <c r="K14" i="46"/>
  <c r="J32" i="46"/>
  <c r="T22" i="1"/>
  <c r="S28" i="1"/>
  <c r="G34" i="45"/>
  <c r="I15" i="45"/>
  <c r="H33" i="45"/>
  <c r="O32" i="45"/>
  <c r="P14" i="45"/>
  <c r="P32" i="45" s="1"/>
  <c r="T21" i="1"/>
  <c r="S27" i="1"/>
  <c r="K31" i="45"/>
  <c r="L13" i="45"/>
  <c r="T20" i="1"/>
  <c r="S26" i="1"/>
  <c r="R81" i="1"/>
  <c r="R84" i="1" s="1"/>
  <c r="R29" i="1"/>
  <c r="S23" i="1"/>
  <c r="H30" i="45"/>
  <c r="H34" i="45" s="1"/>
  <c r="H16" i="45"/>
  <c r="I12" i="45"/>
  <c r="T19" i="1"/>
  <c r="S25" i="1"/>
  <c r="J15" i="48" l="1"/>
  <c r="I33" i="48"/>
  <c r="I16" i="48"/>
  <c r="I32" i="48"/>
  <c r="J14" i="48"/>
  <c r="I31" i="48"/>
  <c r="I34" i="48" s="1"/>
  <c r="J13" i="48"/>
  <c r="J16" i="48" s="1"/>
  <c r="J30" i="48"/>
  <c r="K12" i="48"/>
  <c r="M15" i="47"/>
  <c r="L33" i="47"/>
  <c r="K14" i="47"/>
  <c r="J32" i="47"/>
  <c r="J34" i="47" s="1"/>
  <c r="J16" i="47"/>
  <c r="P30" i="47"/>
  <c r="J15" i="46"/>
  <c r="I33" i="46"/>
  <c r="I34" i="46" s="1"/>
  <c r="I16" i="46"/>
  <c r="O30" i="46"/>
  <c r="P12" i="46"/>
  <c r="P30" i="46" s="1"/>
  <c r="N31" i="46"/>
  <c r="O13" i="46"/>
  <c r="L14" i="46"/>
  <c r="K32" i="46"/>
  <c r="U22" i="1"/>
  <c r="T28" i="1"/>
  <c r="I33" i="45"/>
  <c r="J15" i="45"/>
  <c r="U21" i="1"/>
  <c r="T27" i="1"/>
  <c r="U20" i="1"/>
  <c r="T26" i="1"/>
  <c r="M13" i="45"/>
  <c r="L31" i="45"/>
  <c r="J12" i="45"/>
  <c r="I30" i="45"/>
  <c r="I16" i="45"/>
  <c r="U19" i="1"/>
  <c r="T25" i="1"/>
  <c r="S81" i="1"/>
  <c r="S84" i="1" s="1"/>
  <c r="S29" i="1"/>
  <c r="T23" i="1"/>
  <c r="J33" i="48" l="1"/>
  <c r="K15" i="48"/>
  <c r="K14" i="48"/>
  <c r="J32" i="48"/>
  <c r="J31" i="48"/>
  <c r="K13" i="48"/>
  <c r="L12" i="48"/>
  <c r="K30" i="48"/>
  <c r="M33" i="47"/>
  <c r="N15" i="47"/>
  <c r="L14" i="47"/>
  <c r="K32" i="47"/>
  <c r="K34" i="47" s="1"/>
  <c r="K16" i="47"/>
  <c r="K15" i="46"/>
  <c r="J33" i="46"/>
  <c r="J34" i="46" s="1"/>
  <c r="J16" i="46"/>
  <c r="P13" i="46"/>
  <c r="P31" i="46" s="1"/>
  <c r="O31" i="46"/>
  <c r="L32" i="46"/>
  <c r="M14" i="46"/>
  <c r="U28" i="1"/>
  <c r="V22" i="1"/>
  <c r="I34" i="45"/>
  <c r="K15" i="45"/>
  <c r="J33" i="45"/>
  <c r="V21" i="1"/>
  <c r="U27" i="1"/>
  <c r="M31" i="45"/>
  <c r="N13" i="45"/>
  <c r="V20" i="1"/>
  <c r="U26" i="1"/>
  <c r="J30" i="45"/>
  <c r="J16" i="45"/>
  <c r="K12" i="45"/>
  <c r="T81" i="1"/>
  <c r="T84" i="1" s="1"/>
  <c r="T29" i="1"/>
  <c r="U23" i="1"/>
  <c r="V19" i="1"/>
  <c r="U25" i="1"/>
  <c r="K16" i="48" l="1"/>
  <c r="L15" i="48"/>
  <c r="K33" i="48"/>
  <c r="J34" i="48"/>
  <c r="K32" i="48"/>
  <c r="L14" i="48"/>
  <c r="K31" i="48"/>
  <c r="K34" i="48" s="1"/>
  <c r="L13" i="48"/>
  <c r="L30" i="48"/>
  <c r="L16" i="48"/>
  <c r="M12" i="48"/>
  <c r="N33" i="47"/>
  <c r="O15" i="47"/>
  <c r="M14" i="47"/>
  <c r="L32" i="47"/>
  <c r="L34" i="47" s="1"/>
  <c r="L16" i="47"/>
  <c r="L15" i="46"/>
  <c r="K16" i="46"/>
  <c r="K33" i="46"/>
  <c r="K34" i="46" s="1"/>
  <c r="M32" i="46"/>
  <c r="N14" i="46"/>
  <c r="J34" i="45"/>
  <c r="L15" i="45"/>
  <c r="K33" i="45"/>
  <c r="W22" i="1"/>
  <c r="V28" i="1"/>
  <c r="W21" i="1"/>
  <c r="V27" i="1"/>
  <c r="W20" i="1"/>
  <c r="V26" i="1"/>
  <c r="O13" i="45"/>
  <c r="N31" i="45"/>
  <c r="U81" i="1"/>
  <c r="U84" i="1" s="1"/>
  <c r="U29" i="1"/>
  <c r="V23" i="1"/>
  <c r="W19" i="1"/>
  <c r="V25" i="1"/>
  <c r="K30" i="45"/>
  <c r="K34" i="45" s="1"/>
  <c r="L12" i="45"/>
  <c r="K16" i="45"/>
  <c r="L33" i="48" l="1"/>
  <c r="M15" i="48"/>
  <c r="L32" i="48"/>
  <c r="M14" i="48"/>
  <c r="M13" i="48"/>
  <c r="L31" i="48"/>
  <c r="N12" i="48"/>
  <c r="M30" i="48"/>
  <c r="P15" i="47"/>
  <c r="P33" i="47" s="1"/>
  <c r="O33" i="47"/>
  <c r="M32" i="47"/>
  <c r="M34" i="47" s="1"/>
  <c r="N14" i="47"/>
  <c r="M16" i="47"/>
  <c r="L33" i="46"/>
  <c r="L34" i="46" s="1"/>
  <c r="M15" i="46"/>
  <c r="L16" i="46"/>
  <c r="N32" i="46"/>
  <c r="O14" i="46"/>
  <c r="X22" i="1"/>
  <c r="W28" i="1"/>
  <c r="M15" i="45"/>
  <c r="L33" i="45"/>
  <c r="W27" i="1"/>
  <c r="X21" i="1"/>
  <c r="P13" i="45"/>
  <c r="P31" i="45" s="1"/>
  <c r="O31" i="45"/>
  <c r="X20" i="1"/>
  <c r="W26" i="1"/>
  <c r="L30" i="45"/>
  <c r="L16" i="45"/>
  <c r="M12" i="45"/>
  <c r="W23" i="1"/>
  <c r="V29" i="1"/>
  <c r="V81" i="1"/>
  <c r="V84" i="1" s="1"/>
  <c r="W25" i="1"/>
  <c r="X19" i="1"/>
  <c r="L34" i="48" l="1"/>
  <c r="N15" i="48"/>
  <c r="M33" i="48"/>
  <c r="N14" i="48"/>
  <c r="M32" i="48"/>
  <c r="M31" i="48"/>
  <c r="N13" i="48"/>
  <c r="M16" i="48"/>
  <c r="N30" i="48"/>
  <c r="O12" i="48"/>
  <c r="N32" i="47"/>
  <c r="N34" i="47" s="1"/>
  <c r="O14" i="47"/>
  <c r="N16" i="47"/>
  <c r="N15" i="46"/>
  <c r="M16" i="46"/>
  <c r="M33" i="46"/>
  <c r="M34" i="46" s="1"/>
  <c r="P14" i="46"/>
  <c r="O32" i="46"/>
  <c r="L34" i="45"/>
  <c r="N15" i="45"/>
  <c r="M33" i="45"/>
  <c r="Y22" i="1"/>
  <c r="Y28" i="1" s="1"/>
  <c r="X28" i="1"/>
  <c r="Y21" i="1"/>
  <c r="Y27" i="1" s="1"/>
  <c r="X27" i="1"/>
  <c r="Y20" i="1"/>
  <c r="Y26" i="1" s="1"/>
  <c r="X26" i="1"/>
  <c r="Y19" i="1"/>
  <c r="Y25" i="1" s="1"/>
  <c r="X25" i="1"/>
  <c r="W81" i="1"/>
  <c r="W84" i="1" s="1"/>
  <c r="X23" i="1"/>
  <c r="W29" i="1"/>
  <c r="M30" i="45"/>
  <c r="M34" i="45" s="1"/>
  <c r="N12" i="45"/>
  <c r="M16" i="45"/>
  <c r="N33" i="48" l="1"/>
  <c r="O15" i="48"/>
  <c r="N16" i="48"/>
  <c r="M34" i="48"/>
  <c r="O14" i="48"/>
  <c r="N32" i="48"/>
  <c r="N31" i="48"/>
  <c r="O13" i="48"/>
  <c r="P12" i="48"/>
  <c r="O30" i="48"/>
  <c r="P14" i="47"/>
  <c r="O32" i="47"/>
  <c r="O34" i="47" s="1"/>
  <c r="O16" i="47"/>
  <c r="N33" i="46"/>
  <c r="N34" i="46" s="1"/>
  <c r="N16" i="46"/>
  <c r="O15" i="46"/>
  <c r="P32" i="46"/>
  <c r="N33" i="45"/>
  <c r="O15" i="45"/>
  <c r="O12" i="45"/>
  <c r="N30" i="45"/>
  <c r="N16" i="45"/>
  <c r="Y23" i="1"/>
  <c r="X81" i="1"/>
  <c r="X84" i="1" s="1"/>
  <c r="D79" i="1"/>
  <c r="X29" i="1"/>
  <c r="N34" i="48" l="1"/>
  <c r="P15" i="48"/>
  <c r="P33" i="48" s="1"/>
  <c r="O33" i="48"/>
  <c r="P14" i="48"/>
  <c r="P32" i="48" s="1"/>
  <c r="O32" i="48"/>
  <c r="O16" i="48"/>
  <c r="O31" i="48"/>
  <c r="O34" i="48" s="1"/>
  <c r="P13" i="48"/>
  <c r="P31" i="48" s="1"/>
  <c r="P30" i="48"/>
  <c r="P32" i="47"/>
  <c r="P34" i="47" s="1"/>
  <c r="P16" i="47"/>
  <c r="P15" i="46"/>
  <c r="O16" i="46"/>
  <c r="O33" i="46"/>
  <c r="O34" i="46" s="1"/>
  <c r="N34" i="45"/>
  <c r="O33" i="45"/>
  <c r="P15" i="45"/>
  <c r="P33" i="45" s="1"/>
  <c r="Y29" i="1"/>
  <c r="Y81" i="1"/>
  <c r="Y84" i="1" s="1"/>
  <c r="P12" i="45"/>
  <c r="O16" i="45"/>
  <c r="O30" i="45"/>
  <c r="O34" i="45" s="1"/>
  <c r="P34" i="48" l="1"/>
  <c r="P16" i="48"/>
  <c r="P33" i="46"/>
  <c r="P34" i="46" s="1"/>
  <c r="P16" i="46"/>
  <c r="P30" i="45"/>
  <c r="P34" i="45" s="1"/>
  <c r="P16" i="45"/>
</calcChain>
</file>

<file path=xl/sharedStrings.xml><?xml version="1.0" encoding="utf-8"?>
<sst xmlns="http://schemas.openxmlformats.org/spreadsheetml/2006/main" count="352" uniqueCount="73">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</sst>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19</c:v>
                </c:pt>
                <c:pt idx="10">
                  <c:v>16</c:v>
                </c:pt>
                <c:pt idx="11">
                  <c:v>26</c:v>
                </c:pt>
                <c:pt idx="12">
                  <c:v>37</c:v>
                </c:pt>
                <c:pt idx="13">
                  <c:v>31</c:v>
                </c:pt>
                <c:pt idx="14">
                  <c:v>40</c:v>
                </c:pt>
                <c:pt idx="15">
                  <c:v>35</c:v>
                </c:pt>
                <c:pt idx="16">
                  <c:v>30</c:v>
                </c:pt>
                <c:pt idx="17">
                  <c:v>27</c:v>
                </c:pt>
                <c:pt idx="18">
                  <c:v>50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88880"/>
        <c:axId val="2107883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25.324999999999999</c:v>
                </c:pt>
                <c:pt idx="10">
                  <c:v>24.477272727272727</c:v>
                </c:pt>
                <c:pt idx="11">
                  <c:v>24.604166666666668</c:v>
                </c:pt>
                <c:pt idx="12">
                  <c:v>25.557692307692307</c:v>
                </c:pt>
                <c:pt idx="13">
                  <c:v>25.946428571428573</c:v>
                </c:pt>
                <c:pt idx="14">
                  <c:v>26.883333333333333</c:v>
                </c:pt>
                <c:pt idx="15">
                  <c:v>27.390625</c:v>
                </c:pt>
                <c:pt idx="16">
                  <c:v>27.544117647058822</c:v>
                </c:pt>
                <c:pt idx="17">
                  <c:v>27.513888888888889</c:v>
                </c:pt>
                <c:pt idx="18">
                  <c:v>28.69736842105263</c:v>
                </c:pt>
                <c:pt idx="19">
                  <c:v>27.262499999999999</c:v>
                </c:pt>
                <c:pt idx="20">
                  <c:v>25.964285714285715</c:v>
                </c:pt>
                <c:pt idx="21">
                  <c:v>24.78409090909091</c:v>
                </c:pt>
                <c:pt idx="22">
                  <c:v>23.706521739130434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88880"/>
        <c:axId val="210788320"/>
      </c:lineChart>
      <c:catAx>
        <c:axId val="210788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88320"/>
        <c:crosses val="autoZero"/>
        <c:auto val="0"/>
        <c:lblAlgn val="ctr"/>
        <c:lblOffset val="100"/>
        <c:noMultiLvlLbl val="0"/>
      </c:catAx>
      <c:valAx>
        <c:axId val="2107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8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4</c:v>
                </c:pt>
                <c:pt idx="11">
                  <c:v>6</c:v>
                </c:pt>
                <c:pt idx="12">
                  <c:v>11</c:v>
                </c:pt>
                <c:pt idx="13">
                  <c:v>9</c:v>
                </c:pt>
                <c:pt idx="14">
                  <c:v>9</c:v>
                </c:pt>
                <c:pt idx="15">
                  <c:v>10</c:v>
                </c:pt>
                <c:pt idx="16">
                  <c:v>6</c:v>
                </c:pt>
                <c:pt idx="17">
                  <c:v>7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773200"/>
        <c:axId val="2107771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6.9090909090909092</c:v>
                </c:pt>
                <c:pt idx="11">
                  <c:v>6.833333333333333</c:v>
                </c:pt>
                <c:pt idx="12">
                  <c:v>7.1538461538461542</c:v>
                </c:pt>
                <c:pt idx="13">
                  <c:v>7.2857142857142856</c:v>
                </c:pt>
                <c:pt idx="14">
                  <c:v>7.4</c:v>
                </c:pt>
                <c:pt idx="15">
                  <c:v>7.5625</c:v>
                </c:pt>
                <c:pt idx="16">
                  <c:v>7.4705882352941178</c:v>
                </c:pt>
                <c:pt idx="17">
                  <c:v>7.4444444444444446</c:v>
                </c:pt>
                <c:pt idx="18">
                  <c:v>7.7368421052631575</c:v>
                </c:pt>
                <c:pt idx="19">
                  <c:v>7.35</c:v>
                </c:pt>
                <c:pt idx="20">
                  <c:v>7</c:v>
                </c:pt>
                <c:pt idx="21">
                  <c:v>6.6818181818181817</c:v>
                </c:pt>
                <c:pt idx="22">
                  <c:v>6.3913043478260869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73200"/>
        <c:axId val="210777120"/>
      </c:lineChart>
      <c:catAx>
        <c:axId val="21077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77120"/>
        <c:crosses val="autoZero"/>
        <c:auto val="0"/>
        <c:lblAlgn val="ctr"/>
        <c:lblOffset val="100"/>
        <c:noMultiLvlLbl val="0"/>
      </c:catAx>
      <c:valAx>
        <c:axId val="2107771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732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10</c:v>
                </c:pt>
                <c:pt idx="15">
                  <c:v>10</c:v>
                </c:pt>
                <c:pt idx="16">
                  <c:v>7</c:v>
                </c:pt>
                <c:pt idx="17">
                  <c:v>8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63744"/>
        <c:axId val="20877942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5.75</c:v>
                </c:pt>
                <c:pt idx="10">
                  <c:v>5.2272727272727275</c:v>
                </c:pt>
                <c:pt idx="11">
                  <c:v>5.291666666666667</c:v>
                </c:pt>
                <c:pt idx="12">
                  <c:v>5.6538461538461542</c:v>
                </c:pt>
                <c:pt idx="13">
                  <c:v>5.75</c:v>
                </c:pt>
                <c:pt idx="14">
                  <c:v>6.0333333333333332</c:v>
                </c:pt>
                <c:pt idx="15">
                  <c:v>6.28125</c:v>
                </c:pt>
                <c:pt idx="16">
                  <c:v>6.3235294117647056</c:v>
                </c:pt>
                <c:pt idx="17">
                  <c:v>6.416666666666667</c:v>
                </c:pt>
                <c:pt idx="18">
                  <c:v>6.7105263157894735</c:v>
                </c:pt>
                <c:pt idx="19">
                  <c:v>6.375</c:v>
                </c:pt>
                <c:pt idx="20">
                  <c:v>6.0714285714285712</c:v>
                </c:pt>
                <c:pt idx="21">
                  <c:v>5.7954545454545459</c:v>
                </c:pt>
                <c:pt idx="22">
                  <c:v>5.5434782608695654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63744"/>
        <c:axId val="208779424"/>
      </c:lineChart>
      <c:catAx>
        <c:axId val="208763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79424"/>
        <c:crosses val="autoZero"/>
        <c:auto val="0"/>
        <c:lblAlgn val="ctr"/>
        <c:lblOffset val="100"/>
        <c:noMultiLvlLbl val="0"/>
      </c:catAx>
      <c:valAx>
        <c:axId val="208779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637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12</c:v>
                </c:pt>
                <c:pt idx="15">
                  <c:v>7</c:v>
                </c:pt>
                <c:pt idx="16">
                  <c:v>9</c:v>
                </c:pt>
                <c:pt idx="17">
                  <c:v>5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86144"/>
        <c:axId val="20878670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6.5</c:v>
                </c:pt>
                <c:pt idx="10">
                  <c:v>5.9090909090909092</c:v>
                </c:pt>
                <c:pt idx="11">
                  <c:v>6.083333333333333</c:v>
                </c:pt>
                <c:pt idx="12">
                  <c:v>6.2307692307692308</c:v>
                </c:pt>
                <c:pt idx="13">
                  <c:v>6.2857142857142856</c:v>
                </c:pt>
                <c:pt idx="14">
                  <c:v>6.666666666666667</c:v>
                </c:pt>
                <c:pt idx="15">
                  <c:v>6.6875</c:v>
                </c:pt>
                <c:pt idx="16">
                  <c:v>6.8235294117647056</c:v>
                </c:pt>
                <c:pt idx="17">
                  <c:v>6.7222222222222223</c:v>
                </c:pt>
                <c:pt idx="18">
                  <c:v>7.0526315789473681</c:v>
                </c:pt>
                <c:pt idx="19">
                  <c:v>6.7</c:v>
                </c:pt>
                <c:pt idx="20">
                  <c:v>6.3809523809523814</c:v>
                </c:pt>
                <c:pt idx="21">
                  <c:v>6.0909090909090908</c:v>
                </c:pt>
                <c:pt idx="22">
                  <c:v>5.8260869565217392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86144"/>
        <c:axId val="208786704"/>
      </c:lineChart>
      <c:catAx>
        <c:axId val="208786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86704"/>
        <c:crosses val="autoZero"/>
        <c:auto val="0"/>
        <c:lblAlgn val="ctr"/>
        <c:lblOffset val="100"/>
        <c:noMultiLvlLbl val="0"/>
      </c:catAx>
      <c:valAx>
        <c:axId val="208786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861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12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91184"/>
        <c:axId val="20470084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6.4318181818181817</c:v>
                </c:pt>
                <c:pt idx="11">
                  <c:v>6.395833333333333</c:v>
                </c:pt>
                <c:pt idx="12">
                  <c:v>6.5192307692307692</c:v>
                </c:pt>
                <c:pt idx="13">
                  <c:v>6.625</c:v>
                </c:pt>
                <c:pt idx="14">
                  <c:v>6.7833333333333332</c:v>
                </c:pt>
                <c:pt idx="15">
                  <c:v>6.859375</c:v>
                </c:pt>
                <c:pt idx="16">
                  <c:v>6.9264705882352944</c:v>
                </c:pt>
                <c:pt idx="17">
                  <c:v>6.9305555555555554</c:v>
                </c:pt>
                <c:pt idx="18">
                  <c:v>7.1973684210526319</c:v>
                </c:pt>
                <c:pt idx="19">
                  <c:v>6.8375000000000004</c:v>
                </c:pt>
                <c:pt idx="20">
                  <c:v>6.5119047619047619</c:v>
                </c:pt>
                <c:pt idx="21">
                  <c:v>6.2159090909090908</c:v>
                </c:pt>
                <c:pt idx="22">
                  <c:v>5.9456521739130439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91184"/>
        <c:axId val="204700848"/>
      </c:lineChart>
      <c:catAx>
        <c:axId val="20879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00848"/>
        <c:crosses val="autoZero"/>
        <c:auto val="0"/>
        <c:lblAlgn val="ctr"/>
        <c:lblOffset val="100"/>
        <c:noMultiLvlLbl val="0"/>
      </c:catAx>
      <c:valAx>
        <c:axId val="2047008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91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554.78260869565213</c:v>
                </c:pt>
                <c:pt idx="1">
                  <c:v>529.56521739130437</c:v>
                </c:pt>
                <c:pt idx="2">
                  <c:v>504.3478260869565</c:v>
                </c:pt>
                <c:pt idx="3">
                  <c:v>479.13043478260869</c:v>
                </c:pt>
                <c:pt idx="4">
                  <c:v>453.91304347826087</c:v>
                </c:pt>
                <c:pt idx="5">
                  <c:v>428.69565217391306</c:v>
                </c:pt>
                <c:pt idx="6">
                  <c:v>403.47826086956525</c:v>
                </c:pt>
                <c:pt idx="7">
                  <c:v>378.26086956521738</c:v>
                </c:pt>
                <c:pt idx="8">
                  <c:v>353.04347826086962</c:v>
                </c:pt>
                <c:pt idx="9">
                  <c:v>327.82608695652175</c:v>
                </c:pt>
                <c:pt idx="10">
                  <c:v>302.60869565217394</c:v>
                </c:pt>
                <c:pt idx="11">
                  <c:v>277.39130434782612</c:v>
                </c:pt>
                <c:pt idx="12">
                  <c:v>252.17391304347831</c:v>
                </c:pt>
                <c:pt idx="13">
                  <c:v>226.95652173913044</c:v>
                </c:pt>
                <c:pt idx="14">
                  <c:v>201.73913043478262</c:v>
                </c:pt>
                <c:pt idx="15">
                  <c:v>176.52173913043481</c:v>
                </c:pt>
                <c:pt idx="16">
                  <c:v>151.304347826087</c:v>
                </c:pt>
                <c:pt idx="17">
                  <c:v>126.08695652173918</c:v>
                </c:pt>
                <c:pt idx="18">
                  <c:v>100.86956521739131</c:v>
                </c:pt>
                <c:pt idx="19">
                  <c:v>75.652173913043498</c:v>
                </c:pt>
                <c:pt idx="20">
                  <c:v>50.434782608695741</c:v>
                </c:pt>
                <c:pt idx="21">
                  <c:v>25.217391304347871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Product!$C$84:$U$84</c:f>
              <c:numCache>
                <c:formatCode>0.00</c:formatCode>
                <c:ptCount val="19"/>
                <c:pt idx="0">
                  <c:v>562.75</c:v>
                </c:pt>
                <c:pt idx="1">
                  <c:v>542.75</c:v>
                </c:pt>
                <c:pt idx="2">
                  <c:v>518.25</c:v>
                </c:pt>
                <c:pt idx="3">
                  <c:v>493.25</c:v>
                </c:pt>
                <c:pt idx="4">
                  <c:v>484</c:v>
                </c:pt>
                <c:pt idx="5">
                  <c:v>458</c:v>
                </c:pt>
                <c:pt idx="6">
                  <c:v>423.5</c:v>
                </c:pt>
                <c:pt idx="7">
                  <c:v>387.75</c:v>
                </c:pt>
                <c:pt idx="8">
                  <c:v>345.75</c:v>
                </c:pt>
                <c:pt idx="9">
                  <c:v>326.75</c:v>
                </c:pt>
                <c:pt idx="10">
                  <c:v>310.75</c:v>
                </c:pt>
                <c:pt idx="11">
                  <c:v>284.75</c:v>
                </c:pt>
                <c:pt idx="12">
                  <c:v>247.75</c:v>
                </c:pt>
                <c:pt idx="13">
                  <c:v>216.75</c:v>
                </c:pt>
                <c:pt idx="14">
                  <c:v>176.75</c:v>
                </c:pt>
                <c:pt idx="15">
                  <c:v>141.75</c:v>
                </c:pt>
                <c:pt idx="16">
                  <c:v>111.75</c:v>
                </c:pt>
                <c:pt idx="17">
                  <c:v>84.75</c:v>
                </c:pt>
                <c:pt idx="18">
                  <c:v>34.75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715968"/>
        <c:axId val="204715408"/>
      </c:lineChart>
      <c:catAx>
        <c:axId val="204715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15408"/>
        <c:crosses val="autoZero"/>
        <c:auto val="1"/>
        <c:lblAlgn val="ctr"/>
        <c:lblOffset val="100"/>
        <c:noMultiLvlLbl val="0"/>
      </c:catAx>
      <c:valAx>
        <c:axId val="20471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1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221264"/>
        <c:axId val="21078384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221264"/>
        <c:axId val="210783840"/>
      </c:lineChart>
      <c:catAx>
        <c:axId val="16722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83840"/>
        <c:crosses val="autoZero"/>
        <c:auto val="1"/>
        <c:lblAlgn val="ctr"/>
        <c:lblOffset val="100"/>
        <c:noMultiLvlLbl val="1"/>
      </c:catAx>
      <c:valAx>
        <c:axId val="21078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2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953312"/>
        <c:axId val="29595387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53312"/>
        <c:axId val="295953872"/>
      </c:lineChart>
      <c:catAx>
        <c:axId val="295953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53872"/>
        <c:crosses val="autoZero"/>
        <c:auto val="1"/>
        <c:lblAlgn val="ctr"/>
        <c:lblOffset val="100"/>
        <c:noMultiLvlLbl val="1"/>
      </c:catAx>
      <c:valAx>
        <c:axId val="295953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53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958912"/>
        <c:axId val="29595947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58912"/>
        <c:axId val="295959472"/>
      </c:lineChart>
      <c:catAx>
        <c:axId val="29595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59472"/>
        <c:crosses val="autoZero"/>
        <c:auto val="1"/>
        <c:lblAlgn val="ctr"/>
        <c:lblOffset val="100"/>
        <c:noMultiLvlLbl val="1"/>
      </c:catAx>
      <c:valAx>
        <c:axId val="295959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58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964512"/>
        <c:axId val="29596507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64512"/>
        <c:axId val="295965072"/>
      </c:lineChart>
      <c:catAx>
        <c:axId val="295964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65072"/>
        <c:crosses val="autoZero"/>
        <c:auto val="1"/>
        <c:lblAlgn val="ctr"/>
        <c:lblOffset val="100"/>
        <c:noMultiLvlLbl val="1"/>
      </c:catAx>
      <c:valAx>
        <c:axId val="2959650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64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970672"/>
        <c:axId val="29597123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70672"/>
        <c:axId val="295971232"/>
      </c:lineChart>
      <c:catAx>
        <c:axId val="295970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71232"/>
        <c:crosses val="autoZero"/>
        <c:auto val="1"/>
        <c:lblAlgn val="ctr"/>
        <c:lblOffset val="100"/>
        <c:noMultiLvlLbl val="1"/>
      </c:catAx>
      <c:valAx>
        <c:axId val="295971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70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5978512"/>
        <c:axId val="295979072"/>
      </c:lineChart>
      <c:catAx>
        <c:axId val="295978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79072"/>
        <c:crosses val="autoZero"/>
        <c:auto val="1"/>
        <c:lblAlgn val="ctr"/>
        <c:lblOffset val="100"/>
        <c:noMultiLvlLbl val="0"/>
      </c:catAx>
      <c:valAx>
        <c:axId val="29597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78512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980192"/>
        <c:axId val="295980752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80192"/>
        <c:axId val="295980752"/>
      </c:lineChart>
      <c:catAx>
        <c:axId val="295980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80752"/>
        <c:crosses val="autoZero"/>
        <c:auto val="0"/>
        <c:lblAlgn val="ctr"/>
        <c:lblOffset val="100"/>
        <c:noMultiLvlLbl val="1"/>
      </c:catAx>
      <c:valAx>
        <c:axId val="2959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8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985792"/>
        <c:axId val="2959863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85792"/>
        <c:axId val="295986352"/>
      </c:lineChart>
      <c:catAx>
        <c:axId val="295985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86352"/>
        <c:crosses val="autoZero"/>
        <c:auto val="1"/>
        <c:lblAlgn val="ctr"/>
        <c:lblOffset val="100"/>
        <c:noMultiLvlLbl val="1"/>
      </c:catAx>
      <c:valAx>
        <c:axId val="295986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85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991392"/>
        <c:axId val="2959919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91392"/>
        <c:axId val="295991952"/>
      </c:lineChart>
      <c:catAx>
        <c:axId val="295991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91952"/>
        <c:crosses val="autoZero"/>
        <c:auto val="1"/>
        <c:lblAlgn val="ctr"/>
        <c:lblOffset val="100"/>
        <c:noMultiLvlLbl val="1"/>
      </c:catAx>
      <c:valAx>
        <c:axId val="2959919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913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997552"/>
        <c:axId val="29599811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97552"/>
        <c:axId val="295998112"/>
      </c:lineChart>
      <c:catAx>
        <c:axId val="29599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98112"/>
        <c:crosses val="autoZero"/>
        <c:auto val="1"/>
        <c:lblAlgn val="ctr"/>
        <c:lblOffset val="100"/>
        <c:noMultiLvlLbl val="1"/>
      </c:catAx>
      <c:valAx>
        <c:axId val="295998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997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6003152"/>
        <c:axId val="29600371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003152"/>
        <c:axId val="296003712"/>
      </c:lineChart>
      <c:catAx>
        <c:axId val="29600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003712"/>
        <c:crosses val="autoZero"/>
        <c:auto val="1"/>
        <c:lblAlgn val="ctr"/>
        <c:lblOffset val="100"/>
        <c:noMultiLvlLbl val="1"/>
      </c:catAx>
      <c:valAx>
        <c:axId val="296003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003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008752"/>
        <c:axId val="296009312"/>
      </c:lineChart>
      <c:catAx>
        <c:axId val="29600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009312"/>
        <c:crosses val="autoZero"/>
        <c:auto val="1"/>
        <c:lblAlgn val="ctr"/>
        <c:lblOffset val="100"/>
        <c:noMultiLvlLbl val="0"/>
      </c:catAx>
      <c:valAx>
        <c:axId val="2960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00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6013232"/>
        <c:axId val="296013792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013232"/>
        <c:axId val="296013792"/>
      </c:lineChart>
      <c:catAx>
        <c:axId val="296013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013792"/>
        <c:crosses val="autoZero"/>
        <c:auto val="0"/>
        <c:lblAlgn val="ctr"/>
        <c:lblOffset val="100"/>
        <c:noMultiLvlLbl val="1"/>
      </c:catAx>
      <c:valAx>
        <c:axId val="29601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01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762080"/>
        <c:axId val="29776264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62080"/>
        <c:axId val="297762640"/>
      </c:lineChart>
      <c:catAx>
        <c:axId val="29776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62640"/>
        <c:crosses val="autoZero"/>
        <c:auto val="1"/>
        <c:lblAlgn val="ctr"/>
        <c:lblOffset val="100"/>
        <c:noMultiLvlLbl val="1"/>
      </c:catAx>
      <c:valAx>
        <c:axId val="297762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62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767680"/>
        <c:axId val="29776824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67680"/>
        <c:axId val="297768240"/>
      </c:lineChart>
      <c:catAx>
        <c:axId val="297767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68240"/>
        <c:crosses val="autoZero"/>
        <c:auto val="1"/>
        <c:lblAlgn val="ctr"/>
        <c:lblOffset val="100"/>
        <c:noMultiLvlLbl val="1"/>
      </c:catAx>
      <c:valAx>
        <c:axId val="297768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676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773840"/>
        <c:axId val="29777440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73840"/>
        <c:axId val="297774400"/>
      </c:lineChart>
      <c:catAx>
        <c:axId val="297773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74400"/>
        <c:crosses val="autoZero"/>
        <c:auto val="1"/>
        <c:lblAlgn val="ctr"/>
        <c:lblOffset val="100"/>
        <c:noMultiLvlLbl val="1"/>
      </c:catAx>
      <c:valAx>
        <c:axId val="2977744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73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779440"/>
        <c:axId val="29778000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79440"/>
        <c:axId val="297780000"/>
      </c:lineChart>
      <c:catAx>
        <c:axId val="297779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80000"/>
        <c:crosses val="autoZero"/>
        <c:auto val="1"/>
        <c:lblAlgn val="ctr"/>
        <c:lblOffset val="100"/>
        <c:noMultiLvlLbl val="1"/>
      </c:catAx>
      <c:valAx>
        <c:axId val="2977800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794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786720"/>
        <c:axId val="29778728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297786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87280"/>
        <c:crosses val="autoZero"/>
        <c:auto val="1"/>
        <c:lblAlgn val="ctr"/>
        <c:lblOffset val="100"/>
        <c:noMultiLvlLbl val="0"/>
      </c:catAx>
      <c:valAx>
        <c:axId val="2977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86720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791200"/>
        <c:axId val="297791760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91200"/>
        <c:axId val="297791760"/>
      </c:lineChart>
      <c:catAx>
        <c:axId val="297791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91760"/>
        <c:crosses val="autoZero"/>
        <c:auto val="0"/>
        <c:lblAlgn val="ctr"/>
        <c:lblOffset val="100"/>
        <c:noMultiLvlLbl val="1"/>
      </c:catAx>
      <c:valAx>
        <c:axId val="29779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9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796800"/>
        <c:axId val="29779736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796800"/>
        <c:axId val="297797360"/>
      </c:lineChart>
      <c:catAx>
        <c:axId val="297796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97360"/>
        <c:crosses val="autoZero"/>
        <c:auto val="1"/>
        <c:lblAlgn val="ctr"/>
        <c:lblOffset val="100"/>
        <c:noMultiLvlLbl val="1"/>
      </c:catAx>
      <c:valAx>
        <c:axId val="297797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96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802400"/>
        <c:axId val="29780296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802400"/>
        <c:axId val="297802960"/>
      </c:lineChart>
      <c:catAx>
        <c:axId val="297802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02960"/>
        <c:crosses val="autoZero"/>
        <c:auto val="1"/>
        <c:lblAlgn val="ctr"/>
        <c:lblOffset val="100"/>
        <c:noMultiLvlLbl val="1"/>
      </c:catAx>
      <c:valAx>
        <c:axId val="2978029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024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808560"/>
        <c:axId val="29780912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808560"/>
        <c:axId val="297809120"/>
      </c:lineChart>
      <c:catAx>
        <c:axId val="297808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09120"/>
        <c:crosses val="autoZero"/>
        <c:auto val="1"/>
        <c:lblAlgn val="ctr"/>
        <c:lblOffset val="100"/>
        <c:noMultiLvlLbl val="1"/>
      </c:catAx>
      <c:valAx>
        <c:axId val="297809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08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814160"/>
        <c:axId val="29781472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814160"/>
        <c:axId val="297814720"/>
      </c:lineChart>
      <c:catAx>
        <c:axId val="297814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14720"/>
        <c:crosses val="autoZero"/>
        <c:auto val="1"/>
        <c:lblAlgn val="ctr"/>
        <c:lblOffset val="100"/>
        <c:noMultiLvlLbl val="1"/>
      </c:catAx>
      <c:valAx>
        <c:axId val="2978147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14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822000"/>
        <c:axId val="29782256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29782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22560"/>
        <c:crosses val="autoZero"/>
        <c:auto val="1"/>
        <c:lblAlgn val="ctr"/>
        <c:lblOffset val="100"/>
        <c:noMultiLvlLbl val="0"/>
      </c:catAx>
      <c:valAx>
        <c:axId val="29782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2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5.75</c:v>
                </c:pt>
                <c:pt idx="1">
                  <c:v>2.75</c:v>
                </c:pt>
                <c:pt idx="2">
                  <c:v>0</c:v>
                </c:pt>
                <c:pt idx="3">
                  <c:v>2.5</c:v>
                </c:pt>
                <c:pt idx="4">
                  <c:v>1.5</c:v>
                </c:pt>
                <c:pt idx="5">
                  <c:v>1</c:v>
                </c:pt>
                <c:pt idx="6">
                  <c:v>5.5</c:v>
                </c:pt>
                <c:pt idx="7">
                  <c:v>3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50832"/>
        <c:axId val="299351392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5.75</c:v>
                </c:pt>
                <c:pt idx="1">
                  <c:v>4.25</c:v>
                </c:pt>
                <c:pt idx="2">
                  <c:v>2.833333333333333</c:v>
                </c:pt>
                <c:pt idx="3">
                  <c:v>2.75</c:v>
                </c:pt>
                <c:pt idx="4">
                  <c:v>2.5</c:v>
                </c:pt>
                <c:pt idx="5">
                  <c:v>2.25</c:v>
                </c:pt>
                <c:pt idx="6">
                  <c:v>2.7142857142857144</c:v>
                </c:pt>
                <c:pt idx="7">
                  <c:v>2.75</c:v>
                </c:pt>
                <c:pt idx="8">
                  <c:v>3.2222222222222223</c:v>
                </c:pt>
                <c:pt idx="9">
                  <c:v>3.2</c:v>
                </c:pt>
                <c:pt idx="10">
                  <c:v>3</c:v>
                </c:pt>
                <c:pt idx="11">
                  <c:v>2.833333333333333</c:v>
                </c:pt>
                <c:pt idx="12">
                  <c:v>2.6923076923076925</c:v>
                </c:pt>
                <c:pt idx="13">
                  <c:v>2.5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50832"/>
        <c:axId val="299351392"/>
      </c:lineChart>
      <c:catAx>
        <c:axId val="29935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51392"/>
        <c:crosses val="autoZero"/>
        <c:auto val="0"/>
        <c:lblAlgn val="ctr"/>
        <c:lblOffset val="100"/>
        <c:noMultiLvlLbl val="1"/>
      </c:catAx>
      <c:valAx>
        <c:axId val="2993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5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56432"/>
        <c:axId val="29935699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1.45</c:v>
                </c:pt>
                <c:pt idx="10">
                  <c:v>1.3181818181818181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56432"/>
        <c:axId val="299356992"/>
      </c:lineChart>
      <c:catAx>
        <c:axId val="29935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56992"/>
        <c:crosses val="autoZero"/>
        <c:auto val="1"/>
        <c:lblAlgn val="ctr"/>
        <c:lblOffset val="100"/>
        <c:noMultiLvlLbl val="1"/>
      </c:catAx>
      <c:valAx>
        <c:axId val="2993569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56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62032"/>
        <c:axId val="29936259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62032"/>
        <c:axId val="299362592"/>
      </c:lineChart>
      <c:catAx>
        <c:axId val="299362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62592"/>
        <c:crosses val="autoZero"/>
        <c:auto val="1"/>
        <c:lblAlgn val="ctr"/>
        <c:lblOffset val="100"/>
        <c:noMultiLvlLbl val="1"/>
      </c:catAx>
      <c:valAx>
        <c:axId val="2993625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620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68192"/>
        <c:axId val="29936875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68192"/>
        <c:axId val="299368752"/>
      </c:lineChart>
      <c:catAx>
        <c:axId val="299368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68752"/>
        <c:crosses val="autoZero"/>
        <c:auto val="1"/>
        <c:lblAlgn val="ctr"/>
        <c:lblOffset val="100"/>
        <c:noMultiLvlLbl val="1"/>
      </c:catAx>
      <c:valAx>
        <c:axId val="2993687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681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73792"/>
        <c:axId val="29937435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1.4375</c:v>
                </c:pt>
                <c:pt idx="8">
                  <c:v>1.6111111111111112</c:v>
                </c:pt>
                <c:pt idx="9">
                  <c:v>1.75</c:v>
                </c:pt>
                <c:pt idx="10">
                  <c:v>1.6818181818181819</c:v>
                </c:pt>
                <c:pt idx="11">
                  <c:v>1.625</c:v>
                </c:pt>
                <c:pt idx="12">
                  <c:v>1.5769230769230769</c:v>
                </c:pt>
                <c:pt idx="13">
                  <c:v>1.4642857142857142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73792"/>
        <c:axId val="299374352"/>
      </c:lineChart>
      <c:catAx>
        <c:axId val="299373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74352"/>
        <c:crosses val="autoZero"/>
        <c:auto val="1"/>
        <c:lblAlgn val="ctr"/>
        <c:lblOffset val="100"/>
        <c:noMultiLvlLbl val="1"/>
      </c:catAx>
      <c:valAx>
        <c:axId val="299374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73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17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79952"/>
        <c:axId val="299380512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3.333333333333333</c:v>
                </c:pt>
                <c:pt idx="3">
                  <c:v>3</c:v>
                </c:pt>
                <c:pt idx="4">
                  <c:v>3.4000000000000004</c:v>
                </c:pt>
                <c:pt idx="5">
                  <c:v>3.6666666666666665</c:v>
                </c:pt>
                <c:pt idx="6">
                  <c:v>3.714285714285714</c:v>
                </c:pt>
                <c:pt idx="7">
                  <c:v>3.5</c:v>
                </c:pt>
                <c:pt idx="8">
                  <c:v>3.333333333333333</c:v>
                </c:pt>
                <c:pt idx="9">
                  <c:v>3.5</c:v>
                </c:pt>
                <c:pt idx="10">
                  <c:v>3.3636363636363638</c:v>
                </c:pt>
                <c:pt idx="11">
                  <c:v>4.5</c:v>
                </c:pt>
                <c:pt idx="12">
                  <c:v>4.615384615384615</c:v>
                </c:pt>
                <c:pt idx="13">
                  <c:v>4.5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79952"/>
        <c:axId val="299380512"/>
      </c:lineChart>
      <c:catAx>
        <c:axId val="299379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80512"/>
        <c:crosses val="autoZero"/>
        <c:auto val="0"/>
        <c:lblAlgn val="ctr"/>
        <c:lblOffset val="100"/>
        <c:noMultiLvlLbl val="1"/>
      </c:catAx>
      <c:valAx>
        <c:axId val="29938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7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85552"/>
        <c:axId val="2993861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1.0833333333333333</c:v>
                </c:pt>
                <c:pt idx="12">
                  <c:v>1.2307692307692308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85552"/>
        <c:axId val="299386112"/>
      </c:lineChart>
      <c:catAx>
        <c:axId val="299385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86112"/>
        <c:crosses val="autoZero"/>
        <c:auto val="1"/>
        <c:lblAlgn val="ctr"/>
        <c:lblOffset val="100"/>
        <c:noMultiLvlLbl val="1"/>
      </c:catAx>
      <c:valAx>
        <c:axId val="299386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85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91152"/>
        <c:axId val="2993917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0.77777777777777779</c:v>
                </c:pt>
                <c:pt idx="9">
                  <c:v>1.1000000000000001</c:v>
                </c:pt>
                <c:pt idx="10">
                  <c:v>1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91152"/>
        <c:axId val="299391712"/>
      </c:lineChart>
      <c:catAx>
        <c:axId val="299391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1712"/>
        <c:crosses val="autoZero"/>
        <c:auto val="1"/>
        <c:lblAlgn val="ctr"/>
        <c:lblOffset val="100"/>
        <c:noMultiLvlLbl val="1"/>
      </c:catAx>
      <c:valAx>
        <c:axId val="299391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1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97312"/>
        <c:axId val="29939787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0.66666666666666663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0.9</c:v>
                </c:pt>
                <c:pt idx="10">
                  <c:v>0.81818181818181823</c:v>
                </c:pt>
                <c:pt idx="11">
                  <c:v>1.0833333333333333</c:v>
                </c:pt>
                <c:pt idx="12">
                  <c:v>1.0769230769230769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97312"/>
        <c:axId val="299397872"/>
      </c:lineChart>
      <c:catAx>
        <c:axId val="29939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7872"/>
        <c:crosses val="autoZero"/>
        <c:auto val="1"/>
        <c:lblAlgn val="ctr"/>
        <c:lblOffset val="100"/>
        <c:noMultiLvlLbl val="1"/>
      </c:catAx>
      <c:valAx>
        <c:axId val="29939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7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402912"/>
        <c:axId val="29940347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1</c:v>
                </c:pt>
                <c:pt idx="8">
                  <c:v>1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402912"/>
        <c:axId val="299403472"/>
      </c:lineChart>
      <c:catAx>
        <c:axId val="299402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03472"/>
        <c:crosses val="autoZero"/>
        <c:auto val="1"/>
        <c:lblAlgn val="ctr"/>
        <c:lblOffset val="100"/>
        <c:noMultiLvlLbl val="1"/>
      </c:catAx>
      <c:valAx>
        <c:axId val="299403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02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5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5'!$B$89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'Sprint 5'!$B$91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5'!$C$91:$Q$91</c:f>
              <c:numCache>
                <c:formatCode>0.00</c:formatCode>
                <c:ptCount val="15"/>
                <c:pt idx="0">
                  <c:v>63</c:v>
                </c:pt>
                <c:pt idx="1">
                  <c:v>62</c:v>
                </c:pt>
                <c:pt idx="2">
                  <c:v>57</c:v>
                </c:pt>
                <c:pt idx="3">
                  <c:v>53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37</c:v>
                </c:pt>
                <c:pt idx="8">
                  <c:v>35</c:v>
                </c:pt>
                <c:pt idx="9">
                  <c:v>33</c:v>
                </c:pt>
                <c:pt idx="10">
                  <c:v>28</c:v>
                </c:pt>
                <c:pt idx="11">
                  <c:v>26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409072"/>
        <c:axId val="29940963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5'!$C$88:$Q$88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5'!$C$90:$Q$90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63</c:v>
                      </c:pt>
                      <c:pt idx="1">
                        <c:v>1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2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4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5</c:v>
                      </c:pt>
                      <c:pt idx="11">
                        <c:v>2</c:v>
                      </c:pt>
                      <c:pt idx="12">
                        <c:v>17</c:v>
                      </c:pt>
                      <c:pt idx="13">
                        <c:v>6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29940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09632"/>
        <c:crosses val="autoZero"/>
        <c:auto val="1"/>
        <c:lblAlgn val="ctr"/>
        <c:lblOffset val="100"/>
        <c:noMultiLvlLbl val="0"/>
      </c:catAx>
      <c:valAx>
        <c:axId val="29940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 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0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1.5</c:v>
                </c:pt>
                <c:pt idx="1">
                  <c:v>0</c:v>
                </c:pt>
                <c:pt idx="2">
                  <c:v>3.5</c:v>
                </c:pt>
                <c:pt idx="3">
                  <c:v>3</c:v>
                </c:pt>
                <c:pt idx="4">
                  <c:v>0</c:v>
                </c:pt>
                <c:pt idx="5">
                  <c:v>13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413552"/>
        <c:axId val="29941411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1.5</c:v>
                </c:pt>
                <c:pt idx="1">
                  <c:v>0.75</c:v>
                </c:pt>
                <c:pt idx="2">
                  <c:v>1.6666666666666665</c:v>
                </c:pt>
                <c:pt idx="3">
                  <c:v>2</c:v>
                </c:pt>
                <c:pt idx="4">
                  <c:v>1.6</c:v>
                </c:pt>
                <c:pt idx="5">
                  <c:v>3.5</c:v>
                </c:pt>
                <c:pt idx="6">
                  <c:v>4.4285714285714288</c:v>
                </c:pt>
                <c:pt idx="7">
                  <c:v>4.5</c:v>
                </c:pt>
                <c:pt idx="8">
                  <c:v>4.2222222222222223</c:v>
                </c:pt>
                <c:pt idx="9">
                  <c:v>4.0999999999999996</c:v>
                </c:pt>
                <c:pt idx="10">
                  <c:v>4.2727272727272725</c:v>
                </c:pt>
                <c:pt idx="11">
                  <c:v>4.3333333333333339</c:v>
                </c:pt>
                <c:pt idx="12">
                  <c:v>4.7692307692307692</c:v>
                </c:pt>
                <c:pt idx="13">
                  <c:v>5.0714285714285712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413552"/>
        <c:axId val="299414112"/>
      </c:lineChart>
      <c:catAx>
        <c:axId val="299413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14112"/>
        <c:crosses val="autoZero"/>
        <c:auto val="0"/>
        <c:lblAlgn val="ctr"/>
        <c:lblOffset val="100"/>
        <c:noMultiLvlLbl val="1"/>
      </c:catAx>
      <c:valAx>
        <c:axId val="29941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41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34976"/>
        <c:axId val="29853553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1.2857142857142858</c:v>
                </c:pt>
                <c:pt idx="7">
                  <c:v>1.625</c:v>
                </c:pt>
                <c:pt idx="8">
                  <c:v>1.4444444444444444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34976"/>
        <c:axId val="298535536"/>
      </c:lineChart>
      <c:catAx>
        <c:axId val="298534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35536"/>
        <c:crosses val="autoZero"/>
        <c:auto val="1"/>
        <c:lblAlgn val="ctr"/>
        <c:lblOffset val="100"/>
        <c:noMultiLvlLbl val="1"/>
      </c:catAx>
      <c:valAx>
        <c:axId val="298535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34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40576"/>
        <c:axId val="29854113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1.1538461538461537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40576"/>
        <c:axId val="298541136"/>
      </c:lineChart>
      <c:catAx>
        <c:axId val="29854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41136"/>
        <c:crosses val="autoZero"/>
        <c:auto val="1"/>
        <c:lblAlgn val="ctr"/>
        <c:lblOffset val="100"/>
        <c:noMultiLvlLbl val="1"/>
      </c:catAx>
      <c:valAx>
        <c:axId val="2985411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405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46736"/>
        <c:axId val="29854729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0.83333333333333337</c:v>
                </c:pt>
                <c:pt idx="6">
                  <c:v>1</c:v>
                </c:pt>
                <c:pt idx="7">
                  <c:v>0.875</c:v>
                </c:pt>
                <c:pt idx="8">
                  <c:v>1</c:v>
                </c:pt>
                <c:pt idx="9">
                  <c:v>0.9</c:v>
                </c:pt>
                <c:pt idx="10">
                  <c:v>1.0909090909090908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46736"/>
        <c:axId val="298547296"/>
      </c:lineChart>
      <c:catAx>
        <c:axId val="298546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47296"/>
        <c:crosses val="autoZero"/>
        <c:auto val="1"/>
        <c:lblAlgn val="ctr"/>
        <c:lblOffset val="100"/>
        <c:noMultiLvlLbl val="1"/>
      </c:catAx>
      <c:valAx>
        <c:axId val="2985472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467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52336"/>
        <c:axId val="29855289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1.5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1.125</c:v>
                </c:pt>
                <c:pt idx="8">
                  <c:v>1</c:v>
                </c:pt>
                <c:pt idx="9">
                  <c:v>1</c:v>
                </c:pt>
                <c:pt idx="10">
                  <c:v>0.90909090909090906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52336"/>
        <c:axId val="298552896"/>
      </c:lineChart>
      <c:catAx>
        <c:axId val="298552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52896"/>
        <c:crosses val="autoZero"/>
        <c:auto val="1"/>
        <c:lblAlgn val="ctr"/>
        <c:lblOffset val="100"/>
        <c:noMultiLvlLbl val="1"/>
      </c:catAx>
      <c:valAx>
        <c:axId val="2985528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523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6 Burn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 Burn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6'!$C$89:$Q$89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Actual Burn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6'!$C$91:$Q$91</c:f>
              <c:numCache>
                <c:formatCode>0.00</c:formatCode>
                <c:ptCount val="15"/>
                <c:pt idx="0">
                  <c:v>71</c:v>
                </c:pt>
                <c:pt idx="1">
                  <c:v>69.5</c:v>
                </c:pt>
                <c:pt idx="2">
                  <c:v>69.5</c:v>
                </c:pt>
                <c:pt idx="3">
                  <c:v>66</c:v>
                </c:pt>
                <c:pt idx="4">
                  <c:v>63</c:v>
                </c:pt>
                <c:pt idx="5">
                  <c:v>63</c:v>
                </c:pt>
                <c:pt idx="6">
                  <c:v>50</c:v>
                </c:pt>
                <c:pt idx="7">
                  <c:v>40</c:v>
                </c:pt>
                <c:pt idx="8">
                  <c:v>35</c:v>
                </c:pt>
                <c:pt idx="9">
                  <c:v>33</c:v>
                </c:pt>
                <c:pt idx="10">
                  <c:v>30</c:v>
                </c:pt>
                <c:pt idx="11">
                  <c:v>24</c:v>
                </c:pt>
                <c:pt idx="12">
                  <c:v>19</c:v>
                </c:pt>
                <c:pt idx="13">
                  <c:v>9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557936"/>
        <c:axId val="298558496"/>
      </c:lineChart>
      <c:catAx>
        <c:axId val="29855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58496"/>
        <c:crosses val="autoZero"/>
        <c:auto val="1"/>
        <c:lblAlgn val="ctr"/>
        <c:lblOffset val="100"/>
        <c:noMultiLvlLbl val="0"/>
      </c:catAx>
      <c:valAx>
        <c:axId val="2985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5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15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10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61856"/>
        <c:axId val="298562416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2.333333333333333</c:v>
                </c:pt>
                <c:pt idx="3">
                  <c:v>2.5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4.375</c:v>
                </c:pt>
                <c:pt idx="8">
                  <c:v>4.3333333333333339</c:v>
                </c:pt>
                <c:pt idx="9">
                  <c:v>4.3</c:v>
                </c:pt>
                <c:pt idx="10">
                  <c:v>4.1818181818181817</c:v>
                </c:pt>
                <c:pt idx="11">
                  <c:v>4.666666666666667</c:v>
                </c:pt>
                <c:pt idx="12">
                  <c:v>4.7692307692307692</c:v>
                </c:pt>
                <c:pt idx="13">
                  <c:v>4.6428571428571423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61856"/>
        <c:axId val="298562416"/>
      </c:lineChart>
      <c:catAx>
        <c:axId val="298561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62416"/>
        <c:crosses val="autoZero"/>
        <c:auto val="0"/>
        <c:lblAlgn val="ctr"/>
        <c:lblOffset val="100"/>
        <c:noMultiLvlLbl val="1"/>
      </c:catAx>
      <c:valAx>
        <c:axId val="29856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6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67456"/>
        <c:axId val="29856801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1</c:v>
                </c:pt>
                <c:pt idx="5">
                  <c:v>1.5</c:v>
                </c:pt>
                <c:pt idx="6">
                  <c:v>1.4285714285714286</c:v>
                </c:pt>
                <c:pt idx="7">
                  <c:v>1.25</c:v>
                </c:pt>
                <c:pt idx="8">
                  <c:v>1.1111111111111112</c:v>
                </c:pt>
                <c:pt idx="9">
                  <c:v>1.3</c:v>
                </c:pt>
                <c:pt idx="10">
                  <c:v>1.1818181818181819</c:v>
                </c:pt>
                <c:pt idx="11">
                  <c:v>1.1666666666666667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67456"/>
        <c:axId val="298568016"/>
      </c:lineChart>
      <c:catAx>
        <c:axId val="298567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68016"/>
        <c:crosses val="autoZero"/>
        <c:auto val="1"/>
        <c:lblAlgn val="ctr"/>
        <c:lblOffset val="100"/>
        <c:noMultiLvlLbl val="1"/>
      </c:catAx>
      <c:valAx>
        <c:axId val="2985680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67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73056"/>
        <c:axId val="29857361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1.4285714285714286</c:v>
                </c:pt>
                <c:pt idx="7">
                  <c:v>1.25</c:v>
                </c:pt>
                <c:pt idx="8">
                  <c:v>1.1111111111111112</c:v>
                </c:pt>
                <c:pt idx="9">
                  <c:v>1</c:v>
                </c:pt>
                <c:pt idx="10">
                  <c:v>1.1818181818181819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73056"/>
        <c:axId val="298573616"/>
      </c:lineChart>
      <c:catAx>
        <c:axId val="298573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73616"/>
        <c:crosses val="autoZero"/>
        <c:auto val="1"/>
        <c:lblAlgn val="ctr"/>
        <c:lblOffset val="100"/>
        <c:noMultiLvlLbl val="1"/>
      </c:catAx>
      <c:valAx>
        <c:axId val="2985736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730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79216"/>
        <c:axId val="29857977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</c:v>
                </c:pt>
                <c:pt idx="5">
                  <c:v>0.83333333333333337</c:v>
                </c:pt>
                <c:pt idx="6">
                  <c:v>1</c:v>
                </c:pt>
                <c:pt idx="7">
                  <c:v>0.875</c:v>
                </c:pt>
                <c:pt idx="8">
                  <c:v>1.2222222222222223</c:v>
                </c:pt>
                <c:pt idx="9">
                  <c:v>1.1000000000000001</c:v>
                </c:pt>
                <c:pt idx="10">
                  <c:v>1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79216"/>
        <c:axId val="298579776"/>
      </c:lineChart>
      <c:catAx>
        <c:axId val="29857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79776"/>
        <c:crosses val="autoZero"/>
        <c:auto val="1"/>
        <c:lblAlgn val="ctr"/>
        <c:lblOffset val="100"/>
        <c:noMultiLvlLbl val="1"/>
      </c:catAx>
      <c:valAx>
        <c:axId val="2985797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792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84816"/>
        <c:axId val="29858537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1.4</c:v>
                </c:pt>
                <c:pt idx="5">
                  <c:v>1.3333333333333333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0.9</c:v>
                </c:pt>
                <c:pt idx="10">
                  <c:v>0.81818181818181823</c:v>
                </c:pt>
                <c:pt idx="11">
                  <c:v>1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84816"/>
        <c:axId val="298585376"/>
      </c:lineChart>
      <c:catAx>
        <c:axId val="29858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85376"/>
        <c:crosses val="autoZero"/>
        <c:auto val="1"/>
        <c:lblAlgn val="ctr"/>
        <c:lblOffset val="100"/>
        <c:noMultiLvlLbl val="1"/>
      </c:catAx>
      <c:valAx>
        <c:axId val="298585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848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7 Burn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 Burn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7'!$C$89:$Q$89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Actual Burn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7'!$C$91:$Q$91</c:f>
              <c:numCache>
                <c:formatCode>0.00</c:formatCode>
                <c:ptCount val="15"/>
                <c:pt idx="0">
                  <c:v>65</c:v>
                </c:pt>
                <c:pt idx="1">
                  <c:v>65</c:v>
                </c:pt>
                <c:pt idx="2">
                  <c:v>63</c:v>
                </c:pt>
                <c:pt idx="3">
                  <c:v>58</c:v>
                </c:pt>
                <c:pt idx="4">
                  <c:v>55</c:v>
                </c:pt>
                <c:pt idx="5">
                  <c:v>40</c:v>
                </c:pt>
                <c:pt idx="6">
                  <c:v>35</c:v>
                </c:pt>
                <c:pt idx="7">
                  <c:v>30</c:v>
                </c:pt>
                <c:pt idx="8">
                  <c:v>30</c:v>
                </c:pt>
                <c:pt idx="9">
                  <c:v>26</c:v>
                </c:pt>
                <c:pt idx="10">
                  <c:v>22</c:v>
                </c:pt>
                <c:pt idx="11">
                  <c:v>19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590416"/>
        <c:axId val="298590976"/>
      </c:lineChart>
      <c:catAx>
        <c:axId val="29859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90976"/>
        <c:crosses val="autoZero"/>
        <c:auto val="1"/>
        <c:lblAlgn val="ctr"/>
        <c:lblOffset val="100"/>
        <c:noMultiLvlLbl val="0"/>
      </c:catAx>
      <c:valAx>
        <c:axId val="29859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9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25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7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94336"/>
        <c:axId val="298594896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4</c:v>
                </c:pt>
                <c:pt idx="1">
                  <c:v>3.5</c:v>
                </c:pt>
                <c:pt idx="2">
                  <c:v>4.666666666666667</c:v>
                </c:pt>
                <c:pt idx="3">
                  <c:v>4.25</c:v>
                </c:pt>
                <c:pt idx="4">
                  <c:v>4.4000000000000004</c:v>
                </c:pt>
                <c:pt idx="5">
                  <c:v>4.166666666666667</c:v>
                </c:pt>
                <c:pt idx="6">
                  <c:v>3.8571428571428572</c:v>
                </c:pt>
                <c:pt idx="7">
                  <c:v>6.5</c:v>
                </c:pt>
                <c:pt idx="8">
                  <c:v>6.1111111111111107</c:v>
                </c:pt>
                <c:pt idx="9">
                  <c:v>6</c:v>
                </c:pt>
                <c:pt idx="10">
                  <c:v>5.8181818181818175</c:v>
                </c:pt>
                <c:pt idx="11">
                  <c:v>5.916666666666667</c:v>
                </c:pt>
                <c:pt idx="12">
                  <c:v>5.6153846153846159</c:v>
                </c:pt>
                <c:pt idx="13">
                  <c:v>5.5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94336"/>
        <c:axId val="298594896"/>
      </c:lineChart>
      <c:catAx>
        <c:axId val="298594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94896"/>
        <c:crosses val="autoZero"/>
        <c:auto val="0"/>
        <c:lblAlgn val="ctr"/>
        <c:lblOffset val="100"/>
        <c:noMultiLvlLbl val="1"/>
      </c:catAx>
      <c:valAx>
        <c:axId val="2985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9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7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29424"/>
        <c:axId val="30162998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1</c:v>
                </c:pt>
                <c:pt idx="1">
                  <c:v>0.5</c:v>
                </c:pt>
                <c:pt idx="2">
                  <c:v>1</c:v>
                </c:pt>
                <c:pt idx="3">
                  <c:v>1</c:v>
                </c:pt>
                <c:pt idx="4">
                  <c:v>0.8</c:v>
                </c:pt>
                <c:pt idx="5">
                  <c:v>1.1666666666666667</c:v>
                </c:pt>
                <c:pt idx="6">
                  <c:v>1</c:v>
                </c:pt>
                <c:pt idx="7">
                  <c:v>1.75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1.5454545454545454</c:v>
                </c:pt>
                <c:pt idx="11">
                  <c:v>1.5</c:v>
                </c:pt>
                <c:pt idx="12">
                  <c:v>1.5384615384615385</c:v>
                </c:pt>
                <c:pt idx="13">
                  <c:v>1.4285714285714286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29424"/>
        <c:axId val="301629984"/>
      </c:lineChart>
      <c:catAx>
        <c:axId val="301629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29984"/>
        <c:crosses val="autoZero"/>
        <c:auto val="1"/>
        <c:lblAlgn val="ctr"/>
        <c:lblOffset val="100"/>
        <c:noMultiLvlLbl val="1"/>
      </c:catAx>
      <c:valAx>
        <c:axId val="301629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294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35024"/>
        <c:axId val="30163558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1.6666666666666667</c:v>
                </c:pt>
                <c:pt idx="3">
                  <c:v>1.25</c:v>
                </c:pt>
                <c:pt idx="4">
                  <c:v>1.2</c:v>
                </c:pt>
                <c:pt idx="5">
                  <c:v>1</c:v>
                </c:pt>
                <c:pt idx="6">
                  <c:v>1.1428571428571428</c:v>
                </c:pt>
                <c:pt idx="7">
                  <c:v>1.875</c:v>
                </c:pt>
                <c:pt idx="8">
                  <c:v>1.7777777777777777</c:v>
                </c:pt>
                <c:pt idx="9">
                  <c:v>1.9</c:v>
                </c:pt>
                <c:pt idx="10">
                  <c:v>1.7272727272727273</c:v>
                </c:pt>
                <c:pt idx="11">
                  <c:v>1.6666666666666667</c:v>
                </c:pt>
                <c:pt idx="12">
                  <c:v>1.5384615384615385</c:v>
                </c:pt>
                <c:pt idx="13">
                  <c:v>1.4285714285714286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35024"/>
        <c:axId val="301635584"/>
      </c:lineChart>
      <c:catAx>
        <c:axId val="301635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35584"/>
        <c:crosses val="autoZero"/>
        <c:auto val="1"/>
        <c:lblAlgn val="ctr"/>
        <c:lblOffset val="100"/>
        <c:noMultiLvlLbl val="1"/>
      </c:catAx>
      <c:valAx>
        <c:axId val="301635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350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41184"/>
        <c:axId val="30164174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1</c:v>
                </c:pt>
                <c:pt idx="1">
                  <c:v>0.5</c:v>
                </c:pt>
                <c:pt idx="2">
                  <c:v>1</c:v>
                </c:pt>
                <c:pt idx="3">
                  <c:v>0.75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1.5</c:v>
                </c:pt>
                <c:pt idx="8">
                  <c:v>1.3333333333333333</c:v>
                </c:pt>
                <c:pt idx="9">
                  <c:v>1.4</c:v>
                </c:pt>
                <c:pt idx="10">
                  <c:v>1.2727272727272727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41184"/>
        <c:axId val="301641744"/>
      </c:lineChart>
      <c:catAx>
        <c:axId val="30164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41744"/>
        <c:crosses val="autoZero"/>
        <c:auto val="1"/>
        <c:lblAlgn val="ctr"/>
        <c:lblOffset val="100"/>
        <c:noMultiLvlLbl val="1"/>
      </c:catAx>
      <c:valAx>
        <c:axId val="301641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41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46784"/>
        <c:axId val="30164734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1.25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1.375</c:v>
                </c:pt>
                <c:pt idx="8">
                  <c:v>1.2222222222222223</c:v>
                </c:pt>
                <c:pt idx="9">
                  <c:v>1.1000000000000001</c:v>
                </c:pt>
                <c:pt idx="10">
                  <c:v>1.2727272727272727</c:v>
                </c:pt>
                <c:pt idx="11">
                  <c:v>1.4166666666666667</c:v>
                </c:pt>
                <c:pt idx="12">
                  <c:v>1.3076923076923077</c:v>
                </c:pt>
                <c:pt idx="13">
                  <c:v>1.3571428571428572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46784"/>
        <c:axId val="301647344"/>
      </c:lineChart>
      <c:catAx>
        <c:axId val="301646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47344"/>
        <c:crosses val="autoZero"/>
        <c:auto val="1"/>
        <c:lblAlgn val="ctr"/>
        <c:lblOffset val="100"/>
        <c:noMultiLvlLbl val="1"/>
      </c:catAx>
      <c:valAx>
        <c:axId val="3016473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46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8 Burn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 Burn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8'!$C$89:$Q$89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Actual Burn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8'!$C$91:$Q$91</c:f>
              <c:numCache>
                <c:formatCode>0.00</c:formatCode>
                <c:ptCount val="15"/>
                <c:pt idx="0">
                  <c:v>77</c:v>
                </c:pt>
                <c:pt idx="1">
                  <c:v>73</c:v>
                </c:pt>
                <c:pt idx="2">
                  <c:v>70</c:v>
                </c:pt>
                <c:pt idx="3">
                  <c:v>63</c:v>
                </c:pt>
                <c:pt idx="4">
                  <c:v>60</c:v>
                </c:pt>
                <c:pt idx="5">
                  <c:v>55</c:v>
                </c:pt>
                <c:pt idx="6">
                  <c:v>52</c:v>
                </c:pt>
                <c:pt idx="7">
                  <c:v>50</c:v>
                </c:pt>
                <c:pt idx="8">
                  <c:v>25</c:v>
                </c:pt>
                <c:pt idx="9">
                  <c:v>22</c:v>
                </c:pt>
                <c:pt idx="10">
                  <c:v>17</c:v>
                </c:pt>
                <c:pt idx="11">
                  <c:v>13</c:v>
                </c:pt>
                <c:pt idx="12">
                  <c:v>6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601728"/>
        <c:axId val="199602288"/>
      </c:lineChart>
      <c:catAx>
        <c:axId val="19960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02288"/>
        <c:crosses val="autoZero"/>
        <c:auto val="1"/>
        <c:lblAlgn val="ctr"/>
        <c:lblOffset val="100"/>
        <c:noMultiLvlLbl val="0"/>
      </c:catAx>
      <c:valAx>
        <c:axId val="1996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0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52944"/>
        <c:axId val="301653504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52944"/>
        <c:axId val="301653504"/>
      </c:lineChart>
      <c:catAx>
        <c:axId val="301652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53504"/>
        <c:crosses val="autoZero"/>
        <c:auto val="0"/>
        <c:lblAlgn val="ctr"/>
        <c:lblOffset val="100"/>
        <c:noMultiLvlLbl val="1"/>
      </c:catAx>
      <c:valAx>
        <c:axId val="30165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5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58544"/>
        <c:axId val="3016591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58544"/>
        <c:axId val="301659104"/>
      </c:lineChart>
      <c:catAx>
        <c:axId val="30165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59104"/>
        <c:crosses val="autoZero"/>
        <c:auto val="1"/>
        <c:lblAlgn val="ctr"/>
        <c:lblOffset val="100"/>
        <c:noMultiLvlLbl val="1"/>
      </c:catAx>
      <c:valAx>
        <c:axId val="301659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58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64144"/>
        <c:axId val="3016647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64144"/>
        <c:axId val="301664704"/>
      </c:lineChart>
      <c:catAx>
        <c:axId val="30166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64704"/>
        <c:crosses val="autoZero"/>
        <c:auto val="1"/>
        <c:lblAlgn val="ctr"/>
        <c:lblOffset val="100"/>
        <c:noMultiLvlLbl val="1"/>
      </c:catAx>
      <c:valAx>
        <c:axId val="301664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641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70304"/>
        <c:axId val="30167086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70304"/>
        <c:axId val="301670864"/>
      </c:lineChart>
      <c:catAx>
        <c:axId val="301670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70864"/>
        <c:crosses val="autoZero"/>
        <c:auto val="1"/>
        <c:lblAlgn val="ctr"/>
        <c:lblOffset val="100"/>
        <c:noMultiLvlLbl val="1"/>
      </c:catAx>
      <c:valAx>
        <c:axId val="3016708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703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75904"/>
        <c:axId val="30167646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75904"/>
        <c:axId val="301676464"/>
      </c:lineChart>
      <c:catAx>
        <c:axId val="30167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76464"/>
        <c:crosses val="autoZero"/>
        <c:auto val="1"/>
        <c:lblAlgn val="ctr"/>
        <c:lblOffset val="100"/>
        <c:noMultiLvlLbl val="1"/>
      </c:catAx>
      <c:valAx>
        <c:axId val="3016764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75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82064"/>
        <c:axId val="301682624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82064"/>
        <c:axId val="301682624"/>
      </c:lineChart>
      <c:catAx>
        <c:axId val="301682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82624"/>
        <c:crosses val="autoZero"/>
        <c:auto val="0"/>
        <c:lblAlgn val="ctr"/>
        <c:lblOffset val="100"/>
        <c:noMultiLvlLbl val="1"/>
      </c:catAx>
      <c:valAx>
        <c:axId val="30168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8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687664"/>
        <c:axId val="30168822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87664"/>
        <c:axId val="301688224"/>
      </c:lineChart>
      <c:catAx>
        <c:axId val="30168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88224"/>
        <c:crosses val="autoZero"/>
        <c:auto val="1"/>
        <c:lblAlgn val="ctr"/>
        <c:lblOffset val="100"/>
        <c:noMultiLvlLbl val="1"/>
      </c:catAx>
      <c:valAx>
        <c:axId val="301688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687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4063712"/>
        <c:axId val="30406427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63712"/>
        <c:axId val="304064272"/>
      </c:lineChart>
      <c:catAx>
        <c:axId val="30406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64272"/>
        <c:crosses val="autoZero"/>
        <c:auto val="1"/>
        <c:lblAlgn val="ctr"/>
        <c:lblOffset val="100"/>
        <c:noMultiLvlLbl val="1"/>
      </c:catAx>
      <c:valAx>
        <c:axId val="304064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63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4069872"/>
        <c:axId val="30407043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69872"/>
        <c:axId val="304070432"/>
      </c:lineChart>
      <c:catAx>
        <c:axId val="304069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70432"/>
        <c:crosses val="autoZero"/>
        <c:auto val="1"/>
        <c:lblAlgn val="ctr"/>
        <c:lblOffset val="100"/>
        <c:noMultiLvlLbl val="1"/>
      </c:catAx>
      <c:valAx>
        <c:axId val="3040704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698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4075472"/>
        <c:axId val="30407603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75472"/>
        <c:axId val="304076032"/>
      </c:lineChart>
      <c:catAx>
        <c:axId val="304075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76032"/>
        <c:crosses val="autoZero"/>
        <c:auto val="1"/>
        <c:lblAlgn val="ctr"/>
        <c:lblOffset val="100"/>
        <c:noMultiLvlLbl val="1"/>
      </c:catAx>
      <c:valAx>
        <c:axId val="3040760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0754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4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5" Type="http://schemas.openxmlformats.org/officeDocument/2006/relationships/chart" Target="../charts/chart69.xml"/><Relationship Id="rId4" Type="http://schemas.openxmlformats.org/officeDocument/2006/relationships/chart" Target="../charts/chart6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966787</xdr:colOff>
      <xdr:row>84</xdr:row>
      <xdr:rowOff>100012</xdr:rowOff>
    </xdr:from>
    <xdr:to>
      <xdr:col>17</xdr:col>
      <xdr:colOff>523875</xdr:colOff>
      <xdr:row>112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24850</xdr:colOff>
      <xdr:row>91</xdr:row>
      <xdr:rowOff>15737</xdr:rowOff>
    </xdr:from>
    <xdr:to>
      <xdr:col>14</xdr:col>
      <xdr:colOff>1</xdr:colOff>
      <xdr:row>106</xdr:row>
      <xdr:rowOff>115957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35</xdr:row>
      <xdr:rowOff>19255</xdr:rowOff>
    </xdr:from>
    <xdr:to>
      <xdr:col>16</xdr:col>
      <xdr:colOff>66261</xdr:colOff>
      <xdr:row>50</xdr:row>
      <xdr:rowOff>87381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8283</xdr:colOff>
      <xdr:row>91</xdr:row>
      <xdr:rowOff>7453</xdr:rowOff>
    </xdr:from>
    <xdr:to>
      <xdr:col>12</xdr:col>
      <xdr:colOff>165652</xdr:colOff>
      <xdr:row>107</xdr:row>
      <xdr:rowOff>173934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24849</xdr:colOff>
      <xdr:row>51</xdr:row>
      <xdr:rowOff>2690</xdr:rowOff>
    </xdr:from>
    <xdr:to>
      <xdr:col>8</xdr:col>
      <xdr:colOff>184703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612912</xdr:colOff>
      <xdr:row>91</xdr:row>
      <xdr:rowOff>124240</xdr:rowOff>
    </xdr:from>
    <xdr:to>
      <xdr:col>12</xdr:col>
      <xdr:colOff>438977</xdr:colOff>
      <xdr:row>109</xdr:row>
      <xdr:rowOff>182218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538370</xdr:colOff>
      <xdr:row>92</xdr:row>
      <xdr:rowOff>149086</xdr:rowOff>
    </xdr:from>
    <xdr:to>
      <xdr:col>14</xdr:col>
      <xdr:colOff>364435</xdr:colOff>
      <xdr:row>111</xdr:row>
      <xdr:rowOff>16564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B16" workbookViewId="0">
      <selection activeCell="O43" sqref="O43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68" t="s">
        <v>0</v>
      </c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25" s="10" customFormat="1" x14ac:dyDescent="0.25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0" t="s">
        <v>2</v>
      </c>
      <c r="C3" s="76" t="s">
        <v>3</v>
      </c>
      <c r="D3" s="77"/>
      <c r="E3" s="77"/>
      <c r="F3" s="77"/>
      <c r="G3" s="77"/>
      <c r="H3" s="77"/>
      <c r="I3" s="77"/>
      <c r="J3" s="77"/>
      <c r="K3" s="77"/>
      <c r="L3" s="77"/>
      <c r="M3" s="77"/>
      <c r="N3" s="77" t="s">
        <v>4</v>
      </c>
      <c r="O3" s="77"/>
      <c r="P3" s="77"/>
      <c r="Q3" s="77"/>
      <c r="R3" s="77"/>
      <c r="S3" s="77"/>
      <c r="T3" s="77"/>
      <c r="U3" s="77"/>
      <c r="V3" s="77"/>
      <c r="W3" s="77"/>
      <c r="X3" s="77"/>
      <c r="Y3" s="78"/>
    </row>
    <row r="4" spans="1:25" ht="15.75" x14ac:dyDescent="0.25">
      <c r="C4" s="73" t="s">
        <v>5</v>
      </c>
      <c r="D4" s="73"/>
      <c r="E4" s="73"/>
      <c r="F4" s="73" t="s">
        <v>6</v>
      </c>
      <c r="G4" s="73"/>
      <c r="H4" s="73" t="s">
        <v>7</v>
      </c>
      <c r="I4" s="73"/>
      <c r="J4" s="73" t="s">
        <v>8</v>
      </c>
      <c r="K4" s="73"/>
      <c r="L4" s="70" t="s">
        <v>9</v>
      </c>
      <c r="M4" s="71"/>
      <c r="N4" s="71" t="s">
        <v>10</v>
      </c>
      <c r="O4" s="72"/>
      <c r="P4" s="73" t="s">
        <v>11</v>
      </c>
      <c r="Q4" s="73"/>
      <c r="R4" s="73" t="s">
        <v>12</v>
      </c>
      <c r="S4" s="73"/>
      <c r="T4" s="73" t="s">
        <v>13</v>
      </c>
      <c r="U4" s="73"/>
      <c r="V4" s="73" t="s">
        <v>14</v>
      </c>
      <c r="W4" s="73"/>
      <c r="X4" s="73" t="s">
        <v>15</v>
      </c>
      <c r="Y4" s="73"/>
    </row>
    <row r="5" spans="1:25" s="6" customFormat="1" ht="12.75" x14ac:dyDescent="0.2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4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4</v>
      </c>
      <c r="N7" s="44">
        <f>SUM('Sprint 5'!C6:I6)</f>
        <v>6</v>
      </c>
      <c r="O7" s="22">
        <f>SUM('Sprint 5'!J6:P6)</f>
        <v>11</v>
      </c>
      <c r="P7" s="22">
        <f>SUM('Sprint 6'!C6:I6)</f>
        <v>9</v>
      </c>
      <c r="Q7" s="22">
        <f>SUM('Sprint 6'!J6:P6)</f>
        <v>9</v>
      </c>
      <c r="R7" s="22">
        <f>SUM('Sprint 7'!C6:I6)</f>
        <v>10</v>
      </c>
      <c r="S7" s="22">
        <f>SUM('Sprint 7'!J6:P6)</f>
        <v>6</v>
      </c>
      <c r="T7" s="22">
        <f>SUM('Sprint 8'!C6:I6)</f>
        <v>7</v>
      </c>
      <c r="U7" s="22">
        <f>SUM('Sprint 8'!J6:P6)</f>
        <v>13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4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0</v>
      </c>
      <c r="M8" s="24">
        <f>SUM('Sprint 4'!J7:P7)</f>
        <v>0</v>
      </c>
      <c r="N8" s="44">
        <f>SUM('Sprint 5'!C7:I7)</f>
        <v>6</v>
      </c>
      <c r="O8" s="22">
        <f>SUM('Sprint 5'!J7:P7)</f>
        <v>10</v>
      </c>
      <c r="P8" s="22">
        <f>SUM('Sprint 6'!C7:I7)</f>
        <v>7</v>
      </c>
      <c r="Q8" s="22">
        <f>SUM('Sprint 6'!J7:P7)</f>
        <v>10</v>
      </c>
      <c r="R8" s="22">
        <f>SUM('Sprint 7'!C7:I7)</f>
        <v>10</v>
      </c>
      <c r="S8" s="22">
        <f>SUM('Sprint 7'!J7:P7)</f>
        <v>7</v>
      </c>
      <c r="T8" s="22">
        <f>SUM('Sprint 8'!C7:I7)</f>
        <v>8</v>
      </c>
      <c r="U8" s="22">
        <f>SUM('Sprint 8'!J7:P7)</f>
        <v>12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4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0</v>
      </c>
      <c r="M9" s="24">
        <f>SUM('Sprint 4'!J8:P8)</f>
        <v>0</v>
      </c>
      <c r="N9" s="44">
        <f>SUM('Sprint 5'!C8:I8)</f>
        <v>8</v>
      </c>
      <c r="O9" s="22">
        <f>SUM('Sprint 5'!J8:P8)</f>
        <v>8</v>
      </c>
      <c r="P9" s="22">
        <f>SUM('Sprint 6'!C8:I8)</f>
        <v>7</v>
      </c>
      <c r="Q9" s="22">
        <f>SUM('Sprint 6'!J8:P8)</f>
        <v>12</v>
      </c>
      <c r="R9" s="22">
        <f>SUM('Sprint 7'!C8:I8)</f>
        <v>7</v>
      </c>
      <c r="S9" s="22">
        <f>SUM('Sprint 7'!J8:P8)</f>
        <v>9</v>
      </c>
      <c r="T9" s="22">
        <f>SUM('Sprint 8'!C8:I8)</f>
        <v>5</v>
      </c>
      <c r="U9" s="22">
        <f>SUM('Sprint 8'!J8:P8)</f>
        <v>13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4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12</v>
      </c>
      <c r="N10" s="44">
        <f>SUM('Sprint 5'!C9:I9)</f>
        <v>6</v>
      </c>
      <c r="O10" s="22">
        <f>SUM('Sprint 5'!J9:P9)</f>
        <v>8</v>
      </c>
      <c r="P10" s="22">
        <f>SUM('Sprint 6'!C9:I9)</f>
        <v>8</v>
      </c>
      <c r="Q10" s="22">
        <f>SUM('Sprint 6'!J9:P9)</f>
        <v>9</v>
      </c>
      <c r="R10" s="22">
        <f>SUM('Sprint 7'!C9:I9)</f>
        <v>8</v>
      </c>
      <c r="S10" s="22">
        <f>SUM('Sprint 7'!J9:P9)</f>
        <v>8</v>
      </c>
      <c r="T10" s="22">
        <f>SUM('Sprint 8'!C9:I9)</f>
        <v>7</v>
      </c>
      <c r="U10" s="22">
        <f>SUM('Sprint 8'!J9:P9)</f>
        <v>12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4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19</v>
      </c>
      <c r="M11" s="21">
        <f t="shared" si="2"/>
        <v>16</v>
      </c>
      <c r="N11" s="46">
        <f>SUM(N7:N10)</f>
        <v>26</v>
      </c>
      <c r="O11" s="64">
        <f t="shared" ref="O11:Y11" si="3">SUM(O7:O10)</f>
        <v>37</v>
      </c>
      <c r="P11" s="64">
        <f t="shared" si="3"/>
        <v>31</v>
      </c>
      <c r="Q11" s="64">
        <f t="shared" si="3"/>
        <v>40</v>
      </c>
      <c r="R11" s="64">
        <f t="shared" si="3"/>
        <v>35</v>
      </c>
      <c r="S11" s="64">
        <f t="shared" si="3"/>
        <v>30</v>
      </c>
      <c r="T11" s="64">
        <f t="shared" si="3"/>
        <v>27</v>
      </c>
      <c r="U11" s="64">
        <f t="shared" si="3"/>
        <v>50</v>
      </c>
      <c r="V11" s="64">
        <f t="shared" si="3"/>
        <v>0</v>
      </c>
      <c r="W11" s="64">
        <f t="shared" si="3"/>
        <v>0</v>
      </c>
      <c r="X11" s="64">
        <f t="shared" si="3"/>
        <v>0</v>
      </c>
      <c r="Y11" s="64">
        <f t="shared" si="3"/>
        <v>0</v>
      </c>
    </row>
    <row r="12" spans="1:25" x14ac:dyDescent="0.25">
      <c r="A12" s="6"/>
      <c r="M12" s="47"/>
      <c r="N12" s="48"/>
    </row>
    <row r="13" spans="1:25" x14ac:dyDescent="0.25">
      <c r="A13" s="74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0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4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0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4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0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4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0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4"/>
      <c r="B17" s="9" t="s">
        <v>19</v>
      </c>
      <c r="C17" s="21">
        <f t="shared" ref="C17:M17" si="4" xml:space="preserve"> SUM(C13:C16)</f>
        <v>0</v>
      </c>
      <c r="D17" s="21">
        <f t="shared" si="4"/>
        <v>0</v>
      </c>
      <c r="E17" s="21">
        <f t="shared" si="4"/>
        <v>4</v>
      </c>
      <c r="F17" s="21">
        <f t="shared" si="4"/>
        <v>0</v>
      </c>
      <c r="G17" s="21">
        <f t="shared" si="4"/>
        <v>0</v>
      </c>
      <c r="H17" s="21">
        <f t="shared" si="4"/>
        <v>0</v>
      </c>
      <c r="I17" s="21">
        <f t="shared" si="4"/>
        <v>0</v>
      </c>
      <c r="J17" s="21">
        <f t="shared" si="4"/>
        <v>0</v>
      </c>
      <c r="K17" s="21">
        <f t="shared" si="4"/>
        <v>0</v>
      </c>
      <c r="L17" s="21">
        <f t="shared" si="4"/>
        <v>0</v>
      </c>
      <c r="M17" s="21">
        <f t="shared" si="4"/>
        <v>0</v>
      </c>
      <c r="N17" s="46">
        <f t="shared" ref="N17:Y17" si="5">SUM(N13:N16)</f>
        <v>0</v>
      </c>
      <c r="O17" s="64">
        <f t="shared" si="5"/>
        <v>0</v>
      </c>
      <c r="P17" s="64">
        <f t="shared" si="5"/>
        <v>0</v>
      </c>
      <c r="Q17" s="64">
        <f t="shared" si="5"/>
        <v>0</v>
      </c>
      <c r="R17" s="64">
        <f t="shared" si="5"/>
        <v>0</v>
      </c>
      <c r="S17" s="64">
        <f t="shared" si="5"/>
        <v>0</v>
      </c>
      <c r="T17" s="64">
        <f t="shared" si="5"/>
        <v>0</v>
      </c>
      <c r="U17" s="64">
        <f t="shared" si="5"/>
        <v>0</v>
      </c>
      <c r="V17" s="64">
        <f t="shared" si="5"/>
        <v>0</v>
      </c>
      <c r="W17" s="64">
        <f t="shared" si="5"/>
        <v>0</v>
      </c>
      <c r="X17" s="64">
        <f t="shared" si="5"/>
        <v>0</v>
      </c>
      <c r="Y17" s="64">
        <f t="shared" si="5"/>
        <v>0</v>
      </c>
    </row>
    <row r="18" spans="1:25" x14ac:dyDescent="0.25">
      <c r="M18" s="47"/>
      <c r="N18" s="48"/>
    </row>
    <row r="19" spans="1:25" x14ac:dyDescent="0.25">
      <c r="A19" s="75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6" xml:space="preserve"> D19 + E7 + E13</f>
        <v>16.25</v>
      </c>
      <c r="F19" s="24">
        <f t="shared" si="6"/>
        <v>22.75</v>
      </c>
      <c r="G19" s="24">
        <f t="shared" si="6"/>
        <v>24.75</v>
      </c>
      <c r="H19" s="24">
        <f t="shared" si="6"/>
        <v>30.75</v>
      </c>
      <c r="I19" s="24">
        <f t="shared" si="6"/>
        <v>38.75</v>
      </c>
      <c r="J19" s="24">
        <f t="shared" si="6"/>
        <v>51</v>
      </c>
      <c r="K19" s="24">
        <f t="shared" si="6"/>
        <v>61.5</v>
      </c>
      <c r="L19" s="24">
        <f t="shared" si="6"/>
        <v>72</v>
      </c>
      <c r="M19" s="24">
        <f t="shared" si="6"/>
        <v>76</v>
      </c>
      <c r="N19" s="24">
        <f t="shared" si="6"/>
        <v>82</v>
      </c>
      <c r="O19" s="24">
        <f t="shared" si="6"/>
        <v>93</v>
      </c>
      <c r="P19" s="24">
        <f t="shared" si="6"/>
        <v>102</v>
      </c>
      <c r="Q19" s="24">
        <f t="shared" si="6"/>
        <v>111</v>
      </c>
      <c r="R19" s="24">
        <f t="shared" si="6"/>
        <v>121</v>
      </c>
      <c r="S19" s="24">
        <f t="shared" si="6"/>
        <v>127</v>
      </c>
      <c r="T19" s="24">
        <f t="shared" si="6"/>
        <v>134</v>
      </c>
      <c r="U19" s="24">
        <f t="shared" si="6"/>
        <v>147</v>
      </c>
      <c r="V19" s="24">
        <f t="shared" si="6"/>
        <v>147</v>
      </c>
      <c r="W19" s="24">
        <f t="shared" si="6"/>
        <v>147</v>
      </c>
      <c r="X19" s="24">
        <f t="shared" si="6"/>
        <v>147</v>
      </c>
      <c r="Y19" s="24">
        <f t="shared" si="6"/>
        <v>147</v>
      </c>
    </row>
    <row r="20" spans="1:25" x14ac:dyDescent="0.25">
      <c r="A20" s="75"/>
      <c r="B20" s="8" t="str">
        <f xml:space="preserve"> CONCATENATE(Setup!$B$8, ", ", LEFT(Setup!$C$8,2))</f>
        <v>Schroeder, RS</v>
      </c>
      <c r="C20" s="24">
        <f xml:space="preserve"> C8 + C14</f>
        <v>4.25</v>
      </c>
      <c r="D20" s="24">
        <f xml:space="preserve"> C20 + D8 + D14</f>
        <v>8.75</v>
      </c>
      <c r="E20" s="24">
        <f t="shared" ref="E20:S20" si="7" xml:space="preserve"> D20 + E8 + E14</f>
        <v>14.75</v>
      </c>
      <c r="F20" s="24">
        <f t="shared" si="7"/>
        <v>21.25</v>
      </c>
      <c r="G20" s="24">
        <f t="shared" si="7"/>
        <v>24</v>
      </c>
      <c r="H20" s="24">
        <f t="shared" si="7"/>
        <v>30</v>
      </c>
      <c r="I20" s="24">
        <f t="shared" si="7"/>
        <v>38</v>
      </c>
      <c r="J20" s="24">
        <f t="shared" si="7"/>
        <v>43.5</v>
      </c>
      <c r="K20" s="24">
        <f t="shared" si="7"/>
        <v>57.5</v>
      </c>
      <c r="L20" s="24">
        <f t="shared" si="7"/>
        <v>57.5</v>
      </c>
      <c r="M20" s="24">
        <f t="shared" si="7"/>
        <v>57.5</v>
      </c>
      <c r="N20" s="24">
        <f t="shared" si="7"/>
        <v>63.5</v>
      </c>
      <c r="O20" s="24">
        <f t="shared" si="7"/>
        <v>73.5</v>
      </c>
      <c r="P20" s="24">
        <f t="shared" si="7"/>
        <v>80.5</v>
      </c>
      <c r="Q20" s="24">
        <f t="shared" si="7"/>
        <v>90.5</v>
      </c>
      <c r="R20" s="24">
        <f t="shared" si="7"/>
        <v>100.5</v>
      </c>
      <c r="S20" s="24">
        <f t="shared" si="7"/>
        <v>107.5</v>
      </c>
      <c r="T20" s="24">
        <f t="shared" si="6"/>
        <v>115.5</v>
      </c>
      <c r="U20" s="24">
        <f t="shared" si="6"/>
        <v>127.5</v>
      </c>
      <c r="V20" s="24">
        <f t="shared" si="6"/>
        <v>127.5</v>
      </c>
      <c r="W20" s="24">
        <f t="shared" si="6"/>
        <v>127.5</v>
      </c>
      <c r="X20" s="24">
        <f t="shared" si="6"/>
        <v>127.5</v>
      </c>
      <c r="Y20" s="24">
        <f t="shared" si="6"/>
        <v>127.5</v>
      </c>
    </row>
    <row r="21" spans="1:25" x14ac:dyDescent="0.25">
      <c r="A21" s="75"/>
      <c r="B21" s="8" t="str">
        <f xml:space="preserve"> CONCATENATE(Setup!$B$9, ", ", LEFT(Setup!$C$9,2))</f>
        <v>Martz, NM</v>
      </c>
      <c r="C21" s="24">
        <f xml:space="preserve"> C9 + C15</f>
        <v>5.25</v>
      </c>
      <c r="D21" s="24">
        <f xml:space="preserve"> C21 + D9 + D15</f>
        <v>10.75</v>
      </c>
      <c r="E21" s="24">
        <f t="shared" si="6"/>
        <v>17.25</v>
      </c>
      <c r="F21" s="24">
        <f t="shared" si="6"/>
        <v>24.25</v>
      </c>
      <c r="G21" s="24">
        <f t="shared" si="6"/>
        <v>26.75</v>
      </c>
      <c r="H21" s="24">
        <f t="shared" si="6"/>
        <v>37.75</v>
      </c>
      <c r="I21" s="24">
        <f t="shared" si="6"/>
        <v>47</v>
      </c>
      <c r="J21" s="24">
        <f t="shared" si="6"/>
        <v>57</v>
      </c>
      <c r="K21" s="24">
        <f t="shared" si="6"/>
        <v>65</v>
      </c>
      <c r="L21" s="24">
        <f t="shared" si="6"/>
        <v>65</v>
      </c>
      <c r="M21" s="24">
        <f t="shared" si="6"/>
        <v>65</v>
      </c>
      <c r="N21" s="24">
        <f t="shared" si="6"/>
        <v>73</v>
      </c>
      <c r="O21" s="24">
        <f t="shared" si="6"/>
        <v>81</v>
      </c>
      <c r="P21" s="24">
        <f t="shared" si="6"/>
        <v>88</v>
      </c>
      <c r="Q21" s="24">
        <f t="shared" si="6"/>
        <v>100</v>
      </c>
      <c r="R21" s="24">
        <f t="shared" si="6"/>
        <v>107</v>
      </c>
      <c r="S21" s="24">
        <f t="shared" si="6"/>
        <v>116</v>
      </c>
      <c r="T21" s="24">
        <f t="shared" si="6"/>
        <v>121</v>
      </c>
      <c r="U21" s="24">
        <f t="shared" si="6"/>
        <v>134</v>
      </c>
      <c r="V21" s="24">
        <f t="shared" si="6"/>
        <v>134</v>
      </c>
      <c r="W21" s="24">
        <f t="shared" si="6"/>
        <v>134</v>
      </c>
      <c r="X21" s="24">
        <f t="shared" si="6"/>
        <v>134</v>
      </c>
      <c r="Y21" s="24">
        <f t="shared" si="6"/>
        <v>134</v>
      </c>
    </row>
    <row r="22" spans="1:25" x14ac:dyDescent="0.25">
      <c r="A22" s="75"/>
      <c r="B22" s="8" t="str">
        <f xml:space="preserve"> CONCATENATE(Setup!$B$10, ", ", LEFT(Setup!$C$10,2))</f>
        <v>Glosecki, MG</v>
      </c>
      <c r="C22" s="24">
        <f xml:space="preserve"> C10 + C16</f>
        <v>3</v>
      </c>
      <c r="D22" s="24">
        <f xml:space="preserve"> C22 + D10 + D16</f>
        <v>8</v>
      </c>
      <c r="E22" s="24">
        <f t="shared" si="6"/>
        <v>13.5</v>
      </c>
      <c r="F22" s="24">
        <f t="shared" si="6"/>
        <v>18.5</v>
      </c>
      <c r="G22" s="24">
        <f t="shared" si="6"/>
        <v>20.5</v>
      </c>
      <c r="H22" s="24">
        <f t="shared" si="6"/>
        <v>23.5</v>
      </c>
      <c r="I22" s="24">
        <f t="shared" si="6"/>
        <v>32.75</v>
      </c>
      <c r="J22" s="24">
        <f t="shared" si="6"/>
        <v>40.75</v>
      </c>
      <c r="K22" s="24">
        <f t="shared" si="6"/>
        <v>50.25</v>
      </c>
      <c r="L22" s="24">
        <f t="shared" si="6"/>
        <v>58.75</v>
      </c>
      <c r="M22" s="24">
        <f t="shared" si="6"/>
        <v>70.75</v>
      </c>
      <c r="N22" s="24">
        <f t="shared" si="6"/>
        <v>76.75</v>
      </c>
      <c r="O22" s="24">
        <f t="shared" si="6"/>
        <v>84.75</v>
      </c>
      <c r="P22" s="24">
        <f t="shared" si="6"/>
        <v>92.75</v>
      </c>
      <c r="Q22" s="24">
        <f t="shared" si="6"/>
        <v>101.75</v>
      </c>
      <c r="R22" s="24">
        <f t="shared" si="6"/>
        <v>109.75</v>
      </c>
      <c r="S22" s="24">
        <f t="shared" si="6"/>
        <v>117.75</v>
      </c>
      <c r="T22" s="24">
        <f t="shared" si="6"/>
        <v>124.75</v>
      </c>
      <c r="U22" s="24">
        <f t="shared" si="6"/>
        <v>136.75</v>
      </c>
      <c r="V22" s="24">
        <f t="shared" si="6"/>
        <v>136.75</v>
      </c>
      <c r="W22" s="24">
        <f t="shared" si="6"/>
        <v>136.75</v>
      </c>
      <c r="X22" s="24">
        <f t="shared" si="6"/>
        <v>136.75</v>
      </c>
      <c r="Y22" s="24">
        <f t="shared" si="6"/>
        <v>136.75</v>
      </c>
    </row>
    <row r="23" spans="1:25" ht="15.75" x14ac:dyDescent="0.25">
      <c r="A23" s="75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8" xml:space="preserve"> D23 + E11 + E17</f>
        <v>61.75</v>
      </c>
      <c r="F23" s="21">
        <f t="shared" si="8"/>
        <v>86.75</v>
      </c>
      <c r="G23" s="21">
        <f t="shared" si="8"/>
        <v>96</v>
      </c>
      <c r="H23" s="21">
        <f t="shared" si="8"/>
        <v>122</v>
      </c>
      <c r="I23" s="21">
        <f t="shared" si="8"/>
        <v>156.5</v>
      </c>
      <c r="J23" s="21">
        <f t="shared" si="8"/>
        <v>192.25</v>
      </c>
      <c r="K23" s="21">
        <f t="shared" si="8"/>
        <v>234.25</v>
      </c>
      <c r="L23" s="21">
        <f t="shared" si="8"/>
        <v>253.25</v>
      </c>
      <c r="M23" s="45">
        <f t="shared" si="8"/>
        <v>269.25</v>
      </c>
      <c r="N23" s="46">
        <f t="shared" si="8"/>
        <v>295.25</v>
      </c>
      <c r="O23" s="21">
        <f t="shared" si="8"/>
        <v>332.25</v>
      </c>
      <c r="P23" s="21">
        <f t="shared" si="8"/>
        <v>363.25</v>
      </c>
      <c r="Q23" s="21">
        <f t="shared" si="8"/>
        <v>403.25</v>
      </c>
      <c r="R23" s="21">
        <f t="shared" si="8"/>
        <v>438.25</v>
      </c>
      <c r="S23" s="21">
        <f t="shared" si="8"/>
        <v>468.25</v>
      </c>
      <c r="T23" s="21">
        <f t="shared" si="8"/>
        <v>495.25</v>
      </c>
      <c r="U23" s="21">
        <f t="shared" si="8"/>
        <v>545.25</v>
      </c>
      <c r="V23" s="21">
        <f t="shared" si="8"/>
        <v>545.25</v>
      </c>
      <c r="W23" s="21">
        <f t="shared" si="8"/>
        <v>545.25</v>
      </c>
      <c r="X23" s="21">
        <f t="shared" si="8"/>
        <v>545.25</v>
      </c>
      <c r="Y23" s="21">
        <f t="shared" si="8"/>
        <v>545.25</v>
      </c>
    </row>
    <row r="24" spans="1:25" ht="15.75" x14ac:dyDescent="0.25">
      <c r="A24" s="19"/>
      <c r="B24" s="20"/>
      <c r="M24" s="47"/>
      <c r="N24" s="48"/>
    </row>
    <row r="25" spans="1:25" x14ac:dyDescent="0.25">
      <c r="A25" s="75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xml:space="preserve"> D19 / D$6</f>
        <v>4.875</v>
      </c>
      <c r="E25" s="28">
        <f xml:space="preserve"> E19 / E$6</f>
        <v>5.416666666666667</v>
      </c>
      <c r="F25" s="28">
        <f t="shared" ref="F25:Y25" si="9" xml:space="preserve"> F19 / F$6</f>
        <v>5.6875</v>
      </c>
      <c r="G25" s="28">
        <f t="shared" si="9"/>
        <v>4.95</v>
      </c>
      <c r="H25" s="28">
        <f t="shared" si="9"/>
        <v>5.125</v>
      </c>
      <c r="I25" s="28">
        <f t="shared" si="9"/>
        <v>5.5357142857142856</v>
      </c>
      <c r="J25" s="28">
        <f t="shared" si="9"/>
        <v>6.375</v>
      </c>
      <c r="K25" s="28">
        <f t="shared" si="9"/>
        <v>6.833333333333333</v>
      </c>
      <c r="L25" s="28">
        <f t="shared" si="9"/>
        <v>7.2</v>
      </c>
      <c r="M25" s="49">
        <f t="shared" si="9"/>
        <v>6.9090909090909092</v>
      </c>
      <c r="N25" s="50">
        <f t="shared" si="9"/>
        <v>6.833333333333333</v>
      </c>
      <c r="O25" s="28">
        <f t="shared" si="9"/>
        <v>7.1538461538461542</v>
      </c>
      <c r="P25" s="28">
        <f t="shared" si="9"/>
        <v>7.2857142857142856</v>
      </c>
      <c r="Q25" s="28">
        <f t="shared" si="9"/>
        <v>7.4</v>
      </c>
      <c r="R25" s="28">
        <f t="shared" si="9"/>
        <v>7.5625</v>
      </c>
      <c r="S25" s="28">
        <f t="shared" si="9"/>
        <v>7.4705882352941178</v>
      </c>
      <c r="T25" s="28">
        <f t="shared" si="9"/>
        <v>7.4444444444444446</v>
      </c>
      <c r="U25" s="28">
        <f t="shared" si="9"/>
        <v>7.7368421052631575</v>
      </c>
      <c r="V25" s="28">
        <f t="shared" si="9"/>
        <v>7.35</v>
      </c>
      <c r="W25" s="28">
        <f t="shared" si="9"/>
        <v>7</v>
      </c>
      <c r="X25" s="28">
        <f t="shared" si="9"/>
        <v>6.6818181818181817</v>
      </c>
      <c r="Y25" s="28">
        <f t="shared" si="9"/>
        <v>6.3913043478260869</v>
      </c>
    </row>
    <row r="26" spans="1:25" x14ac:dyDescent="0.25">
      <c r="A26" s="75"/>
      <c r="B26" s="8" t="str">
        <f xml:space="preserve"> CONCATENATE(Setup!$B$8, ", ", LEFT(Setup!$C$8,2))</f>
        <v>Schroeder, RS</v>
      </c>
      <c r="C26" s="28">
        <f t="shared" ref="C26:E29" si="10" xml:space="preserve"> C20 / C$6</f>
        <v>4.25</v>
      </c>
      <c r="D26" s="28">
        <f t="shared" si="10"/>
        <v>4.375</v>
      </c>
      <c r="E26" s="28">
        <f t="shared" si="10"/>
        <v>4.916666666666667</v>
      </c>
      <c r="F26" s="28">
        <f t="shared" ref="F26:Y26" si="11" xml:space="preserve"> F20 / F$6</f>
        <v>5.3125</v>
      </c>
      <c r="G26" s="28">
        <f t="shared" si="11"/>
        <v>4.8</v>
      </c>
      <c r="H26" s="28">
        <f t="shared" si="11"/>
        <v>5</v>
      </c>
      <c r="I26" s="28">
        <f t="shared" si="11"/>
        <v>5.4285714285714288</v>
      </c>
      <c r="J26" s="28">
        <f t="shared" si="11"/>
        <v>5.4375</v>
      </c>
      <c r="K26" s="28">
        <f t="shared" si="11"/>
        <v>6.3888888888888893</v>
      </c>
      <c r="L26" s="28">
        <f t="shared" si="11"/>
        <v>5.75</v>
      </c>
      <c r="M26" s="49">
        <f t="shared" si="11"/>
        <v>5.2272727272727275</v>
      </c>
      <c r="N26" s="50">
        <f t="shared" si="11"/>
        <v>5.291666666666667</v>
      </c>
      <c r="O26" s="28">
        <f t="shared" si="11"/>
        <v>5.6538461538461542</v>
      </c>
      <c r="P26" s="28">
        <f t="shared" si="11"/>
        <v>5.75</v>
      </c>
      <c r="Q26" s="28">
        <f t="shared" si="11"/>
        <v>6.0333333333333332</v>
      </c>
      <c r="R26" s="28">
        <f t="shared" si="11"/>
        <v>6.28125</v>
      </c>
      <c r="S26" s="28">
        <f t="shared" si="11"/>
        <v>6.3235294117647056</v>
      </c>
      <c r="T26" s="28">
        <f t="shared" si="11"/>
        <v>6.416666666666667</v>
      </c>
      <c r="U26" s="28">
        <f t="shared" si="11"/>
        <v>6.7105263157894735</v>
      </c>
      <c r="V26" s="28">
        <f t="shared" si="11"/>
        <v>6.375</v>
      </c>
      <c r="W26" s="28">
        <f t="shared" si="11"/>
        <v>6.0714285714285712</v>
      </c>
      <c r="X26" s="28">
        <f t="shared" si="11"/>
        <v>5.7954545454545459</v>
      </c>
      <c r="Y26" s="28">
        <f t="shared" si="11"/>
        <v>5.5434782608695654</v>
      </c>
    </row>
    <row r="27" spans="1:25" x14ac:dyDescent="0.25">
      <c r="A27" s="75"/>
      <c r="B27" s="8" t="str">
        <f xml:space="preserve"> CONCATENATE(Setup!$B$9, ", ", LEFT(Setup!$C$9,2))</f>
        <v>Martz, NM</v>
      </c>
      <c r="C27" s="28">
        <f t="shared" si="10"/>
        <v>5.25</v>
      </c>
      <c r="D27" s="28">
        <f t="shared" si="10"/>
        <v>5.375</v>
      </c>
      <c r="E27" s="28">
        <f t="shared" si="10"/>
        <v>5.75</v>
      </c>
      <c r="F27" s="28">
        <f t="shared" ref="F27:Y27" si="12" xml:space="preserve"> F21 / F$6</f>
        <v>6.0625</v>
      </c>
      <c r="G27" s="28">
        <f t="shared" si="12"/>
        <v>5.35</v>
      </c>
      <c r="H27" s="28">
        <f t="shared" si="12"/>
        <v>6.291666666666667</v>
      </c>
      <c r="I27" s="28">
        <f t="shared" si="12"/>
        <v>6.7142857142857144</v>
      </c>
      <c r="J27" s="28">
        <f t="shared" si="12"/>
        <v>7.125</v>
      </c>
      <c r="K27" s="28">
        <f t="shared" si="12"/>
        <v>7.2222222222222223</v>
      </c>
      <c r="L27" s="28">
        <f t="shared" si="12"/>
        <v>6.5</v>
      </c>
      <c r="M27" s="49">
        <f t="shared" si="12"/>
        <v>5.9090909090909092</v>
      </c>
      <c r="N27" s="50">
        <f t="shared" si="12"/>
        <v>6.083333333333333</v>
      </c>
      <c r="O27" s="28">
        <f t="shared" si="12"/>
        <v>6.2307692307692308</v>
      </c>
      <c r="P27" s="28">
        <f t="shared" si="12"/>
        <v>6.2857142857142856</v>
      </c>
      <c r="Q27" s="28">
        <f t="shared" si="12"/>
        <v>6.666666666666667</v>
      </c>
      <c r="R27" s="28">
        <f t="shared" si="12"/>
        <v>6.6875</v>
      </c>
      <c r="S27" s="28">
        <f t="shared" si="12"/>
        <v>6.8235294117647056</v>
      </c>
      <c r="T27" s="28">
        <f t="shared" si="12"/>
        <v>6.7222222222222223</v>
      </c>
      <c r="U27" s="28">
        <f t="shared" si="12"/>
        <v>7.0526315789473681</v>
      </c>
      <c r="V27" s="28">
        <f t="shared" si="12"/>
        <v>6.7</v>
      </c>
      <c r="W27" s="28">
        <f t="shared" si="12"/>
        <v>6.3809523809523814</v>
      </c>
      <c r="X27" s="28">
        <f t="shared" si="12"/>
        <v>6.0909090909090908</v>
      </c>
      <c r="Y27" s="28">
        <f t="shared" si="12"/>
        <v>5.8260869565217392</v>
      </c>
    </row>
    <row r="28" spans="1:25" x14ac:dyDescent="0.25">
      <c r="A28" s="75"/>
      <c r="B28" s="8" t="str">
        <f xml:space="preserve"> CONCATENATE(Setup!$B$10, ", ", LEFT(Setup!$C$10,2))</f>
        <v>Glosecki, MG</v>
      </c>
      <c r="C28" s="28">
        <f t="shared" si="10"/>
        <v>3</v>
      </c>
      <c r="D28" s="28">
        <f t="shared" si="10"/>
        <v>4</v>
      </c>
      <c r="E28" s="28">
        <f t="shared" si="10"/>
        <v>4.5</v>
      </c>
      <c r="F28" s="28">
        <f t="shared" ref="F28:Y28" si="13" xml:space="preserve"> F22 / F$6</f>
        <v>4.625</v>
      </c>
      <c r="G28" s="28">
        <f t="shared" si="13"/>
        <v>4.0999999999999996</v>
      </c>
      <c r="H28" s="28">
        <f t="shared" si="13"/>
        <v>3.9166666666666665</v>
      </c>
      <c r="I28" s="28">
        <f t="shared" si="13"/>
        <v>4.6785714285714288</v>
      </c>
      <c r="J28" s="28">
        <f t="shared" si="13"/>
        <v>5.09375</v>
      </c>
      <c r="K28" s="28">
        <f t="shared" si="13"/>
        <v>5.583333333333333</v>
      </c>
      <c r="L28" s="28">
        <f t="shared" si="13"/>
        <v>5.875</v>
      </c>
      <c r="M28" s="49">
        <f t="shared" si="13"/>
        <v>6.4318181818181817</v>
      </c>
      <c r="N28" s="50">
        <f t="shared" si="13"/>
        <v>6.395833333333333</v>
      </c>
      <c r="O28" s="28">
        <f t="shared" si="13"/>
        <v>6.5192307692307692</v>
      </c>
      <c r="P28" s="28">
        <f t="shared" si="13"/>
        <v>6.625</v>
      </c>
      <c r="Q28" s="28">
        <f t="shared" si="13"/>
        <v>6.7833333333333332</v>
      </c>
      <c r="R28" s="28">
        <f t="shared" si="13"/>
        <v>6.859375</v>
      </c>
      <c r="S28" s="28">
        <f t="shared" si="13"/>
        <v>6.9264705882352944</v>
      </c>
      <c r="T28" s="28">
        <f t="shared" si="13"/>
        <v>6.9305555555555554</v>
      </c>
      <c r="U28" s="28">
        <f t="shared" si="13"/>
        <v>7.1973684210526319</v>
      </c>
      <c r="V28" s="28">
        <f t="shared" si="13"/>
        <v>6.8375000000000004</v>
      </c>
      <c r="W28" s="28">
        <f t="shared" si="13"/>
        <v>6.5119047619047619</v>
      </c>
      <c r="X28" s="28">
        <f t="shared" si="13"/>
        <v>6.2159090909090908</v>
      </c>
      <c r="Y28" s="28">
        <f t="shared" si="13"/>
        <v>5.9456521739130439</v>
      </c>
    </row>
    <row r="29" spans="1:25" ht="15.75" x14ac:dyDescent="0.25">
      <c r="A29" s="75"/>
      <c r="B29" s="9" t="s">
        <v>19</v>
      </c>
      <c r="C29" s="29">
        <f t="shared" si="10"/>
        <v>17.25</v>
      </c>
      <c r="D29" s="29">
        <f t="shared" si="10"/>
        <v>18.625</v>
      </c>
      <c r="E29" s="29">
        <f t="shared" si="10"/>
        <v>20.583333333333332</v>
      </c>
      <c r="F29" s="29">
        <f t="shared" ref="F29:Y29" si="14" xml:space="preserve"> F23 / F$6</f>
        <v>21.6875</v>
      </c>
      <c r="G29" s="29">
        <f t="shared" si="14"/>
        <v>19.2</v>
      </c>
      <c r="H29" s="29">
        <f t="shared" si="14"/>
        <v>20.333333333333332</v>
      </c>
      <c r="I29" s="29">
        <f t="shared" si="14"/>
        <v>22.357142857142858</v>
      </c>
      <c r="J29" s="29">
        <f t="shared" si="14"/>
        <v>24.03125</v>
      </c>
      <c r="K29" s="29">
        <f t="shared" si="14"/>
        <v>26.027777777777779</v>
      </c>
      <c r="L29" s="29">
        <f t="shared" si="14"/>
        <v>25.324999999999999</v>
      </c>
      <c r="M29" s="51">
        <f t="shared" si="14"/>
        <v>24.477272727272727</v>
      </c>
      <c r="N29" s="52">
        <f t="shared" si="14"/>
        <v>24.604166666666668</v>
      </c>
      <c r="O29" s="29">
        <f t="shared" si="14"/>
        <v>25.557692307692307</v>
      </c>
      <c r="P29" s="29">
        <f t="shared" si="14"/>
        <v>25.946428571428573</v>
      </c>
      <c r="Q29" s="29">
        <f t="shared" si="14"/>
        <v>26.883333333333333</v>
      </c>
      <c r="R29" s="29">
        <f t="shared" si="14"/>
        <v>27.390625</v>
      </c>
      <c r="S29" s="29">
        <f t="shared" si="14"/>
        <v>27.544117647058822</v>
      </c>
      <c r="T29" s="29">
        <f t="shared" si="14"/>
        <v>27.513888888888889</v>
      </c>
      <c r="U29" s="29">
        <f t="shared" si="14"/>
        <v>28.69736842105263</v>
      </c>
      <c r="V29" s="29">
        <f t="shared" si="14"/>
        <v>27.262499999999999</v>
      </c>
      <c r="W29" s="29">
        <f t="shared" si="14"/>
        <v>25.964285714285715</v>
      </c>
      <c r="X29" s="29">
        <f t="shared" si="14"/>
        <v>24.78409090909091</v>
      </c>
      <c r="Y29" s="29">
        <f t="shared" si="14"/>
        <v>23.706521739130434</v>
      </c>
    </row>
    <row r="78" spans="2:25" x14ac:dyDescent="0.25">
      <c r="B78" t="s">
        <v>23</v>
      </c>
      <c r="C78" t="s">
        <v>24</v>
      </c>
      <c r="D78" t="s">
        <v>25</v>
      </c>
      <c r="E78" t="s">
        <v>26</v>
      </c>
    </row>
    <row r="79" spans="2:25" x14ac:dyDescent="0.25">
      <c r="C79">
        <v>580</v>
      </c>
      <c r="D79" s="24">
        <f>X23</f>
        <v>545.25</v>
      </c>
      <c r="E79">
        <f>C79/Y80</f>
        <v>25.217391304347824</v>
      </c>
    </row>
    <row r="80" spans="2:25" x14ac:dyDescent="0.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 x14ac:dyDescent="0.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15">F23</f>
        <v>86.75</v>
      </c>
      <c r="G81" s="24">
        <f t="shared" si="15"/>
        <v>96</v>
      </c>
      <c r="H81" s="24">
        <f t="shared" si="15"/>
        <v>122</v>
      </c>
      <c r="I81" s="24">
        <f t="shared" si="15"/>
        <v>156.5</v>
      </c>
      <c r="J81" s="24">
        <f t="shared" si="15"/>
        <v>192.25</v>
      </c>
      <c r="K81" s="24">
        <f t="shared" si="15"/>
        <v>234.25</v>
      </c>
      <c r="L81" s="24">
        <f t="shared" si="15"/>
        <v>253.25</v>
      </c>
      <c r="M81" s="24">
        <f t="shared" si="15"/>
        <v>269.25</v>
      </c>
      <c r="N81" s="24">
        <f t="shared" si="15"/>
        <v>295.25</v>
      </c>
      <c r="O81" s="24">
        <f t="shared" si="15"/>
        <v>332.25</v>
      </c>
      <c r="P81" s="24">
        <f t="shared" si="15"/>
        <v>363.25</v>
      </c>
      <c r="Q81" s="24">
        <f t="shared" si="15"/>
        <v>403.25</v>
      </c>
      <c r="R81" s="24">
        <f t="shared" si="15"/>
        <v>438.25</v>
      </c>
      <c r="S81" s="24">
        <f t="shared" si="15"/>
        <v>468.25</v>
      </c>
      <c r="T81" s="24">
        <f t="shared" si="15"/>
        <v>495.25</v>
      </c>
      <c r="U81" s="24">
        <f t="shared" si="15"/>
        <v>545.25</v>
      </c>
      <c r="V81" s="24">
        <f t="shared" si="15"/>
        <v>545.25</v>
      </c>
      <c r="W81" s="24">
        <f t="shared" si="15"/>
        <v>545.25</v>
      </c>
      <c r="X81" s="24">
        <f t="shared" si="15"/>
        <v>545.25</v>
      </c>
      <c r="Y81" s="24">
        <f>Y23</f>
        <v>545.25</v>
      </c>
    </row>
    <row r="82" spans="2:25" x14ac:dyDescent="0.25">
      <c r="B82" t="s">
        <v>29</v>
      </c>
      <c r="C82">
        <f>E79*C80</f>
        <v>25.217391304347824</v>
      </c>
      <c r="D82">
        <f>E79*D80</f>
        <v>50.434782608695649</v>
      </c>
      <c r="E82">
        <f>E79*E80</f>
        <v>75.65217391304347</v>
      </c>
      <c r="F82">
        <f>E79*F80</f>
        <v>100.8695652173913</v>
      </c>
      <c r="G82">
        <f>E79*G80</f>
        <v>126.08695652173913</v>
      </c>
      <c r="H82">
        <f>E79*H80</f>
        <v>151.30434782608694</v>
      </c>
      <c r="I82">
        <f>E79*I80</f>
        <v>176.52173913043478</v>
      </c>
      <c r="J82">
        <f>E79*J80</f>
        <v>201.7391304347826</v>
      </c>
      <c r="K82">
        <f>E79*K80</f>
        <v>226.95652173913041</v>
      </c>
      <c r="L82">
        <f>E79*L80</f>
        <v>252.17391304347825</v>
      </c>
      <c r="M82">
        <f>E79*M80</f>
        <v>277.39130434782606</v>
      </c>
      <c r="N82">
        <f>N80*E79</f>
        <v>302.60869565217388</v>
      </c>
      <c r="O82">
        <f>E79*O80</f>
        <v>327.82608695652169</v>
      </c>
      <c r="P82">
        <f>E79*P80</f>
        <v>353.04347826086956</v>
      </c>
      <c r="Q82">
        <f>E79*Q80</f>
        <v>378.26086956521738</v>
      </c>
      <c r="R82">
        <f>E79*R80</f>
        <v>403.47826086956519</v>
      </c>
      <c r="S82">
        <f>E79*S80</f>
        <v>428.695652173913</v>
      </c>
      <c r="T82">
        <f>E79*T80</f>
        <v>453.91304347826082</v>
      </c>
      <c r="U82">
        <f>E79*U80</f>
        <v>479.13043478260869</v>
      </c>
      <c r="V82">
        <f>E79*V80</f>
        <v>504.3478260869565</v>
      </c>
      <c r="W82">
        <f>E79*W80</f>
        <v>529.56521739130426</v>
      </c>
      <c r="X82">
        <f>E79*X80</f>
        <v>554.78260869565213</v>
      </c>
      <c r="Y82">
        <f>E79*Y80</f>
        <v>580</v>
      </c>
    </row>
    <row r="83" spans="2:25" x14ac:dyDescent="0.25">
      <c r="B83" t="s">
        <v>30</v>
      </c>
      <c r="C83">
        <f>C79-C82</f>
        <v>554.78260869565213</v>
      </c>
      <c r="D83">
        <f>C79-D82</f>
        <v>529.56521739130437</v>
      </c>
      <c r="E83">
        <f>C79-E82</f>
        <v>504.3478260869565</v>
      </c>
      <c r="F83">
        <f>C79-F82</f>
        <v>479.13043478260869</v>
      </c>
      <c r="G83">
        <f>C79-G82</f>
        <v>453.91304347826087</v>
      </c>
      <c r="H83">
        <f>C79-H82</f>
        <v>428.69565217391306</v>
      </c>
      <c r="I83">
        <f>C79-I82</f>
        <v>403.47826086956525</v>
      </c>
      <c r="J83">
        <f>C79-J82</f>
        <v>378.26086956521738</v>
      </c>
      <c r="K83">
        <f>C79-K82</f>
        <v>353.04347826086962</v>
      </c>
      <c r="L83">
        <f>C79-L82</f>
        <v>327.82608695652175</v>
      </c>
      <c r="M83">
        <f>C79-M82</f>
        <v>302.60869565217394</v>
      </c>
      <c r="N83">
        <f>C79-N82</f>
        <v>277.39130434782612</v>
      </c>
      <c r="O83">
        <f>C79-O82</f>
        <v>252.17391304347831</v>
      </c>
      <c r="P83">
        <f>C79-P82</f>
        <v>226.95652173913044</v>
      </c>
      <c r="Q83">
        <f>C79-Q82</f>
        <v>201.73913043478262</v>
      </c>
      <c r="R83">
        <f>C79-R82</f>
        <v>176.52173913043481</v>
      </c>
      <c r="S83">
        <f>C79-S82</f>
        <v>151.304347826087</v>
      </c>
      <c r="T83">
        <f>C79-T82</f>
        <v>126.08695652173918</v>
      </c>
      <c r="U83">
        <f>C79-U82</f>
        <v>100.86956521739131</v>
      </c>
      <c r="V83">
        <f>C79-V82</f>
        <v>75.652173913043498</v>
      </c>
      <c r="W83">
        <f>C79-W82</f>
        <v>50.434782608695741</v>
      </c>
      <c r="X83">
        <f>C79-X82</f>
        <v>25.217391304347871</v>
      </c>
      <c r="Y83">
        <f>C79-Y82</f>
        <v>0</v>
      </c>
    </row>
    <row r="84" spans="2:25" x14ac:dyDescent="0.25">
      <c r="B84" t="s">
        <v>31</v>
      </c>
      <c r="C84" s="24">
        <f>C79-C81</f>
        <v>562.75</v>
      </c>
      <c r="D84" s="24">
        <f>C79-D81</f>
        <v>542.75</v>
      </c>
      <c r="E84" s="24">
        <f>C79-E81</f>
        <v>518.25</v>
      </c>
      <c r="F84" s="24">
        <f>C79-F81</f>
        <v>493.25</v>
      </c>
      <c r="G84" s="24">
        <f>C79-G81</f>
        <v>484</v>
      </c>
      <c r="H84" s="24">
        <f>C79-H81</f>
        <v>458</v>
      </c>
      <c r="I84" s="24">
        <f>C79-I81</f>
        <v>423.5</v>
      </c>
      <c r="J84" s="24">
        <f>C79-J81</f>
        <v>387.75</v>
      </c>
      <c r="K84" s="24">
        <f>C79-K81</f>
        <v>345.75</v>
      </c>
      <c r="L84" s="24">
        <f>C79-L81</f>
        <v>326.75</v>
      </c>
      <c r="M84" s="24">
        <f>C79-M81</f>
        <v>310.75</v>
      </c>
      <c r="N84" s="24">
        <f>C79-N81</f>
        <v>284.75</v>
      </c>
      <c r="O84" s="24">
        <f>C79-O81</f>
        <v>247.75</v>
      </c>
      <c r="P84" s="24">
        <f>C79-P81</f>
        <v>216.75</v>
      </c>
      <c r="Q84" s="24">
        <f>C79-Q81</f>
        <v>176.75</v>
      </c>
      <c r="R84" s="24">
        <f>C79-R81</f>
        <v>141.75</v>
      </c>
      <c r="S84" s="24">
        <f>C79-S81</f>
        <v>111.75</v>
      </c>
      <c r="T84" s="24">
        <f>C79-T81</f>
        <v>84.75</v>
      </c>
      <c r="U84" s="24">
        <f>C79-U81</f>
        <v>34.75</v>
      </c>
      <c r="V84" s="24">
        <f>C79-V81</f>
        <v>34.75</v>
      </c>
      <c r="W84" s="24">
        <f>C79-W81</f>
        <v>34.75</v>
      </c>
      <c r="X84" s="24">
        <f>C79-X81</f>
        <v>34.75</v>
      </c>
      <c r="Y84" s="24">
        <f>C79-Y81</f>
        <v>34.75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5" x14ac:dyDescent="0.25"/>
  <cols>
    <col min="2" max="2" width="15.7109375" customWidth="1"/>
    <col min="24" max="24" width="12" bestFit="1" customWidth="1"/>
  </cols>
  <sheetData>
    <row r="1" spans="1:23" ht="18.75" x14ac:dyDescent="0.3">
      <c r="C1" s="14" t="s">
        <v>32</v>
      </c>
    </row>
    <row r="2" spans="1:23" ht="18.75" x14ac:dyDescent="0.3">
      <c r="B2" s="25" t="str">
        <f>SheetName</f>
        <v>Sprint 0</v>
      </c>
      <c r="C2" s="26" t="s">
        <v>33</v>
      </c>
    </row>
    <row r="3" spans="1:23" x14ac:dyDescent="0.25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 x14ac:dyDescent="0.25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6.5" thickTop="1" thickBot="1" x14ac:dyDescent="0.3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6.5" thickTop="1" thickBot="1" x14ac:dyDescent="0.3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6.5" thickTop="1" thickBot="1" x14ac:dyDescent="0.3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5" thickBot="1" x14ac:dyDescent="0.3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.75" thickBot="1" x14ac:dyDescent="0.3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.75" thickBot="1" x14ac:dyDescent="0.3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.75" thickBot="1" x14ac:dyDescent="0.3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.75" thickBot="1" x14ac:dyDescent="0.3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5" thickBot="1" x14ac:dyDescent="0.3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.75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6.5" thickTop="1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6.5" thickTop="1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6.5" thickTop="1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t="shared" ref="D24:I24" si="8" xml:space="preserve"> C$24 + D$18</f>
        <v>0</v>
      </c>
      <c r="E24" s="22">
        <f t="shared" si="8"/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t="shared" ref="D25:I25" si="10" xml:space="preserve"> C$25 + D$19</f>
        <v>0</v>
      </c>
      <c r="E25" s="22">
        <f t="shared" si="10"/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t="shared" ref="D26:I26" si="12" xml:space="preserve"> C$26 + D$20</f>
        <v>0</v>
      </c>
      <c r="E26" s="22">
        <f t="shared" si="12"/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t="shared" ref="D27:I27" si="14" xml:space="preserve"> C$27 + D$21</f>
        <v>0</v>
      </c>
      <c r="E27" s="22">
        <f t="shared" si="14"/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4.25</v>
      </c>
      <c r="D38" s="24">
        <f xml:space="preserve"> SUM(J7:P7) + SUM(J19:P19)</f>
        <v>4.5</v>
      </c>
      <c r="E38" s="24">
        <f xml:space="preserve"> SUM(Q7:W7) + SUM(Q19:W19)</f>
        <v>6</v>
      </c>
      <c r="F38" s="24">
        <f xml:space="preserve"> SUM(C38:E38)</f>
        <v>14.75</v>
      </c>
    </row>
    <row r="39" spans="1:23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5.25</v>
      </c>
      <c r="D39" s="24">
        <f xml:space="preserve"> SUM(J8:P8) + SUM(J20:P20)</f>
        <v>5.5</v>
      </c>
      <c r="E39" s="24">
        <f xml:space="preserve"> SUM(Q8:W8) + SUM(Q20:W20)</f>
        <v>6.5</v>
      </c>
      <c r="F39" s="24">
        <f xml:space="preserve"> SUM(C39:E39)</f>
        <v>17.25</v>
      </c>
    </row>
    <row r="40" spans="1:23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3</v>
      </c>
      <c r="D40" s="24">
        <f xml:space="preserve"> SUM(J9:P9) + SUM(J21:P21)</f>
        <v>5</v>
      </c>
      <c r="E40" s="24">
        <f xml:space="preserve"> SUM(Q9:W9) + SUM(Q21:W21)</f>
        <v>5.5</v>
      </c>
      <c r="F40" s="24">
        <f xml:space="preserve"> SUM(C40:E40)</f>
        <v>13.5</v>
      </c>
    </row>
    <row r="41" spans="1:23" ht="16.5" thickBot="1" x14ac:dyDescent="0.3">
      <c r="A41" s="79"/>
      <c r="B41" s="18" t="s">
        <v>19</v>
      </c>
      <c r="C41" s="21">
        <f xml:space="preserve"> SUM(C37:C40)</f>
        <v>17.25</v>
      </c>
      <c r="D41" s="21">
        <f xml:space="preserve"> SUM(D37:D40)</f>
        <v>20</v>
      </c>
      <c r="E41" s="21">
        <f xml:space="preserve"> SUM(E37:E40)</f>
        <v>24.5</v>
      </c>
      <c r="F41" s="21">
        <f xml:space="preserve"> SUM(C41:E41)</f>
        <v>61.75</v>
      </c>
    </row>
    <row r="42" spans="1:23" ht="15.75" thickBot="1" x14ac:dyDescent="0.3">
      <c r="A42" s="19"/>
    </row>
    <row r="43" spans="1:23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xml:space="preserve"> SUM(C38:D38) / D$36</f>
        <v>4.375</v>
      </c>
      <c r="E44" s="24">
        <f xml:space="preserve"> SUM(C38:E38) / E$36</f>
        <v>4.916666666666667</v>
      </c>
    </row>
    <row r="45" spans="1:23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xml:space="preserve"> SUM(C39:D39) / D$36</f>
        <v>5.375</v>
      </c>
      <c r="E45" s="24">
        <f xml:space="preserve"> SUM(C39:E39) / E$36</f>
        <v>5.75</v>
      </c>
    </row>
    <row r="46" spans="1:23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xml:space="preserve"> SUM(C40:D40) / D$36</f>
        <v>4</v>
      </c>
      <c r="E46" s="24">
        <f xml:space="preserve"> SUM(C40:E40) / E$36</f>
        <v>4.5</v>
      </c>
    </row>
    <row r="47" spans="1:23" ht="16.5" thickBot="1" x14ac:dyDescent="0.3">
      <c r="A47" s="79"/>
      <c r="B47" s="18" t="s">
        <v>19</v>
      </c>
      <c r="C47" s="21">
        <f xml:space="preserve"> SUM(C43:C46)</f>
        <v>17.25</v>
      </c>
      <c r="D47" s="21">
        <f xml:space="preserve"> SUM(D43:D46)</f>
        <v>18.625</v>
      </c>
      <c r="E47" s="21">
        <f xml:space="preserve"> SUM(E43:E46)</f>
        <v>20.583333333333336</v>
      </c>
    </row>
    <row r="79" spans="18:20" x14ac:dyDescent="0.25">
      <c r="R79" t="s">
        <v>47</v>
      </c>
      <c r="S79">
        <v>50</v>
      </c>
      <c r="T79">
        <v>0</v>
      </c>
    </row>
    <row r="80" spans="18:20" x14ac:dyDescent="0.25">
      <c r="R80" t="s">
        <v>48</v>
      </c>
      <c r="S80" s="24">
        <f>(F41)</f>
        <v>61.75</v>
      </c>
    </row>
    <row r="81" spans="3:24" x14ac:dyDescent="0.25">
      <c r="R81" t="s">
        <v>49</v>
      </c>
      <c r="S81">
        <v>21</v>
      </c>
    </row>
    <row r="82" spans="3:24" x14ac:dyDescent="0.25">
      <c r="R82" t="s">
        <v>50</v>
      </c>
      <c r="S82">
        <f>(50/21)</f>
        <v>2.3809523809523809</v>
      </c>
    </row>
    <row r="85" spans="3:24" x14ac:dyDescent="0.25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 x14ac:dyDescent="0.25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 x14ac:dyDescent="0.25">
      <c r="C87" s="24">
        <f>F41</f>
        <v>61.75</v>
      </c>
      <c r="D87" s="24">
        <f>C87</f>
        <v>61.75</v>
      </c>
      <c r="E87" s="24">
        <f t="shared" ref="E87:X87" si="22">D87-D10-D22</f>
        <v>57.75</v>
      </c>
      <c r="F87" s="24">
        <f t="shared" si="22"/>
        <v>53.75</v>
      </c>
      <c r="G87" s="24">
        <f t="shared" si="22"/>
        <v>53.75</v>
      </c>
      <c r="H87" s="24">
        <f t="shared" si="22"/>
        <v>53.25</v>
      </c>
      <c r="I87" s="24">
        <f t="shared" si="22"/>
        <v>50.75</v>
      </c>
      <c r="J87" s="24">
        <f t="shared" si="22"/>
        <v>44.5</v>
      </c>
      <c r="K87" s="24">
        <f t="shared" si="22"/>
        <v>44.5</v>
      </c>
      <c r="L87" s="24">
        <f t="shared" si="22"/>
        <v>41.5</v>
      </c>
      <c r="M87" s="24">
        <f t="shared" si="22"/>
        <v>41.5</v>
      </c>
      <c r="N87" s="24">
        <f t="shared" si="22"/>
        <v>28.5</v>
      </c>
      <c r="O87" s="24">
        <f t="shared" si="22"/>
        <v>28.5</v>
      </c>
      <c r="P87" s="24">
        <f t="shared" si="22"/>
        <v>26</v>
      </c>
      <c r="Q87" s="24">
        <f t="shared" si="22"/>
        <v>24.5</v>
      </c>
      <c r="R87" s="24">
        <f t="shared" si="22"/>
        <v>11.5</v>
      </c>
      <c r="S87" s="24">
        <f t="shared" si="22"/>
        <v>11.5</v>
      </c>
      <c r="T87" s="24">
        <f t="shared" si="22"/>
        <v>11.5</v>
      </c>
      <c r="U87" s="24">
        <f t="shared" si="22"/>
        <v>6.5</v>
      </c>
      <c r="V87" s="24">
        <f t="shared" si="22"/>
        <v>4.5</v>
      </c>
      <c r="W87" s="24">
        <f t="shared" si="22"/>
        <v>2</v>
      </c>
      <c r="X87" s="24">
        <f t="shared" si="22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5" thickBot="1" x14ac:dyDescent="0.3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5" thickBot="1" x14ac:dyDescent="0.3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6.5</v>
      </c>
      <c r="D38" s="24">
        <f xml:space="preserve"> SUM(J7:P7) + SUM(J19:P19)</f>
        <v>2.75</v>
      </c>
      <c r="E38" s="24">
        <f xml:space="preserve"> SUM(C38:D38)</f>
        <v>9.25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7</v>
      </c>
      <c r="D39" s="24">
        <f xml:space="preserve"> SUM(J8:P8) + SUM(J20:P20)</f>
        <v>2.5</v>
      </c>
      <c r="E39" s="24">
        <f xml:space="preserve"> SUM(C39:D39)</f>
        <v>9.5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5</v>
      </c>
      <c r="D40" s="24">
        <f xml:space="preserve"> SUM(J9:P9) + SUM(J21:P21)</f>
        <v>2</v>
      </c>
      <c r="E40" s="24">
        <f xml:space="preserve"> SUM(C40:D40)</f>
        <v>7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xml:space="preserve"> SUM(D37:D40)</f>
        <v>9.25</v>
      </c>
      <c r="E41" s="21">
        <f xml:space="preserve"> SUM(C41:D41)</f>
        <v>34.25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6.5</v>
      </c>
      <c r="D44" s="24">
        <f xml:space="preserve"> SUM(C38:D38) / D$36</f>
        <v>4.625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7</v>
      </c>
      <c r="D45" s="24">
        <f xml:space="preserve"> SUM(C39:D39) / D$36</f>
        <v>4.75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5</v>
      </c>
      <c r="D46" s="24">
        <f xml:space="preserve"> SUM(C40:D40) / D$36</f>
        <v>3.5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xml:space="preserve"> SUM(D43:D46)</f>
        <v>17.125</v>
      </c>
    </row>
    <row r="83" spans="2:17" x14ac:dyDescent="0.25">
      <c r="B83" t="s">
        <v>51</v>
      </c>
      <c r="C83">
        <f>C84/14</f>
        <v>2.7142857142857144</v>
      </c>
    </row>
    <row r="84" spans="2:17" x14ac:dyDescent="0.25">
      <c r="B84" t="s">
        <v>52</v>
      </c>
      <c r="C84">
        <v>38</v>
      </c>
    </row>
    <row r="85" spans="2:17" x14ac:dyDescent="0.25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 x14ac:dyDescent="0.25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 x14ac:dyDescent="0.25">
      <c r="B87" t="s">
        <v>54</v>
      </c>
      <c r="C87" s="24">
        <f>E41</f>
        <v>34.25</v>
      </c>
    </row>
    <row r="88" spans="2:17" x14ac:dyDescent="0.25">
      <c r="B88" t="s">
        <v>55</v>
      </c>
      <c r="C88" s="24">
        <f>C87</f>
        <v>34.25</v>
      </c>
      <c r="D88" s="24">
        <f t="shared" ref="D88:Q88" si="18">C88-C10-C22</f>
        <v>21.25</v>
      </c>
      <c r="E88" s="24">
        <f t="shared" si="18"/>
        <v>19.25</v>
      </c>
      <c r="F88" s="24">
        <f t="shared" si="18"/>
        <v>19.25</v>
      </c>
      <c r="G88" s="24">
        <f t="shared" si="18"/>
        <v>12.75</v>
      </c>
      <c r="H88" s="24">
        <f t="shared" si="18"/>
        <v>10.75</v>
      </c>
      <c r="I88" s="24">
        <f t="shared" si="18"/>
        <v>10.75</v>
      </c>
      <c r="J88" s="24">
        <f t="shared" si="18"/>
        <v>9.25</v>
      </c>
      <c r="K88" s="24">
        <f t="shared" si="18"/>
        <v>8.75</v>
      </c>
      <c r="L88" s="24">
        <f t="shared" si="18"/>
        <v>0</v>
      </c>
      <c r="M88" s="24">
        <f t="shared" si="18"/>
        <v>0</v>
      </c>
      <c r="N88" s="24">
        <f t="shared" si="18"/>
        <v>0</v>
      </c>
      <c r="O88" s="24">
        <f t="shared" si="18"/>
        <v>0</v>
      </c>
      <c r="P88" s="24">
        <f t="shared" si="18"/>
        <v>0</v>
      </c>
      <c r="Q88" s="24">
        <f t="shared" si="18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2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6</v>
      </c>
      <c r="D38" s="24">
        <f xml:space="preserve"> SUM(J7:P7) + SUM(J19:P19)</f>
        <v>8</v>
      </c>
      <c r="E38" s="24">
        <f xml:space="preserve"> SUM(C38:D38)</f>
        <v>14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11</v>
      </c>
      <c r="D39" s="24">
        <f xml:space="preserve"> SUM(J8:P8) + SUM(J20:P20)</f>
        <v>9.25</v>
      </c>
      <c r="E39" s="24">
        <f xml:space="preserve"> SUM(C39:D39)</f>
        <v>20.25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3</v>
      </c>
      <c r="D40" s="24">
        <f xml:space="preserve"> SUM(J9:P9) + SUM(J21:P21)</f>
        <v>9.25</v>
      </c>
      <c r="E40" s="24">
        <f xml:space="preserve"> SUM(C40:D40)</f>
        <v>12.25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xml:space="preserve"> SUM(D37:D40)</f>
        <v>34.5</v>
      </c>
      <c r="E41" s="21">
        <f xml:space="preserve"> SUM(C41:D41)</f>
        <v>60.5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6</v>
      </c>
      <c r="D44" s="24">
        <f xml:space="preserve"> SUM(C38:D38) / D$36</f>
        <v>7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11</v>
      </c>
      <c r="D45" s="24">
        <f xml:space="preserve"> SUM(C39:D39) / D$36</f>
        <v>10.125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3</v>
      </c>
      <c r="D46" s="24">
        <f xml:space="preserve"> SUM(C40:D40) / D$36</f>
        <v>6.125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xml:space="preserve"> SUM(D43:D46)</f>
        <v>30.25</v>
      </c>
    </row>
    <row r="86" spans="2:17" x14ac:dyDescent="0.25">
      <c r="B86" t="s">
        <v>51</v>
      </c>
      <c r="C86">
        <f>C87/14</f>
        <v>5</v>
      </c>
    </row>
    <row r="87" spans="2:17" x14ac:dyDescent="0.25">
      <c r="B87" t="s">
        <v>52</v>
      </c>
      <c r="C87">
        <v>70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 x14ac:dyDescent="0.25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 x14ac:dyDescent="0.25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18">E91-F90</f>
        <v>48.5</v>
      </c>
      <c r="G91" s="24">
        <f t="shared" si="18"/>
        <v>45.5</v>
      </c>
      <c r="H91" s="24">
        <f t="shared" si="18"/>
        <v>42.5</v>
      </c>
      <c r="I91" s="24">
        <f t="shared" si="18"/>
        <v>37.5</v>
      </c>
      <c r="J91" s="24">
        <f t="shared" si="18"/>
        <v>34.5</v>
      </c>
      <c r="K91" s="24">
        <f t="shared" si="18"/>
        <v>31</v>
      </c>
      <c r="L91" s="24">
        <f t="shared" si="18"/>
        <v>19</v>
      </c>
      <c r="M91" s="24">
        <f t="shared" si="18"/>
        <v>19</v>
      </c>
      <c r="N91" s="24">
        <f t="shared" si="18"/>
        <v>6</v>
      </c>
      <c r="O91" s="24">
        <f t="shared" si="18"/>
        <v>6</v>
      </c>
      <c r="P91" s="24">
        <f t="shared" si="18"/>
        <v>3</v>
      </c>
      <c r="Q91" s="24">
        <f t="shared" si="18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68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3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5.5</v>
      </c>
      <c r="D38" s="24">
        <f xml:space="preserve"> SUM(J7:P7) + SUM(J19:P19)</f>
        <v>14</v>
      </c>
      <c r="E38" s="24">
        <f xml:space="preserve"> SUM(C38:D38)</f>
        <v>19.5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10</v>
      </c>
      <c r="D39" s="24">
        <f xml:space="preserve"> SUM(J8:P8) + SUM(J20:P20)</f>
        <v>8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</v>
      </c>
      <c r="D40" s="24">
        <f xml:space="preserve"> SUM(J9:P9) + SUM(J21:P21)</f>
        <v>9.5</v>
      </c>
      <c r="E40" s="24">
        <f xml:space="preserve"> SUM(C40:D40)</f>
        <v>17.5</v>
      </c>
    </row>
    <row r="41" spans="1:16" ht="16.5" thickBot="1" x14ac:dyDescent="0.3">
      <c r="A41" s="79"/>
      <c r="B41" s="18" t="s">
        <v>19</v>
      </c>
      <c r="C41" s="21">
        <f xml:space="preserve"> SUM(C37:C40)</f>
        <v>35.75</v>
      </c>
      <c r="D41" s="21">
        <f xml:space="preserve"> SUM(D37:D40)</f>
        <v>42</v>
      </c>
      <c r="E41" s="21">
        <f xml:space="preserve"> SUM(C41:D41)</f>
        <v>77.75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5.5</v>
      </c>
      <c r="D44" s="24">
        <f xml:space="preserve"> SUM(C38:D38) / D$36</f>
        <v>9.75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10</v>
      </c>
      <c r="D45" s="24">
        <f xml:space="preserve"> SUM(C39:D39) / D$36</f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</v>
      </c>
      <c r="D46" s="24">
        <f xml:space="preserve"> SUM(C40:D40) / D$36</f>
        <v>8.75</v>
      </c>
    </row>
    <row r="47" spans="1:16" ht="16.5" thickBot="1" x14ac:dyDescent="0.3">
      <c r="A47" s="79"/>
      <c r="B47" s="18" t="s">
        <v>19</v>
      </c>
      <c r="C47" s="21">
        <f xml:space="preserve"> SUM(C43:C46)</f>
        <v>35.75</v>
      </c>
      <c r="D47" s="21">
        <f xml:space="preserve"> SUM(D43:D46)</f>
        <v>38.875</v>
      </c>
    </row>
    <row r="86" spans="2:17" x14ac:dyDescent="0.25">
      <c r="B86" t="s">
        <v>51</v>
      </c>
      <c r="C86">
        <f>C87/14</f>
        <v>6.2857142857142856</v>
      </c>
    </row>
    <row r="87" spans="2:17" x14ac:dyDescent="0.25">
      <c r="B87" t="s">
        <v>52</v>
      </c>
      <c r="C87">
        <v>88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 x14ac:dyDescent="0.25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18">E10</f>
        <v>2.5</v>
      </c>
      <c r="G90" s="24">
        <f t="shared" si="18"/>
        <v>3</v>
      </c>
      <c r="H90" s="24">
        <f t="shared" si="18"/>
        <v>5</v>
      </c>
      <c r="I90" s="24">
        <f t="shared" si="18"/>
        <v>7</v>
      </c>
      <c r="J90" s="24">
        <f t="shared" si="18"/>
        <v>7.5</v>
      </c>
      <c r="K90" s="24">
        <f t="shared" si="18"/>
        <v>2.5</v>
      </c>
      <c r="L90" s="24">
        <f t="shared" si="18"/>
        <v>9.5</v>
      </c>
      <c r="M90" s="24">
        <f t="shared" si="18"/>
        <v>8.5</v>
      </c>
      <c r="N90" s="24">
        <f t="shared" si="18"/>
        <v>6.5</v>
      </c>
      <c r="O90" s="24">
        <f t="shared" si="18"/>
        <v>6</v>
      </c>
      <c r="P90" s="24">
        <f t="shared" si="18"/>
        <v>5</v>
      </c>
      <c r="Q90" s="24">
        <f t="shared" si="18"/>
        <v>4</v>
      </c>
    </row>
    <row r="91" spans="2:17" x14ac:dyDescent="0.25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19">E91-F90</f>
        <v>64.5</v>
      </c>
      <c r="G91" s="24">
        <f t="shared" si="19"/>
        <v>61.5</v>
      </c>
      <c r="H91" s="24">
        <f t="shared" si="19"/>
        <v>56.5</v>
      </c>
      <c r="I91" s="24">
        <f t="shared" si="19"/>
        <v>49.5</v>
      </c>
      <c r="J91" s="24">
        <f t="shared" si="19"/>
        <v>42</v>
      </c>
      <c r="K91" s="24">
        <f t="shared" si="19"/>
        <v>39.5</v>
      </c>
      <c r="L91" s="24">
        <f t="shared" si="19"/>
        <v>30</v>
      </c>
      <c r="M91" s="24">
        <f t="shared" si="19"/>
        <v>21.5</v>
      </c>
      <c r="N91" s="24">
        <f t="shared" si="19"/>
        <v>15</v>
      </c>
      <c r="O91" s="24">
        <f t="shared" si="19"/>
        <v>9</v>
      </c>
      <c r="P91" s="24">
        <f t="shared" si="19"/>
        <v>4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B45" zoomScale="115" zoomScaleNormal="115" workbookViewId="0">
      <selection activeCell="G11" sqref="G1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4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1</v>
      </c>
      <c r="N9" s="32">
        <v>1</v>
      </c>
      <c r="O9" s="32">
        <v>1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5.75</v>
      </c>
      <c r="D10" s="21">
        <f t="shared" ref="D10:P10" si="1" xml:space="preserve"> SUM(D6:D9)</f>
        <v>2.75</v>
      </c>
      <c r="E10" s="21">
        <f t="shared" si="1"/>
        <v>0</v>
      </c>
      <c r="F10" s="21">
        <f t="shared" si="1"/>
        <v>2.5</v>
      </c>
      <c r="G10" s="21">
        <f t="shared" si="1"/>
        <v>1.5</v>
      </c>
      <c r="H10" s="21">
        <f t="shared" si="1"/>
        <v>1</v>
      </c>
      <c r="I10" s="60">
        <f t="shared" si="1"/>
        <v>5.5</v>
      </c>
      <c r="J10" s="61">
        <f t="shared" si="1"/>
        <v>3</v>
      </c>
      <c r="K10" s="21">
        <f t="shared" si="1"/>
        <v>7</v>
      </c>
      <c r="L10" s="21">
        <f t="shared" si="1"/>
        <v>3</v>
      </c>
      <c r="M10" s="21">
        <f t="shared" si="1"/>
        <v>1</v>
      </c>
      <c r="N10" s="21">
        <f t="shared" si="1"/>
        <v>1</v>
      </c>
      <c r="O10" s="21">
        <f t="shared" si="1"/>
        <v>1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14.5</v>
      </c>
      <c r="N12" s="22">
        <f t="shared" si="2"/>
        <v>14.5</v>
      </c>
      <c r="O12" s="22">
        <f t="shared" si="2"/>
        <v>14.5</v>
      </c>
      <c r="P12" s="62">
        <f t="shared" si="2"/>
        <v>14.5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18.5</v>
      </c>
      <c r="N15" s="22">
        <f t="shared" si="5"/>
        <v>19.5</v>
      </c>
      <c r="O15" s="22">
        <f t="shared" si="5"/>
        <v>20.5</v>
      </c>
      <c r="P15" s="62">
        <f t="shared" si="5"/>
        <v>20.5</v>
      </c>
    </row>
    <row r="16" spans="1:16" ht="16.5" thickBot="1" x14ac:dyDescent="0.3">
      <c r="A16" s="85"/>
      <c r="B16" s="18" t="s">
        <v>19</v>
      </c>
      <c r="C16" s="21">
        <f xml:space="preserve"> SUM(C12:C15)</f>
        <v>5.75</v>
      </c>
      <c r="D16" s="21">
        <f t="shared" ref="D16:P16" si="6" xml:space="preserve"> SUM(D12:D15)</f>
        <v>8.5</v>
      </c>
      <c r="E16" s="21">
        <f t="shared" si="6"/>
        <v>8.5</v>
      </c>
      <c r="F16" s="21">
        <f t="shared" si="6"/>
        <v>11</v>
      </c>
      <c r="G16" s="21">
        <f t="shared" si="6"/>
        <v>12.5</v>
      </c>
      <c r="H16" s="21">
        <f t="shared" si="6"/>
        <v>13.5</v>
      </c>
      <c r="I16" s="60">
        <f t="shared" si="6"/>
        <v>19</v>
      </c>
      <c r="J16" s="61">
        <f t="shared" si="6"/>
        <v>22</v>
      </c>
      <c r="K16" s="21">
        <f t="shared" si="6"/>
        <v>29</v>
      </c>
      <c r="L16" s="21">
        <f t="shared" si="6"/>
        <v>32</v>
      </c>
      <c r="M16" s="21">
        <f t="shared" si="6"/>
        <v>33</v>
      </c>
      <c r="N16" s="21">
        <f t="shared" si="6"/>
        <v>34</v>
      </c>
      <c r="O16" s="21">
        <f t="shared" si="6"/>
        <v>35</v>
      </c>
      <c r="P16" s="60">
        <f t="shared" si="6"/>
        <v>35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1.3125</v>
      </c>
      <c r="K30" s="22">
        <f t="shared" si="13"/>
        <v>1.6111111111111112</v>
      </c>
      <c r="L30" s="22">
        <f t="shared" si="13"/>
        <v>1.45</v>
      </c>
      <c r="M30" s="22">
        <f t="shared" si="13"/>
        <v>1.3181818181818181</v>
      </c>
      <c r="N30" s="22">
        <f t="shared" si="13"/>
        <v>1.2083333333333333</v>
      </c>
      <c r="O30" s="22">
        <f t="shared" si="13"/>
        <v>1.1153846153846154</v>
      </c>
      <c r="P30" s="62">
        <f t="shared" si="13"/>
        <v>1.0357142857142858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1.4375</v>
      </c>
      <c r="K33" s="22">
        <f t="shared" si="16"/>
        <v>1.6111111111111112</v>
      </c>
      <c r="L33" s="22">
        <f t="shared" si="16"/>
        <v>1.75</v>
      </c>
      <c r="M33" s="22">
        <f t="shared" si="16"/>
        <v>1.6818181818181819</v>
      </c>
      <c r="N33" s="22">
        <f t="shared" si="16"/>
        <v>1.625</v>
      </c>
      <c r="O33" s="22">
        <f t="shared" si="16"/>
        <v>1.5769230769230769</v>
      </c>
      <c r="P33" s="62">
        <f t="shared" si="16"/>
        <v>1.4642857142857142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5.75</v>
      </c>
      <c r="D34" s="21">
        <f t="shared" ref="D34:P34" si="17" xml:space="preserve"> SUM(D30:D33)</f>
        <v>4.25</v>
      </c>
      <c r="E34" s="21">
        <f t="shared" si="17"/>
        <v>2.833333333333333</v>
      </c>
      <c r="F34" s="21">
        <f t="shared" si="17"/>
        <v>2.75</v>
      </c>
      <c r="G34" s="21">
        <f t="shared" si="17"/>
        <v>2.5</v>
      </c>
      <c r="H34" s="21">
        <f t="shared" si="17"/>
        <v>2.25</v>
      </c>
      <c r="I34" s="60">
        <f t="shared" si="17"/>
        <v>2.7142857142857144</v>
      </c>
      <c r="J34" s="61">
        <f t="shared" si="17"/>
        <v>2.75</v>
      </c>
      <c r="K34" s="21">
        <f t="shared" si="17"/>
        <v>3.2222222222222223</v>
      </c>
      <c r="L34" s="21">
        <f t="shared" si="17"/>
        <v>3.2</v>
      </c>
      <c r="M34" s="21">
        <f t="shared" si="17"/>
        <v>3</v>
      </c>
      <c r="N34" s="21">
        <f t="shared" si="17"/>
        <v>2.833333333333333</v>
      </c>
      <c r="O34" s="21">
        <f t="shared" si="17"/>
        <v>2.6923076923076925</v>
      </c>
      <c r="P34" s="60">
        <f t="shared" si="17"/>
        <v>2.5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4</v>
      </c>
      <c r="E37" s="24">
        <f xml:space="preserve"> SUM(C37:D37)</f>
        <v>14.5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0</v>
      </c>
      <c r="D38" s="24">
        <f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0</v>
      </c>
      <c r="D39" s="24">
        <f xml:space="preserve"> SUM(J8:P8) + SUM(J20:P20)</f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8.5</v>
      </c>
      <c r="D40" s="24">
        <f xml:space="preserve"> SUM(J9:P9) + SUM(J21:P21)</f>
        <v>12</v>
      </c>
      <c r="E40" s="24">
        <f xml:space="preserve"> SUM(C40:D40)</f>
        <v>20.5</v>
      </c>
    </row>
    <row r="41" spans="1:16" ht="16.5" thickBot="1" x14ac:dyDescent="0.3">
      <c r="A41" s="79"/>
      <c r="B41" s="18" t="s">
        <v>19</v>
      </c>
      <c r="C41" s="21">
        <f xml:space="preserve"> SUM(C37:C40)</f>
        <v>19</v>
      </c>
      <c r="D41" s="21">
        <f xml:space="preserve"> SUM(D37:D40)</f>
        <v>16</v>
      </c>
      <c r="E41" s="21">
        <f xml:space="preserve"> SUM(C41:D41)</f>
        <v>35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7.25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0</v>
      </c>
      <c r="D44" s="24">
        <f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0</v>
      </c>
      <c r="D45" s="24">
        <f xml:space="preserve"> SUM(C39:D39) / D$36</f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8.5</v>
      </c>
      <c r="D46" s="24">
        <f xml:space="preserve"> SUM(C40:D40) / D$36</f>
        <v>10.25</v>
      </c>
    </row>
    <row r="47" spans="1:16" ht="16.5" thickBot="1" x14ac:dyDescent="0.3">
      <c r="A47" s="79"/>
      <c r="B47" s="18" t="s">
        <v>19</v>
      </c>
      <c r="C47" s="21">
        <f xml:space="preserve"> SUM(C43:C46)</f>
        <v>19</v>
      </c>
      <c r="D47" s="21">
        <f xml:space="preserve"> SUM(D43:D46)</f>
        <v>17.5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70" zoomScale="115" zoomScaleNormal="115" workbookViewId="0">
      <selection activeCell="D103" sqref="D10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5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2</v>
      </c>
      <c r="E6" s="33">
        <v>1</v>
      </c>
      <c r="F6" s="33">
        <v>0</v>
      </c>
      <c r="G6" s="33">
        <v>3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7</v>
      </c>
      <c r="O6" s="32">
        <v>3</v>
      </c>
      <c r="P6" s="58">
        <v>1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1</v>
      </c>
      <c r="E7" s="33">
        <v>3</v>
      </c>
      <c r="F7" s="33">
        <v>0</v>
      </c>
      <c r="G7" s="33">
        <v>0</v>
      </c>
      <c r="H7" s="33">
        <v>2</v>
      </c>
      <c r="I7" s="33">
        <v>0</v>
      </c>
      <c r="J7" s="59">
        <v>0</v>
      </c>
      <c r="K7" s="32">
        <v>1</v>
      </c>
      <c r="L7" s="32">
        <v>4</v>
      </c>
      <c r="M7" s="32">
        <v>0</v>
      </c>
      <c r="N7" s="32">
        <v>5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1</v>
      </c>
      <c r="G8" s="33">
        <v>0</v>
      </c>
      <c r="H8" s="33">
        <v>3</v>
      </c>
      <c r="I8" s="33">
        <v>4</v>
      </c>
      <c r="J8" s="59">
        <v>0</v>
      </c>
      <c r="K8" s="32">
        <v>0</v>
      </c>
      <c r="L8" s="32">
        <v>1</v>
      </c>
      <c r="M8" s="32">
        <v>0</v>
      </c>
      <c r="N8" s="32">
        <v>4</v>
      </c>
      <c r="O8" s="32">
        <v>1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2</v>
      </c>
      <c r="H9" s="33">
        <v>0</v>
      </c>
      <c r="I9" s="33">
        <v>0</v>
      </c>
      <c r="J9" s="59">
        <v>2</v>
      </c>
      <c r="K9" s="32">
        <v>1</v>
      </c>
      <c r="L9" s="32">
        <v>0</v>
      </c>
      <c r="M9" s="32">
        <v>2</v>
      </c>
      <c r="N9" s="32">
        <v>1</v>
      </c>
      <c r="O9" s="32">
        <v>2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</v>
      </c>
      <c r="D10" s="21">
        <f t="shared" ref="D10:P10" si="1" xml:space="preserve"> SUM(D6:D9)</f>
        <v>5</v>
      </c>
      <c r="E10" s="21">
        <f t="shared" si="1"/>
        <v>4</v>
      </c>
      <c r="F10" s="21">
        <f t="shared" si="1"/>
        <v>2</v>
      </c>
      <c r="G10" s="21">
        <f t="shared" si="1"/>
        <v>5</v>
      </c>
      <c r="H10" s="21">
        <f t="shared" si="1"/>
        <v>5</v>
      </c>
      <c r="I10" s="60">
        <f t="shared" si="1"/>
        <v>4</v>
      </c>
      <c r="J10" s="61">
        <f t="shared" si="1"/>
        <v>2</v>
      </c>
      <c r="K10" s="21">
        <f t="shared" si="1"/>
        <v>2</v>
      </c>
      <c r="L10" s="21">
        <f t="shared" si="1"/>
        <v>5</v>
      </c>
      <c r="M10" s="21">
        <f t="shared" si="1"/>
        <v>2</v>
      </c>
      <c r="N10" s="21">
        <f t="shared" si="1"/>
        <v>17</v>
      </c>
      <c r="O10" s="21">
        <f t="shared" si="1"/>
        <v>6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2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13</v>
      </c>
      <c r="O12" s="22">
        <f t="shared" si="2"/>
        <v>16</v>
      </c>
      <c r="P12" s="62">
        <f t="shared" si="2"/>
        <v>17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1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6</v>
      </c>
      <c r="I13" s="62">
        <f t="shared" si="3"/>
        <v>6</v>
      </c>
      <c r="J13" s="63">
        <f t="shared" si="3"/>
        <v>6</v>
      </c>
      <c r="K13" s="22">
        <f t="shared" si="3"/>
        <v>7</v>
      </c>
      <c r="L13" s="22">
        <f t="shared" si="3"/>
        <v>11</v>
      </c>
      <c r="M13" s="22">
        <f t="shared" si="3"/>
        <v>11</v>
      </c>
      <c r="N13" s="22">
        <f t="shared" si="3"/>
        <v>16</v>
      </c>
      <c r="O13" s="22">
        <f t="shared" si="3"/>
        <v>16</v>
      </c>
      <c r="P13" s="62">
        <f t="shared" si="3"/>
        <v>16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4</v>
      </c>
      <c r="I14" s="62">
        <f t="shared" si="4"/>
        <v>8</v>
      </c>
      <c r="J14" s="63">
        <f t="shared" si="4"/>
        <v>8</v>
      </c>
      <c r="K14" s="22">
        <f t="shared" si="4"/>
        <v>8</v>
      </c>
      <c r="L14" s="22">
        <f t="shared" si="4"/>
        <v>9</v>
      </c>
      <c r="M14" s="22">
        <f t="shared" si="4"/>
        <v>9</v>
      </c>
      <c r="N14" s="22">
        <f t="shared" si="4"/>
        <v>13</v>
      </c>
      <c r="O14" s="22">
        <f t="shared" si="4"/>
        <v>14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6</v>
      </c>
      <c r="H15" s="22">
        <f t="shared" si="5"/>
        <v>6</v>
      </c>
      <c r="I15" s="62">
        <f t="shared" si="5"/>
        <v>6</v>
      </c>
      <c r="J15" s="63">
        <f t="shared" si="5"/>
        <v>8</v>
      </c>
      <c r="K15" s="22">
        <f t="shared" si="5"/>
        <v>9</v>
      </c>
      <c r="L15" s="22">
        <f t="shared" si="5"/>
        <v>9</v>
      </c>
      <c r="M15" s="22">
        <f t="shared" si="5"/>
        <v>11</v>
      </c>
      <c r="N15" s="22">
        <f t="shared" si="5"/>
        <v>12</v>
      </c>
      <c r="O15" s="22">
        <f t="shared" si="5"/>
        <v>14</v>
      </c>
      <c r="P15" s="62">
        <f t="shared" si="5"/>
        <v>14</v>
      </c>
    </row>
    <row r="16" spans="1:16" ht="16.5" thickBot="1" x14ac:dyDescent="0.3">
      <c r="A16" s="85"/>
      <c r="B16" s="18" t="s">
        <v>19</v>
      </c>
      <c r="C16" s="21">
        <f xml:space="preserve"> SUM(C12:C15)</f>
        <v>1</v>
      </c>
      <c r="D16" s="21">
        <f t="shared" ref="D16:P16" si="6" xml:space="preserve"> SUM(D12:D15)</f>
        <v>6</v>
      </c>
      <c r="E16" s="21">
        <f t="shared" si="6"/>
        <v>10</v>
      </c>
      <c r="F16" s="21">
        <f t="shared" si="6"/>
        <v>12</v>
      </c>
      <c r="G16" s="21">
        <f t="shared" si="6"/>
        <v>17</v>
      </c>
      <c r="H16" s="21">
        <f t="shared" si="6"/>
        <v>22</v>
      </c>
      <c r="I16" s="60">
        <f t="shared" si="6"/>
        <v>26</v>
      </c>
      <c r="J16" s="61">
        <f t="shared" si="6"/>
        <v>28</v>
      </c>
      <c r="K16" s="21">
        <f t="shared" si="6"/>
        <v>30</v>
      </c>
      <c r="L16" s="21">
        <f t="shared" si="6"/>
        <v>35</v>
      </c>
      <c r="M16" s="21">
        <f t="shared" si="6"/>
        <v>37</v>
      </c>
      <c r="N16" s="21">
        <f t="shared" si="6"/>
        <v>54</v>
      </c>
      <c r="O16" s="21">
        <f t="shared" si="6"/>
        <v>60</v>
      </c>
      <c r="P16" s="60">
        <f t="shared" si="6"/>
        <v>63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1.0833333333333333</v>
      </c>
      <c r="O30" s="22">
        <f t="shared" si="13"/>
        <v>1.2307692307692308</v>
      </c>
      <c r="P30" s="62">
        <f t="shared" si="13"/>
        <v>1.2142857142857142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</v>
      </c>
      <c r="I31" s="62">
        <f t="shared" si="14"/>
        <v>0.8571428571428571</v>
      </c>
      <c r="J31" s="63">
        <f t="shared" si="14"/>
        <v>0.75</v>
      </c>
      <c r="K31" s="22">
        <f t="shared" si="14"/>
        <v>0.77777777777777779</v>
      </c>
      <c r="L31" s="22">
        <f t="shared" si="14"/>
        <v>1.1000000000000001</v>
      </c>
      <c r="M31" s="22">
        <f t="shared" si="14"/>
        <v>1</v>
      </c>
      <c r="N31" s="22">
        <f t="shared" si="14"/>
        <v>1.3333333333333333</v>
      </c>
      <c r="O31" s="22">
        <f t="shared" si="14"/>
        <v>1.2307692307692308</v>
      </c>
      <c r="P31" s="62">
        <f t="shared" si="14"/>
        <v>1.1428571428571428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0.25</v>
      </c>
      <c r="G32" s="22">
        <f t="shared" si="15"/>
        <v>0.2</v>
      </c>
      <c r="H32" s="22">
        <f t="shared" si="15"/>
        <v>0.66666666666666663</v>
      </c>
      <c r="I32" s="62">
        <f t="shared" si="15"/>
        <v>1.1428571428571428</v>
      </c>
      <c r="J32" s="63">
        <f t="shared" si="15"/>
        <v>1</v>
      </c>
      <c r="K32" s="22">
        <f t="shared" si="15"/>
        <v>0.88888888888888884</v>
      </c>
      <c r="L32" s="22">
        <f t="shared" si="15"/>
        <v>0.9</v>
      </c>
      <c r="M32" s="22">
        <f t="shared" si="15"/>
        <v>0.81818181818181823</v>
      </c>
      <c r="N32" s="22">
        <f t="shared" si="15"/>
        <v>1.0833333333333333</v>
      </c>
      <c r="O32" s="22">
        <f t="shared" si="15"/>
        <v>1.0769230769230769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1.2</v>
      </c>
      <c r="H33" s="22">
        <f t="shared" si="16"/>
        <v>1</v>
      </c>
      <c r="I33" s="62">
        <f t="shared" si="16"/>
        <v>0.8571428571428571</v>
      </c>
      <c r="J33" s="63">
        <f t="shared" si="16"/>
        <v>1</v>
      </c>
      <c r="K33" s="22">
        <f t="shared" si="16"/>
        <v>1</v>
      </c>
      <c r="L33" s="22">
        <f t="shared" si="16"/>
        <v>0.9</v>
      </c>
      <c r="M33" s="22">
        <f t="shared" si="16"/>
        <v>1</v>
      </c>
      <c r="N33" s="22">
        <f t="shared" si="16"/>
        <v>1</v>
      </c>
      <c r="O33" s="22">
        <f t="shared" si="16"/>
        <v>1.0769230769230769</v>
      </c>
      <c r="P33" s="62">
        <f t="shared" si="16"/>
        <v>1</v>
      </c>
    </row>
    <row r="34" spans="1:16" ht="16.5" thickBot="1" x14ac:dyDescent="0.3">
      <c r="A34" s="79"/>
      <c r="B34" s="18" t="s">
        <v>19</v>
      </c>
      <c r="C34" s="21">
        <f xml:space="preserve"> SUM(C30:C33)</f>
        <v>1</v>
      </c>
      <c r="D34" s="21">
        <f t="shared" ref="D34:P34" si="17" xml:space="preserve"> SUM(D30:D33)</f>
        <v>3</v>
      </c>
      <c r="E34" s="21">
        <f t="shared" si="17"/>
        <v>3.333333333333333</v>
      </c>
      <c r="F34" s="21">
        <f t="shared" si="17"/>
        <v>3</v>
      </c>
      <c r="G34" s="21">
        <f t="shared" si="17"/>
        <v>3.4000000000000004</v>
      </c>
      <c r="H34" s="21">
        <f t="shared" si="17"/>
        <v>3.6666666666666665</v>
      </c>
      <c r="I34" s="60">
        <f t="shared" si="17"/>
        <v>3.714285714285714</v>
      </c>
      <c r="J34" s="61">
        <f t="shared" si="17"/>
        <v>3.5</v>
      </c>
      <c r="K34" s="21">
        <f t="shared" si="17"/>
        <v>3.333333333333333</v>
      </c>
      <c r="L34" s="21">
        <f t="shared" si="17"/>
        <v>3.5</v>
      </c>
      <c r="M34" s="21">
        <f t="shared" si="17"/>
        <v>3.3636363636363638</v>
      </c>
      <c r="N34" s="21">
        <f t="shared" si="17"/>
        <v>4.5</v>
      </c>
      <c r="O34" s="21">
        <f t="shared" si="17"/>
        <v>4.615384615384615</v>
      </c>
      <c r="P34" s="60">
        <f t="shared" si="17"/>
        <v>4.5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11</v>
      </c>
      <c r="E37" s="24">
        <f xml:space="preserve"> SUM(C37:D37)</f>
        <v>17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6</v>
      </c>
      <c r="D38" s="24">
        <f xml:space="preserve"> SUM(J7:P7) + SUM(J19:P19)</f>
        <v>10</v>
      </c>
      <c r="E38" s="24">
        <f xml:space="preserve"> SUM(C38:D38)</f>
        <v>16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8</v>
      </c>
      <c r="D39" s="24">
        <f xml:space="preserve"> SUM(J8:P8) + SUM(J20:P20)</f>
        <v>8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6</v>
      </c>
      <c r="D40" s="24">
        <f xml:space="preserve"> SUM(J9:P9) + SUM(J21:P21)</f>
        <v>8</v>
      </c>
      <c r="E40" s="24">
        <f xml:space="preserve"> SUM(C40:D40)</f>
        <v>14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xml:space="preserve"> SUM(D37:D40)</f>
        <v>37</v>
      </c>
      <c r="E41" s="21">
        <f xml:space="preserve"> SUM(C41:D41)</f>
        <v>63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8.5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6</v>
      </c>
      <c r="D44" s="24">
        <f xml:space="preserve"> SUM(C38:D38) / D$36</f>
        <v>8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8</v>
      </c>
      <c r="D45" s="24">
        <f xml:space="preserve"> SUM(C39:D39) / D$36</f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6</v>
      </c>
      <c r="D46" s="24">
        <f xml:space="preserve"> SUM(C40:D40) / D$36</f>
        <v>7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xml:space="preserve"> SUM(D43:D46)</f>
        <v>31.5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63</v>
      </c>
      <c r="D90" s="24">
        <f>C10</f>
        <v>1</v>
      </c>
      <c r="E90" s="24">
        <f>D10</f>
        <v>5</v>
      </c>
      <c r="F90" s="24">
        <f t="shared" ref="F90:Q90" si="18">E10</f>
        <v>4</v>
      </c>
      <c r="G90" s="24">
        <f t="shared" si="18"/>
        <v>2</v>
      </c>
      <c r="H90" s="24">
        <f t="shared" si="18"/>
        <v>5</v>
      </c>
      <c r="I90" s="24">
        <f t="shared" si="18"/>
        <v>5</v>
      </c>
      <c r="J90" s="24">
        <f t="shared" si="18"/>
        <v>4</v>
      </c>
      <c r="K90" s="24">
        <f t="shared" si="18"/>
        <v>2</v>
      </c>
      <c r="L90" s="24">
        <f t="shared" si="18"/>
        <v>2</v>
      </c>
      <c r="M90" s="24">
        <f t="shared" si="18"/>
        <v>5</v>
      </c>
      <c r="N90" s="24">
        <f t="shared" si="18"/>
        <v>2</v>
      </c>
      <c r="O90" s="24">
        <f t="shared" si="18"/>
        <v>17</v>
      </c>
      <c r="P90" s="24">
        <f t="shared" si="18"/>
        <v>6</v>
      </c>
      <c r="Q90" s="24">
        <f t="shared" si="18"/>
        <v>3</v>
      </c>
    </row>
    <row r="91" spans="2:17" x14ac:dyDescent="0.25">
      <c r="B91" t="s">
        <v>55</v>
      </c>
      <c r="C91" s="24">
        <f>C90</f>
        <v>63</v>
      </c>
      <c r="D91" s="24">
        <f>C91-D90</f>
        <v>62</v>
      </c>
      <c r="E91" s="24">
        <f>D91-E90</f>
        <v>57</v>
      </c>
      <c r="F91" s="24">
        <f t="shared" ref="F91:Q91" si="19">E91-F90</f>
        <v>53</v>
      </c>
      <c r="G91" s="24">
        <f t="shared" si="19"/>
        <v>51</v>
      </c>
      <c r="H91" s="24">
        <f t="shared" si="19"/>
        <v>46</v>
      </c>
      <c r="I91" s="24">
        <f t="shared" si="19"/>
        <v>41</v>
      </c>
      <c r="J91" s="24">
        <f t="shared" si="19"/>
        <v>37</v>
      </c>
      <c r="K91" s="24">
        <f t="shared" si="19"/>
        <v>35</v>
      </c>
      <c r="L91" s="24">
        <f t="shared" si="19"/>
        <v>33</v>
      </c>
      <c r="M91" s="24">
        <f t="shared" si="19"/>
        <v>28</v>
      </c>
      <c r="N91" s="24">
        <f t="shared" si="19"/>
        <v>26</v>
      </c>
      <c r="O91" s="24">
        <f t="shared" si="19"/>
        <v>9</v>
      </c>
      <c r="P91" s="24">
        <f t="shared" si="19"/>
        <v>3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76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6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3</v>
      </c>
      <c r="G6" s="33">
        <v>0</v>
      </c>
      <c r="H6" s="33">
        <v>3</v>
      </c>
      <c r="I6" s="33">
        <v>3</v>
      </c>
      <c r="J6" s="59">
        <v>4</v>
      </c>
      <c r="K6" s="32">
        <v>0</v>
      </c>
      <c r="L6" s="32">
        <v>2</v>
      </c>
      <c r="M6" s="32">
        <v>0</v>
      </c>
      <c r="N6" s="32">
        <v>0</v>
      </c>
      <c r="O6" s="32">
        <v>3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4</v>
      </c>
      <c r="I7" s="33">
        <v>3</v>
      </c>
      <c r="J7" s="59">
        <v>0</v>
      </c>
      <c r="K7" s="32">
        <v>0</v>
      </c>
      <c r="L7" s="32">
        <v>0</v>
      </c>
      <c r="M7" s="32">
        <v>3</v>
      </c>
      <c r="N7" s="32">
        <v>0</v>
      </c>
      <c r="O7" s="32">
        <v>5</v>
      </c>
      <c r="P7" s="58">
        <v>2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2</v>
      </c>
      <c r="F8" s="33">
        <v>0</v>
      </c>
      <c r="G8" s="33">
        <v>0</v>
      </c>
      <c r="H8" s="33">
        <v>3</v>
      </c>
      <c r="I8" s="33">
        <v>2</v>
      </c>
      <c r="J8" s="59">
        <v>0</v>
      </c>
      <c r="K8" s="32">
        <v>2</v>
      </c>
      <c r="L8" s="32">
        <v>0</v>
      </c>
      <c r="M8" s="32">
        <v>3</v>
      </c>
      <c r="N8" s="32">
        <v>4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1.5</v>
      </c>
      <c r="D9" s="33">
        <v>0</v>
      </c>
      <c r="E9" s="33">
        <v>1.5</v>
      </c>
      <c r="F9" s="33">
        <v>0</v>
      </c>
      <c r="G9" s="33">
        <v>0</v>
      </c>
      <c r="H9" s="33">
        <v>3</v>
      </c>
      <c r="I9" s="33">
        <v>2</v>
      </c>
      <c r="J9" s="59">
        <v>1</v>
      </c>
      <c r="K9" s="32">
        <v>0</v>
      </c>
      <c r="L9" s="32">
        <v>1</v>
      </c>
      <c r="M9" s="32">
        <v>0</v>
      </c>
      <c r="N9" s="32">
        <v>1</v>
      </c>
      <c r="O9" s="32">
        <v>2</v>
      </c>
      <c r="P9" s="58">
        <v>4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0</v>
      </c>
      <c r="E10" s="21">
        <f t="shared" si="1"/>
        <v>3.5</v>
      </c>
      <c r="F10" s="21">
        <f t="shared" si="1"/>
        <v>3</v>
      </c>
      <c r="G10" s="21">
        <f t="shared" si="1"/>
        <v>0</v>
      </c>
      <c r="H10" s="21">
        <f t="shared" si="1"/>
        <v>13</v>
      </c>
      <c r="I10" s="60">
        <f t="shared" si="1"/>
        <v>10</v>
      </c>
      <c r="J10" s="61">
        <f t="shared" si="1"/>
        <v>5</v>
      </c>
      <c r="K10" s="21">
        <f t="shared" si="1"/>
        <v>2</v>
      </c>
      <c r="L10" s="21">
        <f t="shared" si="1"/>
        <v>3</v>
      </c>
      <c r="M10" s="21">
        <f t="shared" si="1"/>
        <v>6</v>
      </c>
      <c r="N10" s="21">
        <f t="shared" si="1"/>
        <v>5</v>
      </c>
      <c r="O10" s="21">
        <f t="shared" si="1"/>
        <v>10</v>
      </c>
      <c r="P10" s="60">
        <f t="shared" si="1"/>
        <v>9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3</v>
      </c>
      <c r="G12" s="22">
        <f t="shared" si="2"/>
        <v>3</v>
      </c>
      <c r="H12" s="22">
        <f t="shared" si="2"/>
        <v>6</v>
      </c>
      <c r="I12" s="62">
        <f t="shared" si="2"/>
        <v>9</v>
      </c>
      <c r="J12" s="63">
        <f t="shared" si="2"/>
        <v>13</v>
      </c>
      <c r="K12" s="22">
        <f t="shared" si="2"/>
        <v>13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18</v>
      </c>
      <c r="P12" s="62">
        <f t="shared" si="2"/>
        <v>18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4</v>
      </c>
      <c r="I13" s="62">
        <f t="shared" si="3"/>
        <v>7</v>
      </c>
      <c r="J13" s="63">
        <f t="shared" si="3"/>
        <v>7</v>
      </c>
      <c r="K13" s="22">
        <f t="shared" si="3"/>
        <v>7</v>
      </c>
      <c r="L13" s="22">
        <f t="shared" si="3"/>
        <v>7</v>
      </c>
      <c r="M13" s="22">
        <f t="shared" si="3"/>
        <v>10</v>
      </c>
      <c r="N13" s="22">
        <f t="shared" si="3"/>
        <v>10</v>
      </c>
      <c r="O13" s="22">
        <f t="shared" si="3"/>
        <v>15</v>
      </c>
      <c r="P13" s="62">
        <f t="shared" si="3"/>
        <v>17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5</v>
      </c>
      <c r="I14" s="62">
        <f t="shared" si="4"/>
        <v>7</v>
      </c>
      <c r="J14" s="63">
        <f t="shared" si="4"/>
        <v>7</v>
      </c>
      <c r="K14" s="22">
        <f t="shared" si="4"/>
        <v>9</v>
      </c>
      <c r="L14" s="22">
        <f t="shared" si="4"/>
        <v>9</v>
      </c>
      <c r="M14" s="22">
        <f t="shared" si="4"/>
        <v>12</v>
      </c>
      <c r="N14" s="22">
        <f t="shared" si="4"/>
        <v>16</v>
      </c>
      <c r="O14" s="22">
        <f t="shared" si="4"/>
        <v>16</v>
      </c>
      <c r="P14" s="62">
        <f t="shared" si="4"/>
        <v>19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1.5</v>
      </c>
      <c r="D15" s="22">
        <f t="shared" ref="D15:P15" si="5" xml:space="preserve"> C$15 + D$9</f>
        <v>1.5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9</v>
      </c>
      <c r="K15" s="22">
        <f t="shared" si="5"/>
        <v>9</v>
      </c>
      <c r="L15" s="22">
        <f t="shared" si="5"/>
        <v>10</v>
      </c>
      <c r="M15" s="22">
        <f t="shared" si="5"/>
        <v>10</v>
      </c>
      <c r="N15" s="22">
        <f t="shared" si="5"/>
        <v>11</v>
      </c>
      <c r="O15" s="22">
        <f t="shared" si="5"/>
        <v>13</v>
      </c>
      <c r="P15" s="62">
        <f t="shared" si="5"/>
        <v>17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1.5</v>
      </c>
      <c r="E16" s="21">
        <f t="shared" si="6"/>
        <v>5</v>
      </c>
      <c r="F16" s="21">
        <f t="shared" si="6"/>
        <v>8</v>
      </c>
      <c r="G16" s="21">
        <f t="shared" si="6"/>
        <v>8</v>
      </c>
      <c r="H16" s="21">
        <f t="shared" si="6"/>
        <v>21</v>
      </c>
      <c r="I16" s="60">
        <f t="shared" si="6"/>
        <v>31</v>
      </c>
      <c r="J16" s="61">
        <f t="shared" si="6"/>
        <v>36</v>
      </c>
      <c r="K16" s="21">
        <f t="shared" si="6"/>
        <v>38</v>
      </c>
      <c r="L16" s="21">
        <f t="shared" si="6"/>
        <v>41</v>
      </c>
      <c r="M16" s="21">
        <f t="shared" si="6"/>
        <v>47</v>
      </c>
      <c r="N16" s="21">
        <f t="shared" si="6"/>
        <v>52</v>
      </c>
      <c r="O16" s="21">
        <f t="shared" si="6"/>
        <v>62</v>
      </c>
      <c r="P16" s="60">
        <f t="shared" si="6"/>
        <v>71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0.75</v>
      </c>
      <c r="G30" s="22">
        <f t="shared" si="13"/>
        <v>0.6</v>
      </c>
      <c r="H30" s="22">
        <f t="shared" si="13"/>
        <v>1</v>
      </c>
      <c r="I30" s="62">
        <f t="shared" si="13"/>
        <v>1.2857142857142858</v>
      </c>
      <c r="J30" s="63">
        <f t="shared" si="13"/>
        <v>1.625</v>
      </c>
      <c r="K30" s="22">
        <f t="shared" si="13"/>
        <v>1.4444444444444444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1.3846153846153846</v>
      </c>
      <c r="P30" s="62">
        <f t="shared" si="13"/>
        <v>1.2857142857142858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0.66666666666666663</v>
      </c>
      <c r="I31" s="62">
        <f t="shared" si="14"/>
        <v>1</v>
      </c>
      <c r="J31" s="63">
        <f t="shared" si="14"/>
        <v>0.875</v>
      </c>
      <c r="K31" s="22">
        <f t="shared" si="14"/>
        <v>0.77777777777777779</v>
      </c>
      <c r="L31" s="22">
        <f t="shared" si="14"/>
        <v>0.7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1.1538461538461537</v>
      </c>
      <c r="P31" s="62">
        <f t="shared" si="14"/>
        <v>1.2142857142857142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0.4</v>
      </c>
      <c r="H32" s="22">
        <f t="shared" si="15"/>
        <v>0.83333333333333337</v>
      </c>
      <c r="I32" s="62">
        <f t="shared" si="15"/>
        <v>1</v>
      </c>
      <c r="J32" s="63">
        <f t="shared" si="15"/>
        <v>0.875</v>
      </c>
      <c r="K32" s="22">
        <f t="shared" si="15"/>
        <v>1</v>
      </c>
      <c r="L32" s="22">
        <f t="shared" si="15"/>
        <v>0.9</v>
      </c>
      <c r="M32" s="22">
        <f t="shared" si="15"/>
        <v>1.0909090909090908</v>
      </c>
      <c r="N32" s="22">
        <f t="shared" si="15"/>
        <v>1.3333333333333333</v>
      </c>
      <c r="O32" s="22">
        <f t="shared" si="15"/>
        <v>1.2307692307692308</v>
      </c>
      <c r="P32" s="62">
        <f t="shared" si="15"/>
        <v>1.3571428571428572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1.5</v>
      </c>
      <c r="D33" s="22">
        <f xml:space="preserve"> (D$15 + D$27) / D$5</f>
        <v>0.75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1.125</v>
      </c>
      <c r="K33" s="22">
        <f t="shared" si="16"/>
        <v>1</v>
      </c>
      <c r="L33" s="22">
        <f t="shared" si="16"/>
        <v>1</v>
      </c>
      <c r="M33" s="22">
        <f t="shared" si="16"/>
        <v>0.90909090909090906</v>
      </c>
      <c r="N33" s="22">
        <f t="shared" si="16"/>
        <v>0.91666666666666663</v>
      </c>
      <c r="O33" s="22">
        <f t="shared" si="16"/>
        <v>1</v>
      </c>
      <c r="P33" s="62">
        <f t="shared" si="16"/>
        <v>1.2142857142857142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0.75</v>
      </c>
      <c r="E34" s="21">
        <f t="shared" si="17"/>
        <v>1.6666666666666665</v>
      </c>
      <c r="F34" s="21">
        <f t="shared" si="17"/>
        <v>2</v>
      </c>
      <c r="G34" s="21">
        <f t="shared" si="17"/>
        <v>1.6</v>
      </c>
      <c r="H34" s="21">
        <f t="shared" si="17"/>
        <v>3.5</v>
      </c>
      <c r="I34" s="60">
        <f t="shared" si="17"/>
        <v>4.4285714285714288</v>
      </c>
      <c r="J34" s="61">
        <f t="shared" si="17"/>
        <v>4.5</v>
      </c>
      <c r="K34" s="21">
        <f t="shared" si="17"/>
        <v>4.2222222222222223</v>
      </c>
      <c r="L34" s="21">
        <f t="shared" si="17"/>
        <v>4.0999999999999996</v>
      </c>
      <c r="M34" s="21">
        <f t="shared" si="17"/>
        <v>4.2727272727272725</v>
      </c>
      <c r="N34" s="21">
        <f t="shared" si="17"/>
        <v>4.3333333333333339</v>
      </c>
      <c r="O34" s="21">
        <f t="shared" si="17"/>
        <v>4.7692307692307692</v>
      </c>
      <c r="P34" s="60">
        <f t="shared" si="17"/>
        <v>5.0714285714285712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9</v>
      </c>
      <c r="D37" s="24">
        <f xml:space="preserve"> SUM(J6:P6) + SUM(J18:P18)</f>
        <v>9</v>
      </c>
      <c r="E37" s="24">
        <f xml:space="preserve"> SUM(C37:D37)</f>
        <v>18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7</v>
      </c>
      <c r="D38" s="24">
        <f xml:space="preserve"> SUM(J7:P7) + SUM(J19:P19)</f>
        <v>10</v>
      </c>
      <c r="E38" s="24">
        <f xml:space="preserve"> SUM(C38:D38)</f>
        <v>17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7</v>
      </c>
      <c r="D39" s="24">
        <f xml:space="preserve"> SUM(J8:P8) + SUM(J20:P20)</f>
        <v>12</v>
      </c>
      <c r="E39" s="24">
        <f xml:space="preserve"> SUM(C39:D39)</f>
        <v>19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</v>
      </c>
      <c r="D40" s="24">
        <f xml:space="preserve"> SUM(J9:P9) + SUM(J21:P21)</f>
        <v>9</v>
      </c>
      <c r="E40" s="24">
        <f xml:space="preserve"> SUM(C40:D40)</f>
        <v>17</v>
      </c>
    </row>
    <row r="41" spans="1:16" ht="16.5" thickBot="1" x14ac:dyDescent="0.3">
      <c r="A41" s="79"/>
      <c r="B41" s="18" t="s">
        <v>19</v>
      </c>
      <c r="C41" s="21">
        <f xml:space="preserve"> SUM(C37:C40)</f>
        <v>31</v>
      </c>
      <c r="D41" s="21">
        <f xml:space="preserve"> SUM(D37:D40)</f>
        <v>40</v>
      </c>
      <c r="E41" s="21">
        <f xml:space="preserve"> SUM(C41:D41)</f>
        <v>71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9</v>
      </c>
      <c r="D43" s="24">
        <f xml:space="preserve"> SUM(C37:D37) / D$36</f>
        <v>9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7</v>
      </c>
      <c r="D44" s="24">
        <f xml:space="preserve"> SUM(C38:D38) / D$36</f>
        <v>8.5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7</v>
      </c>
      <c r="D45" s="24">
        <f xml:space="preserve"> SUM(C39:D39) / D$36</f>
        <v>9.5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</v>
      </c>
      <c r="D46" s="24">
        <f xml:space="preserve"> SUM(C40:D40) / D$36</f>
        <v>8.5</v>
      </c>
    </row>
    <row r="47" spans="1:16" ht="16.5" thickBot="1" x14ac:dyDescent="0.3">
      <c r="A47" s="79"/>
      <c r="B47" s="18" t="s">
        <v>19</v>
      </c>
      <c r="C47" s="21">
        <f xml:space="preserve"> SUM(C43:C46)</f>
        <v>31</v>
      </c>
      <c r="D47" s="21">
        <f xml:space="preserve"> SUM(D43:D46)</f>
        <v>35.5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71</v>
      </c>
      <c r="D90" s="24">
        <f>C10</f>
        <v>1.5</v>
      </c>
      <c r="E90" s="24">
        <f>D10</f>
        <v>0</v>
      </c>
      <c r="F90" s="24">
        <f t="shared" ref="F90:Q90" si="18">E10</f>
        <v>3.5</v>
      </c>
      <c r="G90" s="24">
        <f t="shared" si="18"/>
        <v>3</v>
      </c>
      <c r="H90" s="24">
        <f t="shared" si="18"/>
        <v>0</v>
      </c>
      <c r="I90" s="24">
        <f t="shared" si="18"/>
        <v>13</v>
      </c>
      <c r="J90" s="24">
        <f t="shared" si="18"/>
        <v>10</v>
      </c>
      <c r="K90" s="24">
        <f t="shared" si="18"/>
        <v>5</v>
      </c>
      <c r="L90" s="24">
        <f t="shared" si="18"/>
        <v>2</v>
      </c>
      <c r="M90" s="24">
        <f t="shared" si="18"/>
        <v>3</v>
      </c>
      <c r="N90" s="24">
        <f t="shared" si="18"/>
        <v>6</v>
      </c>
      <c r="O90" s="24">
        <f t="shared" si="18"/>
        <v>5</v>
      </c>
      <c r="P90" s="24">
        <f t="shared" si="18"/>
        <v>10</v>
      </c>
      <c r="Q90" s="24">
        <f t="shared" si="18"/>
        <v>9</v>
      </c>
    </row>
    <row r="91" spans="2:17" x14ac:dyDescent="0.25">
      <c r="B91" t="s">
        <v>55</v>
      </c>
      <c r="C91" s="24">
        <f>C90</f>
        <v>71</v>
      </c>
      <c r="D91" s="24">
        <f>C91-D90</f>
        <v>69.5</v>
      </c>
      <c r="E91" s="24">
        <f>D91-E90</f>
        <v>69.5</v>
      </c>
      <c r="F91" s="24">
        <f t="shared" ref="F91:Q91" si="19">E91-F90</f>
        <v>66</v>
      </c>
      <c r="G91" s="24">
        <f t="shared" si="19"/>
        <v>63</v>
      </c>
      <c r="H91" s="24">
        <f t="shared" si="19"/>
        <v>63</v>
      </c>
      <c r="I91" s="24">
        <f t="shared" si="19"/>
        <v>50</v>
      </c>
      <c r="J91" s="24">
        <f t="shared" si="19"/>
        <v>40</v>
      </c>
      <c r="K91" s="24">
        <f t="shared" si="19"/>
        <v>35</v>
      </c>
      <c r="L91" s="24">
        <f t="shared" si="19"/>
        <v>33</v>
      </c>
      <c r="M91" s="24">
        <f t="shared" si="19"/>
        <v>30</v>
      </c>
      <c r="N91" s="24">
        <f t="shared" si="19"/>
        <v>24</v>
      </c>
      <c r="O91" s="24">
        <f t="shared" si="19"/>
        <v>19</v>
      </c>
      <c r="P91" s="24">
        <f t="shared" si="19"/>
        <v>9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7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2</v>
      </c>
      <c r="F6" s="33">
        <v>0</v>
      </c>
      <c r="G6" s="33">
        <v>3</v>
      </c>
      <c r="H6" s="33">
        <v>4</v>
      </c>
      <c r="I6" s="33">
        <v>1</v>
      </c>
      <c r="J6" s="59">
        <v>0</v>
      </c>
      <c r="K6" s="32">
        <v>0</v>
      </c>
      <c r="L6" s="32">
        <v>3</v>
      </c>
      <c r="M6" s="32">
        <v>0</v>
      </c>
      <c r="N6" s="32">
        <v>1</v>
      </c>
      <c r="O6" s="32">
        <v>2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3</v>
      </c>
      <c r="G7" s="33">
        <v>5</v>
      </c>
      <c r="H7" s="33">
        <v>0</v>
      </c>
      <c r="I7" s="33">
        <v>2</v>
      </c>
      <c r="J7" s="59">
        <v>0</v>
      </c>
      <c r="K7" s="32">
        <v>0</v>
      </c>
      <c r="L7" s="32">
        <v>0</v>
      </c>
      <c r="M7" s="32">
        <v>3</v>
      </c>
      <c r="N7" s="32">
        <v>3</v>
      </c>
      <c r="O7" s="32">
        <v>0</v>
      </c>
      <c r="P7" s="58">
        <v>1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2</v>
      </c>
      <c r="E8" s="33">
        <v>0</v>
      </c>
      <c r="F8" s="33">
        <v>0</v>
      </c>
      <c r="G8" s="33">
        <v>3</v>
      </c>
      <c r="H8" s="33">
        <v>0</v>
      </c>
      <c r="I8" s="33">
        <v>2</v>
      </c>
      <c r="J8" s="59">
        <v>0</v>
      </c>
      <c r="K8" s="32">
        <v>4</v>
      </c>
      <c r="L8" s="32">
        <v>0</v>
      </c>
      <c r="M8" s="32">
        <v>0</v>
      </c>
      <c r="N8" s="32">
        <v>3</v>
      </c>
      <c r="O8" s="32">
        <v>0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3</v>
      </c>
      <c r="F9" s="33">
        <v>0</v>
      </c>
      <c r="G9" s="33">
        <v>4</v>
      </c>
      <c r="H9" s="33">
        <v>1</v>
      </c>
      <c r="I9" s="33">
        <v>0</v>
      </c>
      <c r="J9" s="59">
        <v>0</v>
      </c>
      <c r="K9" s="32">
        <v>0</v>
      </c>
      <c r="L9" s="32">
        <v>1</v>
      </c>
      <c r="M9" s="32">
        <v>0</v>
      </c>
      <c r="N9" s="32">
        <v>3</v>
      </c>
      <c r="O9" s="32">
        <v>4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2</v>
      </c>
      <c r="E10" s="21">
        <f t="shared" si="1"/>
        <v>5</v>
      </c>
      <c r="F10" s="21">
        <f t="shared" si="1"/>
        <v>3</v>
      </c>
      <c r="G10" s="21">
        <f t="shared" si="1"/>
        <v>15</v>
      </c>
      <c r="H10" s="21">
        <f t="shared" si="1"/>
        <v>5</v>
      </c>
      <c r="I10" s="60">
        <f t="shared" si="1"/>
        <v>5</v>
      </c>
      <c r="J10" s="61">
        <f t="shared" si="1"/>
        <v>0</v>
      </c>
      <c r="K10" s="21">
        <f t="shared" si="1"/>
        <v>4</v>
      </c>
      <c r="L10" s="21">
        <f t="shared" si="1"/>
        <v>4</v>
      </c>
      <c r="M10" s="21">
        <f t="shared" si="1"/>
        <v>3</v>
      </c>
      <c r="N10" s="21">
        <f t="shared" si="1"/>
        <v>10</v>
      </c>
      <c r="O10" s="21">
        <f t="shared" si="1"/>
        <v>6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2</v>
      </c>
      <c r="F12" s="22">
        <f t="shared" si="2"/>
        <v>2</v>
      </c>
      <c r="G12" s="22">
        <f t="shared" si="2"/>
        <v>5</v>
      </c>
      <c r="H12" s="22">
        <f t="shared" si="2"/>
        <v>9</v>
      </c>
      <c r="I12" s="62">
        <f t="shared" si="2"/>
        <v>10</v>
      </c>
      <c r="J12" s="63">
        <f t="shared" si="2"/>
        <v>10</v>
      </c>
      <c r="K12" s="22">
        <f t="shared" si="2"/>
        <v>10</v>
      </c>
      <c r="L12" s="22">
        <f t="shared" si="2"/>
        <v>13</v>
      </c>
      <c r="M12" s="22">
        <f t="shared" si="2"/>
        <v>13</v>
      </c>
      <c r="N12" s="22">
        <f t="shared" si="2"/>
        <v>14</v>
      </c>
      <c r="O12" s="22">
        <f t="shared" si="2"/>
        <v>16</v>
      </c>
      <c r="P12" s="62">
        <f t="shared" si="2"/>
        <v>16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3</v>
      </c>
      <c r="G13" s="22">
        <f t="shared" si="3"/>
        <v>8</v>
      </c>
      <c r="H13" s="22">
        <f t="shared" si="3"/>
        <v>8</v>
      </c>
      <c r="I13" s="62">
        <f t="shared" si="3"/>
        <v>10</v>
      </c>
      <c r="J13" s="63">
        <f t="shared" si="3"/>
        <v>10</v>
      </c>
      <c r="K13" s="22">
        <f t="shared" si="3"/>
        <v>10</v>
      </c>
      <c r="L13" s="22">
        <f t="shared" si="3"/>
        <v>10</v>
      </c>
      <c r="M13" s="22">
        <f t="shared" si="3"/>
        <v>13</v>
      </c>
      <c r="N13" s="22">
        <f t="shared" si="3"/>
        <v>16</v>
      </c>
      <c r="O13" s="22">
        <f t="shared" si="3"/>
        <v>16</v>
      </c>
      <c r="P13" s="62">
        <f t="shared" si="3"/>
        <v>17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5</v>
      </c>
      <c r="H14" s="22">
        <f t="shared" si="4"/>
        <v>5</v>
      </c>
      <c r="I14" s="62">
        <f t="shared" si="4"/>
        <v>7</v>
      </c>
      <c r="J14" s="63">
        <f t="shared" si="4"/>
        <v>7</v>
      </c>
      <c r="K14" s="22">
        <f t="shared" si="4"/>
        <v>11</v>
      </c>
      <c r="L14" s="22">
        <f t="shared" si="4"/>
        <v>11</v>
      </c>
      <c r="M14" s="22">
        <f t="shared" si="4"/>
        <v>11</v>
      </c>
      <c r="N14" s="22">
        <f t="shared" si="4"/>
        <v>14</v>
      </c>
      <c r="O14" s="22">
        <f t="shared" si="4"/>
        <v>14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3</v>
      </c>
      <c r="F15" s="22">
        <f t="shared" si="5"/>
        <v>3</v>
      </c>
      <c r="G15" s="22">
        <f t="shared" si="5"/>
        <v>7</v>
      </c>
      <c r="H15" s="22">
        <f t="shared" si="5"/>
        <v>8</v>
      </c>
      <c r="I15" s="62">
        <f t="shared" si="5"/>
        <v>8</v>
      </c>
      <c r="J15" s="63">
        <f t="shared" si="5"/>
        <v>8</v>
      </c>
      <c r="K15" s="22">
        <f t="shared" si="5"/>
        <v>8</v>
      </c>
      <c r="L15" s="22">
        <f t="shared" si="5"/>
        <v>9</v>
      </c>
      <c r="M15" s="22">
        <f t="shared" si="5"/>
        <v>9</v>
      </c>
      <c r="N15" s="22">
        <f t="shared" si="5"/>
        <v>12</v>
      </c>
      <c r="O15" s="22">
        <f t="shared" si="5"/>
        <v>16</v>
      </c>
      <c r="P15" s="62">
        <f t="shared" si="5"/>
        <v>16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2</v>
      </c>
      <c r="E16" s="21">
        <f t="shared" si="6"/>
        <v>7</v>
      </c>
      <c r="F16" s="21">
        <f t="shared" si="6"/>
        <v>10</v>
      </c>
      <c r="G16" s="21">
        <f t="shared" si="6"/>
        <v>25</v>
      </c>
      <c r="H16" s="21">
        <f t="shared" si="6"/>
        <v>30</v>
      </c>
      <c r="I16" s="60">
        <f t="shared" si="6"/>
        <v>35</v>
      </c>
      <c r="J16" s="61">
        <f t="shared" si="6"/>
        <v>35</v>
      </c>
      <c r="K16" s="21">
        <f t="shared" si="6"/>
        <v>39</v>
      </c>
      <c r="L16" s="21">
        <f t="shared" si="6"/>
        <v>43</v>
      </c>
      <c r="M16" s="21">
        <f t="shared" si="6"/>
        <v>46</v>
      </c>
      <c r="N16" s="21">
        <f t="shared" si="6"/>
        <v>56</v>
      </c>
      <c r="O16" s="21">
        <f t="shared" si="6"/>
        <v>62</v>
      </c>
      <c r="P16" s="60">
        <f t="shared" si="6"/>
        <v>65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0.66666666666666663</v>
      </c>
      <c r="F30" s="22">
        <f t="shared" si="13"/>
        <v>0.5</v>
      </c>
      <c r="G30" s="22">
        <f t="shared" si="13"/>
        <v>1</v>
      </c>
      <c r="H30" s="22">
        <f t="shared" si="13"/>
        <v>1.5</v>
      </c>
      <c r="I30" s="62">
        <f t="shared" si="13"/>
        <v>1.4285714285714286</v>
      </c>
      <c r="J30" s="63">
        <f t="shared" si="13"/>
        <v>1.25</v>
      </c>
      <c r="K30" s="22">
        <f t="shared" si="13"/>
        <v>1.1111111111111112</v>
      </c>
      <c r="L30" s="22">
        <f t="shared" si="13"/>
        <v>1.3</v>
      </c>
      <c r="M30" s="22">
        <f t="shared" si="13"/>
        <v>1.1818181818181819</v>
      </c>
      <c r="N30" s="22">
        <f t="shared" si="13"/>
        <v>1.1666666666666667</v>
      </c>
      <c r="O30" s="22">
        <f t="shared" si="13"/>
        <v>1.2307692307692308</v>
      </c>
      <c r="P30" s="62">
        <f t="shared" si="13"/>
        <v>1.1428571428571428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0.75</v>
      </c>
      <c r="G31" s="22">
        <f t="shared" si="14"/>
        <v>1.6</v>
      </c>
      <c r="H31" s="22">
        <f t="shared" si="14"/>
        <v>1.3333333333333333</v>
      </c>
      <c r="I31" s="62">
        <f t="shared" si="14"/>
        <v>1.4285714285714286</v>
      </c>
      <c r="J31" s="63">
        <f t="shared" si="14"/>
        <v>1.25</v>
      </c>
      <c r="K31" s="22">
        <f t="shared" si="14"/>
        <v>1.1111111111111112</v>
      </c>
      <c r="L31" s="22">
        <f t="shared" si="14"/>
        <v>1</v>
      </c>
      <c r="M31" s="22">
        <f t="shared" si="14"/>
        <v>1.1818181818181819</v>
      </c>
      <c r="N31" s="22">
        <f t="shared" si="14"/>
        <v>1.3333333333333333</v>
      </c>
      <c r="O31" s="22">
        <f t="shared" si="14"/>
        <v>1.2307692307692308</v>
      </c>
      <c r="P31" s="62">
        <f t="shared" si="14"/>
        <v>1.2142857142857142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1</v>
      </c>
      <c r="H32" s="22">
        <f t="shared" si="15"/>
        <v>0.83333333333333337</v>
      </c>
      <c r="I32" s="62">
        <f t="shared" si="15"/>
        <v>1</v>
      </c>
      <c r="J32" s="63">
        <f t="shared" si="15"/>
        <v>0.875</v>
      </c>
      <c r="K32" s="22">
        <f t="shared" si="15"/>
        <v>1.2222222222222223</v>
      </c>
      <c r="L32" s="22">
        <f t="shared" si="15"/>
        <v>1.1000000000000001</v>
      </c>
      <c r="M32" s="22">
        <f t="shared" si="15"/>
        <v>1</v>
      </c>
      <c r="N32" s="22">
        <f t="shared" si="15"/>
        <v>1.1666666666666667</v>
      </c>
      <c r="O32" s="22">
        <f t="shared" si="15"/>
        <v>1.0769230769230769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1.4</v>
      </c>
      <c r="H33" s="22">
        <f t="shared" si="16"/>
        <v>1.3333333333333333</v>
      </c>
      <c r="I33" s="62">
        <f t="shared" si="16"/>
        <v>1.1428571428571428</v>
      </c>
      <c r="J33" s="63">
        <f t="shared" si="16"/>
        <v>1</v>
      </c>
      <c r="K33" s="22">
        <f t="shared" si="16"/>
        <v>0.88888888888888884</v>
      </c>
      <c r="L33" s="22">
        <f t="shared" si="16"/>
        <v>0.9</v>
      </c>
      <c r="M33" s="22">
        <f t="shared" si="16"/>
        <v>0.81818181818181823</v>
      </c>
      <c r="N33" s="22">
        <f t="shared" si="16"/>
        <v>1</v>
      </c>
      <c r="O33" s="22">
        <f t="shared" si="16"/>
        <v>1.2307692307692308</v>
      </c>
      <c r="P33" s="62">
        <f t="shared" si="16"/>
        <v>1.1428571428571428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1</v>
      </c>
      <c r="E34" s="21">
        <f t="shared" si="17"/>
        <v>2.333333333333333</v>
      </c>
      <c r="F34" s="21">
        <f t="shared" si="17"/>
        <v>2.5</v>
      </c>
      <c r="G34" s="21">
        <f t="shared" si="17"/>
        <v>5</v>
      </c>
      <c r="H34" s="21">
        <f t="shared" si="17"/>
        <v>5</v>
      </c>
      <c r="I34" s="60">
        <f t="shared" si="17"/>
        <v>5</v>
      </c>
      <c r="J34" s="61">
        <f t="shared" si="17"/>
        <v>4.375</v>
      </c>
      <c r="K34" s="21">
        <f t="shared" si="17"/>
        <v>4.3333333333333339</v>
      </c>
      <c r="L34" s="21">
        <f t="shared" si="17"/>
        <v>4.3</v>
      </c>
      <c r="M34" s="21">
        <f t="shared" si="17"/>
        <v>4.1818181818181817</v>
      </c>
      <c r="N34" s="21">
        <f t="shared" si="17"/>
        <v>4.666666666666667</v>
      </c>
      <c r="O34" s="21">
        <f t="shared" si="17"/>
        <v>4.7692307692307692</v>
      </c>
      <c r="P34" s="60">
        <f t="shared" si="17"/>
        <v>4.6428571428571423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</v>
      </c>
      <c r="D37" s="24">
        <f xml:space="preserve"> SUM(J6:P6) + SUM(J18:P18)</f>
        <v>6</v>
      </c>
      <c r="E37" s="24">
        <f xml:space="preserve"> SUM(C37:D37)</f>
        <v>16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10</v>
      </c>
      <c r="D38" s="24">
        <f xml:space="preserve"> SUM(J7:P7) + SUM(J19:P19)</f>
        <v>7</v>
      </c>
      <c r="E38" s="24">
        <f xml:space="preserve"> SUM(C38:D38)</f>
        <v>17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7</v>
      </c>
      <c r="D39" s="24">
        <f xml:space="preserve"> SUM(J8:P8) + SUM(J20:P20)</f>
        <v>9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8</v>
      </c>
      <c r="D40" s="24">
        <f xml:space="preserve"> SUM(J9:P9) + SUM(J21:P21)</f>
        <v>8</v>
      </c>
      <c r="E40" s="24">
        <f xml:space="preserve"> SUM(C40:D40)</f>
        <v>16</v>
      </c>
    </row>
    <row r="41" spans="1:16" ht="16.5" thickBot="1" x14ac:dyDescent="0.3">
      <c r="A41" s="79"/>
      <c r="B41" s="18" t="s">
        <v>19</v>
      </c>
      <c r="C41" s="21">
        <f xml:space="preserve"> SUM(C37:C40)</f>
        <v>35</v>
      </c>
      <c r="D41" s="21">
        <f xml:space="preserve"> SUM(D37:D40)</f>
        <v>30</v>
      </c>
      <c r="E41" s="21">
        <f xml:space="preserve"> SUM(C41:D41)</f>
        <v>65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</v>
      </c>
      <c r="D43" s="24">
        <f xml:space="preserve"> SUM(C37:D37) / D$36</f>
        <v>8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10</v>
      </c>
      <c r="D44" s="24">
        <f xml:space="preserve"> SUM(C38:D38) / D$36</f>
        <v>8.5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7</v>
      </c>
      <c r="D45" s="24">
        <f xml:space="preserve"> SUM(C39:D39) / D$36</f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8</v>
      </c>
      <c r="D46" s="24">
        <f xml:space="preserve"> SUM(C40:D40) / D$36</f>
        <v>8</v>
      </c>
    </row>
    <row r="47" spans="1:16" ht="16.5" thickBot="1" x14ac:dyDescent="0.3">
      <c r="A47" s="79"/>
      <c r="B47" s="18" t="s">
        <v>19</v>
      </c>
      <c r="C47" s="21">
        <f xml:space="preserve"> SUM(C43:C46)</f>
        <v>35</v>
      </c>
      <c r="D47" s="21">
        <f xml:space="preserve"> SUM(D43:D46)</f>
        <v>32.5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65</v>
      </c>
      <c r="D90" s="24">
        <f>C10</f>
        <v>0</v>
      </c>
      <c r="E90" s="24">
        <f>D10</f>
        <v>2</v>
      </c>
      <c r="F90" s="24">
        <f t="shared" ref="F90:Q90" si="18">E10</f>
        <v>5</v>
      </c>
      <c r="G90" s="24">
        <f t="shared" si="18"/>
        <v>3</v>
      </c>
      <c r="H90" s="24">
        <f t="shared" si="18"/>
        <v>15</v>
      </c>
      <c r="I90" s="24">
        <f t="shared" si="18"/>
        <v>5</v>
      </c>
      <c r="J90" s="24">
        <f t="shared" si="18"/>
        <v>5</v>
      </c>
      <c r="K90" s="24">
        <f t="shared" si="18"/>
        <v>0</v>
      </c>
      <c r="L90" s="24">
        <f t="shared" si="18"/>
        <v>4</v>
      </c>
      <c r="M90" s="24">
        <f t="shared" si="18"/>
        <v>4</v>
      </c>
      <c r="N90" s="24">
        <f t="shared" si="18"/>
        <v>3</v>
      </c>
      <c r="O90" s="24">
        <f t="shared" si="18"/>
        <v>10</v>
      </c>
      <c r="P90" s="24">
        <f t="shared" si="18"/>
        <v>6</v>
      </c>
      <c r="Q90" s="24">
        <f t="shared" si="18"/>
        <v>3</v>
      </c>
    </row>
    <row r="91" spans="2:17" x14ac:dyDescent="0.25">
      <c r="B91" t="s">
        <v>55</v>
      </c>
      <c r="C91" s="24">
        <f>C90</f>
        <v>65</v>
      </c>
      <c r="D91" s="24">
        <f>C91-D90</f>
        <v>65</v>
      </c>
      <c r="E91" s="24">
        <f>D91-E90</f>
        <v>63</v>
      </c>
      <c r="F91" s="24">
        <f t="shared" ref="F91:Q91" si="19">E91-F90</f>
        <v>58</v>
      </c>
      <c r="G91" s="24">
        <f t="shared" si="19"/>
        <v>55</v>
      </c>
      <c r="H91" s="24">
        <f t="shared" si="19"/>
        <v>40</v>
      </c>
      <c r="I91" s="24">
        <f t="shared" si="19"/>
        <v>35</v>
      </c>
      <c r="J91" s="24">
        <f t="shared" si="19"/>
        <v>30</v>
      </c>
      <c r="K91" s="24">
        <f t="shared" si="19"/>
        <v>30</v>
      </c>
      <c r="L91" s="24">
        <f t="shared" si="19"/>
        <v>26</v>
      </c>
      <c r="M91" s="24">
        <f t="shared" si="19"/>
        <v>22</v>
      </c>
      <c r="N91" s="24">
        <f t="shared" si="19"/>
        <v>19</v>
      </c>
      <c r="O91" s="24">
        <f t="shared" si="19"/>
        <v>9</v>
      </c>
      <c r="P91" s="24">
        <f t="shared" si="19"/>
        <v>3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abSelected="1" topLeftCell="A40" zoomScale="115" zoomScaleNormal="115" workbookViewId="0">
      <selection activeCell="F115" sqref="F11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8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1</v>
      </c>
      <c r="D6" s="33">
        <v>0</v>
      </c>
      <c r="E6" s="33">
        <v>2</v>
      </c>
      <c r="F6" s="33">
        <v>1</v>
      </c>
      <c r="G6" s="33">
        <v>0</v>
      </c>
      <c r="H6" s="33">
        <v>3</v>
      </c>
      <c r="I6" s="33">
        <v>0</v>
      </c>
      <c r="J6" s="59">
        <v>7</v>
      </c>
      <c r="K6" s="32">
        <v>2</v>
      </c>
      <c r="L6" s="32">
        <v>0</v>
      </c>
      <c r="M6" s="32">
        <v>1</v>
      </c>
      <c r="N6" s="32">
        <v>1</v>
      </c>
      <c r="O6" s="32">
        <v>2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</v>
      </c>
      <c r="E7" s="33">
        <v>3</v>
      </c>
      <c r="F7" s="33">
        <v>0</v>
      </c>
      <c r="G7" s="33">
        <v>1</v>
      </c>
      <c r="H7" s="33">
        <v>0</v>
      </c>
      <c r="I7" s="33">
        <v>2</v>
      </c>
      <c r="J7" s="59">
        <v>7</v>
      </c>
      <c r="K7" s="32">
        <v>1</v>
      </c>
      <c r="L7" s="32">
        <v>3</v>
      </c>
      <c r="M7" s="32">
        <v>0</v>
      </c>
      <c r="N7" s="32">
        <v>1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1</v>
      </c>
      <c r="D8" s="33">
        <v>0</v>
      </c>
      <c r="E8" s="33">
        <v>2</v>
      </c>
      <c r="F8" s="33">
        <v>0</v>
      </c>
      <c r="G8" s="33">
        <v>2</v>
      </c>
      <c r="H8" s="33">
        <v>0</v>
      </c>
      <c r="I8" s="33">
        <v>0</v>
      </c>
      <c r="J8" s="59">
        <v>7</v>
      </c>
      <c r="K8" s="32">
        <v>0</v>
      </c>
      <c r="L8" s="32">
        <v>2</v>
      </c>
      <c r="M8" s="32">
        <v>0</v>
      </c>
      <c r="N8" s="32">
        <v>2</v>
      </c>
      <c r="O8" s="32">
        <v>0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2</v>
      </c>
      <c r="G9" s="33">
        <v>2</v>
      </c>
      <c r="H9" s="33">
        <v>0</v>
      </c>
      <c r="I9" s="33">
        <v>0</v>
      </c>
      <c r="J9" s="59">
        <v>4</v>
      </c>
      <c r="K9" s="32">
        <v>0</v>
      </c>
      <c r="L9" s="32">
        <v>0</v>
      </c>
      <c r="M9" s="32">
        <v>3</v>
      </c>
      <c r="N9" s="32">
        <v>3</v>
      </c>
      <c r="O9" s="32">
        <v>0</v>
      </c>
      <c r="P9" s="58">
        <v>2</v>
      </c>
    </row>
    <row r="10" spans="1:16" ht="16.5" thickBot="1" x14ac:dyDescent="0.3">
      <c r="A10" s="85"/>
      <c r="B10" s="18" t="s">
        <v>19</v>
      </c>
      <c r="C10" s="21">
        <f xml:space="preserve"> SUM(C6:C9)</f>
        <v>4</v>
      </c>
      <c r="D10" s="21">
        <f t="shared" ref="D10:P10" si="1" xml:space="preserve"> SUM(D6:D9)</f>
        <v>3</v>
      </c>
      <c r="E10" s="21">
        <f t="shared" si="1"/>
        <v>7</v>
      </c>
      <c r="F10" s="21">
        <f t="shared" si="1"/>
        <v>3</v>
      </c>
      <c r="G10" s="21">
        <f t="shared" si="1"/>
        <v>5</v>
      </c>
      <c r="H10" s="21">
        <f t="shared" si="1"/>
        <v>3</v>
      </c>
      <c r="I10" s="60">
        <f t="shared" si="1"/>
        <v>2</v>
      </c>
      <c r="J10" s="61">
        <f t="shared" si="1"/>
        <v>25</v>
      </c>
      <c r="K10" s="21">
        <f t="shared" si="1"/>
        <v>3</v>
      </c>
      <c r="L10" s="21">
        <f t="shared" si="1"/>
        <v>5</v>
      </c>
      <c r="M10" s="21">
        <f t="shared" si="1"/>
        <v>4</v>
      </c>
      <c r="N10" s="21">
        <f t="shared" si="1"/>
        <v>7</v>
      </c>
      <c r="O10" s="21">
        <f t="shared" si="1"/>
        <v>2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1</v>
      </c>
      <c r="D12" s="22">
        <f t="shared" ref="D12:P12" si="2" xml:space="preserve"> C$12 + D$6</f>
        <v>1</v>
      </c>
      <c r="E12" s="22">
        <f t="shared" si="2"/>
        <v>3</v>
      </c>
      <c r="F12" s="22">
        <f t="shared" si="2"/>
        <v>4</v>
      </c>
      <c r="G12" s="22">
        <f t="shared" si="2"/>
        <v>4</v>
      </c>
      <c r="H12" s="22">
        <f t="shared" si="2"/>
        <v>7</v>
      </c>
      <c r="I12" s="62">
        <f t="shared" si="2"/>
        <v>7</v>
      </c>
      <c r="J12" s="63">
        <f t="shared" si="2"/>
        <v>14</v>
      </c>
      <c r="K12" s="22">
        <f t="shared" si="2"/>
        <v>16</v>
      </c>
      <c r="L12" s="22">
        <f t="shared" si="2"/>
        <v>16</v>
      </c>
      <c r="M12" s="22">
        <f t="shared" si="2"/>
        <v>17</v>
      </c>
      <c r="N12" s="22">
        <f t="shared" si="2"/>
        <v>18</v>
      </c>
      <c r="O12" s="22">
        <f t="shared" si="2"/>
        <v>20</v>
      </c>
      <c r="P12" s="62">
        <f t="shared" si="2"/>
        <v>20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</v>
      </c>
      <c r="E13" s="22">
        <f t="shared" si="3"/>
        <v>5</v>
      </c>
      <c r="F13" s="22">
        <f t="shared" si="3"/>
        <v>5</v>
      </c>
      <c r="G13" s="22">
        <f t="shared" si="3"/>
        <v>6</v>
      </c>
      <c r="H13" s="22">
        <f t="shared" si="3"/>
        <v>6</v>
      </c>
      <c r="I13" s="62">
        <f t="shared" si="3"/>
        <v>8</v>
      </c>
      <c r="J13" s="63">
        <f t="shared" si="3"/>
        <v>15</v>
      </c>
      <c r="K13" s="22">
        <f t="shared" si="3"/>
        <v>16</v>
      </c>
      <c r="L13" s="22">
        <f t="shared" si="3"/>
        <v>19</v>
      </c>
      <c r="M13" s="22">
        <f t="shared" si="3"/>
        <v>19</v>
      </c>
      <c r="N13" s="22">
        <f t="shared" si="3"/>
        <v>20</v>
      </c>
      <c r="O13" s="22">
        <f t="shared" si="3"/>
        <v>20</v>
      </c>
      <c r="P13" s="62">
        <f t="shared" si="3"/>
        <v>20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1</v>
      </c>
      <c r="D14" s="22">
        <f t="shared" ref="D14:P14" si="4" xml:space="preserve"> C$14 + D$8</f>
        <v>1</v>
      </c>
      <c r="E14" s="22">
        <f t="shared" si="4"/>
        <v>3</v>
      </c>
      <c r="F14" s="22">
        <f t="shared" si="4"/>
        <v>3</v>
      </c>
      <c r="G14" s="22">
        <f t="shared" si="4"/>
        <v>5</v>
      </c>
      <c r="H14" s="22">
        <f t="shared" si="4"/>
        <v>5</v>
      </c>
      <c r="I14" s="62">
        <f t="shared" si="4"/>
        <v>5</v>
      </c>
      <c r="J14" s="63">
        <f t="shared" si="4"/>
        <v>12</v>
      </c>
      <c r="K14" s="22">
        <f t="shared" si="4"/>
        <v>12</v>
      </c>
      <c r="L14" s="22">
        <f t="shared" si="4"/>
        <v>14</v>
      </c>
      <c r="M14" s="22">
        <f t="shared" si="4"/>
        <v>14</v>
      </c>
      <c r="N14" s="22">
        <f t="shared" si="4"/>
        <v>16</v>
      </c>
      <c r="O14" s="22">
        <f t="shared" si="4"/>
        <v>16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5</v>
      </c>
      <c r="G15" s="22">
        <f t="shared" si="5"/>
        <v>7</v>
      </c>
      <c r="H15" s="22">
        <f t="shared" si="5"/>
        <v>7</v>
      </c>
      <c r="I15" s="62">
        <f t="shared" si="5"/>
        <v>7</v>
      </c>
      <c r="J15" s="63">
        <f t="shared" si="5"/>
        <v>11</v>
      </c>
      <c r="K15" s="22">
        <f t="shared" si="5"/>
        <v>11</v>
      </c>
      <c r="L15" s="22">
        <f t="shared" si="5"/>
        <v>11</v>
      </c>
      <c r="M15" s="22">
        <f t="shared" si="5"/>
        <v>14</v>
      </c>
      <c r="N15" s="22">
        <f t="shared" si="5"/>
        <v>17</v>
      </c>
      <c r="O15" s="22">
        <f t="shared" si="5"/>
        <v>17</v>
      </c>
      <c r="P15" s="62">
        <f t="shared" si="5"/>
        <v>19</v>
      </c>
    </row>
    <row r="16" spans="1:16" ht="16.5" thickBot="1" x14ac:dyDescent="0.3">
      <c r="A16" s="85"/>
      <c r="B16" s="18" t="s">
        <v>19</v>
      </c>
      <c r="C16" s="21">
        <f xml:space="preserve"> SUM(C12:C15)</f>
        <v>4</v>
      </c>
      <c r="D16" s="21">
        <f t="shared" ref="D16:P16" si="6" xml:space="preserve"> SUM(D12:D15)</f>
        <v>7</v>
      </c>
      <c r="E16" s="21">
        <f t="shared" si="6"/>
        <v>14</v>
      </c>
      <c r="F16" s="21">
        <f t="shared" si="6"/>
        <v>17</v>
      </c>
      <c r="G16" s="21">
        <f t="shared" si="6"/>
        <v>22</v>
      </c>
      <c r="H16" s="21">
        <f t="shared" si="6"/>
        <v>25</v>
      </c>
      <c r="I16" s="60">
        <f t="shared" si="6"/>
        <v>27</v>
      </c>
      <c r="J16" s="61">
        <f t="shared" si="6"/>
        <v>52</v>
      </c>
      <c r="K16" s="21">
        <f t="shared" si="6"/>
        <v>55</v>
      </c>
      <c r="L16" s="21">
        <f t="shared" si="6"/>
        <v>60</v>
      </c>
      <c r="M16" s="21">
        <f t="shared" si="6"/>
        <v>64</v>
      </c>
      <c r="N16" s="21">
        <f t="shared" si="6"/>
        <v>71</v>
      </c>
      <c r="O16" s="21">
        <f t="shared" si="6"/>
        <v>73</v>
      </c>
      <c r="P16" s="60">
        <f t="shared" si="6"/>
        <v>77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1</v>
      </c>
      <c r="D30" s="22">
        <f xml:space="preserve"> (D$12 + D$24) / D$5</f>
        <v>0.5</v>
      </c>
      <c r="E30" s="22">
        <f t="shared" ref="E30:P30" si="13" xml:space="preserve"> (E$12 + E$24) / E$5</f>
        <v>1</v>
      </c>
      <c r="F30" s="22">
        <f t="shared" si="13"/>
        <v>1</v>
      </c>
      <c r="G30" s="22">
        <f t="shared" si="13"/>
        <v>0.8</v>
      </c>
      <c r="H30" s="22">
        <f t="shared" si="13"/>
        <v>1.1666666666666667</v>
      </c>
      <c r="I30" s="62">
        <f t="shared" si="13"/>
        <v>1</v>
      </c>
      <c r="J30" s="63">
        <f t="shared" si="13"/>
        <v>1.75</v>
      </c>
      <c r="K30" s="22">
        <f t="shared" si="13"/>
        <v>1.7777777777777777</v>
      </c>
      <c r="L30" s="22">
        <f t="shared" si="13"/>
        <v>1.6</v>
      </c>
      <c r="M30" s="22">
        <f t="shared" si="13"/>
        <v>1.5454545454545454</v>
      </c>
      <c r="N30" s="22">
        <f t="shared" si="13"/>
        <v>1.5</v>
      </c>
      <c r="O30" s="22">
        <f t="shared" si="13"/>
        <v>1.5384615384615385</v>
      </c>
      <c r="P30" s="62">
        <f t="shared" si="13"/>
        <v>1.4285714285714286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</v>
      </c>
      <c r="E31" s="22">
        <f t="shared" ref="E31:P31" si="14" xml:space="preserve"> (E$13 + E$25) / E$5</f>
        <v>1.6666666666666667</v>
      </c>
      <c r="F31" s="22">
        <f t="shared" si="14"/>
        <v>1.25</v>
      </c>
      <c r="G31" s="22">
        <f t="shared" si="14"/>
        <v>1.2</v>
      </c>
      <c r="H31" s="22">
        <f t="shared" si="14"/>
        <v>1</v>
      </c>
      <c r="I31" s="62">
        <f t="shared" si="14"/>
        <v>1.1428571428571428</v>
      </c>
      <c r="J31" s="63">
        <f t="shared" si="14"/>
        <v>1.875</v>
      </c>
      <c r="K31" s="22">
        <f t="shared" si="14"/>
        <v>1.7777777777777777</v>
      </c>
      <c r="L31" s="22">
        <f t="shared" si="14"/>
        <v>1.9</v>
      </c>
      <c r="M31" s="22">
        <f t="shared" si="14"/>
        <v>1.7272727272727273</v>
      </c>
      <c r="N31" s="22">
        <f t="shared" si="14"/>
        <v>1.6666666666666667</v>
      </c>
      <c r="O31" s="22">
        <f t="shared" si="14"/>
        <v>1.5384615384615385</v>
      </c>
      <c r="P31" s="62">
        <f t="shared" si="14"/>
        <v>1.4285714285714286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1</v>
      </c>
      <c r="D32" s="22">
        <f xml:space="preserve"> (D$14 + D$26) / D$5</f>
        <v>0.5</v>
      </c>
      <c r="E32" s="22">
        <f t="shared" ref="E32:P32" si="15" xml:space="preserve"> (E$14 + E$26) / E$5</f>
        <v>1</v>
      </c>
      <c r="F32" s="22">
        <f t="shared" si="15"/>
        <v>0.75</v>
      </c>
      <c r="G32" s="22">
        <f t="shared" si="15"/>
        <v>1</v>
      </c>
      <c r="H32" s="22">
        <f t="shared" si="15"/>
        <v>0.83333333333333337</v>
      </c>
      <c r="I32" s="62">
        <f t="shared" si="15"/>
        <v>0.7142857142857143</v>
      </c>
      <c r="J32" s="63">
        <f t="shared" si="15"/>
        <v>1.5</v>
      </c>
      <c r="K32" s="22">
        <f t="shared" si="15"/>
        <v>1.3333333333333333</v>
      </c>
      <c r="L32" s="22">
        <f t="shared" si="15"/>
        <v>1.4</v>
      </c>
      <c r="M32" s="22">
        <f t="shared" si="15"/>
        <v>1.2727272727272727</v>
      </c>
      <c r="N32" s="22">
        <f t="shared" si="15"/>
        <v>1.3333333333333333</v>
      </c>
      <c r="O32" s="22">
        <f t="shared" si="15"/>
        <v>1.2307692307692308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1.25</v>
      </c>
      <c r="G33" s="22">
        <f t="shared" si="16"/>
        <v>1.4</v>
      </c>
      <c r="H33" s="22">
        <f t="shared" si="16"/>
        <v>1.1666666666666667</v>
      </c>
      <c r="I33" s="62">
        <f t="shared" si="16"/>
        <v>1</v>
      </c>
      <c r="J33" s="63">
        <f t="shared" si="16"/>
        <v>1.375</v>
      </c>
      <c r="K33" s="22">
        <f t="shared" si="16"/>
        <v>1.2222222222222223</v>
      </c>
      <c r="L33" s="22">
        <f t="shared" si="16"/>
        <v>1.1000000000000001</v>
      </c>
      <c r="M33" s="22">
        <f t="shared" si="16"/>
        <v>1.2727272727272727</v>
      </c>
      <c r="N33" s="22">
        <f t="shared" si="16"/>
        <v>1.4166666666666667</v>
      </c>
      <c r="O33" s="22">
        <f t="shared" si="16"/>
        <v>1.3076923076923077</v>
      </c>
      <c r="P33" s="62">
        <f t="shared" si="16"/>
        <v>1.3571428571428572</v>
      </c>
    </row>
    <row r="34" spans="1:16" ht="16.5" thickBot="1" x14ac:dyDescent="0.3">
      <c r="A34" s="79"/>
      <c r="B34" s="18" t="s">
        <v>19</v>
      </c>
      <c r="C34" s="21">
        <f xml:space="preserve"> SUM(C30:C33)</f>
        <v>4</v>
      </c>
      <c r="D34" s="21">
        <f t="shared" ref="D34:P34" si="17" xml:space="preserve"> SUM(D30:D33)</f>
        <v>3.5</v>
      </c>
      <c r="E34" s="21">
        <f t="shared" si="17"/>
        <v>4.666666666666667</v>
      </c>
      <c r="F34" s="21">
        <f t="shared" si="17"/>
        <v>4.25</v>
      </c>
      <c r="G34" s="21">
        <f t="shared" si="17"/>
        <v>4.4000000000000004</v>
      </c>
      <c r="H34" s="21">
        <f t="shared" si="17"/>
        <v>4.166666666666667</v>
      </c>
      <c r="I34" s="60">
        <f t="shared" si="17"/>
        <v>3.8571428571428572</v>
      </c>
      <c r="J34" s="61">
        <f t="shared" si="17"/>
        <v>6.5</v>
      </c>
      <c r="K34" s="21">
        <f t="shared" si="17"/>
        <v>6.1111111111111107</v>
      </c>
      <c r="L34" s="21">
        <f t="shared" si="17"/>
        <v>6</v>
      </c>
      <c r="M34" s="21">
        <f t="shared" si="17"/>
        <v>5.8181818181818175</v>
      </c>
      <c r="N34" s="21">
        <f t="shared" si="17"/>
        <v>5.916666666666667</v>
      </c>
      <c r="O34" s="21">
        <f t="shared" si="17"/>
        <v>5.6153846153846159</v>
      </c>
      <c r="P34" s="60">
        <f t="shared" si="17"/>
        <v>5.5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7</v>
      </c>
      <c r="D37" s="24">
        <f xml:space="preserve"> SUM(J6:P6) + SUM(J18:P18)</f>
        <v>13</v>
      </c>
      <c r="E37" s="24">
        <f xml:space="preserve"> SUM(C37:D37)</f>
        <v>20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8</v>
      </c>
      <c r="D38" s="24">
        <f xml:space="preserve"> SUM(J7:P7) + SUM(J19:P19)</f>
        <v>12</v>
      </c>
      <c r="E38" s="24">
        <f xml:space="preserve"> SUM(C38:D38)</f>
        <v>20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5</v>
      </c>
      <c r="D39" s="24">
        <f xml:space="preserve"> SUM(J8:P8) + SUM(J20:P20)</f>
        <v>13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7</v>
      </c>
      <c r="D40" s="24">
        <f xml:space="preserve"> SUM(J9:P9) + SUM(J21:P21)</f>
        <v>12</v>
      </c>
      <c r="E40" s="24">
        <f xml:space="preserve"> SUM(C40:D40)</f>
        <v>19</v>
      </c>
    </row>
    <row r="41" spans="1:16" ht="16.5" thickBot="1" x14ac:dyDescent="0.3">
      <c r="A41" s="79"/>
      <c r="B41" s="18" t="s">
        <v>19</v>
      </c>
      <c r="C41" s="21">
        <f xml:space="preserve"> SUM(C37:C40)</f>
        <v>27</v>
      </c>
      <c r="D41" s="21">
        <f xml:space="preserve"> SUM(D37:D40)</f>
        <v>50</v>
      </c>
      <c r="E41" s="21">
        <f xml:space="preserve"> SUM(C41:D41)</f>
        <v>77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7</v>
      </c>
      <c r="D43" s="24">
        <f xml:space="preserve"> SUM(C37:D37) / D$36</f>
        <v>10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8</v>
      </c>
      <c r="D44" s="24">
        <f xml:space="preserve"> SUM(C38:D38) / D$36</f>
        <v>10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5</v>
      </c>
      <c r="D45" s="24">
        <f xml:space="preserve"> SUM(C39:D39) / D$36</f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7</v>
      </c>
      <c r="D46" s="24">
        <f xml:space="preserve"> SUM(C40:D40) / D$36</f>
        <v>9.5</v>
      </c>
    </row>
    <row r="47" spans="1:16" ht="16.5" thickBot="1" x14ac:dyDescent="0.3">
      <c r="A47" s="79"/>
      <c r="B47" s="18" t="s">
        <v>19</v>
      </c>
      <c r="C47" s="21">
        <f xml:space="preserve"> SUM(C43:C46)</f>
        <v>27</v>
      </c>
      <c r="D47" s="21">
        <f xml:space="preserve"> SUM(D43:D46)</f>
        <v>38.5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77</v>
      </c>
      <c r="D90" s="24">
        <f>C10</f>
        <v>4</v>
      </c>
      <c r="E90" s="24">
        <f>D10</f>
        <v>3</v>
      </c>
      <c r="F90" s="24">
        <f t="shared" ref="F90:Q90" si="18">E10</f>
        <v>7</v>
      </c>
      <c r="G90" s="24">
        <f t="shared" si="18"/>
        <v>3</v>
      </c>
      <c r="H90" s="24">
        <f t="shared" si="18"/>
        <v>5</v>
      </c>
      <c r="I90" s="24">
        <f t="shared" si="18"/>
        <v>3</v>
      </c>
      <c r="J90" s="24">
        <f t="shared" si="18"/>
        <v>2</v>
      </c>
      <c r="K90" s="24">
        <f t="shared" si="18"/>
        <v>25</v>
      </c>
      <c r="L90" s="24">
        <f t="shared" si="18"/>
        <v>3</v>
      </c>
      <c r="M90" s="24">
        <f t="shared" si="18"/>
        <v>5</v>
      </c>
      <c r="N90" s="24">
        <f t="shared" si="18"/>
        <v>4</v>
      </c>
      <c r="O90" s="24">
        <f t="shared" si="18"/>
        <v>7</v>
      </c>
      <c r="P90" s="24">
        <f t="shared" si="18"/>
        <v>2</v>
      </c>
      <c r="Q90" s="24">
        <f t="shared" si="18"/>
        <v>4</v>
      </c>
    </row>
    <row r="91" spans="2:17" x14ac:dyDescent="0.25">
      <c r="B91" t="s">
        <v>55</v>
      </c>
      <c r="C91" s="24">
        <f>C90</f>
        <v>77</v>
      </c>
      <c r="D91" s="24">
        <f>C91-D90</f>
        <v>73</v>
      </c>
      <c r="E91" s="24">
        <f>D91-E90</f>
        <v>70</v>
      </c>
      <c r="F91" s="24">
        <f t="shared" ref="F91:Q91" si="19">E91-F90</f>
        <v>63</v>
      </c>
      <c r="G91" s="24">
        <f t="shared" si="19"/>
        <v>60</v>
      </c>
      <c r="H91" s="24">
        <f t="shared" si="19"/>
        <v>55</v>
      </c>
      <c r="I91" s="24">
        <f t="shared" si="19"/>
        <v>52</v>
      </c>
      <c r="J91" s="24">
        <f t="shared" si="19"/>
        <v>50</v>
      </c>
      <c r="K91" s="24">
        <f t="shared" si="19"/>
        <v>25</v>
      </c>
      <c r="L91" s="24">
        <f t="shared" si="19"/>
        <v>22</v>
      </c>
      <c r="M91" s="24">
        <f t="shared" si="19"/>
        <v>17</v>
      </c>
      <c r="N91" s="24">
        <f t="shared" si="19"/>
        <v>13</v>
      </c>
      <c r="O91" s="24">
        <f t="shared" si="19"/>
        <v>6</v>
      </c>
      <c r="P91" s="24">
        <f t="shared" si="19"/>
        <v>4</v>
      </c>
      <c r="Q91" s="24">
        <f t="shared" si="19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9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0</v>
      </c>
      <c r="D38" s="24">
        <f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0</v>
      </c>
      <c r="D39" s="24">
        <f xml:space="preserve"> SUM(J8:P8) + SUM(J20:P20)</f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0</v>
      </c>
      <c r="D40" s="24">
        <f xml:space="preserve"> SUM(J9:P9) + SUM(J21:P21)</f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0</v>
      </c>
      <c r="D44" s="24">
        <f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0</v>
      </c>
      <c r="D45" s="24">
        <f xml:space="preserve"> SUM(C39:D39) / D$36</f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0</v>
      </c>
      <c r="D46" s="24">
        <f xml:space="preserve"> SUM(C40:D40) / D$36</f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10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xml:space="preserve"> SUM(C7:I7) + SUM(C19:I19)</f>
        <v>0</v>
      </c>
      <c r="D38" s="24">
        <f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xml:space="preserve"> SUM(C8:I8) + SUM(C20:I20)</f>
        <v>0</v>
      </c>
      <c r="D39" s="24">
        <f xml:space="preserve"> SUM(J8:P8) + SUM(J20:P20)</f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xml:space="preserve"> SUM(C9:I9) + SUM(C21:I21)</f>
        <v>0</v>
      </c>
      <c r="D40" s="24">
        <f xml:space="preserve"> SUM(J9:P9) + SUM(J21:P21)</f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C$36</f>
        <v>0</v>
      </c>
      <c r="D44" s="24">
        <f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C$36</f>
        <v>0</v>
      </c>
      <c r="D45" s="24">
        <f xml:space="preserve"> SUM(C39:D39) / D$36</f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C$36</f>
        <v>0</v>
      </c>
      <c r="D46" s="24">
        <f xml:space="preserve"> SUM(C40:D40) / D$36</f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56</v>
      </c>
    </row>
    <row r="3" spans="1:3" x14ac:dyDescent="0.25">
      <c r="A3" s="3" t="s">
        <v>57</v>
      </c>
      <c r="B3" s="39">
        <v>42254</v>
      </c>
    </row>
    <row r="4" spans="1:3" x14ac:dyDescent="0.25">
      <c r="A4" s="3" t="s">
        <v>58</v>
      </c>
      <c r="B4" s="39">
        <v>42380</v>
      </c>
    </row>
    <row r="5" spans="1:3" x14ac:dyDescent="0.25">
      <c r="A5" s="3"/>
    </row>
    <row r="6" spans="1:3" ht="15.75" thickBot="1" x14ac:dyDescent="0.3">
      <c r="B6" s="2" t="s">
        <v>59</v>
      </c>
      <c r="C6" s="2" t="s">
        <v>60</v>
      </c>
    </row>
    <row r="7" spans="1:3" ht="15.75" thickBot="1" x14ac:dyDescent="0.3">
      <c r="A7" s="3" t="s">
        <v>61</v>
      </c>
      <c r="B7" s="13" t="s">
        <v>62</v>
      </c>
      <c r="C7" s="16" t="s">
        <v>63</v>
      </c>
    </row>
    <row r="8" spans="1:3" ht="15.75" thickBot="1" x14ac:dyDescent="0.3">
      <c r="A8" s="3" t="s">
        <v>64</v>
      </c>
      <c r="B8" s="13" t="s">
        <v>65</v>
      </c>
      <c r="C8" s="16" t="s">
        <v>66</v>
      </c>
    </row>
    <row r="9" spans="1:3" ht="15.75" thickBot="1" x14ac:dyDescent="0.3">
      <c r="A9" s="3" t="s">
        <v>67</v>
      </c>
      <c r="B9" s="13" t="s">
        <v>68</v>
      </c>
      <c r="C9" s="16" t="s">
        <v>69</v>
      </c>
    </row>
    <row r="10" spans="1:3" ht="15.75" thickBot="1" x14ac:dyDescent="0.3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2016-03-22T22:29:54Z</dcterms:modified>
</cp:coreProperties>
</file>