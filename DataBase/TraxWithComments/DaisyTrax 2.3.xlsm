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girlScoutsTrax\Modified Trax\"/>
    </mc:Choice>
  </mc:AlternateContent>
  <workbookProtection workbookAlgorithmName="SHA-512" workbookHashValue="DLtjDyZNVE7NuW9/FygEHRuT7ObjwsszOke85Lo4MCi5wnVcALeYQqeP8YKWKvyLTYmTNCcIVOhtx4bxqrlAfw==" workbookSaltValue="JTOcRhRSNBRtrEbqNocQnA==" workbookSpinCount="100000" lockStructure="1"/>
  <bookViews>
    <workbookView xWindow="0" yWindow="0" windowWidth="28800" windowHeight="14235" tabRatio="866" activeTab="10"/>
  </bookViews>
  <sheets>
    <sheet name="Instructions" sheetId="1" r:id="rId1"/>
    <sheet name="Parent Contact" sheetId="89" r:id="rId2"/>
    <sheet name="Registration" sheetId="35" r:id="rId3"/>
    <sheet name="Dues" sheetId="14" r:id="rId4"/>
    <sheet name="Attendance" sheetId="15" r:id="rId5"/>
    <sheet name="Petals" sheetId="3" r:id="rId6"/>
    <sheet name="Journey Awards" sheetId="5" r:id="rId7"/>
    <sheet name="Bridging" sheetId="7" r:id="rId8"/>
    <sheet name="Age-Level" sheetId="12" r:id="rId9"/>
    <sheet name="Fun Patches" sheetId="37" r:id="rId10"/>
    <sheet name="Summary" sheetId="19" r:id="rId11"/>
    <sheet name="Order" sheetId="20" r:id="rId12"/>
    <sheet name="Daisy 1" sheetId="17" r:id="rId13"/>
    <sheet name="Daisy 2" sheetId="90" r:id="rId14"/>
    <sheet name="Daisy 3" sheetId="91" r:id="rId15"/>
    <sheet name="Daisy 4" sheetId="92" r:id="rId16"/>
    <sheet name="Daisy 5" sheetId="93" r:id="rId17"/>
    <sheet name="Daisy 6" sheetId="94" r:id="rId18"/>
    <sheet name="Daisy 7" sheetId="95" r:id="rId19"/>
    <sheet name="Daisy 8" sheetId="96" r:id="rId20"/>
    <sheet name="Daisy 9" sheetId="97" r:id="rId21"/>
    <sheet name="Daisy 10" sheetId="98" r:id="rId22"/>
    <sheet name="Daisy 11" sheetId="99" r:id="rId23"/>
    <sheet name="Daisy 12" sheetId="100" r:id="rId24"/>
    <sheet name="Daisy 13" sheetId="101" r:id="rId25"/>
    <sheet name="Daisy 14" sheetId="102" r:id="rId26"/>
    <sheet name="Daisy 15" sheetId="103" r:id="rId27"/>
  </sheets>
  <functionGroups builtInGroupCount="18"/>
  <definedNames>
    <definedName name="_xlnm.Print_Area" localSheetId="12">'Daisy 1'!$A$1:$K$44</definedName>
    <definedName name="_xlnm.Print_Area" localSheetId="21">'Daisy 10'!$A$1:$K$44</definedName>
    <definedName name="_xlnm.Print_Area" localSheetId="22">'Daisy 11'!$A$1:$K$44</definedName>
    <definedName name="_xlnm.Print_Area" localSheetId="23">'Daisy 12'!$A$1:$K$44</definedName>
    <definedName name="_xlnm.Print_Area" localSheetId="24">'Daisy 13'!$A$1:$K$44</definedName>
    <definedName name="_xlnm.Print_Area" localSheetId="25">'Daisy 14'!$A$1:$K$44</definedName>
    <definedName name="_xlnm.Print_Area" localSheetId="26">'Daisy 15'!$A$1:$K$44</definedName>
    <definedName name="_xlnm.Print_Area" localSheetId="13">'Daisy 2'!$A$1:$K$44</definedName>
    <definedName name="_xlnm.Print_Area" localSheetId="14">'Daisy 3'!$A$1:$K$44</definedName>
    <definedName name="_xlnm.Print_Area" localSheetId="15">'Daisy 4'!$A$1:$K$44</definedName>
    <definedName name="_xlnm.Print_Area" localSheetId="16">'Daisy 5'!$A$1:$K$44</definedName>
    <definedName name="_xlnm.Print_Area" localSheetId="17">'Daisy 6'!$A$1:$K$44</definedName>
    <definedName name="_xlnm.Print_Area" localSheetId="18">'Daisy 7'!$A$1:$K$44</definedName>
    <definedName name="_xlnm.Print_Area" localSheetId="19">'Daisy 8'!$A$1:$K$44</definedName>
    <definedName name="_xlnm.Print_Area" localSheetId="20">'Daisy 9'!$A$1:$K$44</definedName>
    <definedName name="_xlnm.Print_Area" localSheetId="0">Instructions!$A$1:$H$48</definedName>
    <definedName name="_xlnm.Print_Area" localSheetId="2">Registration!$A$1:$R$18</definedName>
    <definedName name="_xlnm.Print_Titles" localSheetId="2">Registration!$1:$4</definedName>
  </definedNames>
  <calcPr calcId="152511"/>
</workbook>
</file>

<file path=xl/calcChain.xml><?xml version="1.0" encoding="utf-8"?>
<calcChain xmlns="http://schemas.openxmlformats.org/spreadsheetml/2006/main">
  <c r="R24" i="35" l="1"/>
  <c r="Q24" i="35"/>
  <c r="P24" i="35"/>
  <c r="O24" i="35"/>
  <c r="N24" i="35"/>
  <c r="M24" i="35"/>
  <c r="L24" i="35"/>
  <c r="K24" i="35"/>
  <c r="J24" i="35"/>
  <c r="I24" i="35"/>
  <c r="H24" i="35"/>
  <c r="G24" i="35"/>
  <c r="F24" i="35"/>
  <c r="E24" i="35"/>
  <c r="D24" i="35"/>
  <c r="R14" i="35"/>
  <c r="Q14" i="35"/>
  <c r="P14" i="35"/>
  <c r="O14" i="35"/>
  <c r="N14" i="35"/>
  <c r="M14" i="35"/>
  <c r="L14" i="35"/>
  <c r="K14" i="35"/>
  <c r="J14" i="35"/>
  <c r="I14" i="35"/>
  <c r="H14" i="35"/>
  <c r="G14" i="35"/>
  <c r="F14" i="35"/>
  <c r="E14" i="35"/>
  <c r="D14" i="35"/>
  <c r="U8" i="7"/>
  <c r="U10" i="7"/>
  <c r="U12" i="7"/>
  <c r="U14" i="7"/>
  <c r="U16" i="7"/>
  <c r="U18" i="7"/>
  <c r="U7" i="7"/>
  <c r="U9" i="7"/>
  <c r="U11" i="7"/>
  <c r="U13" i="7"/>
  <c r="U15" i="7"/>
  <c r="U17" i="7"/>
  <c r="U6" i="7"/>
  <c r="U10" i="5"/>
  <c r="U12" i="5"/>
  <c r="U14" i="5"/>
  <c r="U16" i="5"/>
  <c r="U18" i="5"/>
  <c r="U20" i="5"/>
  <c r="U22" i="5"/>
  <c r="U24" i="5"/>
  <c r="U26" i="5"/>
  <c r="U9" i="5"/>
  <c r="U11" i="5"/>
  <c r="U13" i="5"/>
  <c r="U15" i="5"/>
  <c r="U17" i="5"/>
  <c r="U19" i="5"/>
  <c r="U21" i="5"/>
  <c r="U23" i="5"/>
  <c r="U25" i="5"/>
  <c r="U27" i="5"/>
  <c r="U8" i="5"/>
  <c r="U7" i="3"/>
  <c r="U9" i="3"/>
  <c r="U11" i="3"/>
  <c r="U13" i="3"/>
  <c r="U15" i="3"/>
  <c r="U17" i="3"/>
  <c r="U19" i="3"/>
  <c r="U21" i="3"/>
  <c r="U23" i="3"/>
  <c r="U25" i="3"/>
  <c r="U27" i="3"/>
  <c r="U29" i="3"/>
  <c r="U31" i="3"/>
  <c r="U33" i="3"/>
  <c r="U35" i="3"/>
  <c r="U37" i="3"/>
  <c r="U8" i="3"/>
  <c r="U10" i="3"/>
  <c r="U12" i="3"/>
  <c r="U14" i="3"/>
  <c r="U16" i="3"/>
  <c r="U18" i="3"/>
  <c r="U20" i="3"/>
  <c r="U22" i="3"/>
  <c r="U24" i="3"/>
  <c r="U26" i="3"/>
  <c r="U28" i="3"/>
  <c r="U30" i="3"/>
  <c r="U32" i="3"/>
  <c r="U34" i="3"/>
  <c r="U36" i="3"/>
  <c r="U38" i="3"/>
  <c r="U6" i="3"/>
  <c r="L50" i="19" l="1"/>
  <c r="L47" i="19"/>
  <c r="L46" i="19"/>
  <c r="L45" i="19"/>
  <c r="L44" i="19"/>
  <c r="L43" i="19"/>
  <c r="L42" i="19"/>
  <c r="L41" i="19"/>
  <c r="L40" i="19"/>
  <c r="L39" i="19"/>
  <c r="L38" i="19"/>
  <c r="L37" i="19"/>
  <c r="L36" i="19"/>
  <c r="J50" i="19"/>
  <c r="J47" i="19"/>
  <c r="J46" i="19"/>
  <c r="J45" i="19"/>
  <c r="J44" i="19"/>
  <c r="J43" i="19"/>
  <c r="J42" i="19"/>
  <c r="J41" i="19"/>
  <c r="J40" i="19"/>
  <c r="J39" i="19"/>
  <c r="J38" i="19"/>
  <c r="J37" i="19"/>
  <c r="J36" i="19"/>
  <c r="H50" i="19"/>
  <c r="H47" i="19"/>
  <c r="H46" i="19"/>
  <c r="H45" i="19"/>
  <c r="H44" i="19"/>
  <c r="H43" i="19"/>
  <c r="H42" i="19"/>
  <c r="H41" i="19"/>
  <c r="H40" i="19"/>
  <c r="H39" i="19"/>
  <c r="H38" i="19"/>
  <c r="H37" i="19"/>
  <c r="H36" i="19"/>
  <c r="F50" i="19"/>
  <c r="F47" i="19"/>
  <c r="F46" i="19"/>
  <c r="F45" i="19"/>
  <c r="F44" i="19"/>
  <c r="F43" i="19"/>
  <c r="F42" i="19"/>
  <c r="F41" i="19"/>
  <c r="F40" i="19"/>
  <c r="F39" i="19"/>
  <c r="F38" i="19"/>
  <c r="F37" i="19"/>
  <c r="F36" i="19"/>
  <c r="D50" i="19"/>
  <c r="D47" i="19"/>
  <c r="D46" i="19"/>
  <c r="D45" i="19"/>
  <c r="D44" i="19"/>
  <c r="D43" i="19"/>
  <c r="D42" i="19"/>
  <c r="D41" i="19"/>
  <c r="D40" i="19"/>
  <c r="D39" i="19"/>
  <c r="D38" i="19"/>
  <c r="D37" i="19"/>
  <c r="D36" i="19"/>
  <c r="N50" i="19"/>
  <c r="N49" i="19"/>
  <c r="N47" i="19"/>
  <c r="N46" i="19"/>
  <c r="N45" i="19"/>
  <c r="N44" i="19"/>
  <c r="N43" i="19"/>
  <c r="N42" i="19"/>
  <c r="N41" i="19"/>
  <c r="N40" i="19"/>
  <c r="N39" i="19"/>
  <c r="N38" i="19"/>
  <c r="N37" i="19"/>
  <c r="N36" i="19"/>
  <c r="AD93" i="19"/>
  <c r="AD92" i="19"/>
  <c r="AD91" i="19"/>
  <c r="AD90" i="19"/>
  <c r="AD89" i="19"/>
  <c r="AD88" i="19"/>
  <c r="AD87" i="19"/>
  <c r="AD86" i="19"/>
  <c r="AD85" i="19"/>
  <c r="AD84" i="19"/>
  <c r="AD83" i="19"/>
  <c r="AD82" i="19"/>
  <c r="AD81" i="19"/>
  <c r="AD80" i="19"/>
  <c r="AD79" i="19"/>
  <c r="AD78" i="19"/>
  <c r="AD77" i="19"/>
  <c r="AD76" i="19"/>
  <c r="AD75" i="19"/>
  <c r="AD74" i="19"/>
  <c r="AD73" i="19"/>
  <c r="AD72" i="19"/>
  <c r="AD71" i="19"/>
  <c r="AD70" i="19"/>
  <c r="AD69" i="19"/>
  <c r="AD68" i="19"/>
  <c r="AD67" i="19"/>
  <c r="AD66" i="19"/>
  <c r="AD65" i="19"/>
  <c r="AD64" i="19"/>
  <c r="AD63" i="19"/>
  <c r="AD62" i="19"/>
  <c r="AD61" i="19"/>
  <c r="AD60" i="19"/>
  <c r="AD59" i="19"/>
  <c r="AD58" i="19"/>
  <c r="AD57" i="19"/>
  <c r="AD56" i="19"/>
  <c r="AD55" i="19"/>
  <c r="AD54" i="19"/>
  <c r="AD50" i="19"/>
  <c r="P50" i="19"/>
  <c r="AD47" i="19"/>
  <c r="P47" i="19"/>
  <c r="AD46" i="19"/>
  <c r="P46" i="19"/>
  <c r="AD45" i="19"/>
  <c r="P45" i="19"/>
  <c r="AD44" i="19"/>
  <c r="P44" i="19"/>
  <c r="AD43" i="19"/>
  <c r="P43" i="19"/>
  <c r="AD42" i="19"/>
  <c r="P42" i="19"/>
  <c r="AD41" i="19"/>
  <c r="P41" i="19"/>
  <c r="AD40" i="19"/>
  <c r="P40" i="19"/>
  <c r="AD39" i="19"/>
  <c r="P39" i="19"/>
  <c r="AD38" i="19"/>
  <c r="P38" i="19"/>
  <c r="AD37" i="19"/>
  <c r="P37" i="19"/>
  <c r="AD36" i="19"/>
  <c r="P36" i="19"/>
  <c r="AD33" i="19"/>
  <c r="AD32" i="19"/>
  <c r="AD31" i="19"/>
  <c r="AD29" i="19"/>
  <c r="AD28" i="19"/>
  <c r="AD27" i="19"/>
  <c r="AD25" i="19"/>
  <c r="AD24" i="19"/>
  <c r="AD23" i="19"/>
  <c r="AD15" i="19"/>
  <c r="AD14" i="19"/>
  <c r="AD13" i="19"/>
  <c r="AD12" i="19"/>
  <c r="AD11" i="19"/>
  <c r="AD10" i="19"/>
  <c r="AD9" i="19"/>
  <c r="AD8" i="19"/>
  <c r="AD7" i="19"/>
  <c r="AD6" i="19"/>
  <c r="AD4" i="19"/>
  <c r="R50" i="19"/>
  <c r="R47" i="19"/>
  <c r="R46" i="19"/>
  <c r="R45" i="19"/>
  <c r="R44" i="19"/>
  <c r="R43" i="19"/>
  <c r="R42" i="19"/>
  <c r="R41" i="19"/>
  <c r="R40" i="19"/>
  <c r="R39" i="19"/>
  <c r="R38" i="19"/>
  <c r="R37" i="19"/>
  <c r="R36" i="19"/>
  <c r="T50" i="19"/>
  <c r="T47" i="19"/>
  <c r="T46" i="19"/>
  <c r="T45" i="19"/>
  <c r="T44" i="19"/>
  <c r="T43" i="19"/>
  <c r="T42" i="19"/>
  <c r="T41" i="19"/>
  <c r="T40" i="19"/>
  <c r="T39" i="19"/>
  <c r="T38" i="19"/>
  <c r="T37" i="19"/>
  <c r="T36" i="19"/>
  <c r="V50" i="19"/>
  <c r="V47" i="19"/>
  <c r="V46" i="19"/>
  <c r="V45" i="19"/>
  <c r="V44" i="19"/>
  <c r="V43" i="19"/>
  <c r="V42" i="19"/>
  <c r="V41" i="19"/>
  <c r="V40" i="19"/>
  <c r="V39" i="19"/>
  <c r="V38" i="19"/>
  <c r="V37" i="19"/>
  <c r="V36" i="19"/>
  <c r="X50" i="19"/>
  <c r="X47" i="19"/>
  <c r="X46" i="19"/>
  <c r="X45" i="19"/>
  <c r="X44" i="19"/>
  <c r="X43" i="19"/>
  <c r="X42" i="19"/>
  <c r="X41" i="19"/>
  <c r="X40" i="19"/>
  <c r="X39" i="19"/>
  <c r="X38" i="19"/>
  <c r="X37" i="19"/>
  <c r="X36" i="19"/>
  <c r="Z50" i="19"/>
  <c r="Z47" i="19"/>
  <c r="Z46" i="19"/>
  <c r="Z45" i="19"/>
  <c r="Z44" i="19"/>
  <c r="Z43" i="19"/>
  <c r="Z42" i="19"/>
  <c r="Z41" i="19"/>
  <c r="Z40" i="19"/>
  <c r="Z39" i="19"/>
  <c r="Z38" i="19"/>
  <c r="Z37" i="19"/>
  <c r="Z36" i="19"/>
  <c r="AB50" i="19"/>
  <c r="AB47" i="19"/>
  <c r="AB46" i="19"/>
  <c r="AB45" i="19"/>
  <c r="AB44" i="19"/>
  <c r="AB43" i="19"/>
  <c r="AB42" i="19"/>
  <c r="AB41" i="19"/>
  <c r="AB40" i="19"/>
  <c r="AB39" i="19"/>
  <c r="AB38" i="19"/>
  <c r="AB37" i="19"/>
  <c r="AB36" i="19"/>
  <c r="E34" i="12"/>
  <c r="K28" i="90" s="1"/>
  <c r="F34" i="12"/>
  <c r="G34" i="12"/>
  <c r="K28" i="92" s="1"/>
  <c r="H34" i="12"/>
  <c r="K28" i="93" s="1"/>
  <c r="I34" i="12"/>
  <c r="K28" i="94" s="1"/>
  <c r="J34" i="12"/>
  <c r="K28" i="95" s="1"/>
  <c r="K34" i="12"/>
  <c r="K28" i="96" s="1"/>
  <c r="L34" i="12"/>
  <c r="K28" i="97" s="1"/>
  <c r="M34" i="12"/>
  <c r="K28" i="98" s="1"/>
  <c r="N34" i="12"/>
  <c r="O34" i="12"/>
  <c r="K28" i="100" s="1"/>
  <c r="P34" i="12"/>
  <c r="K28" i="101" s="1"/>
  <c r="Q34" i="12"/>
  <c r="K28" i="102" s="1"/>
  <c r="R34" i="12"/>
  <c r="K28" i="103" s="1"/>
  <c r="E27" i="12"/>
  <c r="K27" i="90" s="1"/>
  <c r="F27" i="12"/>
  <c r="K27" i="91" s="1"/>
  <c r="G27" i="12"/>
  <c r="H48" i="19" s="1"/>
  <c r="H27" i="12"/>
  <c r="I27" i="12"/>
  <c r="K27" i="94" s="1"/>
  <c r="J27" i="12"/>
  <c r="N48" i="19" s="1"/>
  <c r="K27" i="12"/>
  <c r="AD48" i="19" s="1"/>
  <c r="L27" i="12"/>
  <c r="M27" i="12"/>
  <c r="K27" i="98" s="1"/>
  <c r="N27" i="12"/>
  <c r="K27" i="99" s="1"/>
  <c r="O27" i="12"/>
  <c r="K27" i="100" s="1"/>
  <c r="P27" i="12"/>
  <c r="Q27" i="12"/>
  <c r="K27" i="102" s="1"/>
  <c r="R27" i="12"/>
  <c r="K27" i="103" s="1"/>
  <c r="D34" i="12"/>
  <c r="K28" i="17" s="1"/>
  <c r="D27" i="12"/>
  <c r="K27" i="17" s="1"/>
  <c r="R49" i="19" l="1"/>
  <c r="AB48" i="19"/>
  <c r="V48" i="19"/>
  <c r="J49" i="19"/>
  <c r="X48" i="19"/>
  <c r="F48" i="19"/>
  <c r="X49" i="19"/>
  <c r="T48" i="19"/>
  <c r="AD49" i="19"/>
  <c r="L48" i="19"/>
  <c r="Z49" i="19"/>
  <c r="D48" i="19"/>
  <c r="Z48" i="19"/>
  <c r="K27" i="101"/>
  <c r="R48" i="19"/>
  <c r="K27" i="97"/>
  <c r="J48" i="19"/>
  <c r="K27" i="93"/>
  <c r="K28" i="99"/>
  <c r="V49" i="19"/>
  <c r="K28" i="91"/>
  <c r="F49" i="19"/>
  <c r="K27" i="96"/>
  <c r="K27" i="95"/>
  <c r="K27" i="92"/>
  <c r="P48" i="19"/>
  <c r="D49" i="19"/>
  <c r="L49" i="19"/>
  <c r="AB49" i="19"/>
  <c r="T49" i="19"/>
  <c r="P49" i="19"/>
  <c r="H49" i="19"/>
  <c r="K43" i="103"/>
  <c r="G43" i="103"/>
  <c r="K42" i="103"/>
  <c r="G42" i="103"/>
  <c r="K41" i="103"/>
  <c r="G41" i="103"/>
  <c r="K40" i="103"/>
  <c r="G40" i="103"/>
  <c r="K39" i="103"/>
  <c r="G39" i="103"/>
  <c r="K38" i="103"/>
  <c r="K37" i="103"/>
  <c r="B37" i="103"/>
  <c r="K36" i="103"/>
  <c r="G36" i="103"/>
  <c r="B36" i="103"/>
  <c r="K35" i="103"/>
  <c r="G35" i="103"/>
  <c r="B35" i="103"/>
  <c r="K34" i="103"/>
  <c r="G34" i="103"/>
  <c r="B34" i="103"/>
  <c r="G33" i="103"/>
  <c r="B33" i="103"/>
  <c r="G32" i="103"/>
  <c r="B32" i="103"/>
  <c r="G31" i="103"/>
  <c r="B31" i="103"/>
  <c r="G30" i="103"/>
  <c r="B30" i="103"/>
  <c r="K29" i="103"/>
  <c r="B29" i="103"/>
  <c r="G28" i="103"/>
  <c r="B28" i="103"/>
  <c r="G27" i="103"/>
  <c r="B27" i="103"/>
  <c r="K26" i="103"/>
  <c r="G26" i="103"/>
  <c r="B26" i="103"/>
  <c r="K25" i="103"/>
  <c r="B25" i="103"/>
  <c r="K24" i="103"/>
  <c r="B24" i="103"/>
  <c r="K23" i="103"/>
  <c r="B23" i="103"/>
  <c r="K22" i="103"/>
  <c r="B22" i="103"/>
  <c r="K21" i="103"/>
  <c r="B21" i="103"/>
  <c r="K20" i="103"/>
  <c r="B20" i="103"/>
  <c r="K19" i="103"/>
  <c r="B19" i="103"/>
  <c r="K18" i="103"/>
  <c r="B18" i="103"/>
  <c r="K17" i="103"/>
  <c r="B17" i="103"/>
  <c r="K16" i="103"/>
  <c r="B16" i="103"/>
  <c r="K15" i="103"/>
  <c r="B15" i="103"/>
  <c r="G14" i="103"/>
  <c r="B14" i="103"/>
  <c r="G13" i="103"/>
  <c r="B13" i="103"/>
  <c r="G12" i="103"/>
  <c r="K11" i="103"/>
  <c r="G11" i="103"/>
  <c r="K10" i="103"/>
  <c r="G10" i="103"/>
  <c r="K9" i="103"/>
  <c r="G9" i="103"/>
  <c r="K8" i="103"/>
  <c r="G8" i="103"/>
  <c r="G7" i="103"/>
  <c r="K6" i="103"/>
  <c r="G6" i="103"/>
  <c r="K5" i="103"/>
  <c r="G5" i="103"/>
  <c r="K4" i="103"/>
  <c r="G3" i="103"/>
  <c r="K43" i="102"/>
  <c r="G43" i="102"/>
  <c r="K42" i="102"/>
  <c r="G42" i="102"/>
  <c r="K41" i="102"/>
  <c r="G41" i="102"/>
  <c r="K40" i="102"/>
  <c r="G40" i="102"/>
  <c r="K39" i="102"/>
  <c r="G39" i="102"/>
  <c r="K38" i="102"/>
  <c r="K37" i="102"/>
  <c r="B37" i="102"/>
  <c r="K36" i="102"/>
  <c r="G36" i="102"/>
  <c r="B36" i="102"/>
  <c r="K35" i="102"/>
  <c r="G35" i="102"/>
  <c r="B35" i="102"/>
  <c r="K34" i="102"/>
  <c r="G34" i="102"/>
  <c r="B34" i="102"/>
  <c r="G33" i="102"/>
  <c r="B33" i="102"/>
  <c r="G32" i="102"/>
  <c r="B32" i="102"/>
  <c r="G31" i="102"/>
  <c r="B31" i="102"/>
  <c r="G30" i="102"/>
  <c r="B30" i="102"/>
  <c r="K29" i="102"/>
  <c r="B29" i="102"/>
  <c r="G28" i="102"/>
  <c r="B28" i="102"/>
  <c r="G27" i="102"/>
  <c r="B27" i="102"/>
  <c r="K26" i="102"/>
  <c r="G26" i="102"/>
  <c r="B26" i="102"/>
  <c r="K25" i="102"/>
  <c r="B25" i="102"/>
  <c r="K24" i="102"/>
  <c r="B24" i="102"/>
  <c r="K23" i="102"/>
  <c r="B23" i="102"/>
  <c r="K22" i="102"/>
  <c r="B22" i="102"/>
  <c r="K21" i="102"/>
  <c r="B21" i="102"/>
  <c r="K20" i="102"/>
  <c r="B20" i="102"/>
  <c r="K19" i="102"/>
  <c r="B19" i="102"/>
  <c r="K18" i="102"/>
  <c r="B18" i="102"/>
  <c r="K17" i="102"/>
  <c r="B17" i="102"/>
  <c r="K16" i="102"/>
  <c r="B16" i="102"/>
  <c r="K15" i="102"/>
  <c r="B15" i="102"/>
  <c r="G14" i="102"/>
  <c r="B14" i="102"/>
  <c r="G13" i="102"/>
  <c r="B13" i="102"/>
  <c r="G12" i="102"/>
  <c r="K11" i="102"/>
  <c r="G11" i="102"/>
  <c r="K10" i="102"/>
  <c r="G10" i="102"/>
  <c r="K9" i="102"/>
  <c r="G9" i="102"/>
  <c r="K8" i="102"/>
  <c r="G8" i="102"/>
  <c r="G7" i="102"/>
  <c r="K6" i="102"/>
  <c r="G6" i="102"/>
  <c r="K5" i="102"/>
  <c r="G5" i="102"/>
  <c r="K4" i="102"/>
  <c r="G3" i="102"/>
  <c r="K43" i="101"/>
  <c r="G43" i="101"/>
  <c r="K42" i="101"/>
  <c r="G42" i="101"/>
  <c r="K41" i="101"/>
  <c r="G41" i="101"/>
  <c r="K40" i="101"/>
  <c r="G40" i="101"/>
  <c r="K39" i="101"/>
  <c r="G39" i="101"/>
  <c r="K38" i="101"/>
  <c r="K37" i="101"/>
  <c r="B37" i="101"/>
  <c r="K36" i="101"/>
  <c r="G36" i="101"/>
  <c r="B36" i="101"/>
  <c r="K35" i="101"/>
  <c r="G35" i="101"/>
  <c r="B35" i="101"/>
  <c r="K34" i="101"/>
  <c r="G34" i="101"/>
  <c r="B34" i="101"/>
  <c r="G33" i="101"/>
  <c r="B33" i="101"/>
  <c r="G32" i="101"/>
  <c r="B32" i="101"/>
  <c r="G31" i="101"/>
  <c r="B31" i="101"/>
  <c r="G30" i="101"/>
  <c r="B30" i="101"/>
  <c r="K29" i="101"/>
  <c r="B29" i="101"/>
  <c r="G28" i="101"/>
  <c r="B28" i="101"/>
  <c r="G27" i="101"/>
  <c r="B27" i="101"/>
  <c r="K26" i="101"/>
  <c r="G26" i="101"/>
  <c r="B26" i="101"/>
  <c r="K25" i="101"/>
  <c r="B25" i="101"/>
  <c r="K24" i="101"/>
  <c r="B24" i="101"/>
  <c r="K23" i="101"/>
  <c r="B23" i="101"/>
  <c r="K22" i="101"/>
  <c r="B22" i="101"/>
  <c r="K21" i="101"/>
  <c r="B21" i="101"/>
  <c r="K20" i="101"/>
  <c r="B20" i="101"/>
  <c r="K19" i="101"/>
  <c r="B19" i="101"/>
  <c r="K18" i="101"/>
  <c r="B18" i="101"/>
  <c r="K17" i="101"/>
  <c r="B17" i="101"/>
  <c r="K16" i="101"/>
  <c r="B16" i="101"/>
  <c r="K15" i="101"/>
  <c r="B15" i="101"/>
  <c r="G14" i="101"/>
  <c r="B14" i="101"/>
  <c r="G13" i="101"/>
  <c r="B13" i="101"/>
  <c r="G12" i="101"/>
  <c r="K11" i="101"/>
  <c r="G11" i="101"/>
  <c r="K10" i="101"/>
  <c r="G10" i="101"/>
  <c r="K9" i="101"/>
  <c r="G9" i="101"/>
  <c r="K8" i="101"/>
  <c r="G8" i="101"/>
  <c r="G7" i="101"/>
  <c r="K6" i="101"/>
  <c r="G6" i="101"/>
  <c r="K5" i="101"/>
  <c r="G5" i="101"/>
  <c r="K4" i="101"/>
  <c r="G3" i="101"/>
  <c r="K43" i="100"/>
  <c r="G43" i="100"/>
  <c r="K42" i="100"/>
  <c r="G42" i="100"/>
  <c r="K41" i="100"/>
  <c r="G41" i="100"/>
  <c r="K40" i="100"/>
  <c r="G40" i="100"/>
  <c r="K39" i="100"/>
  <c r="G39" i="100"/>
  <c r="K38" i="100"/>
  <c r="K37" i="100"/>
  <c r="B37" i="100"/>
  <c r="K36" i="100"/>
  <c r="G36" i="100"/>
  <c r="B36" i="100"/>
  <c r="K35" i="100"/>
  <c r="G35" i="100"/>
  <c r="B35" i="100"/>
  <c r="K34" i="100"/>
  <c r="G34" i="100"/>
  <c r="B34" i="100"/>
  <c r="G33" i="100"/>
  <c r="B33" i="100"/>
  <c r="G32" i="100"/>
  <c r="B32" i="100"/>
  <c r="G31" i="100"/>
  <c r="B31" i="100"/>
  <c r="G30" i="100"/>
  <c r="B30" i="100"/>
  <c r="K29" i="100"/>
  <c r="B29" i="100"/>
  <c r="G28" i="100"/>
  <c r="B28" i="100"/>
  <c r="G27" i="100"/>
  <c r="B27" i="100"/>
  <c r="K26" i="100"/>
  <c r="G26" i="100"/>
  <c r="B26" i="100"/>
  <c r="K25" i="100"/>
  <c r="B25" i="100"/>
  <c r="K24" i="100"/>
  <c r="B24" i="100"/>
  <c r="K23" i="100"/>
  <c r="B23" i="100"/>
  <c r="K22" i="100"/>
  <c r="B22" i="100"/>
  <c r="K21" i="100"/>
  <c r="B21" i="100"/>
  <c r="K20" i="100"/>
  <c r="B20" i="100"/>
  <c r="K19" i="100"/>
  <c r="B19" i="100"/>
  <c r="K18" i="100"/>
  <c r="B18" i="100"/>
  <c r="K17" i="100"/>
  <c r="B17" i="100"/>
  <c r="K16" i="100"/>
  <c r="B16" i="100"/>
  <c r="K15" i="100"/>
  <c r="B15" i="100"/>
  <c r="G14" i="100"/>
  <c r="B14" i="100"/>
  <c r="G13" i="100"/>
  <c r="B13" i="100"/>
  <c r="G12" i="100"/>
  <c r="K11" i="100"/>
  <c r="G11" i="100"/>
  <c r="K10" i="100"/>
  <c r="G10" i="100"/>
  <c r="K9" i="100"/>
  <c r="G9" i="100"/>
  <c r="K8" i="100"/>
  <c r="G8" i="100"/>
  <c r="G7" i="100"/>
  <c r="K6" i="100"/>
  <c r="G6" i="100"/>
  <c r="K5" i="100"/>
  <c r="G5" i="100"/>
  <c r="K4" i="100"/>
  <c r="G3" i="100"/>
  <c r="K43" i="99"/>
  <c r="G43" i="99"/>
  <c r="K42" i="99"/>
  <c r="G42" i="99"/>
  <c r="K41" i="99"/>
  <c r="G41" i="99"/>
  <c r="K40" i="99"/>
  <c r="G40" i="99"/>
  <c r="K39" i="99"/>
  <c r="G39" i="99"/>
  <c r="K38" i="99"/>
  <c r="K37" i="99"/>
  <c r="B37" i="99"/>
  <c r="K36" i="99"/>
  <c r="G36" i="99"/>
  <c r="B36" i="99"/>
  <c r="K35" i="99"/>
  <c r="G35" i="99"/>
  <c r="B35" i="99"/>
  <c r="K34" i="99"/>
  <c r="G34" i="99"/>
  <c r="B34" i="99"/>
  <c r="G33" i="99"/>
  <c r="B33" i="99"/>
  <c r="G32" i="99"/>
  <c r="B32" i="99"/>
  <c r="G31" i="99"/>
  <c r="B31" i="99"/>
  <c r="G30" i="99"/>
  <c r="B30" i="99"/>
  <c r="K29" i="99"/>
  <c r="B29" i="99"/>
  <c r="G28" i="99"/>
  <c r="B28" i="99"/>
  <c r="G27" i="99"/>
  <c r="B27" i="99"/>
  <c r="K26" i="99"/>
  <c r="G26" i="99"/>
  <c r="B26" i="99"/>
  <c r="K25" i="99"/>
  <c r="B25" i="99"/>
  <c r="K24" i="99"/>
  <c r="B24" i="99"/>
  <c r="K23" i="99"/>
  <c r="B23" i="99"/>
  <c r="K22" i="99"/>
  <c r="B22" i="99"/>
  <c r="K21" i="99"/>
  <c r="B21" i="99"/>
  <c r="K20" i="99"/>
  <c r="B20" i="99"/>
  <c r="K19" i="99"/>
  <c r="B19" i="99"/>
  <c r="K18" i="99"/>
  <c r="B18" i="99"/>
  <c r="K17" i="99"/>
  <c r="B17" i="99"/>
  <c r="K16" i="99"/>
  <c r="B16" i="99"/>
  <c r="K15" i="99"/>
  <c r="B15" i="99"/>
  <c r="G14" i="99"/>
  <c r="B14" i="99"/>
  <c r="G13" i="99"/>
  <c r="B13" i="99"/>
  <c r="G12" i="99"/>
  <c r="K11" i="99"/>
  <c r="G11" i="99"/>
  <c r="K10" i="99"/>
  <c r="G10" i="99"/>
  <c r="K9" i="99"/>
  <c r="G9" i="99"/>
  <c r="K8" i="99"/>
  <c r="G8" i="99"/>
  <c r="G7" i="99"/>
  <c r="K6" i="99"/>
  <c r="G6" i="99"/>
  <c r="K5" i="99"/>
  <c r="G5" i="99"/>
  <c r="K4" i="99"/>
  <c r="G3" i="99"/>
  <c r="K43" i="98"/>
  <c r="G43" i="98"/>
  <c r="K42" i="98"/>
  <c r="G42" i="98"/>
  <c r="K41" i="98"/>
  <c r="G41" i="98"/>
  <c r="K40" i="98"/>
  <c r="G40" i="98"/>
  <c r="K39" i="98"/>
  <c r="G39" i="98"/>
  <c r="K38" i="98"/>
  <c r="K37" i="98"/>
  <c r="B37" i="98"/>
  <c r="K36" i="98"/>
  <c r="G36" i="98"/>
  <c r="B36" i="98"/>
  <c r="K35" i="98"/>
  <c r="G35" i="98"/>
  <c r="B35" i="98"/>
  <c r="K34" i="98"/>
  <c r="G34" i="98"/>
  <c r="B34" i="98"/>
  <c r="G33" i="98"/>
  <c r="B33" i="98"/>
  <c r="G32" i="98"/>
  <c r="B32" i="98"/>
  <c r="G31" i="98"/>
  <c r="B31" i="98"/>
  <c r="G30" i="98"/>
  <c r="B30" i="98"/>
  <c r="K29" i="98"/>
  <c r="B29" i="98"/>
  <c r="G28" i="98"/>
  <c r="B28" i="98"/>
  <c r="G27" i="98"/>
  <c r="B27" i="98"/>
  <c r="K26" i="98"/>
  <c r="G26" i="98"/>
  <c r="B26" i="98"/>
  <c r="K25" i="98"/>
  <c r="B25" i="98"/>
  <c r="K24" i="98"/>
  <c r="B24" i="98"/>
  <c r="K23" i="98"/>
  <c r="B23" i="98"/>
  <c r="K22" i="98"/>
  <c r="B22" i="98"/>
  <c r="K21" i="98"/>
  <c r="B21" i="98"/>
  <c r="K20" i="98"/>
  <c r="B20" i="98"/>
  <c r="K19" i="98"/>
  <c r="B19" i="98"/>
  <c r="K18" i="98"/>
  <c r="B18" i="98"/>
  <c r="K17" i="98"/>
  <c r="B17" i="98"/>
  <c r="K16" i="98"/>
  <c r="B16" i="98"/>
  <c r="K15" i="98"/>
  <c r="B15" i="98"/>
  <c r="G14" i="98"/>
  <c r="B14" i="98"/>
  <c r="G13" i="98"/>
  <c r="B13" i="98"/>
  <c r="G12" i="98"/>
  <c r="K11" i="98"/>
  <c r="G11" i="98"/>
  <c r="K10" i="98"/>
  <c r="G10" i="98"/>
  <c r="K9" i="98"/>
  <c r="G9" i="98"/>
  <c r="K8" i="98"/>
  <c r="G8" i="98"/>
  <c r="G7" i="98"/>
  <c r="K6" i="98"/>
  <c r="G6" i="98"/>
  <c r="K5" i="98"/>
  <c r="G5" i="98"/>
  <c r="K4" i="98"/>
  <c r="G3" i="98"/>
  <c r="K43" i="97"/>
  <c r="G43" i="97"/>
  <c r="K42" i="97"/>
  <c r="G42" i="97"/>
  <c r="K41" i="97"/>
  <c r="G41" i="97"/>
  <c r="K40" i="97"/>
  <c r="G40" i="97"/>
  <c r="K39" i="97"/>
  <c r="G39" i="97"/>
  <c r="K38" i="97"/>
  <c r="K37" i="97"/>
  <c r="B37" i="97"/>
  <c r="K36" i="97"/>
  <c r="G36" i="97"/>
  <c r="B36" i="97"/>
  <c r="K35" i="97"/>
  <c r="G35" i="97"/>
  <c r="B35" i="97"/>
  <c r="K34" i="97"/>
  <c r="G34" i="97"/>
  <c r="B34" i="97"/>
  <c r="G33" i="97"/>
  <c r="B33" i="97"/>
  <c r="G32" i="97"/>
  <c r="B32" i="97"/>
  <c r="G31" i="97"/>
  <c r="B31" i="97"/>
  <c r="G30" i="97"/>
  <c r="B30" i="97"/>
  <c r="K29" i="97"/>
  <c r="B29" i="97"/>
  <c r="G28" i="97"/>
  <c r="B28" i="97"/>
  <c r="G27" i="97"/>
  <c r="B27" i="97"/>
  <c r="K26" i="97"/>
  <c r="G26" i="97"/>
  <c r="B26" i="97"/>
  <c r="K25" i="97"/>
  <c r="B25" i="97"/>
  <c r="K24" i="97"/>
  <c r="B24" i="97"/>
  <c r="K23" i="97"/>
  <c r="B23" i="97"/>
  <c r="K22" i="97"/>
  <c r="B22" i="97"/>
  <c r="K21" i="97"/>
  <c r="B21" i="97"/>
  <c r="K20" i="97"/>
  <c r="B20" i="97"/>
  <c r="K19" i="97"/>
  <c r="B19" i="97"/>
  <c r="K18" i="97"/>
  <c r="B18" i="97"/>
  <c r="K17" i="97"/>
  <c r="B17" i="97"/>
  <c r="K16" i="97"/>
  <c r="B16" i="97"/>
  <c r="K15" i="97"/>
  <c r="B15" i="97"/>
  <c r="G14" i="97"/>
  <c r="B14" i="97"/>
  <c r="G13" i="97"/>
  <c r="B13" i="97"/>
  <c r="G12" i="97"/>
  <c r="K11" i="97"/>
  <c r="G11" i="97"/>
  <c r="K10" i="97"/>
  <c r="G10" i="97"/>
  <c r="K9" i="97"/>
  <c r="G9" i="97"/>
  <c r="K8" i="97"/>
  <c r="G8" i="97"/>
  <c r="G7" i="97"/>
  <c r="K6" i="97"/>
  <c r="G6" i="97"/>
  <c r="K5" i="97"/>
  <c r="G5" i="97"/>
  <c r="K4" i="97"/>
  <c r="G3" i="97"/>
  <c r="K43" i="96"/>
  <c r="G43" i="96"/>
  <c r="K42" i="96"/>
  <c r="G42" i="96"/>
  <c r="K41" i="96"/>
  <c r="G41" i="96"/>
  <c r="K40" i="96"/>
  <c r="G40" i="96"/>
  <c r="K39" i="96"/>
  <c r="G39" i="96"/>
  <c r="K38" i="96"/>
  <c r="K37" i="96"/>
  <c r="B37" i="96"/>
  <c r="K36" i="96"/>
  <c r="G36" i="96"/>
  <c r="B36" i="96"/>
  <c r="K35" i="96"/>
  <c r="G35" i="96"/>
  <c r="B35" i="96"/>
  <c r="K34" i="96"/>
  <c r="G34" i="96"/>
  <c r="B34" i="96"/>
  <c r="G33" i="96"/>
  <c r="B33" i="96"/>
  <c r="G32" i="96"/>
  <c r="B32" i="96"/>
  <c r="G31" i="96"/>
  <c r="B31" i="96"/>
  <c r="G30" i="96"/>
  <c r="B30" i="96"/>
  <c r="K29" i="96"/>
  <c r="B29" i="96"/>
  <c r="G28" i="96"/>
  <c r="B28" i="96"/>
  <c r="G27" i="96"/>
  <c r="B27" i="96"/>
  <c r="K26" i="96"/>
  <c r="G26" i="96"/>
  <c r="B26" i="96"/>
  <c r="K25" i="96"/>
  <c r="B25" i="96"/>
  <c r="K24" i="96"/>
  <c r="B24" i="96"/>
  <c r="K23" i="96"/>
  <c r="B23" i="96"/>
  <c r="K22" i="96"/>
  <c r="B22" i="96"/>
  <c r="K21" i="96"/>
  <c r="B21" i="96"/>
  <c r="K20" i="96"/>
  <c r="B20" i="96"/>
  <c r="K19" i="96"/>
  <c r="B19" i="96"/>
  <c r="K18" i="96"/>
  <c r="B18" i="96"/>
  <c r="K17" i="96"/>
  <c r="B17" i="96"/>
  <c r="K16" i="96"/>
  <c r="B16" i="96"/>
  <c r="K15" i="96"/>
  <c r="B15" i="96"/>
  <c r="G14" i="96"/>
  <c r="B14" i="96"/>
  <c r="G13" i="96"/>
  <c r="B13" i="96"/>
  <c r="G12" i="96"/>
  <c r="K11" i="96"/>
  <c r="G11" i="96"/>
  <c r="K10" i="96"/>
  <c r="G10" i="96"/>
  <c r="K9" i="96"/>
  <c r="G9" i="96"/>
  <c r="K8" i="96"/>
  <c r="G8" i="96"/>
  <c r="G7" i="96"/>
  <c r="K6" i="96"/>
  <c r="G6" i="96"/>
  <c r="K5" i="96"/>
  <c r="G5" i="96"/>
  <c r="K4" i="96"/>
  <c r="G3" i="96"/>
  <c r="K43" i="95"/>
  <c r="G43" i="95"/>
  <c r="K42" i="95"/>
  <c r="G42" i="95"/>
  <c r="K41" i="95"/>
  <c r="G41" i="95"/>
  <c r="K40" i="95"/>
  <c r="G40" i="95"/>
  <c r="K39" i="95"/>
  <c r="G39" i="95"/>
  <c r="K38" i="95"/>
  <c r="K37" i="95"/>
  <c r="B37" i="95"/>
  <c r="K36" i="95"/>
  <c r="G36" i="95"/>
  <c r="B36" i="95"/>
  <c r="K35" i="95"/>
  <c r="G35" i="95"/>
  <c r="B35" i="95"/>
  <c r="K34" i="95"/>
  <c r="G34" i="95"/>
  <c r="B34" i="95"/>
  <c r="G33" i="95"/>
  <c r="B33" i="95"/>
  <c r="G32" i="95"/>
  <c r="B32" i="95"/>
  <c r="G31" i="95"/>
  <c r="B31" i="95"/>
  <c r="G30" i="95"/>
  <c r="B30" i="95"/>
  <c r="K29" i="95"/>
  <c r="B29" i="95"/>
  <c r="G28" i="95"/>
  <c r="B28" i="95"/>
  <c r="G27" i="95"/>
  <c r="B27" i="95"/>
  <c r="K26" i="95"/>
  <c r="G26" i="95"/>
  <c r="B26" i="95"/>
  <c r="K25" i="95"/>
  <c r="B25" i="95"/>
  <c r="K24" i="95"/>
  <c r="B24" i="95"/>
  <c r="K23" i="95"/>
  <c r="B23" i="95"/>
  <c r="K22" i="95"/>
  <c r="B22" i="95"/>
  <c r="K21" i="95"/>
  <c r="B21" i="95"/>
  <c r="K20" i="95"/>
  <c r="B20" i="95"/>
  <c r="K19" i="95"/>
  <c r="B19" i="95"/>
  <c r="K18" i="95"/>
  <c r="B18" i="95"/>
  <c r="K17" i="95"/>
  <c r="B17" i="95"/>
  <c r="K16" i="95"/>
  <c r="B16" i="95"/>
  <c r="K15" i="95"/>
  <c r="B15" i="95"/>
  <c r="G14" i="95"/>
  <c r="B14" i="95"/>
  <c r="G13" i="95"/>
  <c r="B13" i="95"/>
  <c r="G12" i="95"/>
  <c r="K11" i="95"/>
  <c r="G11" i="95"/>
  <c r="K10" i="95"/>
  <c r="G10" i="95"/>
  <c r="K9" i="95"/>
  <c r="G9" i="95"/>
  <c r="K8" i="95"/>
  <c r="G8" i="95"/>
  <c r="G7" i="95"/>
  <c r="K6" i="95"/>
  <c r="G6" i="95"/>
  <c r="K5" i="95"/>
  <c r="G5" i="95"/>
  <c r="K4" i="95"/>
  <c r="G3" i="95"/>
  <c r="K43" i="94"/>
  <c r="G43" i="94"/>
  <c r="K42" i="94"/>
  <c r="G42" i="94"/>
  <c r="K41" i="94"/>
  <c r="G41" i="94"/>
  <c r="K40" i="94"/>
  <c r="G40" i="94"/>
  <c r="K39" i="94"/>
  <c r="G39" i="94"/>
  <c r="K38" i="94"/>
  <c r="K37" i="94"/>
  <c r="B37" i="94"/>
  <c r="K36" i="94"/>
  <c r="G36" i="94"/>
  <c r="B36" i="94"/>
  <c r="K35" i="94"/>
  <c r="G35" i="94"/>
  <c r="B35" i="94"/>
  <c r="K34" i="94"/>
  <c r="G34" i="94"/>
  <c r="B34" i="94"/>
  <c r="G33" i="94"/>
  <c r="B33" i="94"/>
  <c r="G32" i="94"/>
  <c r="B32" i="94"/>
  <c r="G31" i="94"/>
  <c r="B31" i="94"/>
  <c r="G30" i="94"/>
  <c r="B30" i="94"/>
  <c r="K29" i="94"/>
  <c r="B29" i="94"/>
  <c r="G28" i="94"/>
  <c r="B28" i="94"/>
  <c r="G27" i="94"/>
  <c r="B27" i="94"/>
  <c r="K26" i="94"/>
  <c r="G26" i="94"/>
  <c r="B26" i="94"/>
  <c r="K25" i="94"/>
  <c r="B25" i="94"/>
  <c r="K24" i="94"/>
  <c r="B24" i="94"/>
  <c r="K23" i="94"/>
  <c r="B23" i="94"/>
  <c r="K22" i="94"/>
  <c r="B22" i="94"/>
  <c r="K21" i="94"/>
  <c r="B21" i="94"/>
  <c r="K20" i="94"/>
  <c r="B20" i="94"/>
  <c r="K19" i="94"/>
  <c r="B19" i="94"/>
  <c r="K18" i="94"/>
  <c r="B18" i="94"/>
  <c r="K17" i="94"/>
  <c r="B17" i="94"/>
  <c r="K16" i="94"/>
  <c r="B16" i="94"/>
  <c r="K15" i="94"/>
  <c r="B15" i="94"/>
  <c r="G14" i="94"/>
  <c r="B14" i="94"/>
  <c r="G13" i="94"/>
  <c r="B13" i="94"/>
  <c r="G12" i="94"/>
  <c r="K11" i="94"/>
  <c r="G11" i="94"/>
  <c r="K10" i="94"/>
  <c r="G10" i="94"/>
  <c r="K9" i="94"/>
  <c r="G9" i="94"/>
  <c r="K8" i="94"/>
  <c r="G8" i="94"/>
  <c r="G7" i="94"/>
  <c r="K6" i="94"/>
  <c r="G6" i="94"/>
  <c r="K5" i="94"/>
  <c r="G5" i="94"/>
  <c r="K4" i="94"/>
  <c r="G3" i="94"/>
  <c r="K43" i="93"/>
  <c r="G43" i="93"/>
  <c r="K42" i="93"/>
  <c r="G42" i="93"/>
  <c r="K41" i="93"/>
  <c r="G41" i="93"/>
  <c r="K40" i="93"/>
  <c r="G40" i="93"/>
  <c r="K39" i="93"/>
  <c r="G39" i="93"/>
  <c r="K38" i="93"/>
  <c r="K37" i="93"/>
  <c r="B37" i="93"/>
  <c r="K36" i="93"/>
  <c r="G36" i="93"/>
  <c r="B36" i="93"/>
  <c r="K35" i="93"/>
  <c r="G35" i="93"/>
  <c r="B35" i="93"/>
  <c r="K34" i="93"/>
  <c r="G34" i="93"/>
  <c r="B34" i="93"/>
  <c r="G33" i="93"/>
  <c r="B33" i="93"/>
  <c r="G32" i="93"/>
  <c r="B32" i="93"/>
  <c r="G31" i="93"/>
  <c r="B31" i="93"/>
  <c r="G30" i="93"/>
  <c r="B30" i="93"/>
  <c r="K29" i="93"/>
  <c r="B29" i="93"/>
  <c r="G28" i="93"/>
  <c r="B28" i="93"/>
  <c r="G27" i="93"/>
  <c r="B27" i="93"/>
  <c r="K26" i="93"/>
  <c r="G26" i="93"/>
  <c r="B26" i="93"/>
  <c r="K25" i="93"/>
  <c r="B25" i="93"/>
  <c r="K24" i="93"/>
  <c r="B24" i="93"/>
  <c r="K23" i="93"/>
  <c r="B23" i="93"/>
  <c r="K22" i="93"/>
  <c r="B22" i="93"/>
  <c r="K21" i="93"/>
  <c r="B21" i="93"/>
  <c r="K20" i="93"/>
  <c r="B20" i="93"/>
  <c r="K19" i="93"/>
  <c r="B19" i="93"/>
  <c r="K18" i="93"/>
  <c r="B18" i="93"/>
  <c r="K17" i="93"/>
  <c r="B17" i="93"/>
  <c r="K16" i="93"/>
  <c r="B16" i="93"/>
  <c r="K15" i="93"/>
  <c r="B15" i="93"/>
  <c r="G14" i="93"/>
  <c r="B14" i="93"/>
  <c r="G13" i="93"/>
  <c r="B13" i="93"/>
  <c r="G12" i="93"/>
  <c r="K11" i="93"/>
  <c r="G11" i="93"/>
  <c r="K10" i="93"/>
  <c r="G10" i="93"/>
  <c r="K9" i="93"/>
  <c r="G9" i="93"/>
  <c r="K8" i="93"/>
  <c r="G8" i="93"/>
  <c r="G7" i="93"/>
  <c r="K6" i="93"/>
  <c r="G6" i="93"/>
  <c r="K5" i="93"/>
  <c r="G5" i="93"/>
  <c r="K4" i="93"/>
  <c r="G3" i="93"/>
  <c r="K43" i="92"/>
  <c r="G43" i="92"/>
  <c r="K42" i="92"/>
  <c r="G42" i="92"/>
  <c r="K41" i="92"/>
  <c r="G41" i="92"/>
  <c r="K40" i="92"/>
  <c r="G40" i="92"/>
  <c r="K39" i="92"/>
  <c r="G39" i="92"/>
  <c r="K38" i="92"/>
  <c r="K37" i="92"/>
  <c r="B37" i="92"/>
  <c r="K36" i="92"/>
  <c r="G36" i="92"/>
  <c r="B36" i="92"/>
  <c r="K35" i="92"/>
  <c r="G35" i="92"/>
  <c r="B35" i="92"/>
  <c r="K34" i="92"/>
  <c r="G34" i="92"/>
  <c r="B34" i="92"/>
  <c r="G33" i="92"/>
  <c r="B33" i="92"/>
  <c r="G32" i="92"/>
  <c r="B32" i="92"/>
  <c r="G31" i="92"/>
  <c r="B31" i="92"/>
  <c r="G30" i="92"/>
  <c r="B30" i="92"/>
  <c r="K29" i="92"/>
  <c r="B29" i="92"/>
  <c r="G28" i="92"/>
  <c r="B28" i="92"/>
  <c r="G27" i="92"/>
  <c r="B27" i="92"/>
  <c r="K26" i="92"/>
  <c r="G26" i="92"/>
  <c r="B26" i="92"/>
  <c r="K25" i="92"/>
  <c r="B25" i="92"/>
  <c r="K24" i="92"/>
  <c r="B24" i="92"/>
  <c r="K23" i="92"/>
  <c r="B23" i="92"/>
  <c r="K22" i="92"/>
  <c r="B22" i="92"/>
  <c r="K21" i="92"/>
  <c r="B21" i="92"/>
  <c r="K20" i="92"/>
  <c r="B20" i="92"/>
  <c r="K19" i="92"/>
  <c r="B19" i="92"/>
  <c r="K18" i="92"/>
  <c r="B18" i="92"/>
  <c r="K17" i="92"/>
  <c r="B17" i="92"/>
  <c r="K16" i="92"/>
  <c r="B16" i="92"/>
  <c r="K15" i="92"/>
  <c r="B15" i="92"/>
  <c r="B14" i="92"/>
  <c r="G13" i="92"/>
  <c r="B13" i="92"/>
  <c r="G12" i="92"/>
  <c r="K11" i="92"/>
  <c r="G11" i="92"/>
  <c r="K10" i="92"/>
  <c r="G10" i="92"/>
  <c r="K9" i="92"/>
  <c r="G9" i="92"/>
  <c r="K8" i="92"/>
  <c r="G8" i="92"/>
  <c r="G7" i="92"/>
  <c r="K6" i="92"/>
  <c r="G6" i="92"/>
  <c r="K5" i="92"/>
  <c r="G5" i="92"/>
  <c r="K4" i="92"/>
  <c r="G3" i="92"/>
  <c r="G14" i="92"/>
  <c r="K43" i="91"/>
  <c r="G43" i="91"/>
  <c r="K42" i="91"/>
  <c r="G42" i="91"/>
  <c r="K41" i="91"/>
  <c r="G41" i="91"/>
  <c r="K40" i="91"/>
  <c r="G40" i="91"/>
  <c r="K39" i="91"/>
  <c r="G39" i="91"/>
  <c r="K38" i="91"/>
  <c r="K37" i="91"/>
  <c r="B37" i="91"/>
  <c r="K36" i="91"/>
  <c r="G36" i="91"/>
  <c r="B36" i="91"/>
  <c r="K35" i="91"/>
  <c r="G35" i="91"/>
  <c r="B35" i="91"/>
  <c r="K34" i="91"/>
  <c r="G34" i="91"/>
  <c r="B34" i="91"/>
  <c r="G33" i="91"/>
  <c r="B33" i="91"/>
  <c r="G32" i="91"/>
  <c r="B32" i="91"/>
  <c r="G31" i="91"/>
  <c r="B31" i="91"/>
  <c r="G30" i="91"/>
  <c r="B30" i="91"/>
  <c r="K29" i="91"/>
  <c r="B29" i="91"/>
  <c r="G28" i="91"/>
  <c r="B28" i="91"/>
  <c r="G27" i="91"/>
  <c r="B27" i="91"/>
  <c r="K26" i="91"/>
  <c r="G26" i="91"/>
  <c r="B26" i="91"/>
  <c r="K25" i="91"/>
  <c r="B25" i="91"/>
  <c r="K24" i="91"/>
  <c r="B24" i="91"/>
  <c r="K23" i="91"/>
  <c r="B23" i="91"/>
  <c r="K22" i="91"/>
  <c r="B22" i="91"/>
  <c r="K21" i="91"/>
  <c r="B21" i="91"/>
  <c r="K20" i="91"/>
  <c r="B20" i="91"/>
  <c r="K19" i="91"/>
  <c r="B19" i="91"/>
  <c r="K18" i="91"/>
  <c r="B18" i="91"/>
  <c r="K17" i="91"/>
  <c r="B17" i="91"/>
  <c r="K16" i="91"/>
  <c r="B16" i="91"/>
  <c r="K15" i="91"/>
  <c r="B15" i="91"/>
  <c r="G14" i="91"/>
  <c r="B14" i="91"/>
  <c r="G13" i="91"/>
  <c r="B13" i="91"/>
  <c r="G12" i="91"/>
  <c r="K11" i="91"/>
  <c r="G11" i="91"/>
  <c r="K10" i="91"/>
  <c r="G10" i="91"/>
  <c r="K9" i="91"/>
  <c r="G9" i="91"/>
  <c r="K8" i="91"/>
  <c r="G8" i="91"/>
  <c r="G7" i="91"/>
  <c r="K6" i="91"/>
  <c r="G6" i="91"/>
  <c r="K5" i="91"/>
  <c r="G5" i="91"/>
  <c r="K4" i="91"/>
  <c r="G3" i="91"/>
  <c r="K43" i="90"/>
  <c r="G43" i="90"/>
  <c r="K42" i="90"/>
  <c r="G42" i="90"/>
  <c r="K41" i="90"/>
  <c r="G41" i="90"/>
  <c r="K40" i="90"/>
  <c r="G40" i="90"/>
  <c r="K39" i="90"/>
  <c r="G39" i="90"/>
  <c r="K38" i="90"/>
  <c r="K37" i="90"/>
  <c r="B37" i="90"/>
  <c r="K36" i="90"/>
  <c r="G36" i="90"/>
  <c r="B36" i="90"/>
  <c r="K35" i="90"/>
  <c r="G35" i="90"/>
  <c r="B35" i="90"/>
  <c r="K34" i="90"/>
  <c r="G34" i="90"/>
  <c r="B34" i="90"/>
  <c r="G33" i="90"/>
  <c r="B33" i="90"/>
  <c r="G32" i="90"/>
  <c r="B32" i="90"/>
  <c r="G31" i="90"/>
  <c r="B31" i="90"/>
  <c r="G30" i="90"/>
  <c r="B30" i="90"/>
  <c r="K29" i="90"/>
  <c r="B29" i="90"/>
  <c r="G28" i="90"/>
  <c r="B28" i="90"/>
  <c r="G27" i="90"/>
  <c r="B27" i="90"/>
  <c r="K26" i="90"/>
  <c r="G26" i="90"/>
  <c r="B26" i="90"/>
  <c r="K25" i="90"/>
  <c r="B25" i="90"/>
  <c r="K24" i="90"/>
  <c r="B24" i="90"/>
  <c r="K23" i="90"/>
  <c r="B23" i="90"/>
  <c r="K22" i="90"/>
  <c r="B22" i="90"/>
  <c r="K21" i="90"/>
  <c r="B21" i="90"/>
  <c r="K20" i="90"/>
  <c r="B20" i="90"/>
  <c r="K19" i="90"/>
  <c r="B19" i="90"/>
  <c r="K18" i="90"/>
  <c r="B18" i="90"/>
  <c r="K17" i="90"/>
  <c r="B17" i="90"/>
  <c r="K16" i="90"/>
  <c r="B16" i="90"/>
  <c r="K15" i="90"/>
  <c r="B15" i="90"/>
  <c r="G14" i="90"/>
  <c r="B14" i="90"/>
  <c r="G13" i="90"/>
  <c r="B13" i="90"/>
  <c r="G12" i="90"/>
  <c r="K11" i="90"/>
  <c r="G11" i="90"/>
  <c r="K10" i="90"/>
  <c r="G10" i="90"/>
  <c r="K9" i="90"/>
  <c r="G9" i="90"/>
  <c r="K8" i="90"/>
  <c r="G8" i="90"/>
  <c r="G7" i="90"/>
  <c r="K6" i="90"/>
  <c r="G6" i="90"/>
  <c r="K5" i="90"/>
  <c r="G5" i="90"/>
  <c r="K4" i="90"/>
  <c r="G3" i="90"/>
  <c r="Q28" i="14"/>
  <c r="Q29" i="14"/>
  <c r="Q30" i="14"/>
  <c r="Q31" i="14"/>
  <c r="Q10" i="14"/>
  <c r="Q11" i="14"/>
  <c r="Q12" i="14"/>
  <c r="Q13" i="14"/>
  <c r="Q14" i="14"/>
  <c r="J43" i="103"/>
  <c r="E43" i="103"/>
  <c r="J42" i="103"/>
  <c r="E42" i="103"/>
  <c r="J41" i="103"/>
  <c r="E41" i="103"/>
  <c r="J40" i="103"/>
  <c r="E40" i="103"/>
  <c r="J39" i="103"/>
  <c r="E39" i="103"/>
  <c r="J38" i="103"/>
  <c r="J37" i="103"/>
  <c r="A37" i="103"/>
  <c r="J36" i="103"/>
  <c r="E36" i="103"/>
  <c r="A36" i="103"/>
  <c r="J35" i="103"/>
  <c r="E35" i="103"/>
  <c r="A35" i="103"/>
  <c r="J34" i="103"/>
  <c r="E34" i="103"/>
  <c r="A34" i="103"/>
  <c r="D33" i="103"/>
  <c r="A33" i="103"/>
  <c r="E32" i="103"/>
  <c r="A32" i="103"/>
  <c r="J31" i="103"/>
  <c r="E31" i="103"/>
  <c r="A31" i="103"/>
  <c r="J30" i="103"/>
  <c r="E30" i="103"/>
  <c r="A30" i="103"/>
  <c r="J29" i="103"/>
  <c r="D29" i="103"/>
  <c r="A29" i="103"/>
  <c r="J28" i="103"/>
  <c r="A28" i="103"/>
  <c r="J27" i="103"/>
  <c r="A27" i="103"/>
  <c r="J26" i="103"/>
  <c r="A26" i="103"/>
  <c r="J25" i="103"/>
  <c r="D25" i="103"/>
  <c r="A25" i="103"/>
  <c r="J24" i="103"/>
  <c r="A24" i="103"/>
  <c r="J23" i="103"/>
  <c r="A23" i="103"/>
  <c r="J22" i="103"/>
  <c r="A22" i="103"/>
  <c r="J21" i="103"/>
  <c r="F21" i="103"/>
  <c r="D21" i="103"/>
  <c r="A21" i="103"/>
  <c r="J20" i="103"/>
  <c r="F20" i="103"/>
  <c r="D20" i="103"/>
  <c r="A20" i="103"/>
  <c r="J19" i="103"/>
  <c r="F19" i="103"/>
  <c r="D19" i="103"/>
  <c r="A19" i="103"/>
  <c r="J18" i="103"/>
  <c r="F18" i="103"/>
  <c r="D18" i="103"/>
  <c r="A18" i="103"/>
  <c r="J17" i="103"/>
  <c r="A17" i="103"/>
  <c r="J16" i="103"/>
  <c r="A16" i="103"/>
  <c r="J15" i="103"/>
  <c r="A15" i="103"/>
  <c r="F14" i="103"/>
  <c r="E14" i="103"/>
  <c r="A14" i="103"/>
  <c r="F13" i="103"/>
  <c r="E13" i="103"/>
  <c r="A13" i="103"/>
  <c r="F12" i="103"/>
  <c r="E12" i="103"/>
  <c r="I11" i="103"/>
  <c r="F11" i="103"/>
  <c r="E11" i="103"/>
  <c r="J10" i="103"/>
  <c r="F10" i="103"/>
  <c r="E10" i="103"/>
  <c r="J9" i="103"/>
  <c r="F9" i="103"/>
  <c r="E9" i="103"/>
  <c r="A9" i="103"/>
  <c r="J8" i="103"/>
  <c r="F8" i="103"/>
  <c r="E8" i="103"/>
  <c r="A8" i="103"/>
  <c r="I7" i="103"/>
  <c r="F7" i="103"/>
  <c r="E7" i="103"/>
  <c r="A7" i="103"/>
  <c r="J6" i="103"/>
  <c r="F6" i="103"/>
  <c r="E6" i="103"/>
  <c r="J5" i="103"/>
  <c r="F5" i="103"/>
  <c r="E5" i="103"/>
  <c r="J4" i="103"/>
  <c r="I3" i="103"/>
  <c r="F3" i="103"/>
  <c r="E3" i="103"/>
  <c r="A1" i="103"/>
  <c r="A155" i="89" s="1"/>
  <c r="J43" i="102"/>
  <c r="E43" i="102"/>
  <c r="J42" i="102"/>
  <c r="E42" i="102"/>
  <c r="J41" i="102"/>
  <c r="E41" i="102"/>
  <c r="J40" i="102"/>
  <c r="E40" i="102"/>
  <c r="J39" i="102"/>
  <c r="E39" i="102"/>
  <c r="J38" i="102"/>
  <c r="J37" i="102"/>
  <c r="A37" i="102"/>
  <c r="J36" i="102"/>
  <c r="E36" i="102"/>
  <c r="A36" i="102"/>
  <c r="J35" i="102"/>
  <c r="E35" i="102"/>
  <c r="A35" i="102"/>
  <c r="J34" i="102"/>
  <c r="E34" i="102"/>
  <c r="A34" i="102"/>
  <c r="D33" i="102"/>
  <c r="A33" i="102"/>
  <c r="E32" i="102"/>
  <c r="A32" i="102"/>
  <c r="J31" i="102"/>
  <c r="E31" i="102"/>
  <c r="A31" i="102"/>
  <c r="J30" i="102"/>
  <c r="E30" i="102"/>
  <c r="A30" i="102"/>
  <c r="J29" i="102"/>
  <c r="D29" i="102"/>
  <c r="A29" i="102"/>
  <c r="J28" i="102"/>
  <c r="A28" i="102"/>
  <c r="J27" i="102"/>
  <c r="A27" i="102"/>
  <c r="J26" i="102"/>
  <c r="A26" i="102"/>
  <c r="J25" i="102"/>
  <c r="D25" i="102"/>
  <c r="A25" i="102"/>
  <c r="J24" i="102"/>
  <c r="A24" i="102"/>
  <c r="J23" i="102"/>
  <c r="A23" i="102"/>
  <c r="J22" i="102"/>
  <c r="A22" i="102"/>
  <c r="J21" i="102"/>
  <c r="F21" i="102"/>
  <c r="D21" i="102"/>
  <c r="A21" i="102"/>
  <c r="J20" i="102"/>
  <c r="F20" i="102"/>
  <c r="D20" i="102"/>
  <c r="A20" i="102"/>
  <c r="J19" i="102"/>
  <c r="F19" i="102"/>
  <c r="D19" i="102"/>
  <c r="A19" i="102"/>
  <c r="J18" i="102"/>
  <c r="F18" i="102"/>
  <c r="D18" i="102"/>
  <c r="A18" i="102"/>
  <c r="J17" i="102"/>
  <c r="A17" i="102"/>
  <c r="J16" i="102"/>
  <c r="A16" i="102"/>
  <c r="J15" i="102"/>
  <c r="A15" i="102"/>
  <c r="F14" i="102"/>
  <c r="E14" i="102"/>
  <c r="A14" i="102"/>
  <c r="F13" i="102"/>
  <c r="E13" i="102"/>
  <c r="A13" i="102"/>
  <c r="F12" i="102"/>
  <c r="E12" i="102"/>
  <c r="I11" i="102"/>
  <c r="F11" i="102"/>
  <c r="E11" i="102"/>
  <c r="J10" i="102"/>
  <c r="F10" i="102"/>
  <c r="E10" i="102"/>
  <c r="J9" i="102"/>
  <c r="F9" i="102"/>
  <c r="E9" i="102"/>
  <c r="A9" i="102"/>
  <c r="J8" i="102"/>
  <c r="F8" i="102"/>
  <c r="E8" i="102"/>
  <c r="A8" i="102"/>
  <c r="I7" i="102"/>
  <c r="F7" i="102"/>
  <c r="E7" i="102"/>
  <c r="A7" i="102"/>
  <c r="J6" i="102"/>
  <c r="F6" i="102"/>
  <c r="E6" i="102"/>
  <c r="J5" i="102"/>
  <c r="F5" i="102"/>
  <c r="E5" i="102"/>
  <c r="J4" i="102"/>
  <c r="I3" i="102"/>
  <c r="F3" i="102"/>
  <c r="E3" i="102"/>
  <c r="A1" i="102"/>
  <c r="A144" i="89" s="1"/>
  <c r="J43" i="101"/>
  <c r="E43" i="101"/>
  <c r="J42" i="101"/>
  <c r="E42" i="101"/>
  <c r="J41" i="101"/>
  <c r="E41" i="101"/>
  <c r="J40" i="101"/>
  <c r="E40" i="101"/>
  <c r="J39" i="101"/>
  <c r="E39" i="101"/>
  <c r="J38" i="101"/>
  <c r="J37" i="101"/>
  <c r="A37" i="101"/>
  <c r="J36" i="101"/>
  <c r="E36" i="101"/>
  <c r="A36" i="101"/>
  <c r="J35" i="101"/>
  <c r="E35" i="101"/>
  <c r="A35" i="101"/>
  <c r="J34" i="101"/>
  <c r="E34" i="101"/>
  <c r="A34" i="101"/>
  <c r="D33" i="101"/>
  <c r="A33" i="101"/>
  <c r="E32" i="101"/>
  <c r="A32" i="101"/>
  <c r="J31" i="101"/>
  <c r="E31" i="101"/>
  <c r="A31" i="101"/>
  <c r="J30" i="101"/>
  <c r="E30" i="101"/>
  <c r="A30" i="101"/>
  <c r="J29" i="101"/>
  <c r="D29" i="101"/>
  <c r="A29" i="101"/>
  <c r="J28" i="101"/>
  <c r="A28" i="101"/>
  <c r="J27" i="101"/>
  <c r="A27" i="101"/>
  <c r="J26" i="101"/>
  <c r="A26" i="101"/>
  <c r="J25" i="101"/>
  <c r="D25" i="101"/>
  <c r="A25" i="101"/>
  <c r="J24" i="101"/>
  <c r="A24" i="101"/>
  <c r="J23" i="101"/>
  <c r="A23" i="101"/>
  <c r="J22" i="101"/>
  <c r="A22" i="101"/>
  <c r="J21" i="101"/>
  <c r="F21" i="101"/>
  <c r="D21" i="101"/>
  <c r="A21" i="101"/>
  <c r="J20" i="101"/>
  <c r="F20" i="101"/>
  <c r="D20" i="101"/>
  <c r="A20" i="101"/>
  <c r="J19" i="101"/>
  <c r="F19" i="101"/>
  <c r="D19" i="101"/>
  <c r="A19" i="101"/>
  <c r="J18" i="101"/>
  <c r="F18" i="101"/>
  <c r="D18" i="101"/>
  <c r="A18" i="101"/>
  <c r="J17" i="101"/>
  <c r="A17" i="101"/>
  <c r="J16" i="101"/>
  <c r="A16" i="101"/>
  <c r="J15" i="101"/>
  <c r="A15" i="101"/>
  <c r="F14" i="101"/>
  <c r="E14" i="101"/>
  <c r="A14" i="101"/>
  <c r="F13" i="101"/>
  <c r="E13" i="101"/>
  <c r="A13" i="101"/>
  <c r="F12" i="101"/>
  <c r="E12" i="101"/>
  <c r="I11" i="101"/>
  <c r="F11" i="101"/>
  <c r="E11" i="101"/>
  <c r="J10" i="101"/>
  <c r="F10" i="101"/>
  <c r="E10" i="101"/>
  <c r="J9" i="101"/>
  <c r="F9" i="101"/>
  <c r="E9" i="101"/>
  <c r="A9" i="101"/>
  <c r="J8" i="101"/>
  <c r="F8" i="101"/>
  <c r="E8" i="101"/>
  <c r="A8" i="101"/>
  <c r="I7" i="101"/>
  <c r="F7" i="101"/>
  <c r="E7" i="101"/>
  <c r="A7" i="101"/>
  <c r="J6" i="101"/>
  <c r="F6" i="101"/>
  <c r="E6" i="101"/>
  <c r="J5" i="101"/>
  <c r="F5" i="101"/>
  <c r="E5" i="101"/>
  <c r="J4" i="101"/>
  <c r="I3" i="101"/>
  <c r="F3" i="101"/>
  <c r="E3" i="101"/>
  <c r="A1" i="101"/>
  <c r="A133" i="89" s="1"/>
  <c r="J43" i="100"/>
  <c r="E43" i="100"/>
  <c r="J42" i="100"/>
  <c r="E42" i="100"/>
  <c r="J41" i="100"/>
  <c r="E41" i="100"/>
  <c r="J40" i="100"/>
  <c r="E40" i="100"/>
  <c r="J39" i="100"/>
  <c r="E39" i="100"/>
  <c r="J38" i="100"/>
  <c r="J37" i="100"/>
  <c r="A37" i="100"/>
  <c r="J36" i="100"/>
  <c r="E36" i="100"/>
  <c r="A36" i="100"/>
  <c r="J35" i="100"/>
  <c r="E35" i="100"/>
  <c r="A35" i="100"/>
  <c r="J34" i="100"/>
  <c r="E34" i="100"/>
  <c r="A34" i="100"/>
  <c r="D33" i="100"/>
  <c r="A33" i="100"/>
  <c r="E32" i="100"/>
  <c r="A32" i="100"/>
  <c r="J31" i="100"/>
  <c r="E31" i="100"/>
  <c r="A31" i="100"/>
  <c r="J30" i="100"/>
  <c r="E30" i="100"/>
  <c r="A30" i="100"/>
  <c r="J29" i="100"/>
  <c r="D29" i="100"/>
  <c r="A29" i="100"/>
  <c r="J28" i="100"/>
  <c r="A28" i="100"/>
  <c r="J27" i="100"/>
  <c r="A27" i="100"/>
  <c r="J26" i="100"/>
  <c r="A26" i="100"/>
  <c r="J25" i="100"/>
  <c r="D25" i="100"/>
  <c r="A25" i="100"/>
  <c r="J24" i="100"/>
  <c r="A24" i="100"/>
  <c r="J23" i="100"/>
  <c r="A23" i="100"/>
  <c r="J22" i="100"/>
  <c r="A22" i="100"/>
  <c r="J21" i="100"/>
  <c r="F21" i="100"/>
  <c r="D21" i="100"/>
  <c r="A21" i="100"/>
  <c r="J20" i="100"/>
  <c r="F20" i="100"/>
  <c r="D20" i="100"/>
  <c r="A20" i="100"/>
  <c r="J19" i="100"/>
  <c r="F19" i="100"/>
  <c r="D19" i="100"/>
  <c r="A19" i="100"/>
  <c r="J18" i="100"/>
  <c r="F18" i="100"/>
  <c r="D18" i="100"/>
  <c r="A18" i="100"/>
  <c r="J17" i="100"/>
  <c r="A17" i="100"/>
  <c r="J16" i="100"/>
  <c r="A16" i="100"/>
  <c r="J15" i="100"/>
  <c r="A15" i="100"/>
  <c r="F14" i="100"/>
  <c r="E14" i="100"/>
  <c r="A14" i="100"/>
  <c r="F13" i="100"/>
  <c r="E13" i="100"/>
  <c r="A13" i="100"/>
  <c r="F12" i="100"/>
  <c r="E12" i="100"/>
  <c r="I11" i="100"/>
  <c r="F11" i="100"/>
  <c r="E11" i="100"/>
  <c r="J10" i="100"/>
  <c r="F10" i="100"/>
  <c r="E10" i="100"/>
  <c r="J9" i="100"/>
  <c r="F9" i="100"/>
  <c r="E9" i="100"/>
  <c r="A9" i="100"/>
  <c r="J8" i="100"/>
  <c r="F8" i="100"/>
  <c r="E8" i="100"/>
  <c r="A8" i="100"/>
  <c r="I7" i="100"/>
  <c r="F7" i="100"/>
  <c r="E7" i="100"/>
  <c r="A7" i="100"/>
  <c r="J6" i="100"/>
  <c r="F6" i="100"/>
  <c r="E6" i="100"/>
  <c r="J5" i="100"/>
  <c r="F5" i="100"/>
  <c r="E5" i="100"/>
  <c r="J4" i="100"/>
  <c r="I3" i="100"/>
  <c r="F3" i="100"/>
  <c r="E3" i="100"/>
  <c r="A1" i="100"/>
  <c r="A122" i="89" s="1"/>
  <c r="J43" i="99"/>
  <c r="E43" i="99"/>
  <c r="J42" i="99"/>
  <c r="E42" i="99"/>
  <c r="J41" i="99"/>
  <c r="E41" i="99"/>
  <c r="J40" i="99"/>
  <c r="E40" i="99"/>
  <c r="J39" i="99"/>
  <c r="E39" i="99"/>
  <c r="J38" i="99"/>
  <c r="J37" i="99"/>
  <c r="A37" i="99"/>
  <c r="J36" i="99"/>
  <c r="E36" i="99"/>
  <c r="A36" i="99"/>
  <c r="J35" i="99"/>
  <c r="E35" i="99"/>
  <c r="A35" i="99"/>
  <c r="J34" i="99"/>
  <c r="E34" i="99"/>
  <c r="A34" i="99"/>
  <c r="D33" i="99"/>
  <c r="A33" i="99"/>
  <c r="E32" i="99"/>
  <c r="A32" i="99"/>
  <c r="J31" i="99"/>
  <c r="E31" i="99"/>
  <c r="A31" i="99"/>
  <c r="J30" i="99"/>
  <c r="E30" i="99"/>
  <c r="A30" i="99"/>
  <c r="J29" i="99"/>
  <c r="D29" i="99"/>
  <c r="A29" i="99"/>
  <c r="J28" i="99"/>
  <c r="A28" i="99"/>
  <c r="J27" i="99"/>
  <c r="A27" i="99"/>
  <c r="J26" i="99"/>
  <c r="A26" i="99"/>
  <c r="J25" i="99"/>
  <c r="D25" i="99"/>
  <c r="A25" i="99"/>
  <c r="J24" i="99"/>
  <c r="A24" i="99"/>
  <c r="J23" i="99"/>
  <c r="A23" i="99"/>
  <c r="J22" i="99"/>
  <c r="A22" i="99"/>
  <c r="J21" i="99"/>
  <c r="F21" i="99"/>
  <c r="D21" i="99"/>
  <c r="A21" i="99"/>
  <c r="J20" i="99"/>
  <c r="F20" i="99"/>
  <c r="D20" i="99"/>
  <c r="A20" i="99"/>
  <c r="J19" i="99"/>
  <c r="F19" i="99"/>
  <c r="D19" i="99"/>
  <c r="A19" i="99"/>
  <c r="J18" i="99"/>
  <c r="F18" i="99"/>
  <c r="D18" i="99"/>
  <c r="A18" i="99"/>
  <c r="J17" i="99"/>
  <c r="A17" i="99"/>
  <c r="J16" i="99"/>
  <c r="A16" i="99"/>
  <c r="J15" i="99"/>
  <c r="A15" i="99"/>
  <c r="F14" i="99"/>
  <c r="E14" i="99"/>
  <c r="A14" i="99"/>
  <c r="F13" i="99"/>
  <c r="E13" i="99"/>
  <c r="A13" i="99"/>
  <c r="F12" i="99"/>
  <c r="E12" i="99"/>
  <c r="I11" i="99"/>
  <c r="F11" i="99"/>
  <c r="E11" i="99"/>
  <c r="J10" i="99"/>
  <c r="F10" i="99"/>
  <c r="E10" i="99"/>
  <c r="J9" i="99"/>
  <c r="F9" i="99"/>
  <c r="E9" i="99"/>
  <c r="A9" i="99"/>
  <c r="J8" i="99"/>
  <c r="F8" i="99"/>
  <c r="E8" i="99"/>
  <c r="A8" i="99"/>
  <c r="I7" i="99"/>
  <c r="F7" i="99"/>
  <c r="E7" i="99"/>
  <c r="A7" i="99"/>
  <c r="J6" i="99"/>
  <c r="F6" i="99"/>
  <c r="E6" i="99"/>
  <c r="J5" i="99"/>
  <c r="F5" i="99"/>
  <c r="E5" i="99"/>
  <c r="J4" i="99"/>
  <c r="I3" i="99"/>
  <c r="F3" i="99"/>
  <c r="E3" i="99"/>
  <c r="A1" i="99"/>
  <c r="A111" i="89" s="1"/>
  <c r="J43" i="98"/>
  <c r="E43" i="98"/>
  <c r="J42" i="98"/>
  <c r="E42" i="98"/>
  <c r="J41" i="98"/>
  <c r="E41" i="98"/>
  <c r="J40" i="98"/>
  <c r="E40" i="98"/>
  <c r="J39" i="98"/>
  <c r="E39" i="98"/>
  <c r="J38" i="98"/>
  <c r="J37" i="98"/>
  <c r="A37" i="98"/>
  <c r="J36" i="98"/>
  <c r="E36" i="98"/>
  <c r="A36" i="98"/>
  <c r="J35" i="98"/>
  <c r="E35" i="98"/>
  <c r="A35" i="98"/>
  <c r="J34" i="98"/>
  <c r="E34" i="98"/>
  <c r="A34" i="98"/>
  <c r="D33" i="98"/>
  <c r="A33" i="98"/>
  <c r="E32" i="98"/>
  <c r="A32" i="98"/>
  <c r="J31" i="98"/>
  <c r="E31" i="98"/>
  <c r="A31" i="98"/>
  <c r="J30" i="98"/>
  <c r="E30" i="98"/>
  <c r="A30" i="98"/>
  <c r="J29" i="98"/>
  <c r="D29" i="98"/>
  <c r="A29" i="98"/>
  <c r="J28" i="98"/>
  <c r="A28" i="98"/>
  <c r="J27" i="98"/>
  <c r="A27" i="98"/>
  <c r="J26" i="98"/>
  <c r="A26" i="98"/>
  <c r="J25" i="98"/>
  <c r="D25" i="98"/>
  <c r="A25" i="98"/>
  <c r="J24" i="98"/>
  <c r="A24" i="98"/>
  <c r="J23" i="98"/>
  <c r="A23" i="98"/>
  <c r="J22" i="98"/>
  <c r="A22" i="98"/>
  <c r="J21" i="98"/>
  <c r="F21" i="98"/>
  <c r="D21" i="98"/>
  <c r="A21" i="98"/>
  <c r="J20" i="98"/>
  <c r="F20" i="98"/>
  <c r="D20" i="98"/>
  <c r="A20" i="98"/>
  <c r="J19" i="98"/>
  <c r="F19" i="98"/>
  <c r="D19" i="98"/>
  <c r="A19" i="98"/>
  <c r="J18" i="98"/>
  <c r="F18" i="98"/>
  <c r="D18" i="98"/>
  <c r="A18" i="98"/>
  <c r="J17" i="98"/>
  <c r="A17" i="98"/>
  <c r="J16" i="98"/>
  <c r="A16" i="98"/>
  <c r="J15" i="98"/>
  <c r="A15" i="98"/>
  <c r="F14" i="98"/>
  <c r="E14" i="98"/>
  <c r="A14" i="98"/>
  <c r="F13" i="98"/>
  <c r="E13" i="98"/>
  <c r="A13" i="98"/>
  <c r="F12" i="98"/>
  <c r="E12" i="98"/>
  <c r="I11" i="98"/>
  <c r="F11" i="98"/>
  <c r="E11" i="98"/>
  <c r="J10" i="98"/>
  <c r="F10" i="98"/>
  <c r="E10" i="98"/>
  <c r="J9" i="98"/>
  <c r="F9" i="98"/>
  <c r="E9" i="98"/>
  <c r="A9" i="98"/>
  <c r="J8" i="98"/>
  <c r="F8" i="98"/>
  <c r="E8" i="98"/>
  <c r="A8" i="98"/>
  <c r="I7" i="98"/>
  <c r="F7" i="98"/>
  <c r="E7" i="98"/>
  <c r="A7" i="98"/>
  <c r="J6" i="98"/>
  <c r="F6" i="98"/>
  <c r="E6" i="98"/>
  <c r="J5" i="98"/>
  <c r="F5" i="98"/>
  <c r="E5" i="98"/>
  <c r="J4" i="98"/>
  <c r="I3" i="98"/>
  <c r="F3" i="98"/>
  <c r="E3" i="98"/>
  <c r="A1" i="98"/>
  <c r="A100" i="89" s="1"/>
  <c r="J43" i="97"/>
  <c r="E43" i="97"/>
  <c r="J42" i="97"/>
  <c r="E42" i="97"/>
  <c r="J41" i="97"/>
  <c r="E41" i="97"/>
  <c r="J40" i="97"/>
  <c r="E40" i="97"/>
  <c r="J39" i="97"/>
  <c r="E39" i="97"/>
  <c r="J38" i="97"/>
  <c r="J37" i="97"/>
  <c r="A37" i="97"/>
  <c r="J36" i="97"/>
  <c r="E36" i="97"/>
  <c r="A36" i="97"/>
  <c r="J35" i="97"/>
  <c r="E35" i="97"/>
  <c r="A35" i="97"/>
  <c r="J34" i="97"/>
  <c r="E34" i="97"/>
  <c r="A34" i="97"/>
  <c r="D33" i="97"/>
  <c r="A33" i="97"/>
  <c r="E32" i="97"/>
  <c r="A32" i="97"/>
  <c r="J31" i="97"/>
  <c r="E31" i="97"/>
  <c r="A31" i="97"/>
  <c r="J30" i="97"/>
  <c r="E30" i="97"/>
  <c r="A30" i="97"/>
  <c r="J29" i="97"/>
  <c r="D29" i="97"/>
  <c r="A29" i="97"/>
  <c r="J28" i="97"/>
  <c r="A28" i="97"/>
  <c r="J27" i="97"/>
  <c r="A27" i="97"/>
  <c r="J26" i="97"/>
  <c r="A26" i="97"/>
  <c r="J25" i="97"/>
  <c r="D25" i="97"/>
  <c r="A25" i="97"/>
  <c r="J24" i="97"/>
  <c r="A24" i="97"/>
  <c r="J23" i="97"/>
  <c r="A23" i="97"/>
  <c r="J22" i="97"/>
  <c r="A22" i="97"/>
  <c r="J21" i="97"/>
  <c r="F21" i="97"/>
  <c r="D21" i="97"/>
  <c r="A21" i="97"/>
  <c r="J20" i="97"/>
  <c r="F20" i="97"/>
  <c r="D20" i="97"/>
  <c r="A20" i="97"/>
  <c r="J19" i="97"/>
  <c r="F19" i="97"/>
  <c r="D19" i="97"/>
  <c r="A19" i="97"/>
  <c r="J18" i="97"/>
  <c r="F18" i="97"/>
  <c r="D18" i="97"/>
  <c r="A18" i="97"/>
  <c r="J17" i="97"/>
  <c r="A17" i="97"/>
  <c r="J16" i="97"/>
  <c r="A16" i="97"/>
  <c r="J15" i="97"/>
  <c r="A15" i="97"/>
  <c r="F14" i="97"/>
  <c r="E14" i="97"/>
  <c r="A14" i="97"/>
  <c r="F13" i="97"/>
  <c r="E13" i="97"/>
  <c r="A13" i="97"/>
  <c r="F12" i="97"/>
  <c r="E12" i="97"/>
  <c r="I11" i="97"/>
  <c r="F11" i="97"/>
  <c r="E11" i="97"/>
  <c r="J10" i="97"/>
  <c r="F10" i="97"/>
  <c r="E10" i="97"/>
  <c r="J9" i="97"/>
  <c r="F9" i="97"/>
  <c r="E9" i="97"/>
  <c r="A9" i="97"/>
  <c r="J8" i="97"/>
  <c r="F8" i="97"/>
  <c r="E8" i="97"/>
  <c r="A8" i="97"/>
  <c r="I7" i="97"/>
  <c r="F7" i="97"/>
  <c r="E7" i="97"/>
  <c r="A7" i="97"/>
  <c r="J6" i="97"/>
  <c r="F6" i="97"/>
  <c r="E6" i="97"/>
  <c r="J5" i="97"/>
  <c r="F5" i="97"/>
  <c r="E5" i="97"/>
  <c r="J4" i="97"/>
  <c r="I3" i="97"/>
  <c r="F3" i="97"/>
  <c r="E3" i="97"/>
  <c r="A1" i="97"/>
  <c r="A89" i="89" s="1"/>
  <c r="J43" i="96"/>
  <c r="E43" i="96"/>
  <c r="J42" i="96"/>
  <c r="E42" i="96"/>
  <c r="J41" i="96"/>
  <c r="E41" i="96"/>
  <c r="J40" i="96"/>
  <c r="E40" i="96"/>
  <c r="J39" i="96"/>
  <c r="E39" i="96"/>
  <c r="J38" i="96"/>
  <c r="J37" i="96"/>
  <c r="A37" i="96"/>
  <c r="J36" i="96"/>
  <c r="E36" i="96"/>
  <c r="A36" i="96"/>
  <c r="J35" i="96"/>
  <c r="E35" i="96"/>
  <c r="A35" i="96"/>
  <c r="J34" i="96"/>
  <c r="E34" i="96"/>
  <c r="A34" i="96"/>
  <c r="D33" i="96"/>
  <c r="A33" i="96"/>
  <c r="E32" i="96"/>
  <c r="A32" i="96"/>
  <c r="J31" i="96"/>
  <c r="E31" i="96"/>
  <c r="A31" i="96"/>
  <c r="J30" i="96"/>
  <c r="E30" i="96"/>
  <c r="A30" i="96"/>
  <c r="J29" i="96"/>
  <c r="D29" i="96"/>
  <c r="A29" i="96"/>
  <c r="J28" i="96"/>
  <c r="A28" i="96"/>
  <c r="J27" i="96"/>
  <c r="A27" i="96"/>
  <c r="J26" i="96"/>
  <c r="A26" i="96"/>
  <c r="J25" i="96"/>
  <c r="D25" i="96"/>
  <c r="A25" i="96"/>
  <c r="J24" i="96"/>
  <c r="A24" i="96"/>
  <c r="J23" i="96"/>
  <c r="A23" i="96"/>
  <c r="J22" i="96"/>
  <c r="A22" i="96"/>
  <c r="J21" i="96"/>
  <c r="F21" i="96"/>
  <c r="D21" i="96"/>
  <c r="A21" i="96"/>
  <c r="J20" i="96"/>
  <c r="F20" i="96"/>
  <c r="D20" i="96"/>
  <c r="A20" i="96"/>
  <c r="J19" i="96"/>
  <c r="F19" i="96"/>
  <c r="D19" i="96"/>
  <c r="A19" i="96"/>
  <c r="J18" i="96"/>
  <c r="F18" i="96"/>
  <c r="D18" i="96"/>
  <c r="A18" i="96"/>
  <c r="J17" i="96"/>
  <c r="A17" i="96"/>
  <c r="J16" i="96"/>
  <c r="A16" i="96"/>
  <c r="J15" i="96"/>
  <c r="A15" i="96"/>
  <c r="F14" i="96"/>
  <c r="E14" i="96"/>
  <c r="A14" i="96"/>
  <c r="F13" i="96"/>
  <c r="E13" i="96"/>
  <c r="A13" i="96"/>
  <c r="F12" i="96"/>
  <c r="E12" i="96"/>
  <c r="I11" i="96"/>
  <c r="F11" i="96"/>
  <c r="E11" i="96"/>
  <c r="J10" i="96"/>
  <c r="F10" i="96"/>
  <c r="E10" i="96"/>
  <c r="J9" i="96"/>
  <c r="F9" i="96"/>
  <c r="E9" i="96"/>
  <c r="A9" i="96"/>
  <c r="J8" i="96"/>
  <c r="F8" i="96"/>
  <c r="E8" i="96"/>
  <c r="A8" i="96"/>
  <c r="I7" i="96"/>
  <c r="F7" i="96"/>
  <c r="E7" i="96"/>
  <c r="A7" i="96"/>
  <c r="J6" i="96"/>
  <c r="F6" i="96"/>
  <c r="E6" i="96"/>
  <c r="J5" i="96"/>
  <c r="F5" i="96"/>
  <c r="E5" i="96"/>
  <c r="J4" i="96"/>
  <c r="I3" i="96"/>
  <c r="F3" i="96"/>
  <c r="E3" i="96"/>
  <c r="A1" i="96"/>
  <c r="A78" i="89" s="1"/>
  <c r="J43" i="95"/>
  <c r="E43" i="95"/>
  <c r="J42" i="95"/>
  <c r="E42" i="95"/>
  <c r="J41" i="95"/>
  <c r="E41" i="95"/>
  <c r="J40" i="95"/>
  <c r="E40" i="95"/>
  <c r="J39" i="95"/>
  <c r="E39" i="95"/>
  <c r="J38" i="95"/>
  <c r="J37" i="95"/>
  <c r="A37" i="95"/>
  <c r="J36" i="95"/>
  <c r="E36" i="95"/>
  <c r="A36" i="95"/>
  <c r="J35" i="95"/>
  <c r="E35" i="95"/>
  <c r="A35" i="95"/>
  <c r="J34" i="95"/>
  <c r="E34" i="95"/>
  <c r="A34" i="95"/>
  <c r="D33" i="95"/>
  <c r="A33" i="95"/>
  <c r="E32" i="95"/>
  <c r="A32" i="95"/>
  <c r="J31" i="95"/>
  <c r="E31" i="95"/>
  <c r="A31" i="95"/>
  <c r="J30" i="95"/>
  <c r="E30" i="95"/>
  <c r="A30" i="95"/>
  <c r="J29" i="95"/>
  <c r="D29" i="95"/>
  <c r="A29" i="95"/>
  <c r="J28" i="95"/>
  <c r="A28" i="95"/>
  <c r="J27" i="95"/>
  <c r="A27" i="95"/>
  <c r="J26" i="95"/>
  <c r="A26" i="95"/>
  <c r="J25" i="95"/>
  <c r="D25" i="95"/>
  <c r="A25" i="95"/>
  <c r="J24" i="95"/>
  <c r="A24" i="95"/>
  <c r="J23" i="95"/>
  <c r="A23" i="95"/>
  <c r="J22" i="95"/>
  <c r="A22" i="95"/>
  <c r="J21" i="95"/>
  <c r="F21" i="95"/>
  <c r="D21" i="95"/>
  <c r="A21" i="95"/>
  <c r="J20" i="95"/>
  <c r="F20" i="95"/>
  <c r="D20" i="95"/>
  <c r="A20" i="95"/>
  <c r="J19" i="95"/>
  <c r="F19" i="95"/>
  <c r="D19" i="95"/>
  <c r="A19" i="95"/>
  <c r="J18" i="95"/>
  <c r="F18" i="95"/>
  <c r="D18" i="95"/>
  <c r="A18" i="95"/>
  <c r="J17" i="95"/>
  <c r="A17" i="95"/>
  <c r="J16" i="95"/>
  <c r="A16" i="95"/>
  <c r="J15" i="95"/>
  <c r="A15" i="95"/>
  <c r="F14" i="95"/>
  <c r="E14" i="95"/>
  <c r="A14" i="95"/>
  <c r="F13" i="95"/>
  <c r="E13" i="95"/>
  <c r="A13" i="95"/>
  <c r="F12" i="95"/>
  <c r="E12" i="95"/>
  <c r="I11" i="95"/>
  <c r="F11" i="95"/>
  <c r="E11" i="95"/>
  <c r="J10" i="95"/>
  <c r="F10" i="95"/>
  <c r="E10" i="95"/>
  <c r="J9" i="95"/>
  <c r="F9" i="95"/>
  <c r="E9" i="95"/>
  <c r="A9" i="95"/>
  <c r="J8" i="95"/>
  <c r="F8" i="95"/>
  <c r="E8" i="95"/>
  <c r="A8" i="95"/>
  <c r="I7" i="95"/>
  <c r="F7" i="95"/>
  <c r="E7" i="95"/>
  <c r="A7" i="95"/>
  <c r="J6" i="95"/>
  <c r="F6" i="95"/>
  <c r="E6" i="95"/>
  <c r="J5" i="95"/>
  <c r="F5" i="95"/>
  <c r="E5" i="95"/>
  <c r="J4" i="95"/>
  <c r="I3" i="95"/>
  <c r="F3" i="95"/>
  <c r="E3" i="95"/>
  <c r="A1" i="95"/>
  <c r="A67" i="89" s="1"/>
  <c r="J43" i="94"/>
  <c r="E43" i="94"/>
  <c r="J42" i="94"/>
  <c r="E42" i="94"/>
  <c r="J41" i="94"/>
  <c r="E41" i="94"/>
  <c r="J40" i="94"/>
  <c r="E40" i="94"/>
  <c r="J39" i="94"/>
  <c r="E39" i="94"/>
  <c r="J38" i="94"/>
  <c r="J37" i="94"/>
  <c r="A37" i="94"/>
  <c r="J36" i="94"/>
  <c r="E36" i="94"/>
  <c r="A36" i="94"/>
  <c r="J35" i="94"/>
  <c r="E35" i="94"/>
  <c r="A35" i="94"/>
  <c r="J34" i="94"/>
  <c r="E34" i="94"/>
  <c r="A34" i="94"/>
  <c r="D33" i="94"/>
  <c r="A33" i="94"/>
  <c r="E32" i="94"/>
  <c r="A32" i="94"/>
  <c r="J31" i="94"/>
  <c r="E31" i="94"/>
  <c r="A31" i="94"/>
  <c r="J30" i="94"/>
  <c r="E30" i="94"/>
  <c r="A30" i="94"/>
  <c r="J29" i="94"/>
  <c r="D29" i="94"/>
  <c r="A29" i="94"/>
  <c r="J28" i="94"/>
  <c r="A28" i="94"/>
  <c r="J27" i="94"/>
  <c r="A27" i="94"/>
  <c r="J26" i="94"/>
  <c r="A26" i="94"/>
  <c r="J25" i="94"/>
  <c r="D25" i="94"/>
  <c r="A25" i="94"/>
  <c r="J24" i="94"/>
  <c r="A24" i="94"/>
  <c r="J23" i="94"/>
  <c r="A23" i="94"/>
  <c r="J22" i="94"/>
  <c r="A22" i="94"/>
  <c r="J21" i="94"/>
  <c r="F21" i="94"/>
  <c r="D21" i="94"/>
  <c r="A21" i="94"/>
  <c r="J20" i="94"/>
  <c r="F20" i="94"/>
  <c r="D20" i="94"/>
  <c r="A20" i="94"/>
  <c r="J19" i="94"/>
  <c r="F19" i="94"/>
  <c r="D19" i="94"/>
  <c r="A19" i="94"/>
  <c r="J18" i="94"/>
  <c r="F18" i="94"/>
  <c r="D18" i="94"/>
  <c r="A18" i="94"/>
  <c r="J17" i="94"/>
  <c r="A17" i="94"/>
  <c r="J16" i="94"/>
  <c r="A16" i="94"/>
  <c r="J15" i="94"/>
  <c r="A15" i="94"/>
  <c r="F14" i="94"/>
  <c r="E14" i="94"/>
  <c r="A14" i="94"/>
  <c r="F13" i="94"/>
  <c r="E13" i="94"/>
  <c r="A13" i="94"/>
  <c r="F12" i="94"/>
  <c r="E12" i="94"/>
  <c r="I11" i="94"/>
  <c r="F11" i="94"/>
  <c r="E11" i="94"/>
  <c r="J10" i="94"/>
  <c r="F10" i="94"/>
  <c r="E10" i="94"/>
  <c r="J9" i="94"/>
  <c r="F9" i="94"/>
  <c r="E9" i="94"/>
  <c r="A9" i="94"/>
  <c r="J8" i="94"/>
  <c r="F8" i="94"/>
  <c r="E8" i="94"/>
  <c r="A8" i="94"/>
  <c r="I7" i="94"/>
  <c r="F7" i="94"/>
  <c r="E7" i="94"/>
  <c r="A7" i="94"/>
  <c r="J6" i="94"/>
  <c r="F6" i="94"/>
  <c r="E6" i="94"/>
  <c r="J5" i="94"/>
  <c r="F5" i="94"/>
  <c r="E5" i="94"/>
  <c r="J4" i="94"/>
  <c r="I3" i="94"/>
  <c r="F3" i="94"/>
  <c r="E3" i="94"/>
  <c r="A1" i="94"/>
  <c r="A56" i="89" s="1"/>
  <c r="J43" i="93"/>
  <c r="E43" i="93"/>
  <c r="J42" i="93"/>
  <c r="E42" i="93"/>
  <c r="J41" i="93"/>
  <c r="E41" i="93"/>
  <c r="J40" i="93"/>
  <c r="E40" i="93"/>
  <c r="J39" i="93"/>
  <c r="E39" i="93"/>
  <c r="J38" i="93"/>
  <c r="J37" i="93"/>
  <c r="A37" i="93"/>
  <c r="J36" i="93"/>
  <c r="E36" i="93"/>
  <c r="A36" i="93"/>
  <c r="J35" i="93"/>
  <c r="E35" i="93"/>
  <c r="A35" i="93"/>
  <c r="J34" i="93"/>
  <c r="E34" i="93"/>
  <c r="A34" i="93"/>
  <c r="D33" i="93"/>
  <c r="A33" i="93"/>
  <c r="E32" i="93"/>
  <c r="A32" i="93"/>
  <c r="J31" i="93"/>
  <c r="E31" i="93"/>
  <c r="A31" i="93"/>
  <c r="J30" i="93"/>
  <c r="E30" i="93"/>
  <c r="A30" i="93"/>
  <c r="J29" i="93"/>
  <c r="D29" i="93"/>
  <c r="A29" i="93"/>
  <c r="J28" i="93"/>
  <c r="A28" i="93"/>
  <c r="J27" i="93"/>
  <c r="A27" i="93"/>
  <c r="J26" i="93"/>
  <c r="A26" i="93"/>
  <c r="J25" i="93"/>
  <c r="D25" i="93"/>
  <c r="A25" i="93"/>
  <c r="J24" i="93"/>
  <c r="A24" i="93"/>
  <c r="J23" i="93"/>
  <c r="A23" i="93"/>
  <c r="J22" i="93"/>
  <c r="A22" i="93"/>
  <c r="J21" i="93"/>
  <c r="F21" i="93"/>
  <c r="D21" i="93"/>
  <c r="A21" i="93"/>
  <c r="J20" i="93"/>
  <c r="F20" i="93"/>
  <c r="D20" i="93"/>
  <c r="A20" i="93"/>
  <c r="J19" i="93"/>
  <c r="F19" i="93"/>
  <c r="D19" i="93"/>
  <c r="A19" i="93"/>
  <c r="J18" i="93"/>
  <c r="F18" i="93"/>
  <c r="D18" i="93"/>
  <c r="A18" i="93"/>
  <c r="J17" i="93"/>
  <c r="A17" i="93"/>
  <c r="J16" i="93"/>
  <c r="A16" i="93"/>
  <c r="J15" i="93"/>
  <c r="A15" i="93"/>
  <c r="F14" i="93"/>
  <c r="E14" i="93"/>
  <c r="A14" i="93"/>
  <c r="F13" i="93"/>
  <c r="E13" i="93"/>
  <c r="A13" i="93"/>
  <c r="F12" i="93"/>
  <c r="E12" i="93"/>
  <c r="I11" i="93"/>
  <c r="F11" i="93"/>
  <c r="E11" i="93"/>
  <c r="J10" i="93"/>
  <c r="F10" i="93"/>
  <c r="E10" i="93"/>
  <c r="J9" i="93"/>
  <c r="F9" i="93"/>
  <c r="E9" i="93"/>
  <c r="A9" i="93"/>
  <c r="J8" i="93"/>
  <c r="F8" i="93"/>
  <c r="E8" i="93"/>
  <c r="A8" i="93"/>
  <c r="I7" i="93"/>
  <c r="F7" i="93"/>
  <c r="E7" i="93"/>
  <c r="A7" i="93"/>
  <c r="J6" i="93"/>
  <c r="F6" i="93"/>
  <c r="E6" i="93"/>
  <c r="J5" i="93"/>
  <c r="F5" i="93"/>
  <c r="E5" i="93"/>
  <c r="J4" i="93"/>
  <c r="I3" i="93"/>
  <c r="F3" i="93"/>
  <c r="E3" i="93"/>
  <c r="A1" i="93"/>
  <c r="A45" i="89" s="1"/>
  <c r="J43" i="92"/>
  <c r="E43" i="92"/>
  <c r="J42" i="92"/>
  <c r="E42" i="92"/>
  <c r="J41" i="92"/>
  <c r="E41" i="92"/>
  <c r="J40" i="92"/>
  <c r="E40" i="92"/>
  <c r="J39" i="92"/>
  <c r="E39" i="92"/>
  <c r="J38" i="92"/>
  <c r="J37" i="92"/>
  <c r="A37" i="92"/>
  <c r="J36" i="92"/>
  <c r="E36" i="92"/>
  <c r="A36" i="92"/>
  <c r="J35" i="92"/>
  <c r="E35" i="92"/>
  <c r="A35" i="92"/>
  <c r="J34" i="92"/>
  <c r="E34" i="92"/>
  <c r="A34" i="92"/>
  <c r="D33" i="92"/>
  <c r="A33" i="92"/>
  <c r="E32" i="92"/>
  <c r="A32" i="92"/>
  <c r="J31" i="92"/>
  <c r="E31" i="92"/>
  <c r="A31" i="92"/>
  <c r="J30" i="92"/>
  <c r="E30" i="92"/>
  <c r="A30" i="92"/>
  <c r="J29" i="92"/>
  <c r="D29" i="92"/>
  <c r="A29" i="92"/>
  <c r="J28" i="92"/>
  <c r="A28" i="92"/>
  <c r="J27" i="92"/>
  <c r="A27" i="92"/>
  <c r="J26" i="92"/>
  <c r="A26" i="92"/>
  <c r="J25" i="92"/>
  <c r="D25" i="92"/>
  <c r="A25" i="92"/>
  <c r="J24" i="92"/>
  <c r="A24" i="92"/>
  <c r="J23" i="92"/>
  <c r="A23" i="92"/>
  <c r="J22" i="92"/>
  <c r="A22" i="92"/>
  <c r="J21" i="92"/>
  <c r="F21" i="92"/>
  <c r="D21" i="92"/>
  <c r="A21" i="92"/>
  <c r="J20" i="92"/>
  <c r="F20" i="92"/>
  <c r="D20" i="92"/>
  <c r="A20" i="92"/>
  <c r="J19" i="92"/>
  <c r="F19" i="92"/>
  <c r="D19" i="92"/>
  <c r="A19" i="92"/>
  <c r="J18" i="92"/>
  <c r="F18" i="92"/>
  <c r="D18" i="92"/>
  <c r="A18" i="92"/>
  <c r="J17" i="92"/>
  <c r="A17" i="92"/>
  <c r="J16" i="92"/>
  <c r="A16" i="92"/>
  <c r="J15" i="92"/>
  <c r="A15" i="92"/>
  <c r="F14" i="92"/>
  <c r="E14" i="92"/>
  <c r="A14" i="92"/>
  <c r="F13" i="92"/>
  <c r="E13" i="92"/>
  <c r="A13" i="92"/>
  <c r="F12" i="92"/>
  <c r="E12" i="92"/>
  <c r="I11" i="92"/>
  <c r="F11" i="92"/>
  <c r="E11" i="92"/>
  <c r="J10" i="92"/>
  <c r="F10" i="92"/>
  <c r="E10" i="92"/>
  <c r="J9" i="92"/>
  <c r="F9" i="92"/>
  <c r="E9" i="92"/>
  <c r="A9" i="92"/>
  <c r="J8" i="92"/>
  <c r="F8" i="92"/>
  <c r="E8" i="92"/>
  <c r="A8" i="92"/>
  <c r="I7" i="92"/>
  <c r="F7" i="92"/>
  <c r="E7" i="92"/>
  <c r="A7" i="92"/>
  <c r="J6" i="92"/>
  <c r="F6" i="92"/>
  <c r="E6" i="92"/>
  <c r="J5" i="92"/>
  <c r="F5" i="92"/>
  <c r="E5" i="92"/>
  <c r="J4" i="92"/>
  <c r="I3" i="92"/>
  <c r="F3" i="92"/>
  <c r="E3" i="92"/>
  <c r="A1" i="92"/>
  <c r="A34" i="89" s="1"/>
  <c r="J43" i="91"/>
  <c r="E43" i="91"/>
  <c r="J42" i="91"/>
  <c r="E42" i="91"/>
  <c r="J41" i="91"/>
  <c r="E41" i="91"/>
  <c r="J40" i="91"/>
  <c r="E40" i="91"/>
  <c r="J39" i="91"/>
  <c r="E39" i="91"/>
  <c r="J38" i="91"/>
  <c r="J37" i="91"/>
  <c r="A37" i="91"/>
  <c r="J36" i="91"/>
  <c r="E36" i="91"/>
  <c r="A36" i="91"/>
  <c r="J35" i="91"/>
  <c r="E35" i="91"/>
  <c r="A35" i="91"/>
  <c r="J34" i="91"/>
  <c r="E34" i="91"/>
  <c r="A34" i="91"/>
  <c r="D33" i="91"/>
  <c r="A33" i="91"/>
  <c r="E32" i="91"/>
  <c r="A32" i="91"/>
  <c r="J31" i="91"/>
  <c r="E31" i="91"/>
  <c r="A31" i="91"/>
  <c r="J30" i="91"/>
  <c r="E30" i="91"/>
  <c r="A30" i="91"/>
  <c r="J29" i="91"/>
  <c r="D29" i="91"/>
  <c r="A29" i="91"/>
  <c r="J28" i="91"/>
  <c r="A28" i="91"/>
  <c r="J27" i="91"/>
  <c r="A27" i="91"/>
  <c r="J26" i="91"/>
  <c r="A26" i="91"/>
  <c r="J25" i="91"/>
  <c r="D25" i="91"/>
  <c r="A25" i="91"/>
  <c r="J24" i="91"/>
  <c r="A24" i="91"/>
  <c r="J23" i="91"/>
  <c r="A23" i="91"/>
  <c r="J22" i="91"/>
  <c r="A22" i="91"/>
  <c r="J21" i="91"/>
  <c r="F21" i="91"/>
  <c r="D21" i="91"/>
  <c r="A21" i="91"/>
  <c r="J20" i="91"/>
  <c r="F20" i="91"/>
  <c r="D20" i="91"/>
  <c r="A20" i="91"/>
  <c r="J19" i="91"/>
  <c r="F19" i="91"/>
  <c r="D19" i="91"/>
  <c r="A19" i="91"/>
  <c r="J18" i="91"/>
  <c r="F18" i="91"/>
  <c r="D18" i="91"/>
  <c r="A18" i="91"/>
  <c r="J17" i="91"/>
  <c r="A17" i="91"/>
  <c r="J16" i="91"/>
  <c r="A16" i="91"/>
  <c r="J15" i="91"/>
  <c r="A15" i="91"/>
  <c r="F14" i="91"/>
  <c r="E14" i="91"/>
  <c r="A14" i="91"/>
  <c r="F13" i="91"/>
  <c r="E13" i="91"/>
  <c r="A13" i="91"/>
  <c r="F12" i="91"/>
  <c r="E12" i="91"/>
  <c r="I11" i="91"/>
  <c r="F11" i="91"/>
  <c r="E11" i="91"/>
  <c r="J10" i="91"/>
  <c r="F10" i="91"/>
  <c r="E10" i="91"/>
  <c r="J9" i="91"/>
  <c r="F9" i="91"/>
  <c r="E9" i="91"/>
  <c r="A9" i="91"/>
  <c r="J8" i="91"/>
  <c r="F8" i="91"/>
  <c r="E8" i="91"/>
  <c r="A8" i="91"/>
  <c r="I7" i="91"/>
  <c r="F7" i="91"/>
  <c r="E7" i="91"/>
  <c r="A7" i="91"/>
  <c r="J6" i="91"/>
  <c r="F6" i="91"/>
  <c r="E6" i="91"/>
  <c r="J5" i="91"/>
  <c r="F5" i="91"/>
  <c r="E5" i="91"/>
  <c r="J4" i="91"/>
  <c r="I3" i="91"/>
  <c r="F3" i="91"/>
  <c r="E3" i="91"/>
  <c r="A1" i="91"/>
  <c r="A23" i="89" s="1"/>
  <c r="J43" i="90"/>
  <c r="E43" i="90"/>
  <c r="J42" i="90"/>
  <c r="E42" i="90"/>
  <c r="J41" i="90"/>
  <c r="E41" i="90"/>
  <c r="J40" i="90"/>
  <c r="E40" i="90"/>
  <c r="J39" i="90"/>
  <c r="E39" i="90"/>
  <c r="J38" i="90"/>
  <c r="J37" i="90"/>
  <c r="A37" i="90"/>
  <c r="J36" i="90"/>
  <c r="E36" i="90"/>
  <c r="A36" i="90"/>
  <c r="J35" i="90"/>
  <c r="E35" i="90"/>
  <c r="A35" i="90"/>
  <c r="J34" i="90"/>
  <c r="E34" i="90"/>
  <c r="A34" i="90"/>
  <c r="D33" i="90"/>
  <c r="A33" i="90"/>
  <c r="E32" i="90"/>
  <c r="A32" i="90"/>
  <c r="J31" i="90"/>
  <c r="E31" i="90"/>
  <c r="A31" i="90"/>
  <c r="J30" i="90"/>
  <c r="E30" i="90"/>
  <c r="A30" i="90"/>
  <c r="J29" i="90"/>
  <c r="D29" i="90"/>
  <c r="A29" i="90"/>
  <c r="J28" i="90"/>
  <c r="A28" i="90"/>
  <c r="J27" i="90"/>
  <c r="A27" i="90"/>
  <c r="J26" i="90"/>
  <c r="A26" i="90"/>
  <c r="J25" i="90"/>
  <c r="D25" i="90"/>
  <c r="A25" i="90"/>
  <c r="J24" i="90"/>
  <c r="A24" i="90"/>
  <c r="J23" i="90"/>
  <c r="A23" i="90"/>
  <c r="J22" i="90"/>
  <c r="A22" i="90"/>
  <c r="J21" i="90"/>
  <c r="F21" i="90"/>
  <c r="D21" i="90"/>
  <c r="A21" i="90"/>
  <c r="J20" i="90"/>
  <c r="F20" i="90"/>
  <c r="D20" i="90"/>
  <c r="A20" i="90"/>
  <c r="J19" i="90"/>
  <c r="F19" i="90"/>
  <c r="D19" i="90"/>
  <c r="A19" i="90"/>
  <c r="J18" i="90"/>
  <c r="F18" i="90"/>
  <c r="D18" i="90"/>
  <c r="A18" i="90"/>
  <c r="J17" i="90"/>
  <c r="A17" i="90"/>
  <c r="J16" i="90"/>
  <c r="A16" i="90"/>
  <c r="J15" i="90"/>
  <c r="A15" i="90"/>
  <c r="F14" i="90"/>
  <c r="E14" i="90"/>
  <c r="A14" i="90"/>
  <c r="F13" i="90"/>
  <c r="E13" i="90"/>
  <c r="A13" i="90"/>
  <c r="F12" i="90"/>
  <c r="E12" i="90"/>
  <c r="I11" i="90"/>
  <c r="F11" i="90"/>
  <c r="E11" i="90"/>
  <c r="J10" i="90"/>
  <c r="F10" i="90"/>
  <c r="E10" i="90"/>
  <c r="J9" i="90"/>
  <c r="F9" i="90"/>
  <c r="E9" i="90"/>
  <c r="A9" i="90"/>
  <c r="J8" i="90"/>
  <c r="F8" i="90"/>
  <c r="E8" i="90"/>
  <c r="A8" i="90"/>
  <c r="I7" i="90"/>
  <c r="F7" i="90"/>
  <c r="E7" i="90"/>
  <c r="A7" i="90"/>
  <c r="J6" i="90"/>
  <c r="F6" i="90"/>
  <c r="E6" i="90"/>
  <c r="J5" i="90"/>
  <c r="F5" i="90"/>
  <c r="E5" i="90"/>
  <c r="J4" i="90"/>
  <c r="I3" i="90"/>
  <c r="F3" i="90"/>
  <c r="E3" i="90"/>
  <c r="A1" i="90"/>
  <c r="A12" i="89" s="1"/>
  <c r="K29" i="17"/>
  <c r="K26" i="17"/>
  <c r="K25" i="17"/>
  <c r="J31" i="17"/>
  <c r="J30" i="17"/>
  <c r="J29" i="17"/>
  <c r="J28" i="17"/>
  <c r="J27" i="17"/>
  <c r="J26" i="17"/>
  <c r="J25" i="17"/>
  <c r="K24" i="17"/>
  <c r="K23" i="17"/>
  <c r="K22" i="17"/>
  <c r="K21" i="17"/>
  <c r="K16" i="17"/>
  <c r="K17" i="17"/>
  <c r="K18" i="17"/>
  <c r="K19" i="17"/>
  <c r="K20" i="17"/>
  <c r="J24" i="17"/>
  <c r="J23" i="17"/>
  <c r="J22" i="17"/>
  <c r="J21" i="17"/>
  <c r="J16" i="17"/>
  <c r="J17" i="17"/>
  <c r="J18" i="17"/>
  <c r="J19" i="17"/>
  <c r="J20" i="17"/>
  <c r="J15" i="17"/>
  <c r="I7" i="17"/>
  <c r="I3" i="17"/>
  <c r="F21" i="17"/>
  <c r="F20" i="17"/>
  <c r="F19" i="17"/>
  <c r="F18" i="17"/>
  <c r="D21" i="17"/>
  <c r="D20" i="17"/>
  <c r="D19" i="17"/>
  <c r="D18" i="17"/>
  <c r="E6" i="17"/>
  <c r="F6" i="17"/>
  <c r="E7" i="17"/>
  <c r="F7" i="17"/>
  <c r="E8" i="17"/>
  <c r="F8" i="17"/>
  <c r="E9" i="17"/>
  <c r="F9" i="17"/>
  <c r="E10" i="17"/>
  <c r="F10" i="17"/>
  <c r="E11" i="17"/>
  <c r="F11" i="17"/>
  <c r="E12" i="17"/>
  <c r="F12" i="17"/>
  <c r="E13" i="17"/>
  <c r="F13" i="17"/>
  <c r="E14" i="17"/>
  <c r="F14" i="17"/>
  <c r="F5" i="17"/>
  <c r="E5" i="17"/>
  <c r="F3" i="17"/>
  <c r="E3" i="17"/>
  <c r="E43" i="12"/>
  <c r="F43" i="12"/>
  <c r="G43" i="12"/>
  <c r="H43" i="12"/>
  <c r="I43" i="12"/>
  <c r="J43" i="12"/>
  <c r="K43" i="12"/>
  <c r="L43" i="12"/>
  <c r="M43" i="12"/>
  <c r="N43" i="12"/>
  <c r="O43" i="12"/>
  <c r="P43" i="12"/>
  <c r="Q43" i="12"/>
  <c r="R43" i="12"/>
  <c r="K31" i="103" s="1"/>
  <c r="D43" i="12"/>
  <c r="K31" i="17" s="1"/>
  <c r="B50" i="19"/>
  <c r="C28" i="20" s="1"/>
  <c r="A52" i="19"/>
  <c r="B30" i="20" s="1"/>
  <c r="A51" i="19"/>
  <c r="B29" i="20" s="1"/>
  <c r="A50" i="19"/>
  <c r="B28" i="20" s="1"/>
  <c r="A48" i="19"/>
  <c r="B26" i="20" s="1"/>
  <c r="A49" i="19"/>
  <c r="B27" i="20" s="1"/>
  <c r="A20" i="19"/>
  <c r="A19" i="19"/>
  <c r="A18" i="19"/>
  <c r="E38" i="3"/>
  <c r="G21" i="90" s="1"/>
  <c r="F38" i="3"/>
  <c r="G21" i="91" s="1"/>
  <c r="G38" i="3"/>
  <c r="G21" i="92" s="1"/>
  <c r="H38" i="3"/>
  <c r="G21" i="93" s="1"/>
  <c r="I38" i="3"/>
  <c r="G21" i="94" s="1"/>
  <c r="J38" i="3"/>
  <c r="G21" i="95" s="1"/>
  <c r="K38" i="3"/>
  <c r="L38" i="3"/>
  <c r="G21" i="97" s="1"/>
  <c r="M38" i="3"/>
  <c r="G21" i="98" s="1"/>
  <c r="N38" i="3"/>
  <c r="G21" i="99" s="1"/>
  <c r="O38" i="3"/>
  <c r="G21" i="100" s="1"/>
  <c r="P38" i="3"/>
  <c r="G21" i="101" s="1"/>
  <c r="Q38" i="3"/>
  <c r="G21" i="102" s="1"/>
  <c r="R38" i="3"/>
  <c r="G21" i="103" s="1"/>
  <c r="D38" i="3"/>
  <c r="G21" i="17" s="1"/>
  <c r="E33" i="3"/>
  <c r="G20" i="90" s="1"/>
  <c r="F33" i="3"/>
  <c r="G20" i="91" s="1"/>
  <c r="G33" i="3"/>
  <c r="G20" i="92" s="1"/>
  <c r="H33" i="3"/>
  <c r="G20" i="93" s="1"/>
  <c r="I33" i="3"/>
  <c r="G20" i="94" s="1"/>
  <c r="J33" i="3"/>
  <c r="G20" i="95" s="1"/>
  <c r="K33" i="3"/>
  <c r="L33" i="3"/>
  <c r="G20" i="97" s="1"/>
  <c r="M33" i="3"/>
  <c r="G20" i="98" s="1"/>
  <c r="N33" i="3"/>
  <c r="G20" i="99" s="1"/>
  <c r="O33" i="3"/>
  <c r="G20" i="100" s="1"/>
  <c r="P33" i="3"/>
  <c r="G20" i="101" s="1"/>
  <c r="Q33" i="3"/>
  <c r="G20" i="102" s="1"/>
  <c r="R33" i="3"/>
  <c r="G20" i="103" s="1"/>
  <c r="D33" i="3"/>
  <c r="G20" i="17" s="1"/>
  <c r="E28" i="3"/>
  <c r="G19" i="90" s="1"/>
  <c r="F28" i="3"/>
  <c r="G19" i="91" s="1"/>
  <c r="G28" i="3"/>
  <c r="G19" i="92" s="1"/>
  <c r="H28" i="3"/>
  <c r="G19" i="93" s="1"/>
  <c r="I28" i="3"/>
  <c r="G19" i="94" s="1"/>
  <c r="J28" i="3"/>
  <c r="G19" i="95" s="1"/>
  <c r="K28" i="3"/>
  <c r="L28" i="3"/>
  <c r="G19" i="97" s="1"/>
  <c r="M28" i="3"/>
  <c r="G19" i="98" s="1"/>
  <c r="N28" i="3"/>
  <c r="G19" i="99" s="1"/>
  <c r="O28" i="3"/>
  <c r="G19" i="100" s="1"/>
  <c r="P28" i="3"/>
  <c r="G19" i="101" s="1"/>
  <c r="Q28" i="3"/>
  <c r="G19" i="102" s="1"/>
  <c r="R28" i="3"/>
  <c r="G19" i="103" s="1"/>
  <c r="D28" i="3"/>
  <c r="G19" i="17" s="1"/>
  <c r="E23" i="3"/>
  <c r="G18" i="90" s="1"/>
  <c r="F23" i="3"/>
  <c r="G18" i="91" s="1"/>
  <c r="G23" i="3"/>
  <c r="G18" i="92" s="1"/>
  <c r="H23" i="3"/>
  <c r="G18" i="93" s="1"/>
  <c r="I23" i="3"/>
  <c r="G18" i="94" s="1"/>
  <c r="J23" i="3"/>
  <c r="G18" i="95" s="1"/>
  <c r="K23" i="3"/>
  <c r="L23" i="3"/>
  <c r="G18" i="97" s="1"/>
  <c r="M23" i="3"/>
  <c r="G18" i="98" s="1"/>
  <c r="N23" i="3"/>
  <c r="G18" i="99" s="1"/>
  <c r="O23" i="3"/>
  <c r="G18" i="100" s="1"/>
  <c r="P23" i="3"/>
  <c r="G18" i="101" s="1"/>
  <c r="Q23" i="3"/>
  <c r="G18" i="102" s="1"/>
  <c r="R23" i="3"/>
  <c r="G18" i="103" s="1"/>
  <c r="D23" i="3"/>
  <c r="G18" i="17" s="1"/>
  <c r="A17" i="19"/>
  <c r="B48" i="19"/>
  <c r="B49" i="19"/>
  <c r="AD19" i="19" l="1"/>
  <c r="G20" i="96"/>
  <c r="AD18" i="19"/>
  <c r="G19" i="96"/>
  <c r="AD17" i="19"/>
  <c r="G18" i="96"/>
  <c r="AD20" i="19"/>
  <c r="G21" i="96"/>
  <c r="C26" i="20"/>
  <c r="B5" i="94"/>
  <c r="B5" i="102"/>
  <c r="B5" i="90"/>
  <c r="B5" i="100"/>
  <c r="B5" i="98"/>
  <c r="B5" i="91"/>
  <c r="B5" i="101"/>
  <c r="B5" i="97"/>
  <c r="B5" i="93"/>
  <c r="B5" i="92"/>
  <c r="B5" i="103"/>
  <c r="B5" i="99"/>
  <c r="B5" i="95"/>
  <c r="K31" i="99"/>
  <c r="V52" i="19"/>
  <c r="N52" i="19"/>
  <c r="K31" i="95"/>
  <c r="K31" i="91"/>
  <c r="F52" i="19"/>
  <c r="C27" i="20"/>
  <c r="AB52" i="19"/>
  <c r="K31" i="102"/>
  <c r="T52" i="19"/>
  <c r="K31" i="98"/>
  <c r="K31" i="94"/>
  <c r="L52" i="19"/>
  <c r="K31" i="90"/>
  <c r="D52" i="19"/>
  <c r="Z52" i="19"/>
  <c r="K31" i="101"/>
  <c r="R52" i="19"/>
  <c r="K31" i="97"/>
  <c r="J52" i="19"/>
  <c r="K31" i="93"/>
  <c r="K31" i="100"/>
  <c r="X52" i="19"/>
  <c r="AD52" i="19"/>
  <c r="K31" i="96"/>
  <c r="P52" i="19"/>
  <c r="H52" i="19"/>
  <c r="K31" i="92"/>
  <c r="B52" i="19"/>
  <c r="J1" i="7"/>
  <c r="R1" i="7"/>
  <c r="H1" i="37"/>
  <c r="K1" i="37"/>
  <c r="O1" i="12"/>
  <c r="O1" i="37"/>
  <c r="G1" i="37"/>
  <c r="P1" i="37"/>
  <c r="G1" i="12"/>
  <c r="E1" i="37"/>
  <c r="I1" i="37"/>
  <c r="M1" i="37"/>
  <c r="Q1" i="37"/>
  <c r="L1" i="37"/>
  <c r="L1" i="12"/>
  <c r="F1" i="37"/>
  <c r="J1" i="37"/>
  <c r="N1" i="37"/>
  <c r="R1" i="37"/>
  <c r="K1" i="12"/>
  <c r="H1" i="12"/>
  <c r="P1" i="12"/>
  <c r="K1" i="7"/>
  <c r="E1" i="12"/>
  <c r="I1" i="12"/>
  <c r="M1" i="12"/>
  <c r="Q1" i="12"/>
  <c r="N1" i="7"/>
  <c r="F1" i="12"/>
  <c r="J1" i="12"/>
  <c r="N1" i="12"/>
  <c r="R1" i="12"/>
  <c r="L1" i="5"/>
  <c r="F1" i="7"/>
  <c r="O1" i="5"/>
  <c r="G1" i="7"/>
  <c r="O1" i="7"/>
  <c r="H1" i="7"/>
  <c r="L1" i="7"/>
  <c r="P1" i="7"/>
  <c r="G1" i="5"/>
  <c r="E1" i="7"/>
  <c r="I1" i="7"/>
  <c r="M1" i="7"/>
  <c r="Q1" i="7"/>
  <c r="H1" i="5"/>
  <c r="P1" i="5"/>
  <c r="E1" i="5"/>
  <c r="I1" i="5"/>
  <c r="M1" i="5"/>
  <c r="Q1" i="5"/>
  <c r="K1" i="5"/>
  <c r="F1" i="5"/>
  <c r="J1" i="5"/>
  <c r="N1" i="5"/>
  <c r="R1" i="5"/>
  <c r="I1" i="3"/>
  <c r="N1" i="3"/>
  <c r="M1" i="3"/>
  <c r="E1" i="3"/>
  <c r="Q1" i="3"/>
  <c r="F1" i="3"/>
  <c r="G1" i="3"/>
  <c r="K1" i="3"/>
  <c r="O1" i="3"/>
  <c r="J1" i="3"/>
  <c r="R1" i="3"/>
  <c r="H1" i="3"/>
  <c r="L1" i="3"/>
  <c r="P1" i="3"/>
  <c r="AD1" i="19"/>
  <c r="AB1" i="19"/>
  <c r="Z1" i="19"/>
  <c r="X1" i="19"/>
  <c r="V1" i="19"/>
  <c r="T1" i="19"/>
  <c r="R1" i="19"/>
  <c r="P1" i="19"/>
  <c r="N1" i="19"/>
  <c r="L1" i="19"/>
  <c r="J1" i="19"/>
  <c r="H1" i="19"/>
  <c r="F1" i="19"/>
  <c r="D1" i="19"/>
  <c r="F1" i="15"/>
  <c r="N1" i="15"/>
  <c r="G1" i="15"/>
  <c r="O1" i="15"/>
  <c r="D1" i="15"/>
  <c r="H1" i="15"/>
  <c r="L1" i="15"/>
  <c r="P1" i="15"/>
  <c r="J1" i="15"/>
  <c r="K1" i="15"/>
  <c r="E1" i="15"/>
  <c r="I1" i="15"/>
  <c r="M1" i="15"/>
  <c r="Q1" i="15"/>
  <c r="P1" i="14"/>
  <c r="O1" i="14"/>
  <c r="N1" i="14"/>
  <c r="M1" i="14"/>
  <c r="L1" i="14"/>
  <c r="K1" i="14"/>
  <c r="J1" i="14"/>
  <c r="I1" i="14"/>
  <c r="H1" i="14"/>
  <c r="G1" i="14"/>
  <c r="F1" i="14"/>
  <c r="E1" i="14"/>
  <c r="D1" i="14"/>
  <c r="C1" i="14"/>
  <c r="R1" i="35"/>
  <c r="Q1" i="35"/>
  <c r="P1" i="35"/>
  <c r="O1" i="35"/>
  <c r="N1" i="35"/>
  <c r="M1" i="35"/>
  <c r="L1" i="35"/>
  <c r="K1" i="35"/>
  <c r="J1" i="35"/>
  <c r="I1" i="35"/>
  <c r="H1" i="35"/>
  <c r="G1" i="35"/>
  <c r="F1" i="35"/>
  <c r="E1" i="35"/>
  <c r="B5" i="96" l="1"/>
  <c r="C30" i="20"/>
  <c r="AB20" i="19"/>
  <c r="AB19" i="19"/>
  <c r="AB18" i="19"/>
  <c r="AB17" i="19"/>
  <c r="AB7" i="19"/>
  <c r="AB8" i="19"/>
  <c r="AB9" i="19"/>
  <c r="AB10" i="19"/>
  <c r="AB11" i="19"/>
  <c r="AB12" i="19"/>
  <c r="AB13" i="19"/>
  <c r="AB14" i="19"/>
  <c r="AB15" i="19"/>
  <c r="AB6" i="19"/>
  <c r="AB4" i="19"/>
  <c r="Z4" i="19"/>
  <c r="X20" i="19"/>
  <c r="X19" i="19"/>
  <c r="X18" i="19"/>
  <c r="X17" i="19"/>
  <c r="X15" i="19"/>
  <c r="X14" i="19"/>
  <c r="X13" i="19"/>
  <c r="X12" i="19"/>
  <c r="X11" i="19"/>
  <c r="X10" i="19"/>
  <c r="X9" i="19"/>
  <c r="X8" i="19"/>
  <c r="X7" i="19"/>
  <c r="X6" i="19"/>
  <c r="X4" i="19"/>
  <c r="V20" i="19"/>
  <c r="V19" i="19"/>
  <c r="V18" i="19"/>
  <c r="V17" i="19"/>
  <c r="V15" i="19"/>
  <c r="V14" i="19"/>
  <c r="V13" i="19"/>
  <c r="V12" i="19"/>
  <c r="V11" i="19"/>
  <c r="V10" i="19"/>
  <c r="V9" i="19"/>
  <c r="V8" i="19"/>
  <c r="V7" i="19"/>
  <c r="V6" i="19"/>
  <c r="V4" i="19"/>
  <c r="T20" i="19"/>
  <c r="T19" i="19"/>
  <c r="T18" i="19"/>
  <c r="T17" i="19"/>
  <c r="T15" i="19"/>
  <c r="T14" i="19"/>
  <c r="T13" i="19"/>
  <c r="T12" i="19"/>
  <c r="T11" i="19"/>
  <c r="T10" i="19"/>
  <c r="T9" i="19"/>
  <c r="T8" i="19"/>
  <c r="T7" i="19"/>
  <c r="T6" i="19"/>
  <c r="T4" i="19"/>
  <c r="Z20" i="19"/>
  <c r="Z19" i="19"/>
  <c r="Z18" i="19"/>
  <c r="Z17" i="19"/>
  <c r="Z15" i="19"/>
  <c r="Z14" i="19"/>
  <c r="Z13" i="19"/>
  <c r="Z12" i="19"/>
  <c r="Z11" i="19"/>
  <c r="Z10" i="19"/>
  <c r="Z9" i="19"/>
  <c r="Z8" i="19"/>
  <c r="Z7" i="19"/>
  <c r="Z6" i="19"/>
  <c r="M18" i="3"/>
  <c r="B4" i="98" s="1"/>
  <c r="R18" i="3"/>
  <c r="B4" i="103" s="1"/>
  <c r="E43" i="17" l="1"/>
  <c r="G43" i="17"/>
  <c r="G40" i="17"/>
  <c r="G41" i="17"/>
  <c r="G42" i="17"/>
  <c r="G39" i="17"/>
  <c r="E40" i="17"/>
  <c r="E41" i="17"/>
  <c r="E42" i="17"/>
  <c r="K11" i="17"/>
  <c r="I11" i="17"/>
  <c r="K9" i="17"/>
  <c r="K10" i="17"/>
  <c r="J9" i="17"/>
  <c r="J10" i="17"/>
  <c r="K8" i="17"/>
  <c r="K6" i="17"/>
  <c r="J8" i="17"/>
  <c r="J5" i="17"/>
  <c r="J6" i="17"/>
  <c r="J4" i="17"/>
  <c r="E17" i="7"/>
  <c r="F17" i="7"/>
  <c r="G17" i="7"/>
  <c r="H17" i="7"/>
  <c r="I17" i="7"/>
  <c r="J17" i="7"/>
  <c r="K17" i="7"/>
  <c r="L17" i="7"/>
  <c r="M17" i="7"/>
  <c r="N17" i="7"/>
  <c r="O17" i="7"/>
  <c r="P17" i="7"/>
  <c r="Q17" i="7"/>
  <c r="R17" i="7"/>
  <c r="E15" i="7"/>
  <c r="F15" i="7"/>
  <c r="G15" i="7"/>
  <c r="H15" i="7"/>
  <c r="I15" i="7"/>
  <c r="J15" i="7"/>
  <c r="K15" i="7"/>
  <c r="L15" i="7"/>
  <c r="M15" i="7"/>
  <c r="N15" i="7"/>
  <c r="O15" i="7"/>
  <c r="P15" i="7"/>
  <c r="Q15" i="7"/>
  <c r="R15" i="7"/>
  <c r="E10" i="7"/>
  <c r="F10" i="7"/>
  <c r="F18" i="7" s="1"/>
  <c r="B10" i="91" s="1"/>
  <c r="G10" i="7"/>
  <c r="H10" i="7"/>
  <c r="I10" i="7"/>
  <c r="J10" i="7"/>
  <c r="J18" i="7" s="1"/>
  <c r="B10" i="95" s="1"/>
  <c r="K10" i="7"/>
  <c r="L10" i="7"/>
  <c r="M10" i="7"/>
  <c r="N10" i="7"/>
  <c r="N18" i="7" s="1"/>
  <c r="B10" i="99" s="1"/>
  <c r="O10" i="7"/>
  <c r="P10" i="7"/>
  <c r="Q10" i="7"/>
  <c r="R10" i="7"/>
  <c r="R18" i="7" s="1"/>
  <c r="B10" i="103" s="1"/>
  <c r="D15" i="7"/>
  <c r="D10" i="7"/>
  <c r="D17" i="7"/>
  <c r="A13" i="17"/>
  <c r="B13" i="17"/>
  <c r="P18" i="7" l="1"/>
  <c r="B10" i="101" s="1"/>
  <c r="L18" i="7"/>
  <c r="B10" i="97" s="1"/>
  <c r="H18" i="7"/>
  <c r="B10" i="93" s="1"/>
  <c r="B5" i="17"/>
  <c r="O18" i="7"/>
  <c r="B10" i="100" s="1"/>
  <c r="K18" i="7"/>
  <c r="G18" i="7"/>
  <c r="B10" i="92" s="1"/>
  <c r="Q18" i="7"/>
  <c r="M18" i="7"/>
  <c r="B10" i="98" s="1"/>
  <c r="I18" i="7"/>
  <c r="B10" i="94" s="1"/>
  <c r="E18" i="7"/>
  <c r="N34" i="19"/>
  <c r="Z34" i="19"/>
  <c r="R34" i="19"/>
  <c r="J34" i="19"/>
  <c r="V34" i="19"/>
  <c r="F34" i="19"/>
  <c r="P34" i="19"/>
  <c r="T34" i="19"/>
  <c r="L34" i="19"/>
  <c r="D18" i="7"/>
  <c r="A47" i="19"/>
  <c r="B25" i="20" s="1"/>
  <c r="A46" i="19"/>
  <c r="B24" i="20" s="1"/>
  <c r="A45" i="19"/>
  <c r="B23" i="20" s="1"/>
  <c r="A44" i="19"/>
  <c r="B22" i="20" s="1"/>
  <c r="A43" i="19"/>
  <c r="B21" i="20" s="1"/>
  <c r="A42" i="19"/>
  <c r="B20" i="20" s="1"/>
  <c r="A40" i="19"/>
  <c r="B18" i="20" s="1"/>
  <c r="A41" i="19"/>
  <c r="B19" i="20" s="1"/>
  <c r="A39" i="19"/>
  <c r="B17" i="20" s="1"/>
  <c r="A37" i="19"/>
  <c r="B15" i="20" s="1"/>
  <c r="A38" i="19"/>
  <c r="B16" i="20" s="1"/>
  <c r="A36" i="19"/>
  <c r="B14" i="20" s="1"/>
  <c r="B39" i="19"/>
  <c r="C17" i="20" s="1"/>
  <c r="B7" i="20"/>
  <c r="B6" i="20"/>
  <c r="B5" i="20"/>
  <c r="B4" i="20"/>
  <c r="A16" i="19"/>
  <c r="B3" i="20" s="1"/>
  <c r="A7" i="19"/>
  <c r="A8" i="19"/>
  <c r="A9" i="19"/>
  <c r="A10" i="19"/>
  <c r="A11" i="19"/>
  <c r="A12" i="19"/>
  <c r="A13" i="19"/>
  <c r="A14" i="19"/>
  <c r="A15" i="19"/>
  <c r="A6" i="19"/>
  <c r="A5" i="19"/>
  <c r="B2" i="20" s="1"/>
  <c r="A4" i="19"/>
  <c r="A3" i="19"/>
  <c r="D20" i="19"/>
  <c r="F20" i="19"/>
  <c r="H20" i="19"/>
  <c r="J20" i="19"/>
  <c r="L20" i="19"/>
  <c r="N20" i="19"/>
  <c r="P20" i="19"/>
  <c r="R20" i="19"/>
  <c r="D19" i="19"/>
  <c r="F19" i="19"/>
  <c r="H19" i="19"/>
  <c r="J19" i="19"/>
  <c r="L19" i="19"/>
  <c r="N19" i="19"/>
  <c r="P19" i="19"/>
  <c r="R19" i="19"/>
  <c r="D18" i="19"/>
  <c r="F18" i="19"/>
  <c r="H18" i="19"/>
  <c r="J18" i="19"/>
  <c r="L18" i="19"/>
  <c r="N18" i="19"/>
  <c r="P18" i="19"/>
  <c r="R18" i="19"/>
  <c r="D17" i="19"/>
  <c r="F17" i="19"/>
  <c r="H17" i="19"/>
  <c r="J17" i="19"/>
  <c r="L17" i="19"/>
  <c r="N17" i="19"/>
  <c r="P17" i="19"/>
  <c r="R17" i="19"/>
  <c r="H34" i="19" l="1"/>
  <c r="AB34" i="19"/>
  <c r="B10" i="102"/>
  <c r="D34" i="19"/>
  <c r="B10" i="90"/>
  <c r="X34" i="19"/>
  <c r="AD34" i="19"/>
  <c r="B10" i="96"/>
  <c r="B10" i="17"/>
  <c r="B34" i="19"/>
  <c r="B20" i="19"/>
  <c r="B19" i="19"/>
  <c r="B18" i="19"/>
  <c r="B17" i="19"/>
  <c r="Q23" i="14"/>
  <c r="Q24" i="14"/>
  <c r="Q25" i="14"/>
  <c r="Q26" i="14"/>
  <c r="Q27" i="14"/>
  <c r="Q32" i="14"/>
  <c r="Q33" i="14"/>
  <c r="Q34" i="14"/>
  <c r="Q35" i="14"/>
  <c r="Q36" i="14"/>
  <c r="Q22" i="14"/>
  <c r="Q19" i="14"/>
  <c r="Q6" i="14"/>
  <c r="Q7" i="14"/>
  <c r="Q8" i="14"/>
  <c r="Q9" i="14"/>
  <c r="Q15" i="14"/>
  <c r="Q16" i="14"/>
  <c r="Q17" i="14"/>
  <c r="Q18" i="14"/>
  <c r="Q5" i="14"/>
  <c r="E35" i="17" l="1"/>
  <c r="E36" i="17"/>
  <c r="E34" i="17"/>
  <c r="A33" i="19"/>
  <c r="A32" i="19"/>
  <c r="A31" i="19"/>
  <c r="B23" i="19" l="1"/>
  <c r="K5" i="17"/>
  <c r="K4" i="17"/>
  <c r="B47" i="19"/>
  <c r="C25" i="20" s="1"/>
  <c r="B46" i="19"/>
  <c r="C24" i="20" s="1"/>
  <c r="B45" i="19"/>
  <c r="C23" i="20" s="1"/>
  <c r="B44" i="19"/>
  <c r="C22" i="20" s="1"/>
  <c r="B43" i="19"/>
  <c r="C21" i="20" s="1"/>
  <c r="B42" i="19"/>
  <c r="C20" i="20" s="1"/>
  <c r="B41" i="19"/>
  <c r="C19" i="20" s="1"/>
  <c r="B40" i="19"/>
  <c r="C18" i="20" s="1"/>
  <c r="B38" i="19"/>
  <c r="C16" i="20" s="1"/>
  <c r="B37" i="19"/>
  <c r="C15" i="20" s="1"/>
  <c r="B36" i="19"/>
  <c r="AB31" i="19"/>
  <c r="Z31" i="19"/>
  <c r="X31" i="19"/>
  <c r="V31" i="19"/>
  <c r="T31" i="19"/>
  <c r="R31" i="19"/>
  <c r="P31" i="19"/>
  <c r="N31" i="19"/>
  <c r="L31" i="19"/>
  <c r="J31" i="19"/>
  <c r="H31" i="19"/>
  <c r="F31" i="19"/>
  <c r="D31" i="19"/>
  <c r="B31" i="19"/>
  <c r="AB27" i="19"/>
  <c r="Z27" i="19"/>
  <c r="X27" i="19"/>
  <c r="V27" i="19"/>
  <c r="T27" i="19"/>
  <c r="R27" i="19"/>
  <c r="P27" i="19"/>
  <c r="N27" i="19"/>
  <c r="L27" i="19"/>
  <c r="J27" i="19"/>
  <c r="H27" i="19"/>
  <c r="F27" i="19"/>
  <c r="D27" i="19"/>
  <c r="B27" i="19"/>
  <c r="AB23" i="19"/>
  <c r="Z23" i="19"/>
  <c r="X23" i="19"/>
  <c r="V23" i="19"/>
  <c r="T23" i="19"/>
  <c r="R23" i="19"/>
  <c r="P23" i="19"/>
  <c r="N23" i="19"/>
  <c r="L23" i="19"/>
  <c r="J23" i="19"/>
  <c r="H23" i="19"/>
  <c r="F23" i="19"/>
  <c r="D23" i="19"/>
  <c r="R4" i="19"/>
  <c r="P4" i="19"/>
  <c r="N4" i="19"/>
  <c r="L4" i="19"/>
  <c r="J4" i="19"/>
  <c r="H4" i="19"/>
  <c r="F4" i="19"/>
  <c r="D4" i="19"/>
  <c r="B4" i="19"/>
  <c r="A1" i="17"/>
  <c r="D1" i="37" s="1"/>
  <c r="G18" i="3"/>
  <c r="B4" i="92" s="1"/>
  <c r="G11" i="5"/>
  <c r="G19" i="5"/>
  <c r="B8" i="92" s="1"/>
  <c r="G27" i="5"/>
  <c r="B9" i="92" s="1"/>
  <c r="H18" i="3"/>
  <c r="B4" i="93" s="1"/>
  <c r="H11" i="5"/>
  <c r="H19" i="5"/>
  <c r="B8" i="93" s="1"/>
  <c r="H27" i="5"/>
  <c r="B9" i="93" s="1"/>
  <c r="I18" i="3"/>
  <c r="B4" i="94" s="1"/>
  <c r="I11" i="5"/>
  <c r="I19" i="5"/>
  <c r="B8" i="94" s="1"/>
  <c r="I27" i="5"/>
  <c r="B9" i="94" s="1"/>
  <c r="J18" i="3"/>
  <c r="B4" i="95" s="1"/>
  <c r="J11" i="5"/>
  <c r="J19" i="5"/>
  <c r="B8" i="95" s="1"/>
  <c r="J27" i="5"/>
  <c r="B9" i="95" s="1"/>
  <c r="K18" i="3"/>
  <c r="B4" i="96" s="1"/>
  <c r="K11" i="5"/>
  <c r="K19" i="5"/>
  <c r="B8" i="96" s="1"/>
  <c r="K27" i="5"/>
  <c r="B9" i="96" s="1"/>
  <c r="L18" i="3"/>
  <c r="B4" i="97" s="1"/>
  <c r="L11" i="5"/>
  <c r="L19" i="5"/>
  <c r="B8" i="97" s="1"/>
  <c r="L27" i="5"/>
  <c r="B9" i="97" s="1"/>
  <c r="D18" i="3"/>
  <c r="D11" i="5"/>
  <c r="D19" i="5"/>
  <c r="B8" i="17" s="1"/>
  <c r="D27" i="5"/>
  <c r="E18" i="3"/>
  <c r="B4" i="90" s="1"/>
  <c r="E11" i="5"/>
  <c r="E19" i="5"/>
  <c r="B8" i="90" s="1"/>
  <c r="E27" i="5"/>
  <c r="B9" i="90" s="1"/>
  <c r="F18" i="3"/>
  <c r="B4" i="91" s="1"/>
  <c r="F11" i="5"/>
  <c r="F19" i="5"/>
  <c r="B8" i="91" s="1"/>
  <c r="F27" i="5"/>
  <c r="B9" i="91" s="1"/>
  <c r="B14" i="17"/>
  <c r="B15" i="17"/>
  <c r="B16" i="17"/>
  <c r="B17" i="17"/>
  <c r="B18" i="17"/>
  <c r="B19" i="17"/>
  <c r="B20" i="17"/>
  <c r="B21" i="17"/>
  <c r="B22" i="17"/>
  <c r="B23" i="17"/>
  <c r="B24" i="17"/>
  <c r="B25" i="17"/>
  <c r="B26" i="17"/>
  <c r="B27" i="17"/>
  <c r="B28" i="17"/>
  <c r="B29" i="17"/>
  <c r="B30" i="17"/>
  <c r="B31" i="17"/>
  <c r="B32" i="17"/>
  <c r="B33" i="17"/>
  <c r="B34" i="17"/>
  <c r="B35" i="17"/>
  <c r="B37" i="17"/>
  <c r="B36" i="17"/>
  <c r="K34" i="17"/>
  <c r="K35" i="17"/>
  <c r="K36" i="17"/>
  <c r="K37" i="17"/>
  <c r="K38" i="17"/>
  <c r="K39" i="17"/>
  <c r="K40" i="17"/>
  <c r="K41" i="17"/>
  <c r="K42" i="17"/>
  <c r="K43" i="17"/>
  <c r="K15" i="17"/>
  <c r="R27" i="5"/>
  <c r="B9" i="103" s="1"/>
  <c r="R19" i="5"/>
  <c r="B8" i="103" s="1"/>
  <c r="R11" i="5"/>
  <c r="Q27" i="5"/>
  <c r="B9" i="102" s="1"/>
  <c r="Q19" i="5"/>
  <c r="B8" i="102" s="1"/>
  <c r="Q11" i="5"/>
  <c r="Q38" i="12" s="1"/>
  <c r="P27" i="5"/>
  <c r="B9" i="101" s="1"/>
  <c r="P19" i="5"/>
  <c r="B8" i="101" s="1"/>
  <c r="P11" i="5"/>
  <c r="P38" i="12" s="1"/>
  <c r="Q18" i="3"/>
  <c r="B4" i="102" s="1"/>
  <c r="O27" i="5"/>
  <c r="B9" i="100" s="1"/>
  <c r="O19" i="5"/>
  <c r="B8" i="100" s="1"/>
  <c r="O11" i="5"/>
  <c r="O38" i="12" s="1"/>
  <c r="P18" i="3"/>
  <c r="B4" i="101" s="1"/>
  <c r="N27" i="5"/>
  <c r="B9" i="99" s="1"/>
  <c r="N19" i="5"/>
  <c r="B8" i="99" s="1"/>
  <c r="N11" i="5"/>
  <c r="N38" i="12" s="1"/>
  <c r="O18" i="3"/>
  <c r="B4" i="100" s="1"/>
  <c r="M27" i="5"/>
  <c r="B9" i="98" s="1"/>
  <c r="M19" i="5"/>
  <c r="B8" i="98" s="1"/>
  <c r="M11" i="5"/>
  <c r="M38" i="12" s="1"/>
  <c r="N18" i="3"/>
  <c r="B4" i="99" s="1"/>
  <c r="B20" i="14"/>
  <c r="C20" i="14"/>
  <c r="C37" i="14" s="1"/>
  <c r="D20" i="14"/>
  <c r="D37" i="14" s="1"/>
  <c r="E20" i="14"/>
  <c r="E37" i="14" s="1"/>
  <c r="F20" i="14"/>
  <c r="F37" i="14" s="1"/>
  <c r="G20" i="14"/>
  <c r="G37" i="14" s="1"/>
  <c r="H20" i="14"/>
  <c r="H37" i="14" s="1"/>
  <c r="I20" i="14"/>
  <c r="I37" i="14" s="1"/>
  <c r="J20" i="14"/>
  <c r="J37" i="14" s="1"/>
  <c r="K20" i="14"/>
  <c r="K37" i="14" s="1"/>
  <c r="L20" i="14"/>
  <c r="L37" i="14" s="1"/>
  <c r="M20" i="14"/>
  <c r="M37" i="14" s="1"/>
  <c r="N20" i="14"/>
  <c r="O20" i="14"/>
  <c r="O37" i="14" s="1"/>
  <c r="P20" i="14"/>
  <c r="P37" i="14" s="1"/>
  <c r="Q37" i="14"/>
  <c r="B37" i="14"/>
  <c r="N37" i="14"/>
  <c r="C2" i="35"/>
  <c r="C1" i="35"/>
  <c r="D29" i="17"/>
  <c r="D25" i="17"/>
  <c r="D33" i="17"/>
  <c r="A9" i="17"/>
  <c r="A8" i="17"/>
  <c r="A7" i="17"/>
  <c r="A26" i="19"/>
  <c r="B10" i="20" s="1"/>
  <c r="A22" i="19"/>
  <c r="B9" i="20" s="1"/>
  <c r="A30" i="19"/>
  <c r="B11" i="20" s="1"/>
  <c r="J35" i="17"/>
  <c r="J36" i="17"/>
  <c r="J37" i="17"/>
  <c r="J38" i="17"/>
  <c r="J39" i="17"/>
  <c r="J40" i="17"/>
  <c r="J41" i="17"/>
  <c r="J42" i="17"/>
  <c r="J43" i="17"/>
  <c r="J34" i="17"/>
  <c r="E39" i="17"/>
  <c r="A37" i="17"/>
  <c r="A33" i="17"/>
  <c r="A34" i="17"/>
  <c r="A35" i="17"/>
  <c r="A36" i="17"/>
  <c r="A14" i="17"/>
  <c r="A15" i="17"/>
  <c r="A16" i="17"/>
  <c r="A17" i="17"/>
  <c r="A18" i="17"/>
  <c r="A19" i="17"/>
  <c r="A20" i="17"/>
  <c r="A21" i="17"/>
  <c r="A22" i="17"/>
  <c r="A23" i="17"/>
  <c r="A24" i="17"/>
  <c r="A25" i="17"/>
  <c r="A26" i="17"/>
  <c r="A27" i="17"/>
  <c r="A28" i="17"/>
  <c r="A29" i="17"/>
  <c r="A30" i="17"/>
  <c r="A31" i="17"/>
  <c r="A32" i="17"/>
  <c r="A66" i="19"/>
  <c r="E9" i="20" s="1"/>
  <c r="AB66" i="19"/>
  <c r="Z66" i="19"/>
  <c r="X66" i="19"/>
  <c r="V66" i="19"/>
  <c r="T66" i="19"/>
  <c r="R66" i="19"/>
  <c r="P66" i="19"/>
  <c r="N66" i="19"/>
  <c r="L66" i="19"/>
  <c r="J66" i="19"/>
  <c r="H66" i="19"/>
  <c r="F66" i="19"/>
  <c r="D66" i="19"/>
  <c r="B66" i="19"/>
  <c r="A67" i="19"/>
  <c r="E10" i="20" s="1"/>
  <c r="AB67" i="19"/>
  <c r="Z67" i="19"/>
  <c r="X67" i="19"/>
  <c r="V67" i="19"/>
  <c r="T67" i="19"/>
  <c r="R67" i="19"/>
  <c r="P67" i="19"/>
  <c r="N67" i="19"/>
  <c r="L67" i="19"/>
  <c r="J67" i="19"/>
  <c r="H67" i="19"/>
  <c r="F67" i="19"/>
  <c r="D67" i="19"/>
  <c r="B67" i="19"/>
  <c r="A68" i="19"/>
  <c r="E11" i="20" s="1"/>
  <c r="AB68" i="19"/>
  <c r="Z68" i="19"/>
  <c r="X68" i="19"/>
  <c r="V68" i="19"/>
  <c r="T68" i="19"/>
  <c r="R68" i="19"/>
  <c r="P68" i="19"/>
  <c r="N68" i="19"/>
  <c r="L68" i="19"/>
  <c r="J68" i="19"/>
  <c r="H68" i="19"/>
  <c r="F68" i="19"/>
  <c r="D68" i="19"/>
  <c r="B68" i="19"/>
  <c r="A69" i="19"/>
  <c r="E12" i="20" s="1"/>
  <c r="AB69" i="19"/>
  <c r="Z69" i="19"/>
  <c r="X69" i="19"/>
  <c r="V69" i="19"/>
  <c r="T69" i="19"/>
  <c r="R69" i="19"/>
  <c r="P69" i="19"/>
  <c r="N69" i="19"/>
  <c r="L69" i="19"/>
  <c r="J69" i="19"/>
  <c r="H69" i="19"/>
  <c r="F69" i="19"/>
  <c r="D69" i="19"/>
  <c r="B69" i="19"/>
  <c r="A70" i="19"/>
  <c r="E13" i="20" s="1"/>
  <c r="AB70" i="19"/>
  <c r="Z70" i="19"/>
  <c r="X70" i="19"/>
  <c r="V70" i="19"/>
  <c r="T70" i="19"/>
  <c r="R70" i="19"/>
  <c r="P70" i="19"/>
  <c r="N70" i="19"/>
  <c r="L70" i="19"/>
  <c r="J70" i="19"/>
  <c r="H70" i="19"/>
  <c r="F70" i="19"/>
  <c r="D70" i="19"/>
  <c r="B70" i="19"/>
  <c r="A71" i="19"/>
  <c r="E14" i="20" s="1"/>
  <c r="AB71" i="19"/>
  <c r="Z71" i="19"/>
  <c r="X71" i="19"/>
  <c r="V71" i="19"/>
  <c r="T71" i="19"/>
  <c r="R71" i="19"/>
  <c r="P71" i="19"/>
  <c r="N71" i="19"/>
  <c r="L71" i="19"/>
  <c r="J71" i="19"/>
  <c r="H71" i="19"/>
  <c r="F71" i="19"/>
  <c r="D71" i="19"/>
  <c r="B71" i="19"/>
  <c r="A72" i="19"/>
  <c r="E15" i="20" s="1"/>
  <c r="AB72" i="19"/>
  <c r="Z72" i="19"/>
  <c r="X72" i="19"/>
  <c r="V72" i="19"/>
  <c r="T72" i="19"/>
  <c r="R72" i="19"/>
  <c r="P72" i="19"/>
  <c r="N72" i="19"/>
  <c r="L72" i="19"/>
  <c r="J72" i="19"/>
  <c r="H72" i="19"/>
  <c r="F72" i="19"/>
  <c r="D72" i="19"/>
  <c r="B72" i="19"/>
  <c r="A73" i="19"/>
  <c r="E16" i="20" s="1"/>
  <c r="AB73" i="19"/>
  <c r="Z73" i="19"/>
  <c r="X73" i="19"/>
  <c r="V73" i="19"/>
  <c r="T73" i="19"/>
  <c r="R73" i="19"/>
  <c r="P73" i="19"/>
  <c r="N73" i="19"/>
  <c r="L73" i="19"/>
  <c r="J73" i="19"/>
  <c r="H73" i="19"/>
  <c r="F73" i="19"/>
  <c r="D73" i="19"/>
  <c r="B73" i="19"/>
  <c r="A74" i="19"/>
  <c r="E17" i="20" s="1"/>
  <c r="AB74" i="19"/>
  <c r="Z74" i="19"/>
  <c r="X74" i="19"/>
  <c r="V74" i="19"/>
  <c r="T74" i="19"/>
  <c r="R74" i="19"/>
  <c r="P74" i="19"/>
  <c r="N74" i="19"/>
  <c r="L74" i="19"/>
  <c r="J74" i="19"/>
  <c r="H74" i="19"/>
  <c r="F74" i="19"/>
  <c r="D74" i="19"/>
  <c r="B74" i="19"/>
  <c r="A75" i="19"/>
  <c r="E18" i="20" s="1"/>
  <c r="AB75" i="19"/>
  <c r="Z75" i="19"/>
  <c r="X75" i="19"/>
  <c r="V75" i="19"/>
  <c r="T75" i="19"/>
  <c r="R75" i="19"/>
  <c r="P75" i="19"/>
  <c r="N75" i="19"/>
  <c r="L75" i="19"/>
  <c r="J75" i="19"/>
  <c r="H75" i="19"/>
  <c r="F75" i="19"/>
  <c r="D75" i="19"/>
  <c r="B75" i="19"/>
  <c r="A76" i="19"/>
  <c r="E19" i="20" s="1"/>
  <c r="AB76" i="19"/>
  <c r="Z76" i="19"/>
  <c r="X76" i="19"/>
  <c r="V76" i="19"/>
  <c r="T76" i="19"/>
  <c r="R76" i="19"/>
  <c r="P76" i="19"/>
  <c r="N76" i="19"/>
  <c r="L76" i="19"/>
  <c r="J76" i="19"/>
  <c r="H76" i="19"/>
  <c r="F76" i="19"/>
  <c r="D76" i="19"/>
  <c r="B76" i="19"/>
  <c r="A77" i="19"/>
  <c r="E20" i="20" s="1"/>
  <c r="AB77" i="19"/>
  <c r="Z77" i="19"/>
  <c r="X77" i="19"/>
  <c r="V77" i="19"/>
  <c r="T77" i="19"/>
  <c r="R77" i="19"/>
  <c r="P77" i="19"/>
  <c r="N77" i="19"/>
  <c r="L77" i="19"/>
  <c r="J77" i="19"/>
  <c r="H77" i="19"/>
  <c r="F77" i="19"/>
  <c r="D77" i="19"/>
  <c r="B77" i="19"/>
  <c r="A78" i="19"/>
  <c r="E21" i="20" s="1"/>
  <c r="AB78" i="19"/>
  <c r="Z78" i="19"/>
  <c r="X78" i="19"/>
  <c r="V78" i="19"/>
  <c r="T78" i="19"/>
  <c r="R78" i="19"/>
  <c r="P78" i="19"/>
  <c r="N78" i="19"/>
  <c r="L78" i="19"/>
  <c r="J78" i="19"/>
  <c r="H78" i="19"/>
  <c r="F78" i="19"/>
  <c r="D78" i="19"/>
  <c r="B78" i="19"/>
  <c r="A79" i="19"/>
  <c r="E22" i="20" s="1"/>
  <c r="AB79" i="19"/>
  <c r="Z79" i="19"/>
  <c r="X79" i="19"/>
  <c r="V79" i="19"/>
  <c r="T79" i="19"/>
  <c r="R79" i="19"/>
  <c r="P79" i="19"/>
  <c r="N79" i="19"/>
  <c r="L79" i="19"/>
  <c r="J79" i="19"/>
  <c r="H79" i="19"/>
  <c r="F79" i="19"/>
  <c r="D79" i="19"/>
  <c r="B79" i="19"/>
  <c r="A80" i="19"/>
  <c r="E23" i="20" s="1"/>
  <c r="AB80" i="19"/>
  <c r="Z80" i="19"/>
  <c r="X80" i="19"/>
  <c r="V80" i="19"/>
  <c r="T80" i="19"/>
  <c r="R80" i="19"/>
  <c r="P80" i="19"/>
  <c r="N80" i="19"/>
  <c r="L80" i="19"/>
  <c r="J80" i="19"/>
  <c r="H80" i="19"/>
  <c r="F80" i="19"/>
  <c r="D80" i="19"/>
  <c r="B80" i="19"/>
  <c r="A81" i="19"/>
  <c r="E24" i="20" s="1"/>
  <c r="AB81" i="19"/>
  <c r="Z81" i="19"/>
  <c r="X81" i="19"/>
  <c r="V81" i="19"/>
  <c r="T81" i="19"/>
  <c r="R81" i="19"/>
  <c r="P81" i="19"/>
  <c r="N81" i="19"/>
  <c r="L81" i="19"/>
  <c r="J81" i="19"/>
  <c r="H81" i="19"/>
  <c r="F81" i="19"/>
  <c r="D81" i="19"/>
  <c r="B81" i="19"/>
  <c r="A82" i="19"/>
  <c r="E25" i="20" s="1"/>
  <c r="AB82" i="19"/>
  <c r="Z82" i="19"/>
  <c r="X82" i="19"/>
  <c r="V82" i="19"/>
  <c r="T82" i="19"/>
  <c r="R82" i="19"/>
  <c r="P82" i="19"/>
  <c r="N82" i="19"/>
  <c r="L82" i="19"/>
  <c r="J82" i="19"/>
  <c r="H82" i="19"/>
  <c r="F82" i="19"/>
  <c r="D82" i="19"/>
  <c r="B82" i="19"/>
  <c r="A83" i="19"/>
  <c r="E26" i="20" s="1"/>
  <c r="AB83" i="19"/>
  <c r="Z83" i="19"/>
  <c r="X83" i="19"/>
  <c r="V83" i="19"/>
  <c r="T83" i="19"/>
  <c r="R83" i="19"/>
  <c r="P83" i="19"/>
  <c r="N83" i="19"/>
  <c r="L83" i="19"/>
  <c r="J83" i="19"/>
  <c r="H83" i="19"/>
  <c r="F83" i="19"/>
  <c r="D83" i="19"/>
  <c r="B83" i="19"/>
  <c r="A84" i="19"/>
  <c r="E27" i="20" s="1"/>
  <c r="AB84" i="19"/>
  <c r="Z84" i="19"/>
  <c r="X84" i="19"/>
  <c r="V84" i="19"/>
  <c r="T84" i="19"/>
  <c r="R84" i="19"/>
  <c r="P84" i="19"/>
  <c r="N84" i="19"/>
  <c r="L84" i="19"/>
  <c r="J84" i="19"/>
  <c r="H84" i="19"/>
  <c r="F84" i="19"/>
  <c r="D84" i="19"/>
  <c r="B84" i="19"/>
  <c r="A85" i="19"/>
  <c r="E28" i="20" s="1"/>
  <c r="AB85" i="19"/>
  <c r="Z85" i="19"/>
  <c r="X85" i="19"/>
  <c r="V85" i="19"/>
  <c r="T85" i="19"/>
  <c r="R85" i="19"/>
  <c r="P85" i="19"/>
  <c r="N85" i="19"/>
  <c r="L85" i="19"/>
  <c r="J85" i="19"/>
  <c r="H85" i="19"/>
  <c r="F85" i="19"/>
  <c r="D85" i="19"/>
  <c r="B85" i="19"/>
  <c r="A86" i="19"/>
  <c r="E29" i="20" s="1"/>
  <c r="AB86" i="19"/>
  <c r="Z86" i="19"/>
  <c r="X86" i="19"/>
  <c r="V86" i="19"/>
  <c r="T86" i="19"/>
  <c r="R86" i="19"/>
  <c r="P86" i="19"/>
  <c r="N86" i="19"/>
  <c r="L86" i="19"/>
  <c r="J86" i="19"/>
  <c r="H86" i="19"/>
  <c r="F86" i="19"/>
  <c r="D86" i="19"/>
  <c r="B86" i="19"/>
  <c r="A87" i="19"/>
  <c r="E30" i="20" s="1"/>
  <c r="AB87" i="19"/>
  <c r="Z87" i="19"/>
  <c r="X87" i="19"/>
  <c r="V87" i="19"/>
  <c r="T87" i="19"/>
  <c r="R87" i="19"/>
  <c r="P87" i="19"/>
  <c r="N87" i="19"/>
  <c r="L87" i="19"/>
  <c r="J87" i="19"/>
  <c r="H87" i="19"/>
  <c r="F87" i="19"/>
  <c r="D87" i="19"/>
  <c r="B87" i="19"/>
  <c r="A88" i="19"/>
  <c r="E31" i="20" s="1"/>
  <c r="AB88" i="19"/>
  <c r="Z88" i="19"/>
  <c r="X88" i="19"/>
  <c r="V88" i="19"/>
  <c r="T88" i="19"/>
  <c r="R88" i="19"/>
  <c r="P88" i="19"/>
  <c r="N88" i="19"/>
  <c r="L88" i="19"/>
  <c r="J88" i="19"/>
  <c r="H88" i="19"/>
  <c r="F88" i="19"/>
  <c r="D88" i="19"/>
  <c r="B88" i="19"/>
  <c r="A89" i="19"/>
  <c r="E32" i="20" s="1"/>
  <c r="AB89" i="19"/>
  <c r="Z89" i="19"/>
  <c r="X89" i="19"/>
  <c r="V89" i="19"/>
  <c r="T89" i="19"/>
  <c r="R89" i="19"/>
  <c r="P89" i="19"/>
  <c r="N89" i="19"/>
  <c r="L89" i="19"/>
  <c r="J89" i="19"/>
  <c r="H89" i="19"/>
  <c r="F89" i="19"/>
  <c r="D89" i="19"/>
  <c r="B89" i="19"/>
  <c r="A90" i="19"/>
  <c r="E33" i="20" s="1"/>
  <c r="AB90" i="19"/>
  <c r="Z90" i="19"/>
  <c r="X90" i="19"/>
  <c r="V90" i="19"/>
  <c r="T90" i="19"/>
  <c r="R90" i="19"/>
  <c r="P90" i="19"/>
  <c r="N90" i="19"/>
  <c r="L90" i="19"/>
  <c r="J90" i="19"/>
  <c r="H90" i="19"/>
  <c r="F90" i="19"/>
  <c r="D90" i="19"/>
  <c r="B90" i="19"/>
  <c r="A91" i="19"/>
  <c r="E34" i="20" s="1"/>
  <c r="AB91" i="19"/>
  <c r="Z91" i="19"/>
  <c r="X91" i="19"/>
  <c r="V91" i="19"/>
  <c r="T91" i="19"/>
  <c r="R91" i="19"/>
  <c r="P91" i="19"/>
  <c r="N91" i="19"/>
  <c r="L91" i="19"/>
  <c r="J91" i="19"/>
  <c r="H91" i="19"/>
  <c r="F91" i="19"/>
  <c r="D91" i="19"/>
  <c r="B91" i="19"/>
  <c r="A92" i="19"/>
  <c r="E35" i="20" s="1"/>
  <c r="AB92" i="19"/>
  <c r="Z92" i="19"/>
  <c r="X92" i="19"/>
  <c r="V92" i="19"/>
  <c r="T92" i="19"/>
  <c r="R92" i="19"/>
  <c r="P92" i="19"/>
  <c r="N92" i="19"/>
  <c r="L92" i="19"/>
  <c r="J92" i="19"/>
  <c r="H92" i="19"/>
  <c r="F92" i="19"/>
  <c r="D92" i="19"/>
  <c r="B92" i="19"/>
  <c r="A93" i="19"/>
  <c r="E36" i="20" s="1"/>
  <c r="AB93" i="19"/>
  <c r="Z93" i="19"/>
  <c r="X93" i="19"/>
  <c r="V93" i="19"/>
  <c r="T93" i="19"/>
  <c r="R93" i="19"/>
  <c r="P93" i="19"/>
  <c r="N93" i="19"/>
  <c r="L93" i="19"/>
  <c r="J93" i="19"/>
  <c r="H93" i="19"/>
  <c r="F93" i="19"/>
  <c r="D93" i="19"/>
  <c r="B93" i="19"/>
  <c r="AB65" i="19"/>
  <c r="Z65" i="19"/>
  <c r="X65" i="19"/>
  <c r="V65" i="19"/>
  <c r="T65" i="19"/>
  <c r="R65" i="19"/>
  <c r="P65" i="19"/>
  <c r="N65" i="19"/>
  <c r="L65" i="19"/>
  <c r="J65" i="19"/>
  <c r="H65" i="19"/>
  <c r="F65" i="19"/>
  <c r="D65" i="19"/>
  <c r="B65" i="19"/>
  <c r="A65" i="19"/>
  <c r="E8" i="20" s="1"/>
  <c r="A55" i="19"/>
  <c r="B33" i="20" s="1"/>
  <c r="A56" i="19"/>
  <c r="B34" i="20" s="1"/>
  <c r="A57" i="19"/>
  <c r="B35" i="20" s="1"/>
  <c r="A58" i="19"/>
  <c r="B36" i="20" s="1"/>
  <c r="A59" i="19"/>
  <c r="B37" i="20" s="1"/>
  <c r="A60" i="19"/>
  <c r="E3" i="20" s="1"/>
  <c r="A61" i="19"/>
  <c r="E4" i="20" s="1"/>
  <c r="A62" i="19"/>
  <c r="E5" i="20" s="1"/>
  <c r="A63" i="19"/>
  <c r="E6" i="20" s="1"/>
  <c r="A64" i="19"/>
  <c r="E7" i="20" s="1"/>
  <c r="A54" i="19"/>
  <c r="B32" i="20" s="1"/>
  <c r="AB64" i="19"/>
  <c r="Z64" i="19"/>
  <c r="X64" i="19"/>
  <c r="V64" i="19"/>
  <c r="T64" i="19"/>
  <c r="R64" i="19"/>
  <c r="P64" i="19"/>
  <c r="N64" i="19"/>
  <c r="L64" i="19"/>
  <c r="J64" i="19"/>
  <c r="H64" i="19"/>
  <c r="F64" i="19"/>
  <c r="D64" i="19"/>
  <c r="B64" i="19"/>
  <c r="AB55" i="19"/>
  <c r="Z55" i="19"/>
  <c r="X55" i="19"/>
  <c r="V55" i="19"/>
  <c r="T55" i="19"/>
  <c r="R55" i="19"/>
  <c r="P55" i="19"/>
  <c r="N55" i="19"/>
  <c r="L55" i="19"/>
  <c r="J55" i="19"/>
  <c r="H55" i="19"/>
  <c r="F55" i="19"/>
  <c r="D55" i="19"/>
  <c r="B55" i="19"/>
  <c r="AB56" i="19"/>
  <c r="Z56" i="19"/>
  <c r="X56" i="19"/>
  <c r="V56" i="19"/>
  <c r="T56" i="19"/>
  <c r="R56" i="19"/>
  <c r="P56" i="19"/>
  <c r="N56" i="19"/>
  <c r="L56" i="19"/>
  <c r="J56" i="19"/>
  <c r="H56" i="19"/>
  <c r="F56" i="19"/>
  <c r="D56" i="19"/>
  <c r="B56" i="19"/>
  <c r="AB57" i="19"/>
  <c r="Z57" i="19"/>
  <c r="X57" i="19"/>
  <c r="V57" i="19"/>
  <c r="T57" i="19"/>
  <c r="R57" i="19"/>
  <c r="P57" i="19"/>
  <c r="N57" i="19"/>
  <c r="L57" i="19"/>
  <c r="J57" i="19"/>
  <c r="H57" i="19"/>
  <c r="F57" i="19"/>
  <c r="D57" i="19"/>
  <c r="B57" i="19"/>
  <c r="AB58" i="19"/>
  <c r="Z58" i="19"/>
  <c r="X58" i="19"/>
  <c r="V58" i="19"/>
  <c r="T58" i="19"/>
  <c r="R58" i="19"/>
  <c r="P58" i="19"/>
  <c r="N58" i="19"/>
  <c r="L58" i="19"/>
  <c r="J58" i="19"/>
  <c r="H58" i="19"/>
  <c r="F58" i="19"/>
  <c r="D58" i="19"/>
  <c r="B58" i="19"/>
  <c r="AB59" i="19"/>
  <c r="Z59" i="19"/>
  <c r="X59" i="19"/>
  <c r="V59" i="19"/>
  <c r="T59" i="19"/>
  <c r="R59" i="19"/>
  <c r="P59" i="19"/>
  <c r="N59" i="19"/>
  <c r="L59" i="19"/>
  <c r="J59" i="19"/>
  <c r="H59" i="19"/>
  <c r="F59" i="19"/>
  <c r="D59" i="19"/>
  <c r="B59" i="19"/>
  <c r="AB60" i="19"/>
  <c r="Z60" i="19"/>
  <c r="X60" i="19"/>
  <c r="V60" i="19"/>
  <c r="T60" i="19"/>
  <c r="R60" i="19"/>
  <c r="P60" i="19"/>
  <c r="N60" i="19"/>
  <c r="L60" i="19"/>
  <c r="J60" i="19"/>
  <c r="H60" i="19"/>
  <c r="F60" i="19"/>
  <c r="D60" i="19"/>
  <c r="B60" i="19"/>
  <c r="AB61" i="19"/>
  <c r="Z61" i="19"/>
  <c r="X61" i="19"/>
  <c r="V61" i="19"/>
  <c r="T61" i="19"/>
  <c r="R61" i="19"/>
  <c r="P61" i="19"/>
  <c r="N61" i="19"/>
  <c r="L61" i="19"/>
  <c r="J61" i="19"/>
  <c r="H61" i="19"/>
  <c r="F61" i="19"/>
  <c r="D61" i="19"/>
  <c r="B61" i="19"/>
  <c r="AB62" i="19"/>
  <c r="Z62" i="19"/>
  <c r="X62" i="19"/>
  <c r="V62" i="19"/>
  <c r="T62" i="19"/>
  <c r="R62" i="19"/>
  <c r="P62" i="19"/>
  <c r="N62" i="19"/>
  <c r="L62" i="19"/>
  <c r="J62" i="19"/>
  <c r="H62" i="19"/>
  <c r="F62" i="19"/>
  <c r="D62" i="19"/>
  <c r="B62" i="19"/>
  <c r="AB63" i="19"/>
  <c r="Z63" i="19"/>
  <c r="X63" i="19"/>
  <c r="V63" i="19"/>
  <c r="T63" i="19"/>
  <c r="R63" i="19"/>
  <c r="P63" i="19"/>
  <c r="N63" i="19"/>
  <c r="L63" i="19"/>
  <c r="J63" i="19"/>
  <c r="H63" i="19"/>
  <c r="F63" i="19"/>
  <c r="D63" i="19"/>
  <c r="B63" i="19"/>
  <c r="AB54" i="19"/>
  <c r="Z54" i="19"/>
  <c r="X54" i="19"/>
  <c r="V54" i="19"/>
  <c r="T54" i="19"/>
  <c r="R54" i="19"/>
  <c r="P54" i="19"/>
  <c r="N54" i="19"/>
  <c r="L54" i="19"/>
  <c r="J54" i="19"/>
  <c r="H54" i="19"/>
  <c r="F54" i="19"/>
  <c r="D54" i="19"/>
  <c r="B54" i="19"/>
  <c r="C1" i="37"/>
  <c r="C2" i="37"/>
  <c r="E31" i="17"/>
  <c r="E32" i="17"/>
  <c r="E30" i="17"/>
  <c r="A28" i="19"/>
  <c r="A29" i="19"/>
  <c r="A27" i="19"/>
  <c r="C1" i="3"/>
  <c r="B7" i="19"/>
  <c r="B8" i="19"/>
  <c r="B6" i="19"/>
  <c r="AB33" i="19"/>
  <c r="AB32" i="19"/>
  <c r="AB29" i="19"/>
  <c r="AB28" i="19"/>
  <c r="AB25" i="19"/>
  <c r="AB24" i="19"/>
  <c r="Z33" i="19"/>
  <c r="Z32" i="19"/>
  <c r="Z29" i="19"/>
  <c r="Z28" i="19"/>
  <c r="Z25" i="19"/>
  <c r="Z24" i="19"/>
  <c r="X33" i="19"/>
  <c r="X32" i="19"/>
  <c r="X29" i="19"/>
  <c r="X28" i="19"/>
  <c r="X25" i="19"/>
  <c r="X24" i="19"/>
  <c r="V33" i="19"/>
  <c r="V32" i="19"/>
  <c r="V29" i="19"/>
  <c r="V28" i="19"/>
  <c r="V25" i="19"/>
  <c r="V24" i="19"/>
  <c r="T33" i="19"/>
  <c r="T32" i="19"/>
  <c r="T29" i="19"/>
  <c r="T28" i="19"/>
  <c r="T25" i="19"/>
  <c r="T24" i="19"/>
  <c r="R33" i="19"/>
  <c r="R32" i="19"/>
  <c r="R29" i="19"/>
  <c r="R28" i="19"/>
  <c r="R25" i="19"/>
  <c r="R24" i="19"/>
  <c r="P33" i="19"/>
  <c r="P32" i="19"/>
  <c r="P29" i="19"/>
  <c r="P28" i="19"/>
  <c r="P25" i="19"/>
  <c r="P24" i="19"/>
  <c r="N33" i="19"/>
  <c r="N32" i="19"/>
  <c r="N29" i="19"/>
  <c r="N28" i="19"/>
  <c r="N25" i="19"/>
  <c r="N24" i="19"/>
  <c r="L33" i="19"/>
  <c r="L32" i="19"/>
  <c r="L29" i="19"/>
  <c r="L28" i="19"/>
  <c r="L25" i="19"/>
  <c r="L24" i="19"/>
  <c r="J33" i="19"/>
  <c r="J32" i="19"/>
  <c r="J29" i="19"/>
  <c r="J28" i="19"/>
  <c r="J25" i="19"/>
  <c r="J24" i="19"/>
  <c r="H33" i="19"/>
  <c r="H32" i="19"/>
  <c r="H29" i="19"/>
  <c r="H28" i="19"/>
  <c r="H25" i="19"/>
  <c r="H24" i="19"/>
  <c r="F33" i="19"/>
  <c r="F32" i="19"/>
  <c r="F29" i="19"/>
  <c r="F28" i="19"/>
  <c r="F25" i="19"/>
  <c r="F24" i="19"/>
  <c r="D33" i="19"/>
  <c r="D32" i="19"/>
  <c r="D29" i="19"/>
  <c r="D28" i="19"/>
  <c r="D25" i="19"/>
  <c r="D24" i="19"/>
  <c r="B33" i="19"/>
  <c r="B32" i="19"/>
  <c r="B29" i="19"/>
  <c r="B28" i="19"/>
  <c r="B25" i="19"/>
  <c r="B24" i="19"/>
  <c r="A24" i="19"/>
  <c r="A25" i="19"/>
  <c r="A23" i="19"/>
  <c r="R7" i="19"/>
  <c r="P7" i="19"/>
  <c r="N7" i="19"/>
  <c r="L7" i="19"/>
  <c r="J7" i="19"/>
  <c r="H7" i="19"/>
  <c r="F7" i="19"/>
  <c r="D7" i="19"/>
  <c r="R8" i="19"/>
  <c r="P8" i="19"/>
  <c r="N8" i="19"/>
  <c r="L8" i="19"/>
  <c r="J8" i="19"/>
  <c r="H8" i="19"/>
  <c r="F8" i="19"/>
  <c r="D8" i="19"/>
  <c r="R9" i="19"/>
  <c r="P9" i="19"/>
  <c r="N9" i="19"/>
  <c r="L9" i="19"/>
  <c r="J9" i="19"/>
  <c r="H9" i="19"/>
  <c r="F9" i="19"/>
  <c r="D9" i="19"/>
  <c r="B9" i="19"/>
  <c r="R10" i="19"/>
  <c r="P10" i="19"/>
  <c r="N10" i="19"/>
  <c r="L10" i="19"/>
  <c r="J10" i="19"/>
  <c r="H10" i="19"/>
  <c r="F10" i="19"/>
  <c r="D10" i="19"/>
  <c r="B10" i="19"/>
  <c r="R11" i="19"/>
  <c r="P11" i="19"/>
  <c r="N11" i="19"/>
  <c r="L11" i="19"/>
  <c r="J11" i="19"/>
  <c r="H11" i="19"/>
  <c r="F11" i="19"/>
  <c r="D11" i="19"/>
  <c r="B11" i="19"/>
  <c r="R12" i="19"/>
  <c r="P12" i="19"/>
  <c r="N12" i="19"/>
  <c r="L12" i="19"/>
  <c r="J12" i="19"/>
  <c r="H12" i="19"/>
  <c r="F12" i="19"/>
  <c r="D12" i="19"/>
  <c r="B12" i="19"/>
  <c r="R13" i="19"/>
  <c r="P13" i="19"/>
  <c r="N13" i="19"/>
  <c r="L13" i="19"/>
  <c r="J13" i="19"/>
  <c r="H13" i="19"/>
  <c r="F13" i="19"/>
  <c r="D13" i="19"/>
  <c r="B13" i="19"/>
  <c r="R14" i="19"/>
  <c r="P14" i="19"/>
  <c r="N14" i="19"/>
  <c r="L14" i="19"/>
  <c r="J14" i="19"/>
  <c r="H14" i="19"/>
  <c r="F14" i="19"/>
  <c r="D14" i="19"/>
  <c r="B14" i="19"/>
  <c r="R15" i="19"/>
  <c r="P15" i="19"/>
  <c r="N15" i="19"/>
  <c r="L15" i="19"/>
  <c r="J15" i="19"/>
  <c r="H15" i="19"/>
  <c r="F15" i="19"/>
  <c r="D15" i="19"/>
  <c r="B15" i="19"/>
  <c r="R6" i="19"/>
  <c r="P6" i="19"/>
  <c r="N6" i="19"/>
  <c r="L6" i="19"/>
  <c r="J6" i="19"/>
  <c r="H6" i="19"/>
  <c r="F6" i="19"/>
  <c r="D6" i="19"/>
  <c r="C1" i="7"/>
  <c r="C2" i="7"/>
  <c r="C1" i="12"/>
  <c r="C2" i="12"/>
  <c r="C1" i="5"/>
  <c r="C2" i="5"/>
  <c r="C2" i="3"/>
  <c r="G5" i="17"/>
  <c r="G6" i="17"/>
  <c r="G7" i="17"/>
  <c r="G8" i="17"/>
  <c r="G9" i="17"/>
  <c r="G10" i="17"/>
  <c r="G11" i="17"/>
  <c r="G12" i="17"/>
  <c r="G13" i="17"/>
  <c r="G14" i="17"/>
  <c r="G3" i="17"/>
  <c r="G36" i="17"/>
  <c r="G35" i="17"/>
  <c r="G34" i="17"/>
  <c r="G33" i="17"/>
  <c r="G32" i="17"/>
  <c r="G31" i="17"/>
  <c r="G30" i="17"/>
  <c r="G28" i="17"/>
  <c r="G27" i="17"/>
  <c r="G26" i="17"/>
  <c r="E38" i="12" l="1"/>
  <c r="K38" i="12"/>
  <c r="J38" i="12"/>
  <c r="H38" i="12"/>
  <c r="G38" i="12"/>
  <c r="F38" i="12"/>
  <c r="L38" i="12"/>
  <c r="I38" i="12"/>
  <c r="R38" i="12"/>
  <c r="B9" i="17"/>
  <c r="D38" i="12"/>
  <c r="B7" i="98"/>
  <c r="B7" i="99"/>
  <c r="B7" i="100"/>
  <c r="B7" i="101"/>
  <c r="B7" i="91"/>
  <c r="B7" i="90"/>
  <c r="B7" i="103"/>
  <c r="K30" i="103"/>
  <c r="B7" i="102"/>
  <c r="B7" i="97"/>
  <c r="B7" i="96"/>
  <c r="B7" i="95"/>
  <c r="B7" i="94"/>
  <c r="B7" i="93"/>
  <c r="B7" i="92"/>
  <c r="B7" i="17"/>
  <c r="D1" i="7"/>
  <c r="D1" i="12"/>
  <c r="D1" i="3"/>
  <c r="D1" i="5"/>
  <c r="C1" i="15"/>
  <c r="A1" i="89"/>
  <c r="F13" i="20"/>
  <c r="B4" i="17"/>
  <c r="F19" i="20"/>
  <c r="F25" i="20"/>
  <c r="F24" i="20"/>
  <c r="F21" i="20"/>
  <c r="F6" i="20"/>
  <c r="F33" i="20"/>
  <c r="F26" i="20"/>
  <c r="C37" i="20"/>
  <c r="C35" i="20"/>
  <c r="F34" i="20"/>
  <c r="F4" i="20"/>
  <c r="C33" i="20"/>
  <c r="F32" i="20"/>
  <c r="C32" i="20"/>
  <c r="F3" i="20"/>
  <c r="C34" i="20"/>
  <c r="F29" i="20"/>
  <c r="F15" i="20"/>
  <c r="F10" i="20"/>
  <c r="F9" i="20"/>
  <c r="F23" i="20"/>
  <c r="F18" i="20"/>
  <c r="F17" i="20"/>
  <c r="F16" i="20"/>
  <c r="F11" i="20"/>
  <c r="C2" i="20"/>
  <c r="C11" i="20"/>
  <c r="B1" i="19"/>
  <c r="F31" i="20"/>
  <c r="D1" i="35"/>
  <c r="C9" i="20"/>
  <c r="F5" i="20"/>
  <c r="C36" i="20"/>
  <c r="F7" i="20"/>
  <c r="F36" i="20"/>
  <c r="F28" i="20"/>
  <c r="F22" i="20"/>
  <c r="F20" i="20"/>
  <c r="F14" i="20"/>
  <c r="F12" i="20"/>
  <c r="B1" i="14"/>
  <c r="C14" i="20"/>
  <c r="F8" i="20"/>
  <c r="F35" i="20"/>
  <c r="F30" i="20"/>
  <c r="F27" i="20"/>
  <c r="Q20" i="14"/>
  <c r="C10" i="20"/>
  <c r="L51" i="19" l="1"/>
  <c r="K30" i="94"/>
  <c r="D51" i="19"/>
  <c r="K30" i="90"/>
  <c r="N51" i="19"/>
  <c r="K30" i="95"/>
  <c r="T51" i="19"/>
  <c r="K30" i="98"/>
  <c r="K30" i="99"/>
  <c r="V51" i="19"/>
  <c r="H51" i="19"/>
  <c r="K30" i="92"/>
  <c r="P51" i="19"/>
  <c r="K30" i="96"/>
  <c r="AD51" i="19"/>
  <c r="AB51" i="19"/>
  <c r="K30" i="102"/>
  <c r="Z51" i="19"/>
  <c r="K30" i="101"/>
  <c r="J51" i="19"/>
  <c r="K30" i="93"/>
  <c r="R51" i="19"/>
  <c r="K30" i="97"/>
  <c r="X51" i="19"/>
  <c r="K30" i="100"/>
  <c r="K30" i="91"/>
  <c r="F51" i="19"/>
  <c r="B51" i="19"/>
  <c r="K30" i="17"/>
  <c r="C12" i="20"/>
  <c r="C29" i="20" l="1"/>
</calcChain>
</file>

<file path=xl/comments1.xml><?xml version="1.0" encoding="utf-8"?>
<comments xmlns="http://schemas.openxmlformats.org/spreadsheetml/2006/main">
  <authors>
    <author>Audra</author>
  </authors>
  <commentList>
    <comment ref="C6" authorId="0" shapeId="0">
      <text>
        <r>
          <rPr>
            <sz val="9"/>
            <color indexed="81"/>
            <rFont val="Tahoma"/>
            <family val="2"/>
          </rPr>
          <t>1. Make a circle. You can make it with your Daisy friends and Girl Scout adults, or even with your family!
2. Say the Girl Scout Promise.
3. Talk about what the Promise means to you.</t>
        </r>
      </text>
    </comment>
    <comment ref="C8" authorId="0" shapeId="0">
      <text>
        <r>
          <rPr>
            <sz val="9"/>
            <color indexed="81"/>
            <rFont val="Tahoma"/>
            <family val="2"/>
          </rPr>
          <t>1. Enjoy "Lupe's Story," then talk about it.
2. Act out the story with your Daisy friends-each girl can take a different part.
3. Practice being honest and fair.</t>
        </r>
      </text>
    </comment>
    <comment ref="C9" authorId="0" shapeId="0">
      <text>
        <r>
          <rPr>
            <sz val="9"/>
            <color indexed="81"/>
            <rFont val="Tahoma"/>
            <family val="2"/>
          </rPr>
          <t>1. Enjoy "Sunny's Story," then talk about it.
2. Make a mural based on "Sunny's Sotry" with your Daisy friends.
3. Practice being friendly and helpful.</t>
        </r>
      </text>
    </comment>
    <comment ref="C10" authorId="0" shapeId="0">
      <text>
        <r>
          <rPr>
            <sz val="9"/>
            <color indexed="81"/>
            <rFont val="Tahoma"/>
            <family val="2"/>
          </rPr>
          <t>1. Enjoy "Zinnia's Story," then talk about it.
2. Come up with ideas of how to be like Zinni.
3. Practice being considerate and caring.</t>
        </r>
      </text>
    </comment>
    <comment ref="C11" authorId="0" shapeId="0">
      <text>
        <r>
          <rPr>
            <sz val="9"/>
            <color indexed="81"/>
            <rFont val="Tahoma"/>
            <family val="2"/>
          </rPr>
          <t>1. Enjoy "Tula's Story," then talk about it.
2. Make an art gallery celebrating women who are courageous and strong.
3. Practice being courageous and strong.</t>
        </r>
      </text>
    </comment>
    <comment ref="C12" authorId="0" shapeId="0">
      <text>
        <r>
          <rPr>
            <sz val="9"/>
            <color indexed="81"/>
            <rFont val="Tahoma"/>
            <family val="2"/>
          </rPr>
          <t>1. Enjoy "Mari's Story," then talk about it.
2. With your Daisy friends, act out different ways to be responsible during the day-from the time you wake up to the time you go to bed!
3. Practice being responsible for what you say and do.</t>
        </r>
      </text>
    </comment>
    <comment ref="C13" authorId="0" shapeId="0">
      <text>
        <r>
          <rPr>
            <sz val="9"/>
            <color indexed="81"/>
            <rFont val="Tahoma"/>
            <family val="2"/>
          </rPr>
          <t>1. Enjoy "Gloria's Story," then talk about it.
2. Invite an older Girl Scout to talk to your group about ways to respect yourself and others.
3. Practice respecting yourself and others.</t>
        </r>
      </text>
    </comment>
    <comment ref="C14" authorId="0" shapeId="0">
      <text>
        <r>
          <rPr>
            <sz val="9"/>
            <color indexed="81"/>
            <rFont val="Tahoma"/>
            <family val="2"/>
          </rPr>
          <t>1. Enjoy "Gerri's Story," then talk about it.
2. Visit someone who has authority in your community, such as a police officer, firefighter, or your school principal.
3. Practice respecting authority.</t>
        </r>
      </text>
    </comment>
    <comment ref="C15" authorId="0" shapeId="0">
      <text>
        <r>
          <rPr>
            <sz val="9"/>
            <color indexed="81"/>
            <rFont val="Tahoma"/>
            <family val="2"/>
          </rPr>
          <t>1. Enjoy "Clover's Story," then talk about it.
2. Make a collage using old magazines or postcards.
3. Practice being resourceful.</t>
        </r>
      </text>
    </comment>
    <comment ref="C16" authorId="0" shapeId="0">
      <text>
        <r>
          <rPr>
            <sz val="9"/>
            <color indexed="81"/>
            <rFont val="Tahoma"/>
            <family val="2"/>
          </rPr>
          <t>1. Enjoy "Rosie's Story," then talk about it.
2. Act out the story with your Daisy friends.
3. Practice making the world a better place.</t>
        </r>
      </text>
    </comment>
    <comment ref="C17" authorId="0" shapeId="0">
      <text>
        <r>
          <rPr>
            <sz val="9"/>
            <color indexed="81"/>
            <rFont val="Tahoma"/>
            <family val="2"/>
          </rPr>
          <t>1. Enjoy "Vi's Story," then talk about it.
2. Create a mural about girls around the world with your Daisy friends.
3. Practice being a sister to every Girl Scout.</t>
        </r>
      </text>
    </comment>
    <comment ref="B20" authorId="0" shapeId="0">
      <text>
        <r>
          <rPr>
            <sz val="9"/>
            <color indexed="81"/>
            <rFont val="Tahoma"/>
            <family val="2"/>
          </rPr>
          <t>You can use money to buy things. You can use it to help other people, too. Let's find out more about money!
When I've earned this leaf, I'll know more about money and what it's worth.</t>
        </r>
      </text>
    </comment>
    <comment ref="C20" authorId="0" shapeId="0">
      <text>
        <r>
          <rPr>
            <sz val="9"/>
            <color indexed="81"/>
            <rFont val="Tahoma"/>
            <family val="2"/>
          </rPr>
          <t>With your Daisy friends, put a pile of coins on a table. Search through the coins for a penny, nickel, dime, and quarter. When each girl has one of each, talk about what is the same and different about the coins. Which one is largest? The smallest? What color is each coin?
Fill a jar with coins, then take turns picking a coin out of the jar. Shout out the name of the coin and how many cents it is worth.</t>
        </r>
      </text>
    </comment>
    <comment ref="C21" authorId="0" shapeId="0">
      <text>
        <r>
          <rPr>
            <sz val="9"/>
            <color indexed="81"/>
            <rFont val="Tahoma"/>
            <family val="2"/>
          </rPr>
          <t>Money comes as coins and bills. Different coins and bills are worth different amounts of money.
One dollar is worth 100 cents. Make a pile of coins that addup to one dollar.
Some paper "bills" are worth much more than one dollar. Look at several bills of different values, such as $1, $5, and a $10 bill. Find the number on each bill that tells you what it's worth.</t>
        </r>
      </text>
    </comment>
    <comment ref="C22" authorId="0" shapeId="0">
      <text>
        <r>
          <rPr>
            <sz val="9"/>
            <color indexed="81"/>
            <rFont val="Tahoma"/>
            <family val="2"/>
          </rPr>
          <t>Sometimes, the things we might enjoy doing with our families or in Girl Scouts cost money!
Practice planning for something you might like to do that costs money.
With your family or at your Girl Scout Daisy meeting, pretend you are going to the movies, going bowling, or going to a local fair. Ask an adult to help you write down two things that you'd need to save money for, and also to help you figure out how much the activity will cost.
The cost of everything you need to do the activity is your "budget." If you really want to do the activity, you will need to save that much money!</t>
        </r>
      </text>
    </comment>
    <comment ref="B25" authorId="0" shapeId="0">
      <text>
        <r>
          <rPr>
            <sz val="9"/>
            <color indexed="81"/>
            <rFont val="Tahoma"/>
            <family val="2"/>
          </rPr>
          <t>There are things we need, and there are things we want. Both cost money! Let's find out the difference.
When I've earned this leaf, I'll know more about how to make choices about using money.</t>
        </r>
      </text>
    </comment>
    <comment ref="C25" authorId="0" shapeId="0">
      <text>
        <r>
          <rPr>
            <sz val="9"/>
            <color indexed="81"/>
            <rFont val="Tahoma"/>
            <family val="2"/>
          </rPr>
          <t>Adults work and earn money. Families use the money to buy the things they need.
All peoople need certain things, like food, clothes, and a place to live. Talk about this with your Daisy friends.
Can you think of other things that people need?
After you have everything you need, you can think about things you don't need, but still want! You can make a plan to save for these things, too. For example, you may want a new bicycle, a pet, or a toy.Can you think of other things people may want, but not need?</t>
        </r>
      </text>
    </comment>
    <comment ref="C26" authorId="0" shapeId="0">
      <text>
        <r>
          <rPr>
            <sz val="9"/>
            <color indexed="81"/>
            <rFont val="Tahoma"/>
            <family val="2"/>
          </rPr>
          <t>What do you do if you want to buy something but you don't have enough money? You figure out how much the item costs and how long it will take to save the money-that's called setting a goal.
Try It Out!
With your Daisy friends, make a list of a few things you want, such as toys, art supplies, or a field trip. Ask an adult to help you find out how much each item costs. Then make believe that you can save five dollars a week toward your goal. Fill in the Setting Goals Chart to find out how long it would take to save the money you need.</t>
        </r>
      </text>
    </comment>
    <comment ref="C27" authorId="0" shapeId="0">
      <text>
        <r>
          <rPr>
            <sz val="9"/>
            <color indexed="81"/>
            <rFont val="Tahoma"/>
            <family val="2"/>
          </rPr>
          <t>Sometimes people don't have the basic things they need, like food and clothes. Some people have more than they need.
There are many ways to help other people. One way is to give away things you no longer use, or offer to give time to help others.
How could you and your Daisy friends help?
Here are some examples to get you started. Organize a "Families Helping Families Day." Collect things you ahve too much of, such as clothes, dishes, or other household items, and donate them to a local charity.
After you've collected things people need, think about what they want, too. If someone is sad or sick or lonely, maybe they'd like a toy or a book.
Perhaps you and your Daisy friends are going to earn money by selling Girl Scout Cookies. use some of the money to help others. Ask your Girl Scout adutls for ideas about how!</t>
        </r>
      </text>
    </comment>
    <comment ref="B30" authorId="0" shapeId="0">
      <text>
        <r>
          <rPr>
            <sz val="9"/>
            <color indexed="81"/>
            <rFont val="Tahoma"/>
            <family val="2"/>
          </rPr>
          <t>When you take part in the Girl Scout Cookie Program, you are helping with the largest business run by girls in the whole world. When you earn the Money Counts leaf, you learn about how much coins and bills are worth. Now use what you know as you ask customers to buy your cookies!</t>
        </r>
      </text>
    </comment>
    <comment ref="C30" authorId="0" shapeId="0">
      <text>
        <r>
          <rPr>
            <sz val="9"/>
            <color indexed="81"/>
            <rFont val="Tahoma"/>
            <family val="2"/>
          </rPr>
          <t>How much does a box of Girl Scout Cookies cost?
Practice putting that much money together with different coins and bills. Now try putting together money for the price of two boxes.</t>
        </r>
      </text>
    </comment>
    <comment ref="C31" authorId="0" shapeId="0">
      <text>
        <r>
          <rPr>
            <sz val="9"/>
            <color indexed="81"/>
            <rFont val="Tahoma"/>
            <family val="2"/>
          </rPr>
          <t>To sell cookies, you need to know what kinds you have. With your Daisy friends, lay out one box of each kind. Practice saying the name of the cookie. Then practice answering questions that customers might ask.</t>
        </r>
      </text>
    </comment>
    <comment ref="C32" authorId="0" shapeId="0">
      <text>
        <r>
          <rPr>
            <sz val="9"/>
            <color indexed="81"/>
            <rFont val="Tahoma"/>
            <family val="2"/>
          </rPr>
          <t>How many boxes of cookies do you and your Daisy friends want to sell? That's called your goal.
Set a goal for the number of boxes you hope to sell.
Draw a poster to help you see your goal. Put lines on the picture that show the number of boxes sold. Every time you and your Daisy friends meet, color in the poster according to your sales to see how close you are to reaching yoru goal.</t>
        </r>
      </text>
    </comment>
    <comment ref="B35" authorId="0" shapeId="0">
      <text>
        <r>
          <rPr>
            <sz val="9"/>
            <color indexed="81"/>
            <rFont val="Tahoma"/>
            <family val="2"/>
          </rPr>
          <t>When you take part in the Girl Scout Cookie Program, you are helping with the largest business run by girls in the whole world. When you earn your Making Choices leaf, you learn to figure out your needs and wants. Now use what you know as you sell Girl Scout Cookies!</t>
        </r>
      </text>
    </comment>
    <comment ref="C35" authorId="0" shapeId="0">
      <text>
        <r>
          <rPr>
            <sz val="9"/>
            <color indexed="81"/>
            <rFont val="Tahoma"/>
            <family val="2"/>
          </rPr>
          <t>Decide how to use your cookie money. Talk about what you want with your Daisy friends. Do you want to buy snacks or supplies for your Daisy meetings? Girl Scout books or awards? Materials for a Journey project?
Set a savings goal-figure out how much money it costs to buy what you want.
If you have money left over, you may want to use it for something extra that you really want to do, like have a party or go on a trip.</t>
        </r>
      </text>
    </comment>
    <comment ref="C36" authorId="0" shapeId="0">
      <text>
        <r>
          <rPr>
            <sz val="9"/>
            <color indexed="81"/>
            <rFont val="Tahoma"/>
            <family val="2"/>
          </rPr>
          <t>Talk about how to use cookie money to help others. You may also want to use some of your money to help others who have needs. With your Daisy friends, talk about different ways you could use your money. Once you decide how you would like to use the money, think about how much money you want to give. Team up to create a big poster showing how you'd like to help others with some of your money. Put up the poster at your cookie booth and talk to customers about it.</t>
        </r>
      </text>
    </comment>
    <comment ref="C37" authorId="0" shapeId="0">
      <text>
        <r>
          <rPr>
            <sz val="9"/>
            <color indexed="81"/>
            <rFont val="Tahoma"/>
            <family val="2"/>
          </rPr>
          <t>Inspire your customers. Customers want to feel that they are helping girls do something important when they buy cookies. If they like the way you will spend your money, they might even buy more cookies! Customers might also ask about your cookie business.
Practice saying these three things to each other:
*Every cookie helps girls do great things! The money we earn will help us ____!
*We are Girl Scout Daisies and we help lead the largest girl-run business in the whole world!
*We are running our own business! With all this practice, we'll be really great at it by the time we're adults!</t>
        </r>
      </text>
    </comment>
  </commentList>
</comments>
</file>

<file path=xl/comments2.xml><?xml version="1.0" encoding="utf-8"?>
<comments xmlns="http://schemas.openxmlformats.org/spreadsheetml/2006/main">
  <authors>
    <author>Audra Edmunds</author>
    <author>Audra</author>
  </authors>
  <commentList>
    <comment ref="C8" authorId="0" shapeId="0">
      <text>
        <r>
          <rPr>
            <sz val="9"/>
            <color indexed="81"/>
            <rFont val="Tahoma"/>
            <family val="2"/>
          </rPr>
          <t xml:space="preserve">The Watering Can Award represents girls being ''responsible for what I say and do.'' Girls earn the award by caring for their mini-garden and beginning to understand how the Promise and Law play out in their daily lives.
</t>
        </r>
      </text>
    </comment>
    <comment ref="C9" authorId="0" shapeId="0">
      <text>
        <r>
          <rPr>
            <sz val="9"/>
            <color indexed="81"/>
            <rFont val="Tahoma"/>
            <family val="2"/>
          </rPr>
          <t>The Golden Honey Bee Award represents taking action through a gardening effort for others to make the world a better place. The award is named for Honey, the bee who is one of the Daisy Flower Garden characters.</t>
        </r>
      </text>
    </comment>
    <comment ref="C10" authorId="0" shapeId="0">
      <text>
        <r>
          <rPr>
            <sz val="9"/>
            <color indexed="81"/>
            <rFont val="Tahoma"/>
            <family val="2"/>
          </rPr>
          <t>The Amazing Daisy Award represents knowing—and living—the Promise and Law, just like Amazing Daisy, the main character of the journey.</t>
        </r>
      </text>
    </comment>
    <comment ref="C16" authorId="0" shapeId="0">
      <text>
        <r>
          <rPr>
            <sz val="9"/>
            <color indexed="81"/>
            <rFont val="Tahoma"/>
            <family val="2"/>
          </rPr>
          <t xml:space="preserve">This first award encourages girls to become aware of their feelings and the feelings of those around them. It also encourages them to develop good relationship skills: for negotiating and compromising to resolve conflicts, and for being considerate and caring to others.
To earn the award, the girls: 
· tell one another aobut their feelings and the feelings of those around them.
· take part in role-playing activities that encourage them to resolve conflicts, negotiate, and be considerate to others.
</t>
        </r>
      </text>
    </comment>
    <comment ref="C17" authorId="0" shapeId="0">
      <text>
        <r>
          <rPr>
            <sz val="9"/>
            <color indexed="81"/>
            <rFont val="Tahoma"/>
            <family val="2"/>
          </rPr>
          <t>This second award is earned as the Daisies recognize and develop their skills and then choosea  skill they will educate and inspire others about. By making an effort that moves beyond themselves, the girls begin to realize the impact that they can have on others around them.
To earn the award, the girls: 
·Think about and talk about their own skills and those of their sister Daisies.
· Choose a skill that they can teach others, either at home or in their community.</t>
        </r>
      </text>
    </comment>
    <comment ref="C18" authorId="0" shapeId="0">
      <text>
        <r>
          <rPr>
            <sz val="9"/>
            <color indexed="81"/>
            <rFont val="Tahoma"/>
            <family val="2"/>
          </rPr>
          <t>Girls earn this third award as they team up to protect a natural treasure in their region. The award is named for flower friend Clover, who helps preserve the natural habitat of Alaska by convincing her cousin White Sweetclover to leave the state so that its natural vegetation can flourish.
To earn the award, the girls: 
·learn about and commit to protecting a natural treasure in their region.
·educate and inspire others in their community to join with them to protect the local treasure, too.</t>
        </r>
      </text>
    </comment>
    <comment ref="C24" authorId="1" shapeId="0">
      <text>
        <r>
          <rPr>
            <b/>
            <sz val="9"/>
            <color indexed="81"/>
            <rFont val="Tahoma"/>
            <family val="2"/>
          </rPr>
          <t>What it means for Daisies:</t>
        </r>
        <r>
          <rPr>
            <sz val="9"/>
            <color indexed="81"/>
            <rFont val="Tahoma"/>
            <family val="2"/>
          </rPr>
          <t xml:space="preserve"> They can say: "Animals need care; I need care. I can do both."
</t>
        </r>
        <r>
          <rPr>
            <b/>
            <sz val="9"/>
            <color indexed="81"/>
            <rFont val="Tahoma"/>
            <family val="2"/>
          </rPr>
          <t>How Daisies earn it:</t>
        </r>
        <r>
          <rPr>
            <sz val="9"/>
            <color indexed="81"/>
            <rFont val="Tahoma"/>
            <family val="2"/>
          </rPr>
          <t xml:space="preserve"> They name one way they can care for animals and one way they can care for themselves.</t>
        </r>
      </text>
    </comment>
    <comment ref="C25" authorId="1" shapeId="0">
      <text>
        <r>
          <rPr>
            <b/>
            <sz val="9"/>
            <color indexed="81"/>
            <rFont val="Tahoma"/>
            <family val="2"/>
          </rPr>
          <t>What it means for Daisies:</t>
        </r>
        <r>
          <rPr>
            <sz val="9"/>
            <color indexed="81"/>
            <rFont val="Tahoma"/>
            <family val="2"/>
          </rPr>
          <t xml:space="preserve"> They can use their new knowledge and creativity to teach others how to care for animals.
</t>
        </r>
        <r>
          <rPr>
            <b/>
            <sz val="9"/>
            <color indexed="81"/>
            <rFont val="Tahoma"/>
            <family val="2"/>
          </rPr>
          <t xml:space="preserve">How Daisies earn it: </t>
        </r>
        <r>
          <rPr>
            <sz val="9"/>
            <color indexed="81"/>
            <rFont val="Tahoma"/>
            <family val="2"/>
          </rPr>
          <t>They choose animal care tips to share with others then tell this "story of animal care" in a creative way with a Red Robin Project.</t>
        </r>
      </text>
    </comment>
    <comment ref="C26" authorId="1" shapeId="0">
      <text>
        <r>
          <rPr>
            <b/>
            <sz val="9"/>
            <color indexed="81"/>
            <rFont val="Tahoma"/>
            <family val="2"/>
          </rPr>
          <t>What it means for Daisies:</t>
        </r>
        <r>
          <rPr>
            <sz val="9"/>
            <color indexed="81"/>
            <rFont val="Tahoma"/>
            <family val="2"/>
          </rPr>
          <t xml:space="preserve"> They have gained courage and confidence in teaching others about animal care.
</t>
        </r>
        <r>
          <rPr>
            <b/>
            <sz val="9"/>
            <color indexed="81"/>
            <rFont val="Tahoma"/>
            <family val="2"/>
          </rPr>
          <t>How Daisies can earn it:</t>
        </r>
        <r>
          <rPr>
            <sz val="9"/>
            <color indexed="81"/>
            <rFont val="Tahoma"/>
            <family val="2"/>
          </rPr>
          <t xml:space="preserve"> They share with one another the good feelings they experienced as they taught others in their community about animal care.</t>
        </r>
      </text>
    </comment>
  </commentList>
</comments>
</file>

<file path=xl/comments3.xml><?xml version="1.0" encoding="utf-8"?>
<comments xmlns="http://schemas.openxmlformats.org/spreadsheetml/2006/main">
  <authors>
    <author>Audra</author>
  </authors>
  <commentList>
    <comment ref="C6" authorId="0" shapeId="0">
      <text>
        <r>
          <rPr>
            <sz val="9"/>
            <color indexed="81"/>
            <rFont val="Tahoma"/>
            <family val="2"/>
          </rPr>
          <t>Remember how excited you were about becoming a Daisy? There are younger girls who can't wait to follow in your footsteps! Share your talents and skills by teaching younger Girl Scouts something you learned to do as a Daisy.
This list has a few ideas to get started. You only have to do one of these-or something like it-to complete the step.</t>
        </r>
      </text>
    </comment>
    <comment ref="C7" authorId="0" shapeId="0">
      <text>
        <r>
          <rPr>
            <sz val="9"/>
            <color indexed="81"/>
            <rFont val="Tahoma"/>
            <family val="2"/>
          </rPr>
          <t>Teach younger girls the Girl Scout Promise and the Girl Scout Law.</t>
        </r>
      </text>
    </comment>
    <comment ref="C8" authorId="0" shapeId="0">
      <text>
        <r>
          <rPr>
            <sz val="9"/>
            <color indexed="81"/>
            <rFont val="Tahoma"/>
            <family val="2"/>
          </rPr>
          <t>Tell younger girls about the Flower Friends. Then share a story about your favoite. Why is she your favorite? What did you learn from her? Help the younger girls color pictures of the Flower Friends to take home.</t>
        </r>
      </text>
    </comment>
    <comment ref="C9" authorId="0" shapeId="0">
      <text>
        <r>
          <rPr>
            <sz val="9"/>
            <color indexed="81"/>
            <rFont val="Tahoma"/>
            <family val="2"/>
          </rPr>
          <t>Play a game together! Is there a special game you loved to play as a Daisy that you could teach the younger girls?</t>
        </r>
      </text>
    </comment>
    <comment ref="C11" authorId="0" shapeId="0">
      <text>
        <r>
          <rPr>
            <sz val="9"/>
            <color indexed="81"/>
            <rFont val="Tahoma"/>
            <family val="2"/>
          </rPr>
          <t>Spend time with some Brownie sisters-after all, they know about the fun and adventures Brownies can have together! 
This list has a few ideas to get started. You only have to do one of these-or something like it-to complete the step.</t>
        </r>
      </text>
    </comment>
    <comment ref="C12" authorId="0" shapeId="0">
      <text>
        <r>
          <rPr>
            <sz val="9"/>
            <color indexed="81"/>
            <rFont val="Tahoma"/>
            <family val="2"/>
          </rPr>
          <t>Say the Girl Scout Promise together, then trade stories about living the Promise and Law. What did you do as a Daisy? Were you friendly and helpful, or courageous and strong? What did the Brownies do?</t>
        </r>
      </text>
    </comment>
    <comment ref="C13" authorId="0" shapeId="0">
      <text>
        <r>
          <rPr>
            <sz val="9"/>
            <color indexed="81"/>
            <rFont val="Tahoma"/>
            <family val="2"/>
          </rPr>
          <t>Ask the Brownies to teach you their favorite Brownie song, then sing it together.</t>
        </r>
      </text>
    </comment>
    <comment ref="C14" authorId="0" shapeId="0">
      <text>
        <r>
          <rPr>
            <sz val="9"/>
            <color indexed="81"/>
            <rFont val="Tahoma"/>
            <family val="2"/>
          </rPr>
          <t xml:space="preserve">Ask the Brownies to show you their Journey awards and tell you what they did to earn them. How did they make the world a better place? </t>
        </r>
      </text>
    </comment>
    <comment ref="C16" authorId="0" shapeId="0">
      <text>
        <r>
          <rPr>
            <sz val="9"/>
            <color indexed="81"/>
            <rFont val="Tahoma"/>
            <family val="2"/>
          </rPr>
          <t>Daisy sisters can help your community when you become Brownies. Ask the Brownies to help you decorate a box or jar that will become your "Take Action Idea Bank." Get ideas by asking the Brownies how you can to help your community. Get more ideas by talking to an adult who works in the community such as at a firehouse, hospital, library, or mayor's office. You could even get ideas by walking around your neighborhood with an adult and looking for ways to help. For example, maybe you might see playground equipment that needs to be fixed. Write down all your ideas and put them in your idea bank. These ideas will be waiting for you when you become a Girl Scout Brownie!</t>
        </r>
      </text>
    </comment>
  </commentList>
</comments>
</file>

<file path=xl/comments4.xml><?xml version="1.0" encoding="utf-8"?>
<comments xmlns="http://schemas.openxmlformats.org/spreadsheetml/2006/main">
  <authors>
    <author>Audra</author>
  </authors>
  <commentList>
    <comment ref="C22" authorId="0" shapeId="0">
      <text>
        <r>
          <rPr>
            <b/>
            <sz val="9"/>
            <color indexed="81"/>
            <rFont val="Tahoma"/>
            <family val="2"/>
          </rPr>
          <t xml:space="preserve">Choose one line from the Girl Scout Law. </t>
        </r>
        <r>
          <rPr>
            <sz val="9"/>
            <color indexed="81"/>
            <rFont val="Tahoma"/>
            <family val="2"/>
          </rPr>
          <t>Find a story, song, or poem from your faith with the same ideas. Talk with your family or friends about what the Law and the story, song, or poem have in common.</t>
        </r>
      </text>
    </comment>
    <comment ref="C23" authorId="0" shapeId="0">
      <text>
        <r>
          <rPr>
            <b/>
            <sz val="9"/>
            <color indexed="81"/>
            <rFont val="Tahoma"/>
            <family val="2"/>
          </rPr>
          <t>Find a woman in your own or another faith community.</t>
        </r>
        <r>
          <rPr>
            <sz val="9"/>
            <color indexed="81"/>
            <rFont val="Tahoma"/>
            <family val="2"/>
          </rPr>
          <t xml:space="preserve"> Ask her how she tries to use that line of the Law in her life.</t>
        </r>
      </text>
    </comment>
    <comment ref="C24" authorId="0" shapeId="0">
      <text>
        <r>
          <rPr>
            <b/>
            <sz val="9"/>
            <color indexed="81"/>
            <rFont val="Tahoma"/>
            <family val="2"/>
          </rPr>
          <t>Gather three inspirational quotes by women</t>
        </r>
        <r>
          <rPr>
            <sz val="9"/>
            <color indexed="81"/>
            <rFont val="Tahoma"/>
            <family val="2"/>
          </rPr>
          <t xml:space="preserve"> that fit with that line of the Girl Scout Law. Put them where you can see them every day!</t>
        </r>
      </text>
    </comment>
    <comment ref="C25" authorId="0" shapeId="0">
      <text>
        <r>
          <rPr>
            <b/>
            <sz val="9"/>
            <color indexed="81"/>
            <rFont val="Tahoma"/>
            <family val="2"/>
          </rPr>
          <t>Make something to remind you of what you've learned.</t>
        </r>
        <r>
          <rPr>
            <sz val="9"/>
            <color indexed="81"/>
            <rFont val="Tahoma"/>
            <family val="2"/>
          </rPr>
          <t xml:space="preserve"> It might be a drawing, painting, or poster. You could also make up a story or a skit.</t>
        </r>
      </text>
    </comment>
    <comment ref="C26" authorId="0" shapeId="0">
      <text>
        <r>
          <rPr>
            <b/>
            <sz val="9"/>
            <color indexed="81"/>
            <rFont val="Tahoma"/>
            <family val="2"/>
          </rPr>
          <t xml:space="preserve">Keep the connection strong. </t>
        </r>
        <r>
          <rPr>
            <sz val="9"/>
            <color indexed="81"/>
            <rFont val="Tahoma"/>
            <family val="2"/>
          </rPr>
          <t>Talk with your friends, family, or a group in your faith community about what you've learned about your faith and Girl Scouting. Ask them to help you live the Law and your faith. Maybe you can show them what you just made or perform your skit!</t>
        </r>
      </text>
    </comment>
    <comment ref="C29" authorId="0" shapeId="0">
      <text>
        <r>
          <rPr>
            <b/>
            <sz val="9"/>
            <color indexed="81"/>
            <rFont val="Tahoma"/>
            <family val="2"/>
          </rPr>
          <t>Choose one line from the Girl Scout Law.</t>
        </r>
        <r>
          <rPr>
            <sz val="9"/>
            <color indexed="81"/>
            <rFont val="Tahoma"/>
            <family val="2"/>
          </rPr>
          <t>Find a story, song, or poem from your faith with the same ideas. Talk with your family or friends about what the Law and the story, song, or poem have in common.</t>
        </r>
      </text>
    </comment>
    <comment ref="C30" authorId="0" shapeId="0">
      <text>
        <r>
          <rPr>
            <b/>
            <sz val="9"/>
            <color indexed="81"/>
            <rFont val="Tahoma"/>
            <family val="2"/>
          </rPr>
          <t>Find a woman in your own or another faith community.</t>
        </r>
        <r>
          <rPr>
            <sz val="9"/>
            <color indexed="81"/>
            <rFont val="Tahoma"/>
            <family val="2"/>
          </rPr>
          <t xml:space="preserve"> Ask her how she tries to use that line of the Law in her life.</t>
        </r>
      </text>
    </comment>
    <comment ref="C31" authorId="0" shapeId="0">
      <text>
        <r>
          <rPr>
            <b/>
            <sz val="9"/>
            <color indexed="81"/>
            <rFont val="Tahoma"/>
            <family val="2"/>
          </rPr>
          <t xml:space="preserve">Gather three inspirational quotes by women </t>
        </r>
        <r>
          <rPr>
            <sz val="9"/>
            <color indexed="81"/>
            <rFont val="Tahoma"/>
            <family val="2"/>
          </rPr>
          <t>that fit with that line of the Girl Scout Law. Put them where you can see them every day!</t>
        </r>
      </text>
    </comment>
    <comment ref="C32" authorId="0" shapeId="0">
      <text>
        <r>
          <rPr>
            <b/>
            <sz val="9"/>
            <color indexed="81"/>
            <rFont val="Tahoma"/>
            <family val="2"/>
          </rPr>
          <t>Make something to remind you of what you've learned.</t>
        </r>
        <r>
          <rPr>
            <sz val="9"/>
            <color indexed="81"/>
            <rFont val="Tahoma"/>
            <family val="2"/>
          </rPr>
          <t xml:space="preserve"> It might be a drawing, painting, or poster. You could also make up a story or a skit.</t>
        </r>
      </text>
    </comment>
    <comment ref="C33" authorId="0" shapeId="0">
      <text>
        <r>
          <rPr>
            <b/>
            <sz val="9"/>
            <color indexed="81"/>
            <rFont val="Tahoma"/>
            <family val="2"/>
          </rPr>
          <t xml:space="preserve">Keep the connection strong. </t>
        </r>
        <r>
          <rPr>
            <sz val="9"/>
            <color indexed="81"/>
            <rFont val="Tahoma"/>
            <family val="2"/>
          </rPr>
          <t>Talk with your friends, family, or a group in your faith community about what you've learned about your faith and Girl Scouting. Ask them to help you live the Law and your faith. Maybe you can show them what you just made or perform your skit!</t>
        </r>
      </text>
    </comment>
    <comment ref="C38" authorId="0" shapeId="0">
      <text>
        <r>
          <rPr>
            <sz val="9"/>
            <color indexed="81"/>
            <rFont val="Tahoma"/>
            <family val="2"/>
          </rPr>
          <t>If you complete all three Daisy Journeys, you'll earn this very special award. Celebrate by singing "The Journey Summit Song"!</t>
        </r>
      </text>
    </comment>
    <comment ref="C40" authorId="0" shapeId="0">
      <text>
        <r>
          <rPr>
            <sz val="9"/>
            <color indexed="81"/>
            <rFont val="Tahoma"/>
            <family val="2"/>
          </rPr>
          <t>Understand what to do if you get lost. Know your phone number, address, and who it's safe to ask for help (police officer, teacher, person in charge).</t>
        </r>
      </text>
    </comment>
    <comment ref="C41" authorId="0" shapeId="0">
      <text>
        <r>
          <rPr>
            <sz val="9"/>
            <color indexed="81"/>
            <rFont val="Tahoma"/>
            <family val="2"/>
          </rPr>
          <t>Find out what you should do if you or a friend is choking.</t>
        </r>
      </text>
    </comment>
    <comment ref="C42" authorId="0" shapeId="0">
      <text>
        <r>
          <rPr>
            <sz val="9"/>
            <color indexed="81"/>
            <rFont val="Tahoma"/>
            <family val="2"/>
          </rPr>
          <t>Learn how to do "Stop, Drop, and Roll" if your clothing catches on fire.</t>
        </r>
      </text>
    </comment>
  </commentList>
</comments>
</file>

<file path=xl/sharedStrings.xml><?xml version="1.0" encoding="utf-8"?>
<sst xmlns="http://schemas.openxmlformats.org/spreadsheetml/2006/main" count="1108" uniqueCount="223">
  <si>
    <t>Instructions, Setup, &amp; Data Entry FAQs (Frequently Asked Questions):</t>
  </si>
  <si>
    <t xml:space="preserve"> </t>
  </si>
  <si>
    <t>Immediately after you download:</t>
  </si>
  <si>
    <t>You must save your spreadsheet to your hard drive.  If you don't, it won't let you propogate the names throughout the spreadsheet, and it will act as though the spreadsheet is read-only.</t>
  </si>
  <si>
    <t>How to enter Daisy Names in the spreadsheet:</t>
  </si>
  <si>
    <t>The Attendance page:</t>
  </si>
  <si>
    <t>The Parent Contact Info page:</t>
  </si>
  <si>
    <t>The Parent Contact Info page is simply there to give you a place to collect parent info for your Daisies.  Use it or not.  It will have no effect on the rest of the sheet.  This is just there as a tool for you.</t>
  </si>
  <si>
    <t>What's the purpose of the individual Daisy pages?</t>
  </si>
  <si>
    <t>You will never enter any information on the individual Daisy pages.  Those pages are for you to occasionally print out and hand to the parents.  You can use them to let a parent know what their daughter has and has not completed.  You can also use that page to make homework assignments to help girls catch up.</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</si>
  <si>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</si>
  <si>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</si>
  <si>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</si>
  <si>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 xml:space="preserve">If neither of these has helped, then please e-mail me and ask.  However, I ask that you please exhaust the above resources before you e-mail me.  I get several e-mails per day asking for help, and to be honest, if they ask a question which I've already covered in these instructions and/or the FAQ page, I'm very likely to ignore the e-mail.  Please read before you e-mail me. </t>
  </si>
  <si>
    <t>What's the password?</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</si>
  <si>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daisy</t>
    </r>
  </si>
  <si>
    <t>What about sharing and editing this sheet?</t>
  </si>
  <si>
    <t>1.  You have my permission to share this spreadsheet, absolutely free of charge, to any scouter anywhere.</t>
  </si>
  <si>
    <t>3.  You have my permission to modify this sheet in any way to suit your own needs, however, if you do, please don't post your modified version anywhere on the internet.</t>
  </si>
  <si>
    <t>4.  You have my permission to e-mail me with suggestions for improvements you'd like to see, but please don't be offended if I don't use your suggestions.</t>
  </si>
  <si>
    <t>How can you contact me?</t>
  </si>
  <si>
    <t>Version History</t>
  </si>
  <si>
    <t>DaisyTrax 1.0</t>
  </si>
  <si>
    <t>- Initial release of the software package.</t>
  </si>
  <si>
    <t>First, please enter your Service Unit in the box:</t>
  </si>
  <si>
    <t>Next, please enter your Troop number in the box:</t>
  </si>
  <si>
    <t>aedmunds@bellsouth.net</t>
  </si>
  <si>
    <t>DaisyTrax 1.1</t>
  </si>
  <si>
    <t xml:space="preserve">Date of Birth: </t>
  </si>
  <si>
    <t xml:space="preserve">     EMERGENCY CONTACT</t>
  </si>
  <si>
    <t>Primary Adult</t>
  </si>
  <si>
    <t xml:space="preserve">Name: </t>
  </si>
  <si>
    <t xml:space="preserve">Relationship: </t>
  </si>
  <si>
    <t xml:space="preserve">Address: </t>
  </si>
  <si>
    <t xml:space="preserve">City, State  ZIP: </t>
  </si>
  <si>
    <t xml:space="preserve">Home Phone: </t>
  </si>
  <si>
    <t xml:space="preserve">Work Phone: </t>
  </si>
  <si>
    <t xml:space="preserve">Cell Phone: </t>
  </si>
  <si>
    <t xml:space="preserve">Home e-mail: </t>
  </si>
  <si>
    <t xml:space="preserve">Work e-mail: </t>
  </si>
  <si>
    <t>Attendance</t>
  </si>
  <si>
    <t>Date</t>
  </si>
  <si>
    <t>Troop</t>
  </si>
  <si>
    <t>Petal Center</t>
  </si>
  <si>
    <t>Petals</t>
  </si>
  <si>
    <t>Honest and fair</t>
  </si>
  <si>
    <t>Friendly and helpful</t>
  </si>
  <si>
    <t>Courageous and strong</t>
  </si>
  <si>
    <t>Responsible for what I say and do</t>
  </si>
  <si>
    <t>Respect for myself &amp; others</t>
  </si>
  <si>
    <t>Respect authority</t>
  </si>
  <si>
    <t>Use resources wisely</t>
  </si>
  <si>
    <t>Make the world a better place</t>
  </si>
  <si>
    <t>Be a sister to every Girl Scout</t>
  </si>
  <si>
    <t>Status: (P)artial or (C)omplete</t>
  </si>
  <si>
    <t>Service Unit</t>
  </si>
  <si>
    <t>It's Your World -- Change It!</t>
  </si>
  <si>
    <t>Welcome to the Daisy Flower Garden</t>
  </si>
  <si>
    <t>The Watering Can Award</t>
  </si>
  <si>
    <t>The Golden Honey Bee</t>
  </si>
  <si>
    <t>The Amazing Daisy Award</t>
  </si>
  <si>
    <t>Bridge to Brownies</t>
  </si>
  <si>
    <t>Journey Awards</t>
  </si>
  <si>
    <t>&lt;List Patch Here&gt;</t>
  </si>
  <si>
    <t>Awards</t>
  </si>
  <si>
    <t>Bridging</t>
  </si>
  <si>
    <t>Watering Can</t>
  </si>
  <si>
    <t>Golden Honey Bee</t>
  </si>
  <si>
    <t>Amazing Daisy</t>
  </si>
  <si>
    <t>Investiture</t>
  </si>
  <si>
    <t>Rededication (1st year)</t>
  </si>
  <si>
    <t>Earned Age-Level</t>
  </si>
  <si>
    <r>
      <t xml:space="preserve">Event Attended </t>
    </r>
    <r>
      <rPr>
        <sz val="10"/>
        <rFont val="Arial"/>
        <family val="2"/>
      </rPr>
      <t>(Meeting, Camping, Outing,etc.)</t>
    </r>
  </si>
  <si>
    <t>Enter amount
   received</t>
  </si>
  <si>
    <t>Patches</t>
  </si>
  <si>
    <t>Quantity</t>
  </si>
  <si>
    <t>Considerate and caring</t>
  </si>
  <si>
    <t>Summary Page</t>
  </si>
  <si>
    <t>The Dues page:</t>
  </si>
  <si>
    <t>- Addition of dues page and miscellaneous Awards</t>
  </si>
  <si>
    <t>Registration Papers</t>
  </si>
  <si>
    <t>The Registration page:</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</si>
  <si>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</si>
  <si>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How to enter credit on the Petals, Journey Awards, Age-Level Awards and Bridging pages:</t>
  </si>
  <si>
    <r>
      <t xml:space="preserve">To enter credit on the Achievement page, enter an </t>
    </r>
    <r>
      <rPr>
        <b/>
        <sz val="10"/>
        <rFont val="Arial"/>
        <family val="2"/>
      </rPr>
      <t>A</t>
    </r>
    <r>
      <rPr>
        <sz val="10"/>
        <rFont val="Arial"/>
        <family val="2"/>
      </rPr>
      <t xml:space="preserve"> as a Daisy completes each requirement</t>
    </r>
    <r>
      <rPr>
        <sz val="10"/>
        <rFont val="Arial"/>
        <family val="2"/>
      </rPr>
      <t xml:space="preserve">.  Make sure you enter an </t>
    </r>
    <r>
      <rPr>
        <b/>
        <sz val="10"/>
        <rFont val="Arial"/>
        <family val="2"/>
      </rPr>
      <t>A</t>
    </r>
    <r>
      <rPr>
        <sz val="10"/>
        <rFont val="Arial"/>
        <family val="2"/>
      </rPr>
      <t>.  If you enter anything else, it won't register.  The spreadsheet is only set up to count A's.</t>
    </r>
  </si>
  <si>
    <t>DaisyTrax 1.2</t>
  </si>
  <si>
    <t>The Summary page:</t>
  </si>
  <si>
    <t>The Order page:</t>
  </si>
  <si>
    <t xml:space="preserve"> Earned</t>
  </si>
  <si>
    <t xml:space="preserve"> Awarded</t>
  </si>
  <si>
    <t>http://trax.boy-scouts.net/gstrax.htm</t>
  </si>
  <si>
    <r>
      <t xml:space="preserve">2.  You have my permission to post this spreadsheet on any server willing to host it.  I will, however, ask that if you DO post this spreadsheet on a server somewhere, that you occasionally check back to the main site that will host this sheet to check for updates (to make sure you have the latest version available.  
</t>
    </r>
    <r>
      <rPr>
        <u/>
        <sz val="10"/>
        <rFont val="Arial"/>
        <family val="2"/>
      </rPr>
      <t>The site is:</t>
    </r>
  </si>
  <si>
    <t>- Modified formulas to make spreadsheet work on both Microsoft Excel and OpenOffice Calc.</t>
  </si>
  <si>
    <t>DaisyTrax 1.3</t>
  </si>
  <si>
    <t>- Fixed minor items and reworked the awards</t>
  </si>
  <si>
    <t>It's Your Planet -- Love It!</t>
  </si>
  <si>
    <t>Between Earth and Sky</t>
  </si>
  <si>
    <t>DaisyTrax 1.4</t>
  </si>
  <si>
    <t>Age-Level</t>
  </si>
  <si>
    <t>It's Your Story -- Tell It!</t>
  </si>
  <si>
    <t>Fun Patches</t>
  </si>
  <si>
    <t>Patches to Order      Patches to Order      Patches to Order</t>
  </si>
  <si>
    <t>Fun Patches (cont'd)</t>
  </si>
  <si>
    <t>Check to GSUSA (Registration)</t>
  </si>
  <si>
    <t>&lt;&lt;Last Name&gt;&gt;</t>
  </si>
  <si>
    <t>yearly total (per girl)</t>
  </si>
  <si>
    <t>meeting
totals</t>
  </si>
  <si>
    <r>
      <t xml:space="preserve">   Enter </t>
    </r>
    <r>
      <rPr>
        <b/>
        <sz val="10"/>
        <rFont val="Arial"/>
        <family val="2"/>
      </rPr>
      <t>A</t>
    </r>
    <r>
      <rPr>
        <sz val="10"/>
        <rFont val="Arial"/>
        <family val="2"/>
      </rPr>
      <t xml:space="preserve"> for credit</t>
    </r>
  </si>
  <si>
    <r>
      <t xml:space="preserve">   Enter </t>
    </r>
    <r>
      <rPr>
        <b/>
        <sz val="10"/>
        <rFont val="Arial"/>
        <family val="2"/>
      </rPr>
      <t>A</t>
    </r>
    <r>
      <rPr>
        <sz val="10"/>
        <rFont val="Arial"/>
        <family val="2"/>
      </rPr>
      <t xml:space="preserve"> for credit</t>
    </r>
  </si>
  <si>
    <r>
      <t xml:space="preserve">Enter </t>
    </r>
    <r>
      <rPr>
        <b/>
        <sz val="10"/>
        <rFont val="Arial"/>
        <family val="2"/>
      </rPr>
      <t xml:space="preserve">A </t>
    </r>
    <r>
      <rPr>
        <sz val="10"/>
        <rFont val="Arial"/>
        <family val="2"/>
      </rPr>
      <t>for credit</t>
    </r>
  </si>
  <si>
    <r>
      <t xml:space="preserve">Enter </t>
    </r>
    <r>
      <rPr>
        <b/>
        <sz val="10"/>
        <rFont val="Arial"/>
        <family val="2"/>
      </rPr>
      <t>A</t>
    </r>
    <r>
      <rPr>
        <sz val="10"/>
        <rFont val="Arial"/>
        <family val="2"/>
      </rPr>
      <t xml:space="preserve"> indicate Attendance at the event</t>
    </r>
  </si>
  <si>
    <t>The Blue Bucket Award</t>
  </si>
  <si>
    <t>The Firefly Award</t>
  </si>
  <si>
    <t>The Clover Award</t>
  </si>
  <si>
    <t>-added new Journey</t>
  </si>
  <si>
    <t>Key</t>
  </si>
  <si>
    <r>
      <t>C</t>
    </r>
    <r>
      <rPr>
        <sz val="10"/>
        <rFont val="Arial"/>
        <family val="2"/>
      </rPr>
      <t xml:space="preserve"> = Completed Award</t>
    </r>
  </si>
  <si>
    <r>
      <t>A</t>
    </r>
    <r>
      <rPr>
        <sz val="10"/>
        <rFont val="Arial"/>
        <family val="2"/>
      </rPr>
      <t xml:space="preserve"> = Individual Requirement Achieved</t>
    </r>
  </si>
  <si>
    <r>
      <t xml:space="preserve">P </t>
    </r>
    <r>
      <rPr>
        <sz val="10"/>
        <rFont val="Arial"/>
        <family val="2"/>
      </rPr>
      <t>= Partially Completed Award</t>
    </r>
  </si>
  <si>
    <r>
      <t xml:space="preserve">Double-Click on the Tabs at the bottom of the page that read "Daisy 1", "Daisy 2", etc.  That will hightlight the text.  Simply type the girl's </t>
    </r>
    <r>
      <rPr>
        <b/>
        <sz val="10"/>
        <rFont val="Arial"/>
        <family val="2"/>
      </rPr>
      <t>first</t>
    </r>
    <r>
      <rPr>
        <sz val="10"/>
        <rFont val="Arial"/>
        <family val="2"/>
      </rPr>
      <t xml:space="preserve"> name on the tab.  That will cause her name to proliferate thoughout the spreadsheet.</t>
    </r>
  </si>
  <si>
    <t>DaisyTrax 1.5</t>
  </si>
  <si>
    <t>-just fixing minor issues still…</t>
  </si>
  <si>
    <t xml:space="preserve">     The Girl Scout Trax</t>
  </si>
  <si>
    <t>email:</t>
  </si>
  <si>
    <t>Secondary Adult</t>
  </si>
  <si>
    <t>5 Flowers, 4 Stories, 3 Cheers for Animals!</t>
  </si>
  <si>
    <t>DaisyTrax 1.6</t>
  </si>
  <si>
    <t>Enter activites, outings, and dates on this page.  Use this page to record attendance.  It may help you with your recordkeeping.  This page has no bearing elsewhere on this worksheet.</t>
  </si>
  <si>
    <t>Enter dues as you receive them.  The sheet is set up for you to record money.  Simply type in what they were able to contribute.  This page also has no bearing elsewhere in this worksheet.</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</si>
  <si>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E</t>
    </r>
    <r>
      <rPr>
        <sz val="10"/>
        <rFont val="Arial"/>
        <family val="2"/>
      </rPr>
      <t xml:space="preserve"> (and highlight it) on the Summary page.  When you present the award to the girl, enter an </t>
    </r>
    <r>
      <rPr>
        <b/>
        <sz val="10"/>
        <rFont val="Arial"/>
        <family val="2"/>
      </rPr>
      <t>Y</t>
    </r>
    <r>
      <rPr>
        <sz val="10"/>
        <rFont val="Arial"/>
        <family val="2"/>
      </rPr>
      <t xml:space="preserve"> beside that award for that girl (and the highlight goes away).</t>
    </r>
  </si>
  <si>
    <t>You will never enter any information on the Order page.  It is a completely automated page that gleens information from the Summary page.  When it is time for you to order, simply go to the Order page for that information.  Every time a girl earns a patch, the numbers on this page increase.  When you award the patch to the girl (and place the Y's on the Summary page), the numbers decrease.</t>
  </si>
  <si>
    <t>Birdbath Award</t>
  </si>
  <si>
    <t>Red Robin Award</t>
  </si>
  <si>
    <t>Tula Award</t>
  </si>
  <si>
    <t>-added journeys, fixed bridging flaw, changed highlighted color on summary page, changed language on petals page</t>
  </si>
  <si>
    <r>
      <t xml:space="preserve">Enter </t>
    </r>
    <r>
      <rPr>
        <b/>
        <sz val="10"/>
        <rFont val="Arial"/>
        <family val="2"/>
      </rPr>
      <t>Y</t>
    </r>
    <r>
      <rPr>
        <sz val="10"/>
        <rFont val="Arial"/>
        <family val="2"/>
      </rPr>
      <t xml:space="preserve"> for yes when you have presented the award</t>
    </r>
  </si>
  <si>
    <t>Money Counts</t>
  </si>
  <si>
    <t>Making Choices</t>
  </si>
  <si>
    <t>Count It Up</t>
  </si>
  <si>
    <t>Talk It Up</t>
  </si>
  <si>
    <t>Center Petal</t>
  </si>
  <si>
    <t>Leaves</t>
  </si>
  <si>
    <t>Finance</t>
  </si>
  <si>
    <t>Cookie</t>
  </si>
  <si>
    <t>Journey Summit Pin</t>
  </si>
  <si>
    <t>Cookies</t>
  </si>
  <si>
    <t>Fall Sales</t>
  </si>
  <si>
    <t>Thinking Day</t>
  </si>
  <si>
    <t>Investiture and Rededication</t>
  </si>
  <si>
    <t>Cookie Rally (Year 1)</t>
  </si>
  <si>
    <t>Cookie Sales (Year 2)</t>
  </si>
  <si>
    <t>Cookie Pin (Year 1)</t>
  </si>
  <si>
    <t>Cookie Sales (Year 1)</t>
  </si>
  <si>
    <t>Cookie Rally (Year 2)</t>
  </si>
  <si>
    <t>Cookie Pin (Year 2)</t>
  </si>
  <si>
    <t>Fall Sales (Year 1)</t>
  </si>
  <si>
    <t>Fall Sales (Year 2)</t>
  </si>
  <si>
    <t>Thinking Day (Year 1)</t>
  </si>
  <si>
    <t>Thinking Day (Year 2)</t>
  </si>
  <si>
    <t>Play a game together!</t>
  </si>
  <si>
    <t>Teach younger girls the GS Promise</t>
  </si>
  <si>
    <t>Say the Girl Scout Promise together.</t>
  </si>
  <si>
    <t>Ask the Brownies to teach you</t>
  </si>
  <si>
    <t>Ask the Brownies to show you</t>
  </si>
  <si>
    <t>Plan a Ceremony</t>
  </si>
  <si>
    <t>DaisyTrax 2.0</t>
  </si>
  <si>
    <t>Promise Center</t>
  </si>
  <si>
    <t>Lupe</t>
  </si>
  <si>
    <t>Sunny</t>
  </si>
  <si>
    <t>Zinni</t>
  </si>
  <si>
    <t>Tula</t>
  </si>
  <si>
    <t>Mari</t>
  </si>
  <si>
    <t>Gloria</t>
  </si>
  <si>
    <t>Gerri</t>
  </si>
  <si>
    <t>Clover</t>
  </si>
  <si>
    <t>Rosie</t>
  </si>
  <si>
    <t>Vi</t>
  </si>
  <si>
    <t>Understand the different kinds of coins</t>
  </si>
  <si>
    <t>Know more about paper money</t>
  </si>
  <si>
    <t>Find out the cost of fun</t>
  </si>
  <si>
    <t>Try setting a goal to save for what you want</t>
  </si>
  <si>
    <t>Help others with what they need and want</t>
  </si>
  <si>
    <t>(you can earn only one finance leaf per year)</t>
  </si>
  <si>
    <t>Choose one line from the Law</t>
  </si>
  <si>
    <t>Find a woman in your community</t>
  </si>
  <si>
    <t>Gather three inspirational quotes</t>
  </si>
  <si>
    <t>Make something to remind you</t>
  </si>
  <si>
    <t>Keep the connection strong.</t>
  </si>
  <si>
    <t>www.girlscouts.org/world_thinking_day</t>
  </si>
  <si>
    <t>Global Action Award</t>
  </si>
  <si>
    <t>www.girlscouts.org/global_action_award</t>
  </si>
  <si>
    <r>
      <t xml:space="preserve">My Promise, My Faith </t>
    </r>
    <r>
      <rPr>
        <sz val="10"/>
        <rFont val="Arial"/>
        <family val="2"/>
      </rPr>
      <t>(Year 1)</t>
    </r>
  </si>
  <si>
    <r>
      <t xml:space="preserve">My Promise, My Faith </t>
    </r>
    <r>
      <rPr>
        <sz val="10"/>
        <rFont val="Arial"/>
        <family val="2"/>
      </rPr>
      <t>(Year 2)</t>
    </r>
  </si>
  <si>
    <t>www.girlscouts.org/cookies</t>
  </si>
  <si>
    <t>Safety Award</t>
  </si>
  <si>
    <t>Understand what to do</t>
  </si>
  <si>
    <t>Find out what you should do</t>
  </si>
  <si>
    <t>Learn how to do</t>
  </si>
  <si>
    <t>Pass It On</t>
  </si>
  <si>
    <t>Tell younger girls about the Flower</t>
  </si>
  <si>
    <t>Look Ahead</t>
  </si>
  <si>
    <t>Center</t>
  </si>
  <si>
    <t>Find out the difference between needs</t>
  </si>
  <si>
    <t>Find out what cookies cost</t>
  </si>
  <si>
    <t>Learn about different kinds of cookies</t>
  </si>
  <si>
    <t>Set a sales goal</t>
  </si>
  <si>
    <t>Deicde how to use your cookie money</t>
  </si>
  <si>
    <t xml:space="preserve">Talk about how to use cookie money to </t>
  </si>
  <si>
    <t>Inspire your customers</t>
  </si>
  <si>
    <t>-added leaves to the Petals page. Updated bridging requirements. Added awards to Age-Level as written in new books.</t>
  </si>
  <si>
    <t>DaisyTrax 2.1</t>
  </si>
  <si>
    <t>-fixed Summary page errors and on individual pages.
Fixed addition error on Age-Level page</t>
  </si>
  <si>
    <t>DaisyTrax 2.2</t>
  </si>
  <si>
    <t>-fixed formula for summit pin</t>
  </si>
  <si>
    <t>a</t>
  </si>
  <si>
    <t>DaisyTrax 2.3</t>
  </si>
  <si>
    <t>-fixed petals not showing on individual pages</t>
  </si>
  <si>
    <t>Adult Registration</t>
  </si>
  <si>
    <t>Adult Registration Payment</t>
  </si>
  <si>
    <t>Background Check</t>
  </si>
  <si>
    <t>Troop Dues</t>
  </si>
  <si>
    <t>Girl Health History</t>
  </si>
  <si>
    <t>Adult Health History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</si>
</sst>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mm/dd/yy;@"/>
    <numFmt numFmtId="165" formatCode="[$-409]mmm\-yy;@"/>
    <numFmt numFmtId="166" formatCode="m/d/yy;@"/>
    <numFmt numFmtId="167" formatCode="[&lt;=9999999]###\-####;\(###\)\ ###\-####"/>
  </numFmts>
  <fonts count="37">
    <font>
      <sz val="10"/>
      <name val="Arial"/>
    </font>
    <font>
      <sz val="10"/>
      <name val="Arial"/>
      <family val="2"/>
    </font>
    <font>
      <b/>
      <u/>
      <sz val="10"/>
      <name val="Arial"/>
      <family val="2"/>
    </font>
    <font>
      <b/>
      <sz val="10"/>
      <name val="Arial"/>
      <family val="2"/>
    </font>
    <font>
      <sz val="10"/>
      <name val="Arial"/>
      <family val="2"/>
    </font>
    <font>
      <u/>
      <sz val="10"/>
      <color indexed="12"/>
      <name val="Arial"/>
      <family val="2"/>
    </font>
    <font>
      <u/>
      <sz val="10"/>
      <name val="Arial"/>
      <family val="2"/>
    </font>
    <font>
      <sz val="8"/>
      <name val="Arial"/>
      <family val="2"/>
    </font>
    <font>
      <b/>
      <sz val="12"/>
      <name val="Arial"/>
      <family val="2"/>
    </font>
    <font>
      <b/>
      <sz val="10"/>
      <color indexed="9"/>
      <name val="Arial"/>
      <family val="2"/>
    </font>
    <font>
      <sz val="10"/>
      <name val="Arial Narrow"/>
      <family val="2"/>
    </font>
    <font>
      <sz val="9"/>
      <name val="Arial"/>
      <family val="2"/>
    </font>
    <font>
      <b/>
      <sz val="8"/>
      <name val="Arial"/>
      <family val="2"/>
    </font>
    <font>
      <sz val="8"/>
      <name val="Arial"/>
      <family val="2"/>
    </font>
    <font>
      <sz val="10"/>
      <color indexed="9"/>
      <name val="Arial"/>
      <family val="2"/>
    </font>
    <font>
      <b/>
      <sz val="12"/>
      <color indexed="9"/>
      <name val="Arial"/>
      <family val="2"/>
    </font>
    <font>
      <b/>
      <sz val="14"/>
      <color indexed="9"/>
      <name val="Arial"/>
      <family val="2"/>
    </font>
    <font>
      <b/>
      <sz val="14"/>
      <color indexed="12"/>
      <name val="Arial"/>
      <family val="2"/>
    </font>
    <font>
      <sz val="10"/>
      <color indexed="12"/>
      <name val="Arial"/>
      <family val="2"/>
    </font>
    <font>
      <sz val="9"/>
      <color indexed="81"/>
      <name val="Tahoma"/>
      <family val="2"/>
    </font>
    <font>
      <b/>
      <sz val="16"/>
      <name val="Arial"/>
      <family val="2"/>
    </font>
    <font>
      <b/>
      <sz val="14"/>
      <name val="Arial"/>
      <family val="2"/>
    </font>
    <font>
      <b/>
      <sz val="10"/>
      <name val="Geneva"/>
    </font>
    <font>
      <sz val="11"/>
      <name val="Arial"/>
      <family val="2"/>
    </font>
    <font>
      <b/>
      <sz val="12"/>
      <color indexed="44"/>
      <name val="Arial"/>
      <family val="2"/>
    </font>
    <font>
      <sz val="10"/>
      <color indexed="44"/>
      <name val="Arial"/>
      <family val="2"/>
    </font>
    <font>
      <b/>
      <sz val="10"/>
      <color indexed="12"/>
      <name val="Arial"/>
      <family val="2"/>
    </font>
    <font>
      <b/>
      <sz val="12"/>
      <color indexed="9"/>
      <name val="Arial"/>
      <family val="2"/>
    </font>
    <font>
      <sz val="9"/>
      <name val="Arial"/>
      <family val="2"/>
    </font>
    <font>
      <b/>
      <sz val="11"/>
      <name val="Arial"/>
      <family val="2"/>
    </font>
    <font>
      <sz val="10"/>
      <name val="Arial"/>
      <family val="2"/>
    </font>
    <font>
      <b/>
      <sz val="11"/>
      <name val="Arial"/>
      <family val="2"/>
    </font>
    <font>
      <b/>
      <sz val="12"/>
      <color indexed="44"/>
      <name val="Arial"/>
      <family val="2"/>
    </font>
    <font>
      <sz val="10"/>
      <color indexed="44"/>
      <name val="Arial"/>
      <family val="2"/>
    </font>
    <font>
      <b/>
      <sz val="9"/>
      <color indexed="81"/>
      <name val="Tahoma"/>
      <family val="2"/>
    </font>
    <font>
      <sz val="8"/>
      <color theme="0"/>
      <name val="Arial"/>
      <family val="2"/>
    </font>
    <font>
      <b/>
      <sz val="8"/>
      <color theme="0"/>
      <name val="Arial"/>
      <family val="2"/>
    </font>
  </fonts>
  <fills count="19">
    <fill>
      <patternFill patternType="none"/>
    </fill>
    <fill>
      <patternFill patternType="gray125"/>
    </fill>
    <fill>
      <patternFill patternType="solid">
        <fgColor indexed="48"/>
        <bgColor indexed="64"/>
      </patternFill>
    </fill>
    <fill>
      <patternFill patternType="solid">
        <fgColor indexed="44"/>
        <bgColor indexed="64"/>
      </patternFill>
    </fill>
    <fill>
      <patternFill patternType="solid">
        <fgColor indexed="43"/>
        <bgColor indexed="64"/>
      </patternFill>
    </fill>
    <fill>
      <patternFill patternType="solid">
        <fgColor indexed="50"/>
        <bgColor indexed="64"/>
      </patternFill>
    </fill>
    <fill>
      <patternFill patternType="solid">
        <fgColor indexed="10"/>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6"/>
        <bgColor indexed="64"/>
      </patternFill>
    </fill>
    <fill>
      <patternFill patternType="solid">
        <fgColor indexed="45"/>
        <bgColor indexed="64"/>
      </patternFill>
    </fill>
    <fill>
      <patternFill patternType="solid">
        <fgColor indexed="14"/>
        <bgColor indexed="64"/>
      </patternFill>
    </fill>
    <fill>
      <patternFill patternType="solid">
        <fgColor indexed="22"/>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249977111117893"/>
        <bgColor indexed="64"/>
      </patternFill>
    </fill>
  </fills>
  <borders count="5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right/>
      <top style="double">
        <color indexed="64"/>
      </top>
      <bottom style="thin">
        <color indexed="64"/>
      </bottom>
      <diagonal/>
    </border>
    <border>
      <left style="medium">
        <color indexed="64"/>
      </left>
      <right style="double">
        <color indexed="64"/>
      </right>
      <top style="thin">
        <color indexed="64"/>
      </top>
      <bottom/>
      <diagonal/>
    </border>
    <border>
      <left style="thin">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double">
        <color indexed="64"/>
      </top>
      <bottom style="thin">
        <color indexed="64"/>
      </bottom>
      <diagonal/>
    </border>
    <border>
      <left style="double">
        <color indexed="64"/>
      </left>
      <right style="thin">
        <color indexed="64"/>
      </right>
      <top style="thin">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thin">
        <color indexed="64"/>
      </right>
      <top style="thin">
        <color indexed="64"/>
      </top>
      <bottom/>
      <diagonal/>
    </border>
    <border>
      <left style="thick">
        <color indexed="64"/>
      </left>
      <right/>
      <top style="thin">
        <color indexed="64"/>
      </top>
      <bottom style="thin">
        <color indexed="64"/>
      </bottom>
      <diagonal/>
    </border>
    <border>
      <left style="medium">
        <color indexed="64"/>
      </left>
      <right style="double">
        <color indexed="64"/>
      </right>
      <top style="thick">
        <color indexed="64"/>
      </top>
      <bottom style="thin">
        <color indexed="64"/>
      </bottom>
      <diagonal/>
    </border>
    <border>
      <left style="thin">
        <color indexed="64"/>
      </left>
      <right style="thick">
        <color indexed="64"/>
      </right>
      <top style="thin">
        <color indexed="64"/>
      </top>
      <bottom/>
      <diagonal/>
    </border>
    <border>
      <left/>
      <right style="thick">
        <color indexed="64"/>
      </right>
      <top style="double">
        <color indexed="64"/>
      </top>
      <bottom style="thin">
        <color indexed="64"/>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right style="thick">
        <color indexed="64"/>
      </right>
      <top style="thin">
        <color indexed="64"/>
      </top>
      <bottom/>
      <diagonal/>
    </border>
    <border>
      <left/>
      <right style="thick">
        <color indexed="64"/>
      </right>
      <top/>
      <bottom style="thin">
        <color indexed="64"/>
      </bottom>
      <diagonal/>
    </border>
    <border>
      <left style="medium">
        <color indexed="64"/>
      </left>
      <right style="double">
        <color indexed="64"/>
      </right>
      <top style="thin">
        <color indexed="64"/>
      </top>
      <bottom style="thick">
        <color indexed="64"/>
      </bottom>
      <diagonal/>
    </border>
    <border>
      <left style="double">
        <color indexed="64"/>
      </left>
      <right style="thin">
        <color indexed="64"/>
      </right>
      <top style="thin">
        <color indexed="64"/>
      </top>
      <bottom style="thick">
        <color indexed="64"/>
      </bottom>
      <diagonal/>
    </border>
    <border>
      <left style="thin">
        <color indexed="64"/>
      </left>
      <right style="double">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dashDot">
        <color indexed="64"/>
      </left>
      <right/>
      <top/>
      <bottom/>
      <diagonal/>
    </border>
    <border>
      <left style="dashDot">
        <color indexed="64"/>
      </left>
      <right/>
      <top/>
      <bottom style="thin">
        <color indexed="64"/>
      </bottom>
      <diagonal/>
    </border>
    <border>
      <left/>
      <right style="medium">
        <color indexed="64"/>
      </right>
      <top style="thin">
        <color indexed="64"/>
      </top>
      <bottom/>
      <diagonal/>
    </border>
    <border>
      <left style="double">
        <color indexed="64"/>
      </left>
      <right/>
      <top style="thick">
        <color indexed="64"/>
      </top>
      <bottom style="thin">
        <color indexed="64"/>
      </bottom>
      <diagonal/>
    </border>
    <border>
      <left/>
      <right style="double">
        <color indexed="64"/>
      </right>
      <top style="thick">
        <color indexed="64"/>
      </top>
      <bottom style="thin">
        <color indexed="64"/>
      </bottom>
      <diagonal/>
    </border>
    <border>
      <left/>
      <right style="thick">
        <color indexed="64"/>
      </right>
      <top style="thick">
        <color indexed="64"/>
      </top>
      <bottom style="thin">
        <color indexed="64"/>
      </bottom>
      <diagonal/>
    </border>
    <border>
      <left style="thin">
        <color indexed="64"/>
      </left>
      <right style="thin">
        <color indexed="64"/>
      </right>
      <top style="thin">
        <color indexed="64"/>
      </top>
      <bottom style="medium">
        <color indexed="64"/>
      </bottom>
      <diagonal/>
    </border>
    <border>
      <left style="dashDot">
        <color indexed="64"/>
      </left>
      <right/>
      <top style="thin">
        <color indexed="64"/>
      </top>
      <bottom/>
      <diagonal/>
    </border>
    <border>
      <left/>
      <right style="medium">
        <color indexed="64"/>
      </right>
      <top/>
      <bottom/>
      <diagonal/>
    </border>
    <border>
      <left/>
      <right/>
      <top style="medium">
        <color indexed="64"/>
      </top>
      <bottom style="thin">
        <color indexed="64"/>
      </bottom>
      <diagonal/>
    </border>
  </borders>
  <cellStyleXfs count="3">
    <xf numFmtId="0" fontId="0" fillId="0" borderId="0"/>
    <xf numFmtId="44" fontId="1" fillId="0" borderId="0" applyFont="0" applyFill="0" applyBorder="0" applyAlignment="0" applyProtection="0"/>
    <xf numFmtId="0" fontId="5" fillId="0" borderId="0" applyNumberFormat="0" applyFill="0" applyBorder="0" applyAlignment="0" applyProtection="0">
      <alignment vertical="top"/>
      <protection locked="0"/>
    </xf>
  </cellStyleXfs>
  <cellXfs count="370">
    <xf numFmtId="0" fontId="0" fillId="0" borderId="0" xfId="0"/>
    <xf numFmtId="0" fontId="3" fillId="0" borderId="0" xfId="0" applyFont="1" applyAlignment="1" applyProtection="1">
      <alignment horizontal="left"/>
    </xf>
    <xf numFmtId="0" fontId="2" fillId="0" borderId="0" xfId="0" applyFont="1" applyAlignment="1" applyProtection="1">
      <alignment horizontal="left"/>
    </xf>
    <xf numFmtId="0" fontId="0" fillId="0" borderId="0" xfId="0" applyProtection="1"/>
    <xf numFmtId="0" fontId="3" fillId="0" borderId="0" xfId="0" applyFont="1" applyProtection="1"/>
    <xf numFmtId="0" fontId="0" fillId="0" borderId="0" xfId="0" applyAlignment="1" applyProtection="1">
      <alignment horizontal="left" wrapText="1"/>
    </xf>
    <xf numFmtId="0" fontId="0" fillId="0" borderId="0" xfId="0" applyAlignment="1" applyProtection="1">
      <alignment horizontal="left" vertical="top" wrapText="1"/>
    </xf>
    <xf numFmtId="0" fontId="5" fillId="0" borderId="0" xfId="2" applyAlignment="1" applyProtection="1">
      <alignment horizontal="left"/>
    </xf>
    <xf numFmtId="0" fontId="0" fillId="0" borderId="0" xfId="0" applyAlignment="1" applyProtection="1">
      <alignment wrapText="1"/>
    </xf>
    <xf numFmtId="164" fontId="0" fillId="0" borderId="0" xfId="0" applyNumberFormat="1" applyAlignment="1" applyProtection="1">
      <alignment horizontal="center"/>
    </xf>
    <xf numFmtId="0" fontId="8" fillId="0" borderId="0" xfId="0" applyFont="1" applyProtection="1">
      <protection locked="0"/>
    </xf>
    <xf numFmtId="14" fontId="0" fillId="0" borderId="0" xfId="0" applyNumberFormat="1" applyAlignment="1" applyProtection="1">
      <alignment horizontal="left"/>
      <protection locked="0"/>
    </xf>
    <xf numFmtId="14" fontId="3" fillId="0" borderId="0" xfId="0" applyNumberFormat="1" applyFont="1" applyAlignment="1" applyProtection="1">
      <alignment horizontal="center" textRotation="90"/>
    </xf>
    <xf numFmtId="14" fontId="0" fillId="0" borderId="0" xfId="0" applyNumberFormat="1" applyAlignment="1" applyProtection="1">
      <alignment horizontal="left"/>
    </xf>
    <xf numFmtId="0" fontId="3" fillId="0" borderId="0" xfId="0" applyFont="1" applyAlignment="1">
      <alignment horizontal="center"/>
    </xf>
    <xf numFmtId="0" fontId="4" fillId="0" borderId="0" xfId="0" applyFont="1" applyAlignment="1" applyProtection="1">
      <alignment horizontal="center"/>
      <protection locked="0"/>
    </xf>
    <xf numFmtId="0" fontId="0" fillId="0" borderId="1" xfId="0" applyBorder="1" applyProtection="1">
      <protection locked="0"/>
    </xf>
    <xf numFmtId="0" fontId="0" fillId="0" borderId="0" xfId="0" applyBorder="1" applyProtection="1">
      <protection locked="0"/>
    </xf>
    <xf numFmtId="0" fontId="0" fillId="0" borderId="0" xfId="0" applyBorder="1" applyProtection="1"/>
    <xf numFmtId="0" fontId="0" fillId="0" borderId="3" xfId="0" applyBorder="1" applyProtection="1">
      <protection locked="0"/>
    </xf>
    <xf numFmtId="0" fontId="0" fillId="0" borderId="2" xfId="0" applyBorder="1" applyProtection="1">
      <protection locked="0"/>
    </xf>
    <xf numFmtId="0" fontId="0" fillId="0" borderId="2" xfId="0" applyBorder="1" applyProtection="1"/>
    <xf numFmtId="0" fontId="0" fillId="0" borderId="4" xfId="0" applyFill="1" applyBorder="1" applyAlignment="1" applyProtection="1">
      <alignment horizontal="center"/>
      <protection locked="0"/>
    </xf>
    <xf numFmtId="0" fontId="0" fillId="0" borderId="4" xfId="0" applyBorder="1" applyAlignment="1" applyProtection="1">
      <alignment horizontal="center"/>
      <protection locked="0"/>
    </xf>
    <xf numFmtId="0" fontId="0" fillId="0" borderId="4" xfId="0" applyBorder="1" applyProtection="1">
      <protection locked="0"/>
    </xf>
    <xf numFmtId="0" fontId="3" fillId="0" borderId="5" xfId="0" applyFont="1" applyBorder="1" applyAlignment="1" applyProtection="1"/>
    <xf numFmtId="0" fontId="3" fillId="0" borderId="0" xfId="0" applyFont="1" applyBorder="1" applyAlignment="1" applyProtection="1">
      <alignment horizontal="left"/>
    </xf>
    <xf numFmtId="0" fontId="3" fillId="0" borderId="0" xfId="0" applyFont="1" applyBorder="1" applyAlignment="1" applyProtection="1">
      <alignment vertical="top"/>
    </xf>
    <xf numFmtId="0" fontId="0" fillId="0" borderId="0" xfId="0" applyBorder="1" applyAlignment="1" applyProtection="1">
      <alignment vertical="top"/>
    </xf>
    <xf numFmtId="0" fontId="0" fillId="0" borderId="0" xfId="0" applyFill="1" applyBorder="1" applyAlignment="1" applyProtection="1">
      <alignment horizontal="center"/>
    </xf>
    <xf numFmtId="0" fontId="0" fillId="0" borderId="1" xfId="0" applyBorder="1" applyAlignment="1">
      <alignment horizontal="right"/>
    </xf>
    <xf numFmtId="0" fontId="0" fillId="0" borderId="4" xfId="0" applyBorder="1"/>
    <xf numFmtId="0" fontId="3" fillId="0" borderId="7" xfId="0" applyFont="1" applyBorder="1" applyProtection="1"/>
    <xf numFmtId="0" fontId="0" fillId="0" borderId="7" xfId="0" applyBorder="1" applyProtection="1"/>
    <xf numFmtId="0" fontId="0" fillId="0" borderId="7" xfId="0" applyBorder="1" applyAlignment="1" applyProtection="1">
      <alignment horizontal="center"/>
    </xf>
    <xf numFmtId="0" fontId="0" fillId="0" borderId="4" xfId="0" applyBorder="1" applyAlignment="1">
      <alignment vertical="top" wrapText="1"/>
    </xf>
    <xf numFmtId="0" fontId="0" fillId="0" borderId="6" xfId="0" applyFill="1" applyBorder="1" applyAlignment="1" applyProtection="1">
      <alignment horizontal="center"/>
      <protection locked="0"/>
    </xf>
    <xf numFmtId="0" fontId="3" fillId="0" borderId="0" xfId="0" applyFont="1" applyBorder="1" applyAlignment="1">
      <alignment horizontal="center"/>
    </xf>
    <xf numFmtId="0" fontId="3" fillId="0" borderId="8" xfId="0" applyFont="1" applyBorder="1" applyAlignment="1">
      <alignment horizontal="center"/>
    </xf>
    <xf numFmtId="0" fontId="14" fillId="8" borderId="4" xfId="0" applyFont="1" applyFill="1" applyBorder="1" applyAlignment="1">
      <alignment horizontal="left" vertical="top"/>
    </xf>
    <xf numFmtId="0" fontId="14" fillId="9" borderId="4" xfId="0" applyFont="1" applyFill="1" applyBorder="1" applyAlignment="1">
      <alignment horizontal="left" vertical="top"/>
    </xf>
    <xf numFmtId="0" fontId="18" fillId="0" borderId="0" xfId="0" applyFont="1" applyAlignment="1">
      <alignment horizontal="center" vertical="center"/>
    </xf>
    <xf numFmtId="0" fontId="17" fillId="0" borderId="0" xfId="0" applyFont="1" applyFill="1" applyBorder="1" applyAlignment="1">
      <alignment horizontal="center" vertical="center"/>
    </xf>
    <xf numFmtId="0" fontId="0" fillId="0" borderId="1" xfId="0" applyBorder="1" applyAlignment="1">
      <alignment horizontal="center"/>
    </xf>
    <xf numFmtId="0" fontId="4" fillId="0" borderId="4" xfId="0" applyFont="1" applyBorder="1" applyAlignment="1">
      <alignment vertical="top" wrapText="1"/>
    </xf>
    <xf numFmtId="0" fontId="11" fillId="0" borderId="4" xfId="0" applyFont="1" applyBorder="1" applyAlignment="1" applyProtection="1">
      <alignment horizontal="center" vertical="top"/>
      <protection locked="0"/>
    </xf>
    <xf numFmtId="0" fontId="17" fillId="0" borderId="0" xfId="0" applyFont="1" applyFill="1" applyBorder="1" applyAlignment="1">
      <alignment horizontal="left" vertical="center"/>
    </xf>
    <xf numFmtId="0" fontId="0" fillId="0" borderId="6" xfId="0" applyBorder="1" applyAlignment="1">
      <alignment horizontal="left" vertical="top"/>
    </xf>
    <xf numFmtId="0" fontId="22" fillId="0" borderId="4" xfId="0" applyFont="1" applyBorder="1" applyAlignment="1" applyProtection="1">
      <alignment horizontal="center"/>
    </xf>
    <xf numFmtId="0" fontId="3" fillId="0" borderId="2" xfId="0" applyFont="1" applyBorder="1"/>
    <xf numFmtId="0" fontId="0" fillId="0" borderId="4" xfId="0" applyBorder="1" applyAlignment="1" applyProtection="1">
      <alignment horizontal="center"/>
    </xf>
    <xf numFmtId="0" fontId="11" fillId="0" borderId="0" xfId="0" applyFont="1" applyBorder="1" applyAlignment="1" applyProtection="1">
      <alignment horizontal="center" vertical="center" textRotation="90"/>
    </xf>
    <xf numFmtId="0" fontId="3" fillId="0" borderId="0" xfId="0" applyFont="1" applyFill="1" applyBorder="1" applyAlignment="1" applyProtection="1">
      <alignment wrapText="1"/>
    </xf>
    <xf numFmtId="0" fontId="0" fillId="0" borderId="0" xfId="0" applyFill="1" applyBorder="1" applyAlignment="1" applyProtection="1">
      <alignment wrapText="1"/>
    </xf>
    <xf numFmtId="0" fontId="22" fillId="0" borderId="9" xfId="0" applyFont="1" applyBorder="1" applyAlignment="1" applyProtection="1">
      <alignment horizontal="center"/>
    </xf>
    <xf numFmtId="0" fontId="8" fillId="0" borderId="0" xfId="0" applyFont="1" applyAlignment="1">
      <alignment horizontal="center"/>
    </xf>
    <xf numFmtId="0" fontId="0" fillId="0" borderId="0" xfId="0" applyAlignment="1">
      <alignment horizontal="center"/>
    </xf>
    <xf numFmtId="0" fontId="0" fillId="0" borderId="2" xfId="0" applyBorder="1" applyAlignment="1">
      <alignment horizontal="left" vertical="top"/>
    </xf>
    <xf numFmtId="0" fontId="0" fillId="0" borderId="2" xfId="0" applyBorder="1" applyAlignment="1" applyProtection="1">
      <alignment horizontal="center"/>
    </xf>
    <xf numFmtId="0" fontId="0" fillId="0" borderId="7" xfId="0" applyBorder="1" applyAlignment="1">
      <alignment horizontal="left" vertical="top"/>
    </xf>
    <xf numFmtId="44" fontId="0" fillId="0" borderId="4" xfId="1" applyFont="1" applyBorder="1" applyProtection="1">
      <protection locked="0"/>
    </xf>
    <xf numFmtId="0" fontId="3" fillId="0" borderId="0" xfId="0" applyFont="1"/>
    <xf numFmtId="166" fontId="0" fillId="0" borderId="0" xfId="0" applyNumberFormat="1"/>
    <xf numFmtId="166" fontId="3" fillId="0" borderId="0" xfId="0" applyNumberFormat="1" applyFont="1" applyAlignment="1">
      <alignment horizontal="center"/>
    </xf>
    <xf numFmtId="166" fontId="0" fillId="0" borderId="4" xfId="0" applyNumberFormat="1" applyBorder="1" applyProtection="1">
      <protection locked="0"/>
    </xf>
    <xf numFmtId="0" fontId="3" fillId="0" borderId="4" xfId="0" applyFont="1" applyBorder="1" applyAlignment="1" applyProtection="1">
      <alignment horizontal="left"/>
    </xf>
    <xf numFmtId="0" fontId="0" fillId="0" borderId="10" xfId="0" applyBorder="1" applyAlignment="1">
      <alignment horizontal="right"/>
    </xf>
    <xf numFmtId="0" fontId="0" fillId="0" borderId="11" xfId="0" applyBorder="1"/>
    <xf numFmtId="0" fontId="26" fillId="0" borderId="0" xfId="0" applyFont="1" applyAlignment="1">
      <alignment horizontal="center" vertical="center"/>
    </xf>
    <xf numFmtId="0" fontId="4" fillId="0" borderId="0" xfId="0" applyFont="1" applyAlignment="1">
      <alignment horizontal="center"/>
    </xf>
    <xf numFmtId="0" fontId="4" fillId="0" borderId="4" xfId="0" applyFont="1" applyBorder="1" applyAlignment="1" applyProtection="1">
      <alignment horizontal="left" indent="1"/>
      <protection locked="0"/>
    </xf>
    <xf numFmtId="0" fontId="0" fillId="8" borderId="0" xfId="0" applyFill="1"/>
    <xf numFmtId="0" fontId="1" fillId="0" borderId="0" xfId="0" applyFont="1"/>
    <xf numFmtId="0" fontId="0" fillId="0" borderId="0" xfId="0" applyBorder="1"/>
    <xf numFmtId="0" fontId="4" fillId="0" borderId="4" xfId="0" applyFont="1" applyBorder="1" applyAlignment="1" applyProtection="1">
      <alignment horizontal="center"/>
      <protection locked="0"/>
    </xf>
    <xf numFmtId="0" fontId="3" fillId="8" borderId="4" xfId="0" applyFont="1" applyFill="1" applyBorder="1" applyAlignment="1">
      <alignment horizontal="center"/>
    </xf>
    <xf numFmtId="0" fontId="3" fillId="0" borderId="4" xfId="0" applyFont="1" applyFill="1" applyBorder="1" applyAlignment="1">
      <alignment horizontal="center"/>
    </xf>
    <xf numFmtId="0" fontId="4" fillId="0" borderId="5" xfId="0" applyFont="1" applyBorder="1" applyAlignment="1">
      <alignment horizontal="right"/>
    </xf>
    <xf numFmtId="0" fontId="29" fillId="0" borderId="0" xfId="0" applyFont="1" applyBorder="1" applyAlignment="1">
      <alignment horizontal="right"/>
    </xf>
    <xf numFmtId="0" fontId="4" fillId="0" borderId="25" xfId="0" applyFont="1" applyBorder="1" applyAlignment="1">
      <alignment horizontal="left" wrapText="1"/>
    </xf>
    <xf numFmtId="0" fontId="30" fillId="0" borderId="0" xfId="0" applyFont="1"/>
    <xf numFmtId="0" fontId="29" fillId="0" borderId="1" xfId="0" applyFont="1" applyBorder="1" applyAlignment="1">
      <alignment horizontal="left" wrapText="1"/>
    </xf>
    <xf numFmtId="0" fontId="4" fillId="8" borderId="4" xfId="0" applyFont="1" applyFill="1" applyBorder="1" applyAlignment="1">
      <alignment horizontal="center"/>
    </xf>
    <xf numFmtId="0" fontId="3" fillId="0" borderId="0" xfId="0" applyFont="1" applyAlignment="1" applyProtection="1">
      <alignment vertical="top"/>
    </xf>
    <xf numFmtId="164" fontId="0" fillId="0" borderId="0" xfId="0" applyNumberFormat="1" applyAlignment="1" applyProtection="1">
      <alignment horizontal="center" vertical="top"/>
    </xf>
    <xf numFmtId="167" fontId="0" fillId="0" borderId="1" xfId="0" applyNumberFormat="1" applyBorder="1" applyProtection="1">
      <protection locked="0"/>
    </xf>
    <xf numFmtId="167" fontId="0" fillId="0" borderId="0" xfId="0" applyNumberFormat="1" applyBorder="1" applyProtection="1">
      <protection locked="0"/>
    </xf>
    <xf numFmtId="0" fontId="4" fillId="0" borderId="1" xfId="0" applyFont="1" applyBorder="1" applyAlignment="1">
      <alignment horizontal="left" wrapText="1"/>
    </xf>
    <xf numFmtId="0" fontId="4" fillId="0" borderId="0" xfId="0" applyFont="1" applyBorder="1" applyAlignment="1" applyProtection="1"/>
    <xf numFmtId="0" fontId="4" fillId="0" borderId="0" xfId="0" applyFont="1" applyBorder="1" applyAlignment="1">
      <alignment horizontal="left"/>
    </xf>
    <xf numFmtId="0" fontId="0" fillId="0" borderId="4" xfId="0" applyBorder="1" applyAlignment="1">
      <alignment horizontal="left"/>
    </xf>
    <xf numFmtId="0" fontId="0" fillId="0" borderId="0" xfId="0" applyBorder="1" applyAlignment="1">
      <alignment horizontal="left"/>
    </xf>
    <xf numFmtId="0" fontId="25" fillId="0" borderId="0" xfId="0" applyFont="1" applyBorder="1" applyAlignment="1">
      <alignment horizontal="center" vertical="center" textRotation="90"/>
    </xf>
    <xf numFmtId="0" fontId="8" fillId="0" borderId="27" xfId="0" applyFont="1" applyBorder="1" applyAlignment="1" applyProtection="1">
      <alignment horizontal="center" vertical="center" wrapText="1"/>
    </xf>
    <xf numFmtId="0" fontId="0" fillId="0" borderId="0" xfId="0" applyAlignment="1">
      <alignment horizontal="center" vertical="center" textRotation="90"/>
    </xf>
    <xf numFmtId="0" fontId="24" fillId="0" borderId="0" xfId="0" applyFont="1" applyFill="1" applyBorder="1" applyAlignment="1" applyProtection="1">
      <alignment horizontal="center" vertical="center" textRotation="90"/>
    </xf>
    <xf numFmtId="0" fontId="27" fillId="0" borderId="0" xfId="0" applyFont="1" applyFill="1" applyAlignment="1">
      <alignment horizontal="center" vertical="center" textRotation="90"/>
    </xf>
    <xf numFmtId="0" fontId="0" fillId="0" borderId="0" xfId="0" applyFill="1"/>
    <xf numFmtId="0" fontId="0" fillId="0" borderId="4" xfId="0" quotePrefix="1" applyBorder="1"/>
    <xf numFmtId="0" fontId="22" fillId="0" borderId="0" xfId="0" applyFont="1" applyBorder="1" applyAlignment="1" applyProtection="1">
      <alignment horizontal="center"/>
    </xf>
    <xf numFmtId="0" fontId="1" fillId="0" borderId="1" xfId="0" applyFont="1" applyBorder="1" applyProtection="1">
      <protection locked="0"/>
    </xf>
    <xf numFmtId="0" fontId="3" fillId="0" borderId="0" xfId="0" applyFont="1" applyAlignment="1" applyProtection="1"/>
    <xf numFmtId="0" fontId="0" fillId="0" borderId="0" xfId="0" applyBorder="1" applyAlignment="1">
      <alignment horizontal="left" vertical="top"/>
    </xf>
    <xf numFmtId="0" fontId="0" fillId="0" borderId="2" xfId="0" applyBorder="1"/>
    <xf numFmtId="0" fontId="8" fillId="0" borderId="0" xfId="0" applyFont="1" applyBorder="1" applyAlignment="1" applyProtection="1"/>
    <xf numFmtId="0" fontId="4" fillId="0" borderId="0" xfId="0" applyFont="1" applyBorder="1" applyAlignment="1" applyProtection="1">
      <alignment horizontal="right"/>
    </xf>
    <xf numFmtId="0" fontId="4" fillId="0" borderId="1" xfId="0" applyFont="1" applyBorder="1" applyAlignment="1" applyProtection="1">
      <alignment horizontal="left" wrapText="1"/>
    </xf>
    <xf numFmtId="0" fontId="29" fillId="0" borderId="0" xfId="0" applyFont="1" applyBorder="1" applyAlignment="1" applyProtection="1">
      <alignment horizontal="right"/>
    </xf>
    <xf numFmtId="0" fontId="29" fillId="0" borderId="1" xfId="0" applyFont="1" applyBorder="1" applyAlignment="1" applyProtection="1">
      <alignment horizontal="left"/>
    </xf>
    <xf numFmtId="0" fontId="0" fillId="0" borderId="1" xfId="0" applyBorder="1" applyAlignment="1" applyProtection="1">
      <alignment horizontal="right"/>
    </xf>
    <xf numFmtId="0" fontId="3" fillId="0" borderId="8" xfId="0" applyFont="1" applyBorder="1" applyAlignment="1" applyProtection="1">
      <alignment horizontal="center"/>
    </xf>
    <xf numFmtId="0" fontId="3" fillId="0" borderId="0" xfId="0" applyFont="1" applyBorder="1" applyAlignment="1" applyProtection="1"/>
    <xf numFmtId="0" fontId="27" fillId="0" borderId="0" xfId="0" applyFont="1" applyFill="1" applyBorder="1" applyAlignment="1">
      <alignment horizontal="center" vertical="center" textRotation="90"/>
    </xf>
    <xf numFmtId="0" fontId="32" fillId="0" borderId="0" xfId="0" applyFont="1" applyFill="1" applyAlignment="1" applyProtection="1">
      <alignment horizontal="center" vertical="center" textRotation="90"/>
    </xf>
    <xf numFmtId="0" fontId="1" fillId="0" borderId="0" xfId="0" applyFont="1" applyAlignment="1" applyProtection="1">
      <alignment horizontal="right"/>
    </xf>
    <xf numFmtId="0" fontId="1" fillId="0" borderId="1" xfId="0" applyFont="1" applyBorder="1" applyAlignment="1" applyProtection="1">
      <alignment horizontal="left" wrapText="1"/>
    </xf>
    <xf numFmtId="0" fontId="29" fillId="0" borderId="0" xfId="0" applyFont="1" applyAlignment="1" applyProtection="1">
      <alignment horizontal="right"/>
    </xf>
    <xf numFmtId="0" fontId="29" fillId="0" borderId="1" xfId="0" applyFont="1" applyBorder="1" applyAlignment="1" applyProtection="1">
      <alignment horizontal="left" wrapText="1"/>
    </xf>
    <xf numFmtId="0" fontId="33" fillId="0" borderId="0" xfId="0" applyFont="1" applyFill="1" applyAlignment="1" applyProtection="1">
      <alignment horizontal="center" vertical="center" textRotation="90"/>
    </xf>
    <xf numFmtId="0" fontId="0" fillId="0" borderId="0" xfId="0" applyFill="1" applyAlignment="1" applyProtection="1"/>
    <xf numFmtId="0" fontId="0" fillId="0" borderId="0" xfId="0" applyFill="1" applyProtection="1"/>
    <xf numFmtId="0" fontId="0" fillId="0" borderId="0" xfId="0" applyAlignment="1" applyProtection="1">
      <alignment horizontal="center"/>
    </xf>
    <xf numFmtId="44" fontId="0" fillId="0" borderId="0" xfId="1" applyFont="1"/>
    <xf numFmtId="0" fontId="0" fillId="0" borderId="11" xfId="0" applyBorder="1" applyProtection="1">
      <protection locked="0"/>
    </xf>
    <xf numFmtId="44" fontId="0" fillId="0" borderId="0" xfId="1" applyFont="1" applyBorder="1" applyProtection="1">
      <protection locked="0"/>
    </xf>
    <xf numFmtId="14" fontId="0" fillId="0" borderId="4" xfId="0" applyNumberFormat="1" applyBorder="1" applyProtection="1">
      <protection locked="0"/>
    </xf>
    <xf numFmtId="0" fontId="0" fillId="0" borderId="0" xfId="0" applyAlignment="1">
      <alignment wrapText="1"/>
    </xf>
    <xf numFmtId="0" fontId="3" fillId="0" borderId="0" xfId="0" applyFont="1" applyBorder="1" applyAlignment="1"/>
    <xf numFmtId="44" fontId="0" fillId="0" borderId="4" xfId="1" applyFont="1" applyBorder="1" applyProtection="1"/>
    <xf numFmtId="44" fontId="3" fillId="0" borderId="8" xfId="1" applyFont="1" applyBorder="1" applyAlignment="1" applyProtection="1">
      <alignment wrapText="1"/>
    </xf>
    <xf numFmtId="0" fontId="0" fillId="0" borderId="4" xfId="0" applyBorder="1" applyAlignment="1" applyProtection="1">
      <alignment horizontal="center" wrapText="1"/>
    </xf>
    <xf numFmtId="44" fontId="0" fillId="0" borderId="4" xfId="1" applyFont="1" applyBorder="1" applyAlignment="1" applyProtection="1">
      <alignment wrapText="1"/>
    </xf>
    <xf numFmtId="44" fontId="0" fillId="0" borderId="4" xfId="0" applyNumberFormat="1" applyBorder="1" applyProtection="1"/>
    <xf numFmtId="44" fontId="0" fillId="0" borderId="6" xfId="0" applyNumberFormat="1" applyBorder="1" applyProtection="1"/>
    <xf numFmtId="44" fontId="3" fillId="0" borderId="8" xfId="1" applyFont="1" applyBorder="1" applyAlignment="1" applyProtection="1"/>
    <xf numFmtId="0" fontId="1" fillId="0" borderId="4" xfId="0" applyFont="1" applyBorder="1" applyAlignment="1" applyProtection="1">
      <alignment horizontal="center" wrapText="1"/>
    </xf>
    <xf numFmtId="0" fontId="4" fillId="0" borderId="0" xfId="0" applyFont="1" applyBorder="1" applyAlignment="1" applyProtection="1">
      <alignment vertical="top" wrapText="1"/>
    </xf>
    <xf numFmtId="0" fontId="11" fillId="0" borderId="0" xfId="0" applyFont="1" applyBorder="1" applyAlignment="1" applyProtection="1">
      <alignment horizontal="center" vertical="top"/>
    </xf>
    <xf numFmtId="0" fontId="11" fillId="0" borderId="0" xfId="0" applyFont="1" applyBorder="1" applyAlignment="1" applyProtection="1">
      <alignment horizontal="center"/>
    </xf>
    <xf numFmtId="0" fontId="3" fillId="0" borderId="11" xfId="0" applyFont="1" applyBorder="1" applyAlignment="1">
      <alignment horizontal="left" vertical="top"/>
    </xf>
    <xf numFmtId="0" fontId="3" fillId="0" borderId="0" xfId="0" applyFont="1" applyBorder="1" applyAlignment="1">
      <alignment horizontal="left" vertical="top"/>
    </xf>
    <xf numFmtId="0" fontId="8" fillId="0" borderId="11" xfId="0" applyFont="1" applyFill="1" applyBorder="1" applyAlignment="1">
      <alignment horizontal="center" vertical="center"/>
    </xf>
    <xf numFmtId="0" fontId="8" fillId="0" borderId="0" xfId="0" applyFont="1" applyFill="1" applyBorder="1" applyAlignment="1">
      <alignment horizontal="center" vertical="center"/>
    </xf>
    <xf numFmtId="0" fontId="8" fillId="13" borderId="38" xfId="0" applyFont="1" applyFill="1" applyBorder="1" applyAlignment="1">
      <alignment horizontal="center" vertical="center"/>
    </xf>
    <xf numFmtId="0" fontId="0" fillId="0" borderId="5" xfId="0" applyBorder="1"/>
    <xf numFmtId="0" fontId="3" fillId="0" borderId="10" xfId="0" applyFont="1" applyBorder="1" applyAlignment="1">
      <alignment horizontal="left" vertical="center"/>
    </xf>
    <xf numFmtId="0" fontId="3" fillId="0" borderId="39" xfId="0" applyFont="1" applyBorder="1" applyAlignment="1">
      <alignment horizontal="left" vertical="center"/>
    </xf>
    <xf numFmtId="0" fontId="3" fillId="0" borderId="40" xfId="0" applyFont="1" applyBorder="1" applyAlignment="1">
      <alignment horizontal="left" vertical="center"/>
    </xf>
    <xf numFmtId="0" fontId="28" fillId="0" borderId="7" xfId="0" applyFont="1" applyBorder="1" applyAlignment="1" applyProtection="1">
      <alignment horizontal="right"/>
    </xf>
    <xf numFmtId="0" fontId="28" fillId="0" borderId="5" xfId="0" applyFont="1" applyBorder="1" applyAlignment="1" applyProtection="1">
      <alignment horizontal="right"/>
    </xf>
    <xf numFmtId="44" fontId="0" fillId="0" borderId="6" xfId="1" applyFont="1" applyBorder="1" applyAlignment="1" applyProtection="1">
      <alignment wrapText="1"/>
    </xf>
    <xf numFmtId="0" fontId="0" fillId="0" borderId="0" xfId="0" applyAlignment="1" applyProtection="1">
      <alignment horizontal="left"/>
    </xf>
    <xf numFmtId="0" fontId="0" fillId="0" borderId="0" xfId="0" applyAlignment="1" applyProtection="1">
      <alignment horizontal="left" vertical="top"/>
    </xf>
    <xf numFmtId="0" fontId="5" fillId="0" borderId="0" xfId="2" applyAlignment="1" applyProtection="1">
      <alignment horizontal="left" vertical="top"/>
    </xf>
    <xf numFmtId="0" fontId="1" fillId="0" borderId="4" xfId="0" applyFont="1" applyBorder="1" applyAlignment="1" applyProtection="1">
      <alignment horizontal="center"/>
      <protection locked="0"/>
    </xf>
    <xf numFmtId="0" fontId="1" fillId="0" borderId="4" xfId="0" applyFont="1" applyFill="1" applyBorder="1" applyAlignment="1" applyProtection="1">
      <alignment horizontal="center"/>
      <protection locked="0"/>
    </xf>
    <xf numFmtId="0" fontId="1" fillId="0" borderId="4" xfId="0" applyFont="1" applyBorder="1" applyAlignment="1">
      <alignment vertical="top" wrapText="1"/>
    </xf>
    <xf numFmtId="0" fontId="1" fillId="0" borderId="26" xfId="0" applyFont="1" applyBorder="1" applyAlignment="1" applyProtection="1">
      <alignment horizontal="center" vertical="center" wrapText="1"/>
    </xf>
    <xf numFmtId="0" fontId="3" fillId="0" borderId="19" xfId="0" applyFont="1" applyBorder="1" applyAlignment="1" applyProtection="1">
      <alignment horizontal="left"/>
    </xf>
    <xf numFmtId="0" fontId="1" fillId="0" borderId="14" xfId="0" applyFont="1" applyBorder="1" applyAlignment="1" applyProtection="1">
      <alignment horizontal="center" vertical="center"/>
    </xf>
    <xf numFmtId="165" fontId="1" fillId="0" borderId="14" xfId="0" applyNumberFormat="1" applyFont="1" applyBorder="1" applyAlignment="1" applyProtection="1">
      <alignment horizontal="center"/>
    </xf>
    <xf numFmtId="0" fontId="1" fillId="0" borderId="14" xfId="0" applyNumberFormat="1" applyFont="1" applyBorder="1" applyAlignment="1" applyProtection="1">
      <alignment horizontal="center"/>
    </xf>
    <xf numFmtId="0" fontId="1" fillId="0" borderId="29" xfId="0" applyNumberFormat="1" applyFont="1" applyBorder="1" applyAlignment="1" applyProtection="1">
      <alignment horizontal="center"/>
    </xf>
    <xf numFmtId="0" fontId="1" fillId="0" borderId="15" xfId="0" applyFont="1" applyBorder="1" applyAlignment="1" applyProtection="1">
      <alignment horizontal="left" indent="1"/>
    </xf>
    <xf numFmtId="0" fontId="3" fillId="0" borderId="20" xfId="0" applyFont="1" applyBorder="1" applyAlignment="1" applyProtection="1">
      <alignment horizontal="center"/>
    </xf>
    <xf numFmtId="165" fontId="1" fillId="0" borderId="16" xfId="0" applyNumberFormat="1" applyFont="1" applyBorder="1" applyAlignment="1" applyProtection="1">
      <alignment horizontal="center"/>
      <protection locked="0"/>
    </xf>
    <xf numFmtId="165" fontId="1" fillId="0" borderId="30" xfId="0" applyNumberFormat="1" applyFont="1" applyBorder="1" applyAlignment="1" applyProtection="1">
      <alignment horizontal="center"/>
      <protection locked="0"/>
    </xf>
    <xf numFmtId="0" fontId="3" fillId="0" borderId="18" xfId="0" applyFont="1" applyBorder="1" applyAlignment="1" applyProtection="1">
      <alignment horizontal="left"/>
    </xf>
    <xf numFmtId="0" fontId="3" fillId="0" borderId="7" xfId="0" applyFont="1" applyBorder="1" applyAlignment="1" applyProtection="1">
      <alignment horizontal="center"/>
    </xf>
    <xf numFmtId="0" fontId="1" fillId="0" borderId="17" xfId="0" applyFont="1" applyBorder="1" applyAlignment="1" applyProtection="1">
      <alignment horizontal="left" vertical="top" indent="1"/>
    </xf>
    <xf numFmtId="0" fontId="3" fillId="0" borderId="23" xfId="0" applyFont="1" applyBorder="1" applyProtection="1"/>
    <xf numFmtId="0" fontId="3" fillId="0" borderId="5" xfId="0" applyFont="1" applyBorder="1" applyAlignment="1" applyProtection="1">
      <alignment horizontal="center"/>
    </xf>
    <xf numFmtId="165" fontId="1" fillId="0" borderId="5" xfId="0" applyNumberFormat="1" applyFont="1" applyBorder="1" applyAlignment="1" applyProtection="1">
      <alignment horizontal="center"/>
    </xf>
    <xf numFmtId="165" fontId="1" fillId="0" borderId="32" xfId="0" applyNumberFormat="1" applyFont="1" applyBorder="1" applyAlignment="1" applyProtection="1">
      <alignment horizontal="center"/>
    </xf>
    <xf numFmtId="0" fontId="1" fillId="0" borderId="24" xfId="0" applyFont="1" applyBorder="1" applyAlignment="1" applyProtection="1">
      <alignment horizontal="left" indent="1"/>
    </xf>
    <xf numFmtId="0" fontId="3" fillId="0" borderId="2" xfId="0" applyFont="1" applyBorder="1" applyAlignment="1" applyProtection="1">
      <alignment horizontal="center"/>
    </xf>
    <xf numFmtId="165" fontId="1" fillId="0" borderId="2" xfId="0" applyNumberFormat="1" applyFont="1" applyBorder="1" applyAlignment="1" applyProtection="1">
      <alignment horizontal="center"/>
    </xf>
    <xf numFmtId="165" fontId="1" fillId="0" borderId="33" xfId="0" applyNumberFormat="1" applyFont="1" applyBorder="1" applyAlignment="1" applyProtection="1">
      <alignment horizontal="center"/>
    </xf>
    <xf numFmtId="0" fontId="10" fillId="0" borderId="17" xfId="0" applyFont="1" applyBorder="1" applyAlignment="1" applyProtection="1">
      <alignment horizontal="left" indent="2"/>
    </xf>
    <xf numFmtId="0" fontId="1" fillId="0" borderId="18" xfId="0" applyFont="1" applyBorder="1" applyAlignment="1" applyProtection="1">
      <alignment horizontal="left" indent="1"/>
    </xf>
    <xf numFmtId="165" fontId="1" fillId="0" borderId="7" xfId="0" applyNumberFormat="1" applyFont="1" applyBorder="1" applyAlignment="1" applyProtection="1">
      <alignment horizontal="center"/>
    </xf>
    <xf numFmtId="165" fontId="1" fillId="0" borderId="31" xfId="0" applyNumberFormat="1" applyFont="1" applyBorder="1" applyAlignment="1" applyProtection="1">
      <alignment horizontal="center"/>
    </xf>
    <xf numFmtId="0" fontId="3" fillId="0" borderId="17" xfId="0" applyFont="1" applyBorder="1" applyProtection="1"/>
    <xf numFmtId="0" fontId="3" fillId="0" borderId="21" xfId="0" applyFont="1" applyBorder="1" applyAlignment="1" applyProtection="1">
      <alignment horizontal="center"/>
    </xf>
    <xf numFmtId="0" fontId="1" fillId="0" borderId="17" xfId="0" applyFont="1" applyBorder="1" applyAlignment="1" applyProtection="1">
      <alignment horizontal="left" indent="1"/>
    </xf>
    <xf numFmtId="0" fontId="3" fillId="0" borderId="24" xfId="0" applyFont="1" applyBorder="1" applyProtection="1"/>
    <xf numFmtId="0" fontId="1" fillId="0" borderId="34" xfId="0" applyFont="1" applyBorder="1" applyAlignment="1" applyProtection="1">
      <alignment horizontal="left" indent="1"/>
    </xf>
    <xf numFmtId="0" fontId="3" fillId="0" borderId="35" xfId="0" applyFont="1" applyBorder="1" applyAlignment="1" applyProtection="1">
      <alignment horizontal="center"/>
    </xf>
    <xf numFmtId="165" fontId="1" fillId="0" borderId="36" xfId="0" applyNumberFormat="1" applyFont="1" applyBorder="1" applyAlignment="1" applyProtection="1">
      <alignment horizontal="center"/>
      <protection locked="0"/>
    </xf>
    <xf numFmtId="165" fontId="1" fillId="0" borderId="37" xfId="0" applyNumberFormat="1" applyFont="1" applyBorder="1" applyAlignment="1" applyProtection="1">
      <alignment horizontal="center"/>
      <protection locked="0"/>
    </xf>
    <xf numFmtId="0" fontId="11" fillId="0" borderId="12" xfId="0" applyFont="1" applyBorder="1" applyAlignment="1" applyProtection="1">
      <alignment horizontal="center" vertical="center" textRotation="90"/>
    </xf>
    <xf numFmtId="0" fontId="11" fillId="0" borderId="13" xfId="0" applyFont="1" applyBorder="1" applyAlignment="1" applyProtection="1">
      <alignment horizontal="center" vertical="center" textRotation="90" wrapText="1"/>
    </xf>
    <xf numFmtId="0" fontId="11" fillId="0" borderId="28" xfId="0" applyFont="1" applyBorder="1" applyAlignment="1" applyProtection="1">
      <alignment horizontal="center" vertical="center" textRotation="90" wrapText="1"/>
    </xf>
    <xf numFmtId="0" fontId="0" fillId="0" borderId="0" xfId="0" applyAlignment="1">
      <alignment horizontal="center"/>
    </xf>
    <xf numFmtId="0" fontId="3" fillId="0" borderId="0" xfId="0" applyFont="1" applyBorder="1" applyAlignment="1" applyProtection="1">
      <alignment horizontal="center"/>
    </xf>
    <xf numFmtId="0" fontId="0" fillId="0" borderId="1" xfId="0" applyBorder="1" applyAlignment="1">
      <alignment horizontal="center"/>
    </xf>
    <xf numFmtId="0" fontId="0" fillId="0" borderId="0" xfId="0" applyBorder="1" applyAlignment="1">
      <alignment horizontal="left"/>
    </xf>
    <xf numFmtId="0" fontId="0" fillId="0" borderId="6" xfId="0" applyBorder="1" applyAlignment="1">
      <alignment horizontal="left" vertical="top"/>
    </xf>
    <xf numFmtId="0" fontId="0" fillId="0" borderId="4" xfId="0" applyBorder="1" applyAlignment="1"/>
    <xf numFmtId="0" fontId="0" fillId="0" borderId="6" xfId="0" applyBorder="1" applyAlignment="1"/>
    <xf numFmtId="0" fontId="1" fillId="0" borderId="4" xfId="0" applyFont="1" applyBorder="1"/>
    <xf numFmtId="0" fontId="1" fillId="15" borderId="38" xfId="0" applyFont="1" applyFill="1" applyBorder="1"/>
    <xf numFmtId="0" fontId="1" fillId="0" borderId="38" xfId="0" applyFont="1" applyBorder="1"/>
    <xf numFmtId="0" fontId="10" fillId="0" borderId="4" xfId="0" applyFont="1" applyBorder="1" applyAlignment="1" applyProtection="1">
      <alignment horizontal="left" indent="1"/>
    </xf>
    <xf numFmtId="0" fontId="1" fillId="0" borderId="4" xfId="0" applyFont="1" applyBorder="1" applyAlignment="1" applyProtection="1">
      <alignment horizontal="left" indent="1"/>
    </xf>
    <xf numFmtId="0" fontId="0" fillId="0" borderId="0" xfId="0" applyAlignment="1">
      <alignment horizontal="center"/>
    </xf>
    <xf numFmtId="0" fontId="10" fillId="0" borderId="11" xfId="0" applyFont="1" applyBorder="1" applyAlignment="1">
      <alignment horizontal="left" indent="1"/>
    </xf>
    <xf numFmtId="0" fontId="1" fillId="0" borderId="11" xfId="0" applyFont="1" applyBorder="1" applyAlignment="1">
      <alignment horizontal="right"/>
    </xf>
    <xf numFmtId="0" fontId="0" fillId="0" borderId="0" xfId="0" applyBorder="1" applyAlignment="1" applyProtection="1">
      <alignment horizontal="center"/>
    </xf>
    <xf numFmtId="0" fontId="1" fillId="0" borderId="4" xfId="0" applyFont="1" applyFill="1" applyBorder="1" applyAlignment="1">
      <alignment horizontal="center"/>
    </xf>
    <xf numFmtId="0" fontId="35" fillId="0" borderId="0" xfId="0" applyFont="1"/>
    <xf numFmtId="0" fontId="1" fillId="0" borderId="0" xfId="0" applyFont="1" applyFill="1" applyAlignment="1" applyProtection="1">
      <alignment horizontal="left" vertical="center"/>
    </xf>
    <xf numFmtId="0" fontId="1" fillId="0" borderId="10" xfId="0" applyFont="1" applyBorder="1" applyProtection="1"/>
    <xf numFmtId="0" fontId="1" fillId="0" borderId="5" xfId="0" applyFont="1" applyBorder="1" applyAlignment="1" applyProtection="1">
      <alignment horizontal="right"/>
    </xf>
    <xf numFmtId="0" fontId="1" fillId="0" borderId="25" xfId="0" applyFont="1" applyBorder="1" applyAlignment="1" applyProtection="1">
      <alignment horizontal="left" wrapText="1"/>
    </xf>
    <xf numFmtId="0" fontId="23" fillId="0" borderId="0" xfId="0" applyFont="1" applyProtection="1"/>
    <xf numFmtId="0" fontId="31" fillId="0" borderId="0" xfId="0" applyFont="1" applyBorder="1" applyAlignment="1" applyProtection="1">
      <alignment horizontal="right"/>
    </xf>
    <xf numFmtId="0" fontId="8" fillId="0" borderId="1" xfId="0" applyFont="1" applyBorder="1" applyAlignment="1" applyProtection="1">
      <alignment horizontal="left" wrapText="1"/>
    </xf>
    <xf numFmtId="0" fontId="4" fillId="0" borderId="5" xfId="0" applyFont="1" applyBorder="1" applyAlignment="1" applyProtection="1"/>
    <xf numFmtId="0" fontId="1" fillId="0" borderId="0" xfId="0" applyFont="1" applyBorder="1" applyAlignment="1" applyProtection="1"/>
    <xf numFmtId="0" fontId="3" fillId="0" borderId="2" xfId="0" applyFont="1" applyBorder="1" applyAlignment="1" applyProtection="1"/>
    <xf numFmtId="0" fontId="4" fillId="0" borderId="2" xfId="0" applyFont="1" applyBorder="1" applyAlignment="1" applyProtection="1"/>
    <xf numFmtId="0" fontId="12" fillId="0" borderId="2" xfId="0" applyFont="1" applyBorder="1" applyAlignment="1" applyProtection="1">
      <alignment horizontal="left" wrapText="1"/>
    </xf>
    <xf numFmtId="0" fontId="13" fillId="0" borderId="2" xfId="0" applyFont="1" applyBorder="1" applyAlignment="1" applyProtection="1">
      <alignment horizontal="left" wrapText="1"/>
    </xf>
    <xf numFmtId="0" fontId="0" fillId="0" borderId="0" xfId="0" applyBorder="1" applyAlignment="1" applyProtection="1">
      <alignment horizontal="right"/>
    </xf>
    <xf numFmtId="0" fontId="1" fillId="0" borderId="6" xfId="0" applyFont="1" applyBorder="1" applyAlignment="1" applyProtection="1">
      <alignment horizontal="left" vertical="top"/>
    </xf>
    <xf numFmtId="0" fontId="35" fillId="0" borderId="0" xfId="0" applyFont="1" applyProtection="1"/>
    <xf numFmtId="0" fontId="35" fillId="0" borderId="0" xfId="0" applyFont="1" applyBorder="1" applyProtection="1"/>
    <xf numFmtId="0" fontId="36" fillId="0" borderId="5" xfId="0" applyFont="1" applyBorder="1" applyAlignment="1" applyProtection="1">
      <alignment horizontal="center"/>
    </xf>
    <xf numFmtId="0" fontId="35" fillId="0" borderId="5" xfId="0" applyFont="1" applyBorder="1" applyAlignment="1" applyProtection="1">
      <alignment horizontal="center"/>
    </xf>
    <xf numFmtId="0" fontId="35" fillId="0" borderId="0" xfId="0" applyFont="1" applyBorder="1" applyAlignment="1" applyProtection="1">
      <alignment horizontal="right"/>
    </xf>
    <xf numFmtId="0" fontId="35" fillId="0" borderId="5" xfId="0" applyFont="1" applyBorder="1" applyAlignment="1" applyProtection="1">
      <alignment horizontal="left" vertical="top"/>
    </xf>
    <xf numFmtId="0" fontId="0" fillId="0" borderId="6" xfId="0" applyBorder="1" applyAlignment="1">
      <alignment horizontal="left"/>
    </xf>
    <xf numFmtId="0" fontId="1" fillId="0" borderId="51" xfId="0" applyFont="1" applyBorder="1" applyAlignment="1" applyProtection="1">
      <alignment horizontal="center"/>
      <protection locked="0"/>
    </xf>
    <xf numFmtId="0" fontId="1" fillId="0" borderId="38" xfId="0" applyFont="1" applyBorder="1" applyAlignment="1" applyProtection="1">
      <alignment horizontal="center"/>
      <protection locked="0"/>
    </xf>
    <xf numFmtId="0" fontId="1" fillId="0" borderId="0" xfId="0" applyFont="1" applyAlignment="1" applyProtection="1">
      <alignment horizontal="left"/>
    </xf>
    <xf numFmtId="0" fontId="0" fillId="0" borderId="0" xfId="0" applyBorder="1" applyAlignment="1" applyProtection="1">
      <alignment horizontal="center" textRotation="90"/>
    </xf>
    <xf numFmtId="0" fontId="0" fillId="0" borderId="0" xfId="0" applyBorder="1" applyAlignment="1" applyProtection="1">
      <alignment horizontal="left" textRotation="90"/>
    </xf>
    <xf numFmtId="0" fontId="1" fillId="0" borderId="7" xfId="0" applyFont="1" applyBorder="1" applyAlignment="1" applyProtection="1">
      <alignment horizontal="left"/>
    </xf>
    <xf numFmtId="0" fontId="4" fillId="0" borderId="0" xfId="0" applyFont="1" applyAlignment="1" applyProtection="1">
      <alignment horizontal="center"/>
    </xf>
    <xf numFmtId="0" fontId="7" fillId="0" borderId="0" xfId="0" applyFont="1" applyAlignment="1" applyProtection="1">
      <alignment horizontal="right"/>
    </xf>
    <xf numFmtId="0" fontId="0" fillId="0" borderId="7" xfId="0" applyBorder="1" applyAlignment="1" applyProtection="1">
      <alignment horizontal="left" indent="1"/>
    </xf>
    <xf numFmtId="0" fontId="1" fillId="0" borderId="4" xfId="0" applyFont="1" applyBorder="1" applyProtection="1"/>
    <xf numFmtId="0" fontId="1" fillId="0" borderId="4" xfId="0" applyFont="1" applyBorder="1" applyAlignment="1" applyProtection="1">
      <alignment horizontal="left"/>
    </xf>
    <xf numFmtId="0" fontId="0" fillId="0" borderId="7" xfId="0" applyBorder="1" applyAlignment="1" applyProtection="1">
      <alignment horizontal="left"/>
    </xf>
    <xf numFmtId="0" fontId="0" fillId="0" borderId="4" xfId="0" applyBorder="1" applyProtection="1"/>
    <xf numFmtId="0" fontId="3" fillId="0" borderId="0" xfId="0" applyFont="1" applyAlignment="1" applyProtection="1">
      <alignment horizontal="left"/>
    </xf>
    <xf numFmtId="0" fontId="0" fillId="0" borderId="0" xfId="0" applyAlignment="1"/>
    <xf numFmtId="0" fontId="0" fillId="0" borderId="2" xfId="0" applyBorder="1" applyAlignment="1" applyProtection="1">
      <alignment horizontal="center"/>
    </xf>
    <xf numFmtId="0" fontId="0" fillId="0" borderId="1" xfId="0" applyBorder="1" applyAlignment="1">
      <alignment horizontal="center"/>
    </xf>
    <xf numFmtId="0" fontId="0" fillId="0" borderId="0" xfId="0" applyBorder="1" applyAlignment="1">
      <alignment horizontal="left"/>
    </xf>
    <xf numFmtId="0" fontId="0" fillId="0" borderId="6" xfId="0" applyBorder="1" applyAlignment="1"/>
    <xf numFmtId="0" fontId="0" fillId="0" borderId="6" xfId="0" applyBorder="1" applyAlignment="1">
      <alignment horizontal="left" vertical="top"/>
    </xf>
    <xf numFmtId="0" fontId="0" fillId="0" borderId="4" xfId="0" applyBorder="1" applyAlignment="1"/>
    <xf numFmtId="0" fontId="8" fillId="0" borderId="0" xfId="0" quotePrefix="1" applyFont="1" applyProtection="1"/>
    <xf numFmtId="0" fontId="3" fillId="0" borderId="0" xfId="0" applyFont="1" applyAlignment="1" applyProtection="1">
      <alignment horizontal="right"/>
    </xf>
    <xf numFmtId="0" fontId="3" fillId="0" borderId="0" xfId="0" applyFont="1" applyBorder="1" applyAlignment="1" applyProtection="1">
      <alignment horizontal="right"/>
    </xf>
    <xf numFmtId="0" fontId="3" fillId="0" borderId="2" xfId="0" applyFont="1" applyBorder="1" applyAlignment="1" applyProtection="1">
      <alignment horizontal="right"/>
    </xf>
    <xf numFmtId="0" fontId="1" fillId="3" borderId="4" xfId="0" applyFont="1" applyFill="1" applyBorder="1" applyAlignment="1">
      <alignment horizontal="left" vertical="top"/>
    </xf>
    <xf numFmtId="0" fontId="1" fillId="4" borderId="4" xfId="0" applyFont="1" applyFill="1" applyBorder="1" applyAlignment="1">
      <alignment horizontal="left" vertical="top"/>
    </xf>
    <xf numFmtId="0" fontId="1" fillId="5" borderId="4" xfId="0" applyFont="1" applyFill="1" applyBorder="1" applyAlignment="1">
      <alignment horizontal="left" vertical="top"/>
    </xf>
    <xf numFmtId="0" fontId="1" fillId="6" borderId="4" xfId="0" applyFont="1" applyFill="1" applyBorder="1" applyAlignment="1">
      <alignment horizontal="left" vertical="top"/>
    </xf>
    <xf numFmtId="0" fontId="1" fillId="7" borderId="4" xfId="0" applyFont="1" applyFill="1" applyBorder="1" applyAlignment="1">
      <alignment horizontal="left" vertical="top"/>
    </xf>
    <xf numFmtId="0" fontId="1" fillId="12" borderId="4" xfId="0" applyFont="1" applyFill="1" applyBorder="1" applyAlignment="1">
      <alignment horizontal="left" vertical="top"/>
    </xf>
    <xf numFmtId="0" fontId="1" fillId="11" borderId="4" xfId="0" applyFont="1" applyFill="1" applyBorder="1" applyAlignment="1">
      <alignment horizontal="left" vertical="top"/>
    </xf>
    <xf numFmtId="0" fontId="1" fillId="10" borderId="4" xfId="0" applyFont="1" applyFill="1" applyBorder="1" applyAlignment="1">
      <alignment horizontal="left" vertical="top"/>
    </xf>
    <xf numFmtId="0" fontId="1" fillId="0" borderId="4" xfId="0" applyFont="1" applyFill="1" applyBorder="1" applyAlignment="1">
      <alignment vertical="top" wrapText="1"/>
    </xf>
    <xf numFmtId="0" fontId="1" fillId="14" borderId="38" xfId="0" applyFont="1" applyFill="1" applyBorder="1"/>
    <xf numFmtId="0" fontId="1" fillId="14" borderId="40" xfId="0" applyFont="1" applyFill="1" applyBorder="1" applyAlignment="1">
      <alignment horizontal="center"/>
    </xf>
    <xf numFmtId="0" fontId="1" fillId="14" borderId="39" xfId="0" applyFont="1" applyFill="1" applyBorder="1"/>
    <xf numFmtId="0" fontId="1" fillId="0" borderId="38" xfId="0" applyFont="1" applyFill="1" applyBorder="1" applyAlignment="1">
      <alignment vertical="top" wrapText="1"/>
    </xf>
    <xf numFmtId="0" fontId="11" fillId="0" borderId="0" xfId="0" applyFont="1"/>
    <xf numFmtId="0" fontId="1" fillId="0" borderId="6" xfId="0" applyFont="1" applyBorder="1" applyProtection="1"/>
    <xf numFmtId="0" fontId="3" fillId="0" borderId="0" xfId="0" applyFont="1" applyFill="1" applyBorder="1" applyAlignment="1" applyProtection="1">
      <alignment horizontal="left"/>
    </xf>
    <xf numFmtId="0" fontId="0" fillId="0" borderId="0" xfId="0" applyFill="1" applyBorder="1" applyProtection="1"/>
    <xf numFmtId="0" fontId="1" fillId="0" borderId="4" xfId="0" applyFont="1" applyFill="1" applyBorder="1" applyProtection="1"/>
    <xf numFmtId="0" fontId="1" fillId="0" borderId="0" xfId="0" applyFont="1" applyFill="1"/>
    <xf numFmtId="0" fontId="5" fillId="0" borderId="7" xfId="2" applyBorder="1" applyAlignment="1" applyProtection="1">
      <alignment horizontal="left"/>
    </xf>
    <xf numFmtId="0" fontId="4" fillId="0" borderId="0" xfId="0" applyFont="1" applyAlignment="1" applyProtection="1">
      <alignment horizontal="right"/>
    </xf>
    <xf numFmtId="0" fontId="1" fillId="2" borderId="4" xfId="0" applyFont="1" applyFill="1" applyBorder="1" applyAlignment="1">
      <alignment horizontal="left"/>
    </xf>
    <xf numFmtId="0" fontId="1" fillId="15" borderId="39" xfId="0" applyFont="1" applyFill="1" applyBorder="1"/>
    <xf numFmtId="0" fontId="1" fillId="15" borderId="39" xfId="0" applyFont="1" applyFill="1" applyBorder="1" applyAlignment="1">
      <alignment horizontal="center"/>
    </xf>
    <xf numFmtId="0" fontId="0" fillId="0" borderId="0" xfId="0" applyBorder="1" applyAlignment="1"/>
    <xf numFmtId="0" fontId="0" fillId="0" borderId="1" xfId="0" applyBorder="1" applyProtection="1"/>
    <xf numFmtId="0" fontId="1" fillId="17" borderId="41" xfId="0" applyFont="1" applyFill="1" applyBorder="1" applyProtection="1">
      <protection locked="0"/>
    </xf>
    <xf numFmtId="44" fontId="0" fillId="0" borderId="54" xfId="1" applyFont="1" applyBorder="1" applyProtection="1">
      <protection locked="0"/>
    </xf>
    <xf numFmtId="0" fontId="0" fillId="0" borderId="0" xfId="0" applyAlignment="1"/>
    <xf numFmtId="0" fontId="0" fillId="0" borderId="2" xfId="0" applyBorder="1" applyAlignment="1" applyProtection="1">
      <alignment horizontal="center"/>
    </xf>
    <xf numFmtId="0" fontId="3" fillId="18" borderId="4" xfId="0" applyFont="1" applyFill="1" applyBorder="1" applyAlignment="1">
      <alignment horizontal="center"/>
    </xf>
    <xf numFmtId="0" fontId="1" fillId="0" borderId="0" xfId="0" quotePrefix="1" applyFont="1" applyAlignment="1" applyProtection="1"/>
    <xf numFmtId="0" fontId="0" fillId="0" borderId="6" xfId="0" applyBorder="1" applyAlignment="1" applyProtection="1">
      <alignment horizontal="left"/>
    </xf>
    <xf numFmtId="0" fontId="0" fillId="0" borderId="9" xfId="0" applyBorder="1" applyAlignment="1" applyProtection="1">
      <alignment horizontal="left"/>
    </xf>
    <xf numFmtId="0" fontId="1" fillId="0" borderId="0" xfId="0" quotePrefix="1" applyFont="1" applyAlignment="1" applyProtection="1">
      <alignment wrapText="1"/>
    </xf>
    <xf numFmtId="0" fontId="0" fillId="0" borderId="0" xfId="0" applyAlignment="1">
      <alignment wrapText="1"/>
    </xf>
    <xf numFmtId="0" fontId="0" fillId="0" borderId="0" xfId="0" quotePrefix="1" applyAlignment="1" applyProtection="1">
      <alignment wrapText="1"/>
    </xf>
    <xf numFmtId="0" fontId="0" fillId="0" borderId="0" xfId="0" applyAlignment="1" applyProtection="1">
      <alignment horizontal="left" vertical="top" wrapText="1"/>
    </xf>
    <xf numFmtId="0" fontId="1" fillId="0" borderId="0" xfId="0" applyFont="1" applyAlignment="1" applyProtection="1">
      <alignment horizontal="left" vertical="top" wrapText="1"/>
    </xf>
    <xf numFmtId="0" fontId="3" fillId="0" borderId="0" xfId="0" applyFont="1" applyAlignment="1" applyProtection="1">
      <alignment horizontal="left"/>
    </xf>
    <xf numFmtId="0" fontId="0" fillId="0" borderId="0" xfId="0" applyAlignment="1" applyProtection="1">
      <alignment horizontal="left" wrapText="1"/>
    </xf>
    <xf numFmtId="0" fontId="3" fillId="0" borderId="0" xfId="0" applyFont="1" applyAlignment="1" applyProtection="1"/>
    <xf numFmtId="0" fontId="0" fillId="0" borderId="0" xfId="0" applyAlignment="1"/>
    <xf numFmtId="0" fontId="0" fillId="0" borderId="0" xfId="0" applyAlignment="1" applyProtection="1">
      <alignment wrapText="1"/>
    </xf>
    <xf numFmtId="0" fontId="5" fillId="0" borderId="0" xfId="2" applyAlignment="1" applyProtection="1">
      <alignment horizontal="left" vertical="top"/>
    </xf>
    <xf numFmtId="0" fontId="2" fillId="0" borderId="0" xfId="0" applyFont="1" applyAlignment="1" applyProtection="1">
      <alignment horizontal="left"/>
    </xf>
    <xf numFmtId="0" fontId="1" fillId="17" borderId="42" xfId="0" applyFont="1" applyFill="1" applyBorder="1" applyAlignment="1" applyProtection="1">
      <protection locked="0"/>
    </xf>
    <xf numFmtId="0" fontId="1" fillId="17" borderId="43" xfId="0" applyFont="1" applyFill="1" applyBorder="1" applyAlignment="1" applyProtection="1">
      <protection locked="0"/>
    </xf>
    <xf numFmtId="0" fontId="1" fillId="17" borderId="44" xfId="0" applyFont="1" applyFill="1" applyBorder="1" applyAlignment="1" applyProtection="1">
      <protection locked="0"/>
    </xf>
    <xf numFmtId="0" fontId="4" fillId="0" borderId="0" xfId="0" applyFont="1" applyAlignment="1" applyProtection="1">
      <alignment horizontal="left" vertical="top" wrapText="1"/>
    </xf>
    <xf numFmtId="14" fontId="9" fillId="6" borderId="52" xfId="0" applyNumberFormat="1" applyFont="1" applyFill="1" applyBorder="1" applyAlignment="1" applyProtection="1">
      <alignment horizontal="left" textRotation="90"/>
    </xf>
    <xf numFmtId="0" fontId="0" fillId="0" borderId="45" xfId="0" applyBorder="1" applyAlignment="1" applyProtection="1">
      <alignment horizontal="left" textRotation="90"/>
    </xf>
    <xf numFmtId="0" fontId="0" fillId="0" borderId="46" xfId="0" applyBorder="1" applyAlignment="1" applyProtection="1">
      <alignment horizontal="left" textRotation="90"/>
    </xf>
    <xf numFmtId="0" fontId="0" fillId="0" borderId="0" xfId="0" applyBorder="1" applyAlignment="1" applyProtection="1">
      <alignment wrapText="1"/>
      <protection locked="0"/>
    </xf>
    <xf numFmtId="0" fontId="0" fillId="0" borderId="0" xfId="0" applyAlignment="1" applyProtection="1">
      <alignment wrapText="1"/>
      <protection locked="0"/>
    </xf>
    <xf numFmtId="0" fontId="3" fillId="0" borderId="0" xfId="0" applyFont="1" applyAlignment="1" applyProtection="1">
      <alignment horizontal="center"/>
    </xf>
    <xf numFmtId="14" fontId="9" fillId="16" borderId="45" xfId="0" applyNumberFormat="1" applyFont="1" applyFill="1" applyBorder="1" applyAlignment="1" applyProtection="1">
      <alignment horizontal="left" textRotation="90"/>
    </xf>
    <xf numFmtId="0" fontId="0" fillId="16" borderId="45" xfId="0" applyFill="1" applyBorder="1" applyAlignment="1" applyProtection="1">
      <alignment horizontal="left" textRotation="90"/>
    </xf>
    <xf numFmtId="0" fontId="0" fillId="16" borderId="46" xfId="0" applyFill="1" applyBorder="1" applyAlignment="1" applyProtection="1">
      <alignment horizontal="left" textRotation="90"/>
    </xf>
    <xf numFmtId="0" fontId="3" fillId="0" borderId="0" xfId="0" applyFont="1" applyBorder="1" applyAlignment="1" applyProtection="1">
      <alignment horizontal="center"/>
    </xf>
    <xf numFmtId="0" fontId="0" fillId="0" borderId="6" xfId="0" applyBorder="1" applyAlignment="1" applyProtection="1">
      <alignment horizontal="left"/>
    </xf>
    <xf numFmtId="0" fontId="0" fillId="0" borderId="9" xfId="0" applyBorder="1" applyAlignment="1" applyProtection="1">
      <alignment horizontal="left"/>
    </xf>
    <xf numFmtId="0" fontId="11" fillId="0" borderId="2" xfId="0" applyFont="1" applyBorder="1" applyAlignment="1" applyProtection="1">
      <alignment horizontal="right"/>
    </xf>
    <xf numFmtId="0" fontId="11" fillId="0" borderId="0" xfId="0" applyFont="1" applyBorder="1" applyAlignment="1" applyProtection="1">
      <alignment horizontal="right"/>
    </xf>
    <xf numFmtId="0" fontId="0" fillId="0" borderId="4" xfId="0" applyBorder="1" applyAlignment="1" applyProtection="1">
      <alignment horizontal="left"/>
    </xf>
    <xf numFmtId="0" fontId="10" fillId="0" borderId="1" xfId="0" applyFont="1" applyFill="1" applyBorder="1" applyAlignment="1" applyProtection="1">
      <alignment horizontal="center" textRotation="90"/>
    </xf>
    <xf numFmtId="0" fontId="10" fillId="0" borderId="3" xfId="0" applyFont="1" applyFill="1" applyBorder="1" applyAlignment="1" applyProtection="1">
      <alignment horizontal="center" textRotation="90"/>
    </xf>
    <xf numFmtId="0" fontId="0" fillId="0" borderId="0" xfId="0" applyBorder="1" applyAlignment="1" applyProtection="1">
      <alignment horizontal="left"/>
    </xf>
    <xf numFmtId="0" fontId="0" fillId="0" borderId="1" xfId="0" applyBorder="1" applyAlignment="1" applyProtection="1">
      <alignment horizontal="left"/>
    </xf>
    <xf numFmtId="0" fontId="0" fillId="0" borderId="2" xfId="0" applyBorder="1" applyAlignment="1" applyProtection="1">
      <alignment horizontal="center"/>
    </xf>
    <xf numFmtId="0" fontId="0" fillId="0" borderId="3" xfId="0" applyBorder="1" applyAlignment="1" applyProtection="1">
      <alignment horizontal="center"/>
    </xf>
    <xf numFmtId="0" fontId="10" fillId="0" borderId="39" xfId="0" applyFont="1" applyFill="1" applyBorder="1" applyAlignment="1" applyProtection="1">
      <alignment horizontal="center" textRotation="90"/>
    </xf>
    <xf numFmtId="0" fontId="10" fillId="0" borderId="40" xfId="0" applyFont="1" applyFill="1" applyBorder="1" applyAlignment="1" applyProtection="1">
      <alignment horizontal="center" textRotation="90"/>
    </xf>
    <xf numFmtId="44" fontId="4" fillId="0" borderId="39" xfId="1" applyFont="1" applyFill="1" applyBorder="1" applyAlignment="1" applyProtection="1">
      <alignment horizontal="center" vertical="center" textRotation="90" wrapText="1"/>
    </xf>
    <xf numFmtId="44" fontId="4" fillId="0" borderId="39" xfId="1" applyFont="1" applyFill="1" applyBorder="1" applyAlignment="1" applyProtection="1">
      <alignment horizontal="center" vertical="center" textRotation="90"/>
    </xf>
    <xf numFmtId="44" fontId="4" fillId="0" borderId="40" xfId="1" applyFont="1" applyFill="1" applyBorder="1" applyAlignment="1" applyProtection="1">
      <alignment horizontal="center" vertical="center" textRotation="90"/>
    </xf>
    <xf numFmtId="0" fontId="0" fillId="0" borderId="0" xfId="0" applyBorder="1" applyAlignment="1">
      <alignment wrapText="1"/>
    </xf>
    <xf numFmtId="0" fontId="8" fillId="0" borderId="0" xfId="0" applyFont="1" applyAlignment="1">
      <alignment horizontal="center"/>
    </xf>
    <xf numFmtId="0" fontId="0" fillId="0" borderId="0" xfId="0" applyAlignment="1">
      <alignment horizontal="center"/>
    </xf>
    <xf numFmtId="0" fontId="3" fillId="0" borderId="5" xfId="0" applyFont="1" applyBorder="1" applyAlignment="1">
      <alignment horizontal="center"/>
    </xf>
    <xf numFmtId="0" fontId="3" fillId="0" borderId="47" xfId="0" applyFont="1" applyBorder="1" applyAlignment="1">
      <alignment horizontal="center"/>
    </xf>
    <xf numFmtId="0" fontId="3" fillId="0" borderId="0" xfId="0" applyFont="1" applyBorder="1" applyAlignment="1">
      <alignment horizontal="center"/>
    </xf>
    <xf numFmtId="0" fontId="3" fillId="0" borderId="53" xfId="0" applyFont="1" applyBorder="1" applyAlignment="1">
      <alignment horizontal="center"/>
    </xf>
    <xf numFmtId="0" fontId="17" fillId="3" borderId="0" xfId="0" applyFont="1" applyFill="1" applyBorder="1" applyAlignment="1">
      <alignment horizontal="center" vertical="center"/>
    </xf>
    <xf numFmtId="0" fontId="0" fillId="0" borderId="0" xfId="0" applyAlignment="1">
      <alignment horizontal="center" vertical="center"/>
    </xf>
    <xf numFmtId="0" fontId="0" fillId="0" borderId="0" xfId="0" applyBorder="1" applyAlignment="1">
      <alignment horizontal="left"/>
    </xf>
    <xf numFmtId="0" fontId="0" fillId="0" borderId="1" xfId="0" applyBorder="1" applyAlignment="1">
      <alignment horizontal="left"/>
    </xf>
    <xf numFmtId="0" fontId="16" fillId="3" borderId="0" xfId="0" applyFont="1" applyFill="1" applyBorder="1" applyAlignment="1">
      <alignment horizontal="left" vertical="center"/>
    </xf>
    <xf numFmtId="0" fontId="0" fillId="0" borderId="0" xfId="0" applyAlignment="1">
      <alignment vertical="center"/>
    </xf>
    <xf numFmtId="0" fontId="0" fillId="0" borderId="0" xfId="0" applyBorder="1" applyAlignment="1">
      <alignment vertical="center"/>
    </xf>
    <xf numFmtId="0" fontId="0" fillId="0" borderId="0" xfId="0" applyBorder="1" applyAlignment="1">
      <alignment horizontal="center"/>
    </xf>
    <xf numFmtId="0" fontId="0" fillId="0" borderId="1" xfId="0" applyBorder="1" applyAlignment="1">
      <alignment horizontal="center"/>
    </xf>
    <xf numFmtId="0" fontId="12" fillId="0" borderId="5" xfId="0" applyFont="1" applyBorder="1" applyAlignment="1" applyProtection="1">
      <alignment horizontal="left" wrapText="1"/>
    </xf>
    <xf numFmtId="0" fontId="13" fillId="0" borderId="5" xfId="0" applyFont="1" applyBorder="1" applyAlignment="1" applyProtection="1">
      <alignment horizontal="left" wrapText="1"/>
    </xf>
    <xf numFmtId="0" fontId="1" fillId="0" borderId="22" xfId="0" applyFont="1" applyBorder="1" applyAlignment="1" applyProtection="1">
      <alignment horizontal="center"/>
    </xf>
    <xf numFmtId="0" fontId="1" fillId="0" borderId="2" xfId="0" applyFont="1" applyBorder="1" applyAlignment="1" applyProtection="1">
      <alignment horizontal="center"/>
    </xf>
    <xf numFmtId="0" fontId="1" fillId="0" borderId="3" xfId="0" applyFont="1" applyBorder="1" applyAlignment="1" applyProtection="1">
      <alignment horizontal="center"/>
    </xf>
    <xf numFmtId="0" fontId="1" fillId="0" borderId="0" xfId="0" applyFont="1" applyAlignment="1" applyProtection="1">
      <alignment horizontal="center"/>
    </xf>
    <xf numFmtId="0" fontId="1" fillId="0" borderId="1" xfId="0" applyFont="1" applyBorder="1" applyAlignment="1" applyProtection="1">
      <alignment horizontal="center"/>
    </xf>
    <xf numFmtId="0" fontId="10" fillId="0" borderId="48" xfId="0" applyFont="1" applyBorder="1" applyAlignment="1" applyProtection="1">
      <alignment horizontal="center" textRotation="90"/>
    </xf>
    <xf numFmtId="0" fontId="10" fillId="0" borderId="50" xfId="0" applyFont="1" applyBorder="1" applyAlignment="1" applyProtection="1">
      <alignment horizontal="center" textRotation="90"/>
    </xf>
    <xf numFmtId="0" fontId="10" fillId="0" borderId="49" xfId="0" applyFont="1" applyBorder="1" applyAlignment="1" applyProtection="1">
      <alignment horizontal="center" textRotation="90"/>
    </xf>
    <xf numFmtId="0" fontId="15" fillId="8" borderId="0" xfId="0" applyFont="1" applyFill="1" applyBorder="1" applyAlignment="1">
      <alignment horizontal="center" vertical="center" textRotation="90"/>
    </xf>
    <xf numFmtId="0" fontId="3" fillId="0" borderId="0" xfId="0" applyFont="1" applyAlignment="1"/>
    <xf numFmtId="0" fontId="21" fillId="13" borderId="0" xfId="0" applyFont="1" applyFill="1" applyAlignment="1" applyProtection="1">
      <alignment horizontal="center" vertical="center"/>
    </xf>
    <xf numFmtId="0" fontId="0" fillId="0" borderId="6" xfId="0" applyBorder="1" applyAlignment="1">
      <alignment horizontal="left" vertical="top"/>
    </xf>
    <xf numFmtId="0" fontId="0" fillId="0" borderId="9" xfId="0" applyBorder="1" applyAlignment="1">
      <alignment horizontal="left" vertical="top"/>
    </xf>
    <xf numFmtId="0" fontId="20" fillId="13" borderId="0" xfId="0" applyFont="1" applyFill="1" applyAlignment="1" applyProtection="1">
      <alignment horizontal="left"/>
    </xf>
    <xf numFmtId="0" fontId="1" fillId="0" borderId="4" xfId="0" applyFont="1" applyBorder="1" applyAlignment="1"/>
    <xf numFmtId="0" fontId="0" fillId="0" borderId="4" xfId="0" applyBorder="1" applyAlignment="1"/>
    <xf numFmtId="0" fontId="0" fillId="0" borderId="6" xfId="0" applyBorder="1" applyAlignment="1"/>
    <xf numFmtId="0" fontId="0" fillId="0" borderId="9" xfId="0" applyBorder="1" applyAlignment="1"/>
  </cellXfs>
  <cellStyles count="3">
    <cellStyle name="Currency" xfId="1" builtinId="4"/>
    <cellStyle name="Hyperlink" xfId="2" builtinId="8"/>
    <cellStyle name="Normal" xfId="0" builtinId="0"/>
  </cellStyles>
  <dxfs count="7">
    <dxf>
      <font>
        <b/>
        <i val="0"/>
        <condense val="0"/>
        <extend val="0"/>
        <color indexed="9"/>
      </font>
      <fill>
        <patternFill>
          <bgColor rgb="FF00B0F0"/>
        </patternFill>
      </fill>
    </dxf>
    <dxf>
      <font>
        <b/>
        <i val="0"/>
        <condense val="0"/>
        <extend val="0"/>
        <color indexed="9"/>
      </font>
      <fill>
        <patternFill>
          <bgColor rgb="FF00B0F0"/>
        </patternFill>
      </fill>
    </dxf>
    <dxf>
      <font>
        <b/>
        <i val="0"/>
        <condense val="0"/>
        <extend val="0"/>
        <color indexed="9"/>
      </font>
      <fill>
        <patternFill>
          <bgColor rgb="FF00B0F0"/>
        </patternFill>
      </fill>
    </dxf>
    <dxf>
      <font>
        <b/>
        <i val="0"/>
        <condense val="0"/>
        <extend val="0"/>
        <color indexed="9"/>
      </font>
      <fill>
        <patternFill>
          <bgColor rgb="FF00B0F0"/>
        </patternFill>
      </fill>
    </dxf>
    <dxf>
      <font>
        <b/>
        <i val="0"/>
        <condense val="0"/>
        <extend val="0"/>
        <color indexed="9"/>
      </font>
      <fill>
        <patternFill>
          <bgColor indexed="23"/>
        </patternFill>
      </fill>
    </dxf>
    <dxf>
      <font>
        <b/>
        <i val="0"/>
        <condense val="0"/>
        <extend val="0"/>
        <color indexed="9"/>
      </font>
      <fill>
        <patternFill>
          <bgColor rgb="FF00B0F0"/>
        </patternFill>
      </fill>
    </dxf>
    <dxf>
      <font>
        <b/>
        <i val="0"/>
        <condense val="0"/>
        <extend val="0"/>
        <color indexed="9"/>
      </font>
      <fill>
        <patternFill>
          <bgColor indexed="23"/>
        </patternFill>
      </fill>
    </dxf>
  </dxfs>
  <tableStyles count="0" defaultTableStyle="TableStyleMedium9"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6</xdr:row>
      <xdr:rowOff>0</xdr:rowOff>
    </xdr:from>
    <xdr:to>
      <xdr:col>1</xdr:col>
      <xdr:colOff>752475</xdr:colOff>
      <xdr:row>11</xdr:row>
      <xdr:rowOff>304800</xdr:rowOff>
    </xdr:to>
    <xdr:pic>
      <xdr:nvPicPr>
        <xdr:cNvPr id="102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066800"/>
          <a:ext cx="847725"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14</xdr:row>
      <xdr:rowOff>57150</xdr:rowOff>
    </xdr:from>
    <xdr:to>
      <xdr:col>1</xdr:col>
      <xdr:colOff>714375</xdr:colOff>
      <xdr:row>19</xdr:row>
      <xdr:rowOff>247650</xdr:rowOff>
    </xdr:to>
    <xdr:pic>
      <xdr:nvPicPr>
        <xdr:cNvPr id="1033"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5275" y="2809875"/>
          <a:ext cx="7810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22</xdr:row>
      <xdr:rowOff>57151</xdr:rowOff>
    </xdr:from>
    <xdr:to>
      <xdr:col>1</xdr:col>
      <xdr:colOff>657225</xdr:colOff>
      <xdr:row>27</xdr:row>
      <xdr:rowOff>76445</xdr:rowOff>
    </xdr:to>
    <xdr:pic>
      <xdr:nvPicPr>
        <xdr:cNvPr id="1039" name="Picture 1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52425" y="4495801"/>
          <a:ext cx="666750" cy="9146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6</xdr:row>
      <xdr:rowOff>57150</xdr:rowOff>
    </xdr:from>
    <xdr:to>
      <xdr:col>0</xdr:col>
      <xdr:colOff>752475</xdr:colOff>
      <xdr:row>8</xdr:row>
      <xdr:rowOff>133350</xdr:rowOff>
    </xdr:to>
    <xdr:pic>
      <xdr:nvPicPr>
        <xdr:cNvPr id="307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904875"/>
          <a:ext cx="695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 TargetMode="External"/><Relationship Id="rId2" Type="http://schemas.openxmlformats.org/officeDocument/2006/relationships/hyperlink" Target="http://trax.boy-scouts.net/" TargetMode="External"/><Relationship Id="rId1" Type="http://schemas.openxmlformats.org/officeDocument/2006/relationships/hyperlink" Target="mailto:aedmunds@bellsouth.net" TargetMode="External"/><Relationship Id="rId6" Type="http://schemas.openxmlformats.org/officeDocument/2006/relationships/printerSettings" Target="../printerSettings/printerSettings1.bin"/><Relationship Id="rId5" Type="http://schemas.openxmlformats.org/officeDocument/2006/relationships/hyperlink" Target="http://trax.boy-scouts.net/gstrax.htm" TargetMode="External"/><Relationship Id="rId4" Type="http://schemas.openxmlformats.org/officeDocument/2006/relationships/hyperlink" Target="http://trax.boy-scouts.net/faq.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hyperlink" Target="http://www.girlscouts.org/cookies" TargetMode="External"/><Relationship Id="rId2" Type="http://schemas.openxmlformats.org/officeDocument/2006/relationships/hyperlink" Target="http://www.girlscouts.org/global_action_award" TargetMode="External"/><Relationship Id="rId1" Type="http://schemas.openxmlformats.org/officeDocument/2006/relationships/hyperlink" Target="http://www.girlscouts.org/world_thinking_day"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H54"/>
  <sheetViews>
    <sheetView showGridLines="0" topLeftCell="A26" zoomScaleNormal="100" workbookViewId="0">
      <selection activeCell="E3" sqref="E3:G3"/>
    </sheetView>
  </sheetViews>
  <sheetFormatPr defaultRowHeight="12.75"/>
  <cols>
    <col min="1" max="1" width="4.140625" style="3" customWidth="1"/>
    <col min="2" max="2" width="16.28515625" style="3" customWidth="1"/>
    <col min="3" max="3" width="10.140625" style="3" bestFit="1" customWidth="1"/>
    <col min="4" max="4" width="17.5703125" style="3" customWidth="1"/>
    <col min="5" max="16384" width="9.140625" style="3"/>
  </cols>
  <sheetData>
    <row r="1" spans="1:8">
      <c r="A1" s="303" t="s">
        <v>0</v>
      </c>
      <c r="B1" s="303"/>
      <c r="C1" s="303"/>
      <c r="D1" s="303"/>
      <c r="E1" s="303"/>
      <c r="F1" s="303"/>
      <c r="G1" s="303"/>
      <c r="H1" s="303"/>
    </row>
    <row r="2" spans="1:8" ht="6.75" customHeight="1" thickBot="1">
      <c r="A2" s="2"/>
      <c r="B2" s="2"/>
      <c r="C2" s="2"/>
      <c r="D2" s="2"/>
      <c r="E2" s="2"/>
      <c r="F2" s="2"/>
      <c r="G2" s="2"/>
      <c r="H2" s="2"/>
    </row>
    <row r="3" spans="1:8" ht="13.5" thickBot="1">
      <c r="A3" s="297" t="s">
        <v>24</v>
      </c>
      <c r="B3" s="297"/>
      <c r="C3" s="297"/>
      <c r="D3" s="297"/>
      <c r="E3" s="304"/>
      <c r="F3" s="305"/>
      <c r="G3" s="306"/>
      <c r="H3" s="2"/>
    </row>
    <row r="4" spans="1:8" ht="8.25" customHeight="1" thickBot="1"/>
    <row r="5" spans="1:8" ht="13.5" thickBot="1">
      <c r="A5" s="297" t="s">
        <v>25</v>
      </c>
      <c r="B5" s="297"/>
      <c r="C5" s="297"/>
      <c r="D5" s="297"/>
      <c r="E5" s="284"/>
    </row>
    <row r="6" spans="1:8" ht="18" customHeight="1">
      <c r="A6" s="299" t="s">
        <v>2</v>
      </c>
      <c r="B6" s="300"/>
      <c r="C6" s="300"/>
      <c r="D6" s="300"/>
    </row>
    <row r="7" spans="1:8" ht="25.5" customHeight="1">
      <c r="B7" s="298" t="s">
        <v>3</v>
      </c>
      <c r="C7" s="298"/>
      <c r="D7" s="298"/>
      <c r="E7" s="298"/>
      <c r="F7" s="298"/>
      <c r="G7" s="298"/>
      <c r="H7" s="298"/>
    </row>
    <row r="8" spans="1:8" ht="15" customHeight="1">
      <c r="A8" s="297" t="s">
        <v>4</v>
      </c>
      <c r="B8" s="297"/>
      <c r="C8" s="297"/>
      <c r="D8" s="297"/>
      <c r="E8" s="297"/>
      <c r="F8" s="297"/>
      <c r="G8" s="297"/>
      <c r="H8" s="297"/>
    </row>
    <row r="9" spans="1:8" ht="38.25" customHeight="1">
      <c r="B9" s="295" t="s">
        <v>119</v>
      </c>
      <c r="C9" s="295"/>
      <c r="D9" s="295"/>
      <c r="E9" s="295"/>
      <c r="F9" s="295"/>
      <c r="G9" s="295"/>
      <c r="H9" s="295"/>
    </row>
    <row r="10" spans="1:8" ht="15" customHeight="1">
      <c r="A10" s="297" t="s">
        <v>6</v>
      </c>
      <c r="B10" s="297"/>
      <c r="C10" s="297"/>
      <c r="D10" s="297"/>
      <c r="E10" s="297"/>
      <c r="F10" s="297"/>
      <c r="G10" s="297"/>
      <c r="H10" s="297"/>
    </row>
    <row r="11" spans="1:8" ht="38.25" customHeight="1">
      <c r="B11" s="295" t="s">
        <v>7</v>
      </c>
      <c r="C11" s="295"/>
      <c r="D11" s="295"/>
      <c r="E11" s="295"/>
      <c r="F11" s="295"/>
      <c r="G11" s="295"/>
      <c r="H11" s="295"/>
    </row>
    <row r="12" spans="1:8" ht="15" customHeight="1">
      <c r="A12" s="299" t="s">
        <v>81</v>
      </c>
      <c r="B12" s="299"/>
      <c r="C12" s="299"/>
      <c r="D12" s="101"/>
      <c r="E12" s="101"/>
      <c r="F12" s="101"/>
      <c r="G12" s="101"/>
      <c r="H12" s="101"/>
    </row>
    <row r="13" spans="1:8" ht="53.25" customHeight="1">
      <c r="B13" s="295" t="s">
        <v>82</v>
      </c>
      <c r="C13" s="295"/>
      <c r="D13" s="295"/>
      <c r="E13" s="295"/>
      <c r="F13" s="295"/>
      <c r="G13" s="295"/>
      <c r="H13" s="295"/>
    </row>
    <row r="14" spans="1:8" ht="15" customHeight="1">
      <c r="A14" s="299" t="s">
        <v>5</v>
      </c>
      <c r="B14" s="300"/>
      <c r="C14" s="300"/>
      <c r="D14" s="6"/>
      <c r="E14" s="6"/>
      <c r="F14" s="6"/>
      <c r="G14" s="6"/>
      <c r="H14" s="6"/>
    </row>
    <row r="15" spans="1:8" ht="27.75" customHeight="1">
      <c r="B15" s="296" t="s">
        <v>127</v>
      </c>
      <c r="C15" s="295"/>
      <c r="D15" s="295"/>
      <c r="E15" s="295"/>
      <c r="F15" s="295"/>
      <c r="G15" s="295"/>
      <c r="H15" s="295"/>
    </row>
    <row r="16" spans="1:8" ht="15" customHeight="1">
      <c r="A16" s="299" t="s">
        <v>78</v>
      </c>
      <c r="B16" s="300"/>
      <c r="C16" s="6"/>
      <c r="D16" s="6"/>
      <c r="E16" s="6"/>
      <c r="F16" s="6"/>
      <c r="G16" s="6"/>
      <c r="H16" s="6"/>
    </row>
    <row r="17" spans="1:8" ht="27.75" customHeight="1">
      <c r="B17" s="296" t="s">
        <v>128</v>
      </c>
      <c r="C17" s="295"/>
      <c r="D17" s="295"/>
      <c r="E17" s="295"/>
      <c r="F17" s="295"/>
      <c r="G17" s="295"/>
      <c r="H17" s="295"/>
    </row>
    <row r="18" spans="1:8" ht="15" customHeight="1">
      <c r="A18" s="297" t="s">
        <v>83</v>
      </c>
      <c r="B18" s="297"/>
      <c r="C18" s="297"/>
      <c r="D18" s="297"/>
      <c r="E18" s="297"/>
      <c r="F18" s="297"/>
      <c r="G18" s="297"/>
      <c r="H18" s="297"/>
    </row>
    <row r="19" spans="1:8" ht="39.75" customHeight="1">
      <c r="A19" s="1"/>
      <c r="B19" s="295" t="s">
        <v>84</v>
      </c>
      <c r="C19" s="295"/>
      <c r="D19" s="295"/>
      <c r="E19" s="295"/>
      <c r="F19" s="295"/>
      <c r="G19" s="295"/>
      <c r="H19" s="295"/>
    </row>
    <row r="20" spans="1:8" ht="15" customHeight="1">
      <c r="A20" s="297" t="s">
        <v>86</v>
      </c>
      <c r="B20" s="297"/>
      <c r="C20" s="297"/>
      <c r="D20" s="297"/>
      <c r="E20" s="297"/>
      <c r="F20" s="297"/>
      <c r="G20" s="297"/>
      <c r="H20" s="297"/>
    </row>
    <row r="21" spans="1:8" ht="79.5" customHeight="1">
      <c r="B21" s="296" t="s">
        <v>129</v>
      </c>
      <c r="C21" s="295"/>
      <c r="D21" s="295"/>
      <c r="E21" s="295"/>
      <c r="F21" s="295"/>
      <c r="G21" s="295"/>
      <c r="H21" s="295"/>
    </row>
    <row r="22" spans="1:8" ht="15" customHeight="1">
      <c r="A22" s="299" t="s">
        <v>87</v>
      </c>
      <c r="B22" s="300"/>
      <c r="C22" s="6"/>
      <c r="D22" s="6"/>
      <c r="E22" s="6"/>
      <c r="F22" s="6"/>
      <c r="G22" s="6"/>
      <c r="H22" s="6"/>
    </row>
    <row r="23" spans="1:8" ht="66.75" customHeight="1">
      <c r="B23" s="296" t="s">
        <v>130</v>
      </c>
      <c r="C23" s="295"/>
      <c r="D23" s="295"/>
      <c r="E23" s="295"/>
      <c r="F23" s="295"/>
      <c r="G23" s="295"/>
      <c r="H23" s="295"/>
    </row>
    <row r="24" spans="1:8" ht="15" customHeight="1">
      <c r="A24" s="297" t="s">
        <v>8</v>
      </c>
      <c r="B24" s="297"/>
      <c r="C24" s="297"/>
      <c r="D24" s="297"/>
      <c r="E24" s="297"/>
      <c r="F24" s="297"/>
      <c r="G24" s="297"/>
      <c r="H24" s="297"/>
    </row>
    <row r="25" spans="1:8" ht="54" customHeight="1">
      <c r="B25" s="298" t="s">
        <v>9</v>
      </c>
      <c r="C25" s="298"/>
      <c r="D25" s="298"/>
      <c r="E25" s="298"/>
      <c r="F25" s="298"/>
      <c r="G25" s="298"/>
      <c r="H25" s="298"/>
    </row>
    <row r="26" spans="1:8" ht="15" customHeight="1">
      <c r="A26" s="299" t="s">
        <v>10</v>
      </c>
      <c r="B26" s="300"/>
      <c r="C26" s="300"/>
      <c r="D26" s="300"/>
      <c r="E26" s="5"/>
      <c r="F26" s="5"/>
      <c r="G26" s="5"/>
      <c r="H26" s="5"/>
    </row>
    <row r="27" spans="1:8" ht="40.5" customHeight="1">
      <c r="A27" s="4"/>
      <c r="B27" s="295" t="s">
        <v>11</v>
      </c>
      <c r="C27" s="295"/>
      <c r="D27" s="295"/>
      <c r="E27" s="295"/>
      <c r="F27" s="295"/>
      <c r="G27" s="295"/>
      <c r="H27" s="295"/>
    </row>
    <row r="28" spans="1:8">
      <c r="A28" s="4"/>
      <c r="B28" s="5"/>
      <c r="C28" s="7" t="s">
        <v>12</v>
      </c>
      <c r="D28" s="7"/>
      <c r="E28" s="151"/>
      <c r="F28" s="5"/>
      <c r="G28" s="5"/>
      <c r="H28" s="5"/>
    </row>
    <row r="29" spans="1:8" ht="54" customHeight="1">
      <c r="B29" s="295" t="s">
        <v>13</v>
      </c>
      <c r="C29" s="295"/>
      <c r="D29" s="295"/>
      <c r="E29" s="295"/>
      <c r="F29" s="295"/>
      <c r="G29" s="295"/>
      <c r="H29" s="295"/>
    </row>
    <row r="30" spans="1:8" ht="19.5" customHeight="1">
      <c r="A30" s="297" t="s">
        <v>14</v>
      </c>
      <c r="B30" s="297"/>
      <c r="C30" s="297"/>
      <c r="D30" s="297"/>
      <c r="E30" s="297"/>
      <c r="F30" s="297"/>
      <c r="G30" s="297"/>
      <c r="H30" s="297"/>
    </row>
    <row r="31" spans="1:8" ht="53.25" customHeight="1">
      <c r="B31" s="307" t="s">
        <v>15</v>
      </c>
      <c r="C31" s="307"/>
      <c r="D31" s="307"/>
      <c r="E31" s="307"/>
      <c r="F31" s="307"/>
      <c r="G31" s="307"/>
      <c r="H31" s="307"/>
    </row>
    <row r="32" spans="1:8" ht="21.75" customHeight="1">
      <c r="A32" s="297" t="s">
        <v>16</v>
      </c>
      <c r="B32" s="297"/>
      <c r="C32" s="297"/>
      <c r="D32" s="297"/>
      <c r="E32" s="297"/>
      <c r="F32" s="297"/>
      <c r="G32" s="297"/>
      <c r="H32" s="297"/>
    </row>
    <row r="33" spans="1:8" ht="27.75" customHeight="1">
      <c r="A33" s="8"/>
      <c r="B33" s="295" t="s">
        <v>17</v>
      </c>
      <c r="C33" s="295"/>
      <c r="D33" s="295"/>
      <c r="E33" s="295"/>
      <c r="F33" s="295"/>
      <c r="G33" s="295"/>
      <c r="H33" s="295"/>
    </row>
    <row r="34" spans="1:8" ht="67.5" customHeight="1">
      <c r="B34" s="295" t="s">
        <v>91</v>
      </c>
      <c r="C34" s="295"/>
      <c r="D34" s="295"/>
      <c r="E34" s="295"/>
      <c r="F34" s="295"/>
      <c r="G34" s="295"/>
      <c r="H34" s="295"/>
    </row>
    <row r="35" spans="1:8" ht="15" customHeight="1">
      <c r="B35" s="152" t="s">
        <v>122</v>
      </c>
      <c r="C35" s="152"/>
      <c r="D35" s="302" t="s">
        <v>90</v>
      </c>
      <c r="E35" s="302"/>
      <c r="F35" s="302"/>
      <c r="G35" s="153"/>
      <c r="H35" s="153"/>
    </row>
    <row r="36" spans="1:8" ht="30.75" customHeight="1">
      <c r="B36" s="295" t="s">
        <v>18</v>
      </c>
      <c r="C36" s="295"/>
      <c r="D36" s="295"/>
      <c r="E36" s="295"/>
      <c r="F36" s="295"/>
      <c r="G36" s="295"/>
      <c r="H36" s="295"/>
    </row>
    <row r="37" spans="1:8" ht="30.75" customHeight="1">
      <c r="B37" s="295" t="s">
        <v>19</v>
      </c>
      <c r="C37" s="295"/>
      <c r="D37" s="295"/>
      <c r="E37" s="295"/>
      <c r="F37" s="295"/>
      <c r="G37" s="295"/>
      <c r="H37" s="295"/>
    </row>
    <row r="38" spans="1:8">
      <c r="A38" s="297" t="s">
        <v>20</v>
      </c>
      <c r="B38" s="297"/>
      <c r="C38" s="297"/>
      <c r="D38" s="297"/>
      <c r="E38" s="297"/>
      <c r="F38" s="297"/>
      <c r="G38" s="297"/>
      <c r="H38" s="297"/>
    </row>
    <row r="39" spans="1:8">
      <c r="B39" s="7" t="s">
        <v>26</v>
      </c>
      <c r="C39" s="7"/>
      <c r="D39" s="7"/>
      <c r="E39" s="7"/>
      <c r="F39" s="7"/>
      <c r="G39" s="7"/>
      <c r="H39" s="7"/>
    </row>
    <row r="40" spans="1:8" ht="25.5" customHeight="1">
      <c r="A40" s="297" t="s">
        <v>21</v>
      </c>
      <c r="B40" s="297"/>
      <c r="C40" s="297"/>
      <c r="D40" s="297"/>
      <c r="E40" s="297"/>
      <c r="F40" s="297"/>
      <c r="G40" s="297"/>
      <c r="H40" s="297"/>
    </row>
    <row r="41" spans="1:8">
      <c r="B41" s="4" t="s">
        <v>22</v>
      </c>
      <c r="C41" s="9">
        <v>39713</v>
      </c>
      <c r="D41" s="294" t="s">
        <v>23</v>
      </c>
      <c r="E41" s="293"/>
      <c r="F41" s="293"/>
      <c r="G41" s="293"/>
      <c r="H41" s="293"/>
    </row>
    <row r="42" spans="1:8">
      <c r="B42" s="4" t="s">
        <v>27</v>
      </c>
      <c r="C42" s="9">
        <v>39764</v>
      </c>
      <c r="D42" s="294" t="s">
        <v>79</v>
      </c>
      <c r="E42" s="293"/>
      <c r="F42" s="293"/>
      <c r="G42" s="293"/>
      <c r="H42" s="293"/>
    </row>
    <row r="43" spans="1:8">
      <c r="B43" s="83" t="s">
        <v>85</v>
      </c>
      <c r="C43" s="84">
        <v>39797</v>
      </c>
      <c r="D43" s="294" t="s">
        <v>94</v>
      </c>
      <c r="E43" s="293"/>
      <c r="F43" s="293"/>
      <c r="G43" s="293"/>
      <c r="H43" s="293"/>
    </row>
    <row r="44" spans="1:8" ht="25.5" customHeight="1">
      <c r="B44" s="83" t="s">
        <v>93</v>
      </c>
      <c r="C44" s="84">
        <v>39922</v>
      </c>
      <c r="D44" s="294" t="s">
        <v>92</v>
      </c>
      <c r="E44" s="301"/>
      <c r="F44" s="301"/>
      <c r="G44" s="301"/>
      <c r="H44" s="301"/>
    </row>
    <row r="45" spans="1:8">
      <c r="B45" s="83" t="s">
        <v>97</v>
      </c>
      <c r="C45" s="84">
        <v>40035</v>
      </c>
      <c r="D45" s="294" t="s">
        <v>114</v>
      </c>
      <c r="E45" s="293"/>
      <c r="F45" s="293"/>
      <c r="G45" s="293"/>
      <c r="H45" s="293"/>
    </row>
    <row r="46" spans="1:8">
      <c r="B46" s="83" t="s">
        <v>120</v>
      </c>
      <c r="C46" s="84">
        <v>40112</v>
      </c>
      <c r="D46" s="294" t="s">
        <v>121</v>
      </c>
      <c r="E46" s="293"/>
      <c r="F46" s="293"/>
      <c r="G46" s="293"/>
      <c r="H46" s="293"/>
    </row>
    <row r="47" spans="1:8">
      <c r="B47" s="83" t="s">
        <v>126</v>
      </c>
      <c r="C47" s="84">
        <v>40562</v>
      </c>
      <c r="D47" s="292" t="s">
        <v>134</v>
      </c>
      <c r="E47" s="293"/>
      <c r="F47" s="293"/>
      <c r="G47" s="293"/>
      <c r="H47" s="293"/>
    </row>
    <row r="48" spans="1:8">
      <c r="D48" s="293"/>
      <c r="E48" s="293"/>
      <c r="F48" s="293"/>
      <c r="G48" s="293"/>
      <c r="H48" s="293"/>
    </row>
    <row r="49" spans="2:8">
      <c r="B49" s="83" t="s">
        <v>165</v>
      </c>
      <c r="C49" s="84">
        <v>40779</v>
      </c>
      <c r="D49" s="292" t="s">
        <v>209</v>
      </c>
      <c r="E49" s="293"/>
      <c r="F49" s="293"/>
      <c r="G49" s="293"/>
      <c r="H49" s="293"/>
    </row>
    <row r="50" spans="2:8">
      <c r="D50" s="293"/>
      <c r="E50" s="293"/>
      <c r="F50" s="293"/>
      <c r="G50" s="293"/>
      <c r="H50" s="293"/>
    </row>
    <row r="51" spans="2:8" ht="12.75" customHeight="1">
      <c r="B51" s="83" t="s">
        <v>210</v>
      </c>
      <c r="C51" s="84">
        <v>40874</v>
      </c>
      <c r="D51" s="292" t="s">
        <v>211</v>
      </c>
      <c r="E51" s="293"/>
      <c r="F51" s="293"/>
      <c r="G51" s="293"/>
      <c r="H51" s="293"/>
    </row>
    <row r="52" spans="2:8">
      <c r="D52" s="293"/>
      <c r="E52" s="293"/>
      <c r="F52" s="293"/>
      <c r="G52" s="293"/>
      <c r="H52" s="293"/>
    </row>
    <row r="53" spans="2:8">
      <c r="B53" s="83" t="s">
        <v>212</v>
      </c>
      <c r="C53" s="84">
        <v>40924</v>
      </c>
      <c r="D53" s="289" t="s">
        <v>213</v>
      </c>
      <c r="E53" s="286"/>
      <c r="F53" s="286"/>
      <c r="G53" s="286"/>
      <c r="H53" s="286"/>
    </row>
    <row r="54" spans="2:8">
      <c r="B54" s="83" t="s">
        <v>215</v>
      </c>
      <c r="C54" s="84">
        <v>40981</v>
      </c>
      <c r="D54" s="289" t="s">
        <v>216</v>
      </c>
      <c r="E54" s="286"/>
      <c r="F54" s="286"/>
      <c r="G54" s="286"/>
      <c r="H54" s="286"/>
    </row>
  </sheetData>
  <sheetProtection selectLockedCells="1"/>
  <mergeCells count="46">
    <mergeCell ref="D51:H52"/>
    <mergeCell ref="A40:H40"/>
    <mergeCell ref="B37:H37"/>
    <mergeCell ref="A1:H1"/>
    <mergeCell ref="A5:D5"/>
    <mergeCell ref="A3:D3"/>
    <mergeCell ref="E3:G3"/>
    <mergeCell ref="A20:H20"/>
    <mergeCell ref="B15:H15"/>
    <mergeCell ref="A18:H18"/>
    <mergeCell ref="B27:H27"/>
    <mergeCell ref="B17:H17"/>
    <mergeCell ref="B31:H31"/>
    <mergeCell ref="A32:H32"/>
    <mergeCell ref="A38:H38"/>
    <mergeCell ref="B33:H33"/>
    <mergeCell ref="B34:H34"/>
    <mergeCell ref="A30:H30"/>
    <mergeCell ref="B36:H36"/>
    <mergeCell ref="D35:F35"/>
    <mergeCell ref="A6:D6"/>
    <mergeCell ref="A12:C12"/>
    <mergeCell ref="A14:C14"/>
    <mergeCell ref="A16:B16"/>
    <mergeCell ref="A8:H8"/>
    <mergeCell ref="B7:H7"/>
    <mergeCell ref="B13:H13"/>
    <mergeCell ref="B9:H9"/>
    <mergeCell ref="A10:H10"/>
    <mergeCell ref="B11:H11"/>
    <mergeCell ref="D49:H50"/>
    <mergeCell ref="D46:H46"/>
    <mergeCell ref="D47:H48"/>
    <mergeCell ref="B19:H19"/>
    <mergeCell ref="B23:H23"/>
    <mergeCell ref="D41:H41"/>
    <mergeCell ref="D42:H42"/>
    <mergeCell ref="D43:H43"/>
    <mergeCell ref="D45:H45"/>
    <mergeCell ref="B29:H29"/>
    <mergeCell ref="A24:H24"/>
    <mergeCell ref="B25:H25"/>
    <mergeCell ref="B21:H21"/>
    <mergeCell ref="A22:B22"/>
    <mergeCell ref="A26:D26"/>
    <mergeCell ref="D44:H44"/>
  </mergeCells>
  <phoneticPr fontId="7" type="noConversion"/>
  <hyperlinks>
    <hyperlink ref="B39" r:id="rId1"/>
    <hyperlink ref="E35:H35" r:id="rId2" display="http://trax.boy-scouts.net"/>
    <hyperlink ref="E40:H40" r:id="rId3" display="http://trax.boy-scouts.net"/>
    <hyperlink ref="C28" r:id="rId4"/>
    <hyperlink ref="D35" r:id="rId5"/>
  </hyperlinks>
  <pageMargins left="0.75" right="0.75" top="1" bottom="0.5" header="0.25" footer="0.25"/>
  <pageSetup orientation="portrait" horizontalDpi="300" verticalDpi="300" r:id="rId6"/>
  <headerFooter alignWithMargins="0">
    <oddHeader>&amp;C&amp;"Arial,Bold"&amp;14DaisyTrax
&amp;12Instructions - &amp;D</oddHeader>
    <oddFooter>&amp;CPage &amp;P</oddFooter>
  </headerFooter>
  <rowBreaks count="1" manualBreakCount="1">
    <brk id="23"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G165"/>
  <sheetViews>
    <sheetView showGridLines="0" zoomScaleNormal="100" workbookViewId="0">
      <selection activeCell="B1" sqref="B1"/>
    </sheetView>
  </sheetViews>
  <sheetFormatPr defaultRowHeight="12.75"/>
  <cols>
    <col min="1" max="1" width="15.140625" style="3" customWidth="1"/>
    <col min="2" max="2" width="26.5703125" style="3" customWidth="1"/>
    <col min="3" max="3" width="15.140625" style="3" customWidth="1"/>
    <col min="4" max="4" width="24.7109375" style="3" customWidth="1"/>
    <col min="5" max="5" width="2.7109375" style="3" customWidth="1"/>
    <col min="6" max="6" width="14" style="3" customWidth="1"/>
    <col min="7" max="7" width="24.85546875" style="3" customWidth="1"/>
    <col min="8" max="16384" width="9.140625" style="3"/>
  </cols>
  <sheetData>
    <row r="1" spans="1:7" ht="15.75" customHeight="1">
      <c r="A1" s="254" t="str">
        <f ca="1">'Daisy 1'!A1</f>
        <v>Daisy 1</v>
      </c>
      <c r="B1" s="10" t="s">
        <v>104</v>
      </c>
      <c r="C1" s="255" t="s">
        <v>28</v>
      </c>
      <c r="D1" s="11"/>
      <c r="E1" s="314" t="s">
        <v>29</v>
      </c>
      <c r="F1" s="12"/>
      <c r="G1" s="13"/>
    </row>
    <row r="2" spans="1:7">
      <c r="A2" s="313" t="s">
        <v>30</v>
      </c>
      <c r="B2" s="313"/>
      <c r="C2" s="313" t="s">
        <v>124</v>
      </c>
      <c r="D2" s="313"/>
      <c r="E2" s="315"/>
      <c r="F2" s="256" t="s">
        <v>31</v>
      </c>
      <c r="G2" s="15"/>
    </row>
    <row r="3" spans="1:7">
      <c r="A3" s="256" t="s">
        <v>32</v>
      </c>
      <c r="B3" s="100"/>
      <c r="C3" s="256" t="s">
        <v>32</v>
      </c>
      <c r="D3" s="17"/>
      <c r="E3" s="315"/>
      <c r="G3" s="18"/>
    </row>
    <row r="4" spans="1:7">
      <c r="A4" s="256" t="s">
        <v>31</v>
      </c>
      <c r="B4" s="100"/>
      <c r="C4" s="256" t="s">
        <v>31</v>
      </c>
      <c r="D4" s="17"/>
      <c r="E4" s="315"/>
      <c r="F4" s="256" t="s">
        <v>123</v>
      </c>
      <c r="G4" s="311"/>
    </row>
    <row r="5" spans="1:7">
      <c r="A5" s="256" t="s">
        <v>33</v>
      </c>
      <c r="B5" s="100"/>
      <c r="C5" s="256" t="s">
        <v>33</v>
      </c>
      <c r="D5" s="17"/>
      <c r="E5" s="315"/>
      <c r="G5" s="312"/>
    </row>
    <row r="6" spans="1:7">
      <c r="A6" s="256" t="s">
        <v>34</v>
      </c>
      <c r="B6" s="16"/>
      <c r="C6" s="256" t="s">
        <v>34</v>
      </c>
      <c r="D6" s="17"/>
      <c r="E6" s="315"/>
      <c r="F6" s="256" t="s">
        <v>35</v>
      </c>
      <c r="G6" s="86"/>
    </row>
    <row r="7" spans="1:7">
      <c r="A7" s="256" t="s">
        <v>35</v>
      </c>
      <c r="B7" s="85"/>
      <c r="C7" s="256" t="s">
        <v>35</v>
      </c>
      <c r="D7" s="86"/>
      <c r="E7" s="315"/>
      <c r="G7" s="18"/>
    </row>
    <row r="8" spans="1:7">
      <c r="A8" s="256" t="s">
        <v>36</v>
      </c>
      <c r="B8" s="85"/>
      <c r="C8" s="256" t="s">
        <v>36</v>
      </c>
      <c r="D8" s="86"/>
      <c r="E8" s="315"/>
      <c r="F8" s="256" t="s">
        <v>36</v>
      </c>
      <c r="G8" s="86"/>
    </row>
    <row r="9" spans="1:7">
      <c r="A9" s="256" t="s">
        <v>37</v>
      </c>
      <c r="B9" s="85"/>
      <c r="C9" s="256" t="s">
        <v>37</v>
      </c>
      <c r="D9" s="86"/>
      <c r="E9" s="315"/>
      <c r="G9" s="18"/>
    </row>
    <row r="10" spans="1:7">
      <c r="A10" s="256" t="s">
        <v>38</v>
      </c>
      <c r="B10" s="16"/>
      <c r="C10" s="256" t="s">
        <v>38</v>
      </c>
      <c r="D10" s="17"/>
      <c r="E10" s="315"/>
      <c r="F10" s="256" t="s">
        <v>37</v>
      </c>
      <c r="G10" s="86"/>
    </row>
    <row r="11" spans="1:7">
      <c r="A11" s="257" t="s">
        <v>39</v>
      </c>
      <c r="B11" s="19"/>
      <c r="C11" s="257" t="s">
        <v>39</v>
      </c>
      <c r="D11" s="20"/>
      <c r="E11" s="316"/>
      <c r="F11" s="257"/>
      <c r="G11" s="21"/>
    </row>
    <row r="12" spans="1:7" ht="15.75">
      <c r="A12" s="254" t="str">
        <f ca="1">'Daisy 2'!A1</f>
        <v>Daisy 2</v>
      </c>
      <c r="B12" s="10" t="s">
        <v>104</v>
      </c>
      <c r="C12" s="255" t="s">
        <v>28</v>
      </c>
      <c r="D12" s="11"/>
      <c r="E12" s="308" t="s">
        <v>29</v>
      </c>
      <c r="F12" s="12"/>
      <c r="G12" s="13"/>
    </row>
    <row r="13" spans="1:7">
      <c r="A13" s="313" t="s">
        <v>30</v>
      </c>
      <c r="B13" s="313"/>
      <c r="C13" s="313" t="s">
        <v>124</v>
      </c>
      <c r="D13" s="313"/>
      <c r="E13" s="309"/>
      <c r="F13" s="256" t="s">
        <v>31</v>
      </c>
      <c r="G13" s="15"/>
    </row>
    <row r="14" spans="1:7">
      <c r="A14" s="256" t="s">
        <v>32</v>
      </c>
      <c r="B14" s="100"/>
      <c r="C14" s="256" t="s">
        <v>32</v>
      </c>
      <c r="D14" s="17"/>
      <c r="E14" s="309"/>
      <c r="G14" s="18"/>
    </row>
    <row r="15" spans="1:7">
      <c r="A15" s="256" t="s">
        <v>31</v>
      </c>
      <c r="B15" s="100"/>
      <c r="C15" s="256" t="s">
        <v>31</v>
      </c>
      <c r="D15" s="17"/>
      <c r="E15" s="309"/>
      <c r="F15" s="256" t="s">
        <v>123</v>
      </c>
      <c r="G15" s="311"/>
    </row>
    <row r="16" spans="1:7">
      <c r="A16" s="256" t="s">
        <v>33</v>
      </c>
      <c r="B16" s="100"/>
      <c r="C16" s="256" t="s">
        <v>33</v>
      </c>
      <c r="D16" s="17"/>
      <c r="E16" s="309"/>
      <c r="G16" s="312"/>
    </row>
    <row r="17" spans="1:7">
      <c r="A17" s="256" t="s">
        <v>34</v>
      </c>
      <c r="B17" s="16"/>
      <c r="C17" s="256" t="s">
        <v>34</v>
      </c>
      <c r="D17" s="17"/>
      <c r="E17" s="309"/>
      <c r="F17" s="256" t="s">
        <v>35</v>
      </c>
      <c r="G17" s="86"/>
    </row>
    <row r="18" spans="1:7">
      <c r="A18" s="256" t="s">
        <v>35</v>
      </c>
      <c r="B18" s="85"/>
      <c r="C18" s="256" t="s">
        <v>35</v>
      </c>
      <c r="D18" s="86"/>
      <c r="E18" s="309"/>
      <c r="G18" s="18"/>
    </row>
    <row r="19" spans="1:7">
      <c r="A19" s="256" t="s">
        <v>36</v>
      </c>
      <c r="B19" s="85"/>
      <c r="C19" s="256" t="s">
        <v>36</v>
      </c>
      <c r="D19" s="86"/>
      <c r="E19" s="309"/>
      <c r="F19" s="256" t="s">
        <v>36</v>
      </c>
      <c r="G19" s="86"/>
    </row>
    <row r="20" spans="1:7">
      <c r="A20" s="256" t="s">
        <v>37</v>
      </c>
      <c r="B20" s="85"/>
      <c r="C20" s="256" t="s">
        <v>37</v>
      </c>
      <c r="D20" s="86"/>
      <c r="E20" s="309"/>
      <c r="G20" s="18"/>
    </row>
    <row r="21" spans="1:7">
      <c r="A21" s="256" t="s">
        <v>38</v>
      </c>
      <c r="B21" s="16"/>
      <c r="C21" s="256" t="s">
        <v>38</v>
      </c>
      <c r="D21" s="17"/>
      <c r="E21" s="309"/>
      <c r="F21" s="256" t="s">
        <v>37</v>
      </c>
      <c r="G21" s="86"/>
    </row>
    <row r="22" spans="1:7">
      <c r="A22" s="257" t="s">
        <v>39</v>
      </c>
      <c r="B22" s="19"/>
      <c r="C22" s="257" t="s">
        <v>39</v>
      </c>
      <c r="D22" s="20"/>
      <c r="E22" s="310"/>
      <c r="F22" s="257"/>
      <c r="G22" s="21"/>
    </row>
    <row r="23" spans="1:7" ht="15.75">
      <c r="A23" s="254" t="str">
        <f ca="1">'Daisy 3'!A1</f>
        <v>Daisy 3</v>
      </c>
      <c r="B23" s="10" t="s">
        <v>104</v>
      </c>
      <c r="C23" s="255" t="s">
        <v>28</v>
      </c>
      <c r="D23" s="11"/>
      <c r="E23" s="308" t="s">
        <v>29</v>
      </c>
      <c r="F23" s="12"/>
      <c r="G23" s="13"/>
    </row>
    <row r="24" spans="1:7">
      <c r="A24" s="313" t="s">
        <v>30</v>
      </c>
      <c r="B24" s="313"/>
      <c r="C24" s="313" t="s">
        <v>124</v>
      </c>
      <c r="D24" s="313"/>
      <c r="E24" s="309"/>
      <c r="F24" s="256" t="s">
        <v>31</v>
      </c>
      <c r="G24" s="15"/>
    </row>
    <row r="25" spans="1:7">
      <c r="A25" s="256" t="s">
        <v>32</v>
      </c>
      <c r="B25" s="100"/>
      <c r="C25" s="256" t="s">
        <v>32</v>
      </c>
      <c r="D25" s="17"/>
      <c r="E25" s="309"/>
      <c r="G25" s="18"/>
    </row>
    <row r="26" spans="1:7">
      <c r="A26" s="256" t="s">
        <v>31</v>
      </c>
      <c r="B26" s="100"/>
      <c r="C26" s="256" t="s">
        <v>31</v>
      </c>
      <c r="D26" s="17"/>
      <c r="E26" s="309"/>
      <c r="F26" s="256" t="s">
        <v>123</v>
      </c>
      <c r="G26" s="311"/>
    </row>
    <row r="27" spans="1:7">
      <c r="A27" s="256" t="s">
        <v>33</v>
      </c>
      <c r="B27" s="100"/>
      <c r="C27" s="256" t="s">
        <v>33</v>
      </c>
      <c r="D27" s="17"/>
      <c r="E27" s="309"/>
      <c r="G27" s="312"/>
    </row>
    <row r="28" spans="1:7">
      <c r="A28" s="256" t="s">
        <v>34</v>
      </c>
      <c r="B28" s="16"/>
      <c r="C28" s="256" t="s">
        <v>34</v>
      </c>
      <c r="D28" s="17"/>
      <c r="E28" s="309"/>
      <c r="F28" s="256" t="s">
        <v>35</v>
      </c>
      <c r="G28" s="86"/>
    </row>
    <row r="29" spans="1:7">
      <c r="A29" s="256" t="s">
        <v>35</v>
      </c>
      <c r="B29" s="85"/>
      <c r="C29" s="256" t="s">
        <v>35</v>
      </c>
      <c r="D29" s="86"/>
      <c r="E29" s="309"/>
      <c r="G29" s="18"/>
    </row>
    <row r="30" spans="1:7">
      <c r="A30" s="256" t="s">
        <v>36</v>
      </c>
      <c r="B30" s="85"/>
      <c r="C30" s="256" t="s">
        <v>36</v>
      </c>
      <c r="D30" s="86"/>
      <c r="E30" s="309"/>
      <c r="F30" s="256" t="s">
        <v>36</v>
      </c>
      <c r="G30" s="86"/>
    </row>
    <row r="31" spans="1:7">
      <c r="A31" s="256" t="s">
        <v>37</v>
      </c>
      <c r="B31" s="85"/>
      <c r="C31" s="256" t="s">
        <v>37</v>
      </c>
      <c r="D31" s="86"/>
      <c r="E31" s="309"/>
      <c r="G31" s="18"/>
    </row>
    <row r="32" spans="1:7">
      <c r="A32" s="256" t="s">
        <v>38</v>
      </c>
      <c r="B32" s="16"/>
      <c r="C32" s="256" t="s">
        <v>38</v>
      </c>
      <c r="D32" s="17"/>
      <c r="E32" s="309"/>
      <c r="F32" s="256" t="s">
        <v>37</v>
      </c>
      <c r="G32" s="86"/>
    </row>
    <row r="33" spans="1:7">
      <c r="A33" s="257" t="s">
        <v>39</v>
      </c>
      <c r="B33" s="19"/>
      <c r="C33" s="257" t="s">
        <v>39</v>
      </c>
      <c r="D33" s="20"/>
      <c r="E33" s="310"/>
      <c r="F33" s="257"/>
      <c r="G33" s="21"/>
    </row>
    <row r="34" spans="1:7" ht="15.75">
      <c r="A34" s="254" t="str">
        <f ca="1">'Daisy 4'!A1</f>
        <v>Daisy 4</v>
      </c>
      <c r="B34" s="10" t="s">
        <v>104</v>
      </c>
      <c r="C34" s="255" t="s">
        <v>28</v>
      </c>
      <c r="D34" s="11"/>
      <c r="E34" s="308" t="s">
        <v>29</v>
      </c>
      <c r="F34" s="12"/>
      <c r="G34" s="13"/>
    </row>
    <row r="35" spans="1:7">
      <c r="A35" s="313" t="s">
        <v>30</v>
      </c>
      <c r="B35" s="313"/>
      <c r="C35" s="313" t="s">
        <v>124</v>
      </c>
      <c r="D35" s="313"/>
      <c r="E35" s="309"/>
      <c r="F35" s="256" t="s">
        <v>31</v>
      </c>
      <c r="G35" s="15"/>
    </row>
    <row r="36" spans="1:7">
      <c r="A36" s="256" t="s">
        <v>32</v>
      </c>
      <c r="B36" s="100"/>
      <c r="C36" s="256" t="s">
        <v>32</v>
      </c>
      <c r="D36" s="17"/>
      <c r="E36" s="309"/>
      <c r="G36" s="18"/>
    </row>
    <row r="37" spans="1:7">
      <c r="A37" s="256" t="s">
        <v>31</v>
      </c>
      <c r="B37" s="100"/>
      <c r="C37" s="256" t="s">
        <v>31</v>
      </c>
      <c r="D37" s="17"/>
      <c r="E37" s="309"/>
      <c r="F37" s="256" t="s">
        <v>123</v>
      </c>
      <c r="G37" s="311"/>
    </row>
    <row r="38" spans="1:7">
      <c r="A38" s="256" t="s">
        <v>33</v>
      </c>
      <c r="B38" s="100"/>
      <c r="C38" s="256" t="s">
        <v>33</v>
      </c>
      <c r="D38" s="17"/>
      <c r="E38" s="309"/>
      <c r="G38" s="312"/>
    </row>
    <row r="39" spans="1:7">
      <c r="A39" s="256" t="s">
        <v>34</v>
      </c>
      <c r="B39" s="16"/>
      <c r="C39" s="256" t="s">
        <v>34</v>
      </c>
      <c r="D39" s="17"/>
      <c r="E39" s="309"/>
      <c r="F39" s="256" t="s">
        <v>35</v>
      </c>
      <c r="G39" s="86"/>
    </row>
    <row r="40" spans="1:7">
      <c r="A40" s="256" t="s">
        <v>35</v>
      </c>
      <c r="B40" s="85"/>
      <c r="C40" s="256" t="s">
        <v>35</v>
      </c>
      <c r="D40" s="86"/>
      <c r="E40" s="309"/>
      <c r="G40" s="18"/>
    </row>
    <row r="41" spans="1:7">
      <c r="A41" s="256" t="s">
        <v>36</v>
      </c>
      <c r="B41" s="85"/>
      <c r="C41" s="256" t="s">
        <v>36</v>
      </c>
      <c r="D41" s="86"/>
      <c r="E41" s="309"/>
      <c r="F41" s="256" t="s">
        <v>36</v>
      </c>
      <c r="G41" s="86"/>
    </row>
    <row r="42" spans="1:7">
      <c r="A42" s="256" t="s">
        <v>37</v>
      </c>
      <c r="B42" s="85"/>
      <c r="C42" s="256" t="s">
        <v>37</v>
      </c>
      <c r="D42" s="86"/>
      <c r="E42" s="309"/>
      <c r="G42" s="18"/>
    </row>
    <row r="43" spans="1:7">
      <c r="A43" s="256" t="s">
        <v>38</v>
      </c>
      <c r="B43" s="16"/>
      <c r="C43" s="256" t="s">
        <v>38</v>
      </c>
      <c r="D43" s="17"/>
      <c r="E43" s="309"/>
      <c r="F43" s="256" t="s">
        <v>37</v>
      </c>
      <c r="G43" s="86"/>
    </row>
    <row r="44" spans="1:7">
      <c r="A44" s="257" t="s">
        <v>39</v>
      </c>
      <c r="B44" s="19"/>
      <c r="C44" s="257" t="s">
        <v>39</v>
      </c>
      <c r="D44" s="20"/>
      <c r="E44" s="310"/>
      <c r="F44" s="257"/>
      <c r="G44" s="21"/>
    </row>
    <row r="45" spans="1:7" ht="15.75">
      <c r="A45" s="254" t="str">
        <f ca="1">'Daisy 5'!A1</f>
        <v>Daisy 5</v>
      </c>
      <c r="B45" s="10" t="s">
        <v>104</v>
      </c>
      <c r="C45" s="255" t="s">
        <v>28</v>
      </c>
      <c r="D45" s="11"/>
      <c r="E45" s="308" t="s">
        <v>29</v>
      </c>
      <c r="F45" s="12"/>
      <c r="G45" s="13"/>
    </row>
    <row r="46" spans="1:7">
      <c r="A46" s="313" t="s">
        <v>30</v>
      </c>
      <c r="B46" s="313"/>
      <c r="C46" s="313" t="s">
        <v>124</v>
      </c>
      <c r="D46" s="313"/>
      <c r="E46" s="309"/>
      <c r="F46" s="256" t="s">
        <v>31</v>
      </c>
      <c r="G46" s="15"/>
    </row>
    <row r="47" spans="1:7">
      <c r="A47" s="256" t="s">
        <v>32</v>
      </c>
      <c r="B47" s="100"/>
      <c r="C47" s="256" t="s">
        <v>32</v>
      </c>
      <c r="D47" s="17"/>
      <c r="E47" s="309"/>
      <c r="G47" s="18"/>
    </row>
    <row r="48" spans="1:7">
      <c r="A48" s="256" t="s">
        <v>31</v>
      </c>
      <c r="B48" s="100"/>
      <c r="C48" s="256" t="s">
        <v>31</v>
      </c>
      <c r="D48" s="17"/>
      <c r="E48" s="309"/>
      <c r="F48" s="256" t="s">
        <v>123</v>
      </c>
      <c r="G48" s="311"/>
    </row>
    <row r="49" spans="1:7">
      <c r="A49" s="256" t="s">
        <v>33</v>
      </c>
      <c r="B49" s="100"/>
      <c r="C49" s="256" t="s">
        <v>33</v>
      </c>
      <c r="D49" s="17"/>
      <c r="E49" s="309"/>
      <c r="G49" s="312"/>
    </row>
    <row r="50" spans="1:7">
      <c r="A50" s="256" t="s">
        <v>34</v>
      </c>
      <c r="B50" s="16"/>
      <c r="C50" s="256" t="s">
        <v>34</v>
      </c>
      <c r="D50" s="17"/>
      <c r="E50" s="309"/>
      <c r="F50" s="256" t="s">
        <v>35</v>
      </c>
      <c r="G50" s="86"/>
    </row>
    <row r="51" spans="1:7">
      <c r="A51" s="256" t="s">
        <v>35</v>
      </c>
      <c r="B51" s="85"/>
      <c r="C51" s="256" t="s">
        <v>35</v>
      </c>
      <c r="D51" s="86"/>
      <c r="E51" s="309"/>
      <c r="G51" s="18"/>
    </row>
    <row r="52" spans="1:7">
      <c r="A52" s="256" t="s">
        <v>36</v>
      </c>
      <c r="B52" s="85"/>
      <c r="C52" s="256" t="s">
        <v>36</v>
      </c>
      <c r="D52" s="86"/>
      <c r="E52" s="309"/>
      <c r="F52" s="256" t="s">
        <v>36</v>
      </c>
      <c r="G52" s="86"/>
    </row>
    <row r="53" spans="1:7">
      <c r="A53" s="256" t="s">
        <v>37</v>
      </c>
      <c r="B53" s="85"/>
      <c r="C53" s="256" t="s">
        <v>37</v>
      </c>
      <c r="D53" s="86"/>
      <c r="E53" s="309"/>
      <c r="G53" s="18"/>
    </row>
    <row r="54" spans="1:7">
      <c r="A54" s="256" t="s">
        <v>38</v>
      </c>
      <c r="B54" s="16"/>
      <c r="C54" s="256" t="s">
        <v>38</v>
      </c>
      <c r="D54" s="17"/>
      <c r="E54" s="309"/>
      <c r="F54" s="256" t="s">
        <v>37</v>
      </c>
      <c r="G54" s="86"/>
    </row>
    <row r="55" spans="1:7">
      <c r="A55" s="257" t="s">
        <v>39</v>
      </c>
      <c r="B55" s="19"/>
      <c r="C55" s="257" t="s">
        <v>39</v>
      </c>
      <c r="D55" s="20"/>
      <c r="E55" s="310"/>
      <c r="F55" s="257"/>
      <c r="G55" s="21"/>
    </row>
    <row r="56" spans="1:7" ht="15.75">
      <c r="A56" s="254" t="str">
        <f ca="1">'Daisy 6'!A1</f>
        <v>Daisy 6</v>
      </c>
      <c r="B56" s="10" t="s">
        <v>104</v>
      </c>
      <c r="C56" s="255" t="s">
        <v>28</v>
      </c>
      <c r="D56" s="11"/>
      <c r="E56" s="308" t="s">
        <v>29</v>
      </c>
      <c r="F56" s="12"/>
      <c r="G56" s="13"/>
    </row>
    <row r="57" spans="1:7">
      <c r="A57" s="313" t="s">
        <v>30</v>
      </c>
      <c r="B57" s="313"/>
      <c r="C57" s="313" t="s">
        <v>124</v>
      </c>
      <c r="D57" s="313"/>
      <c r="E57" s="309"/>
      <c r="F57" s="256" t="s">
        <v>31</v>
      </c>
      <c r="G57" s="15"/>
    </row>
    <row r="58" spans="1:7">
      <c r="A58" s="256" t="s">
        <v>32</v>
      </c>
      <c r="B58" s="100"/>
      <c r="C58" s="256" t="s">
        <v>32</v>
      </c>
      <c r="D58" s="17"/>
      <c r="E58" s="309"/>
      <c r="G58" s="18"/>
    </row>
    <row r="59" spans="1:7">
      <c r="A59" s="256" t="s">
        <v>31</v>
      </c>
      <c r="B59" s="100"/>
      <c r="C59" s="256" t="s">
        <v>31</v>
      </c>
      <c r="D59" s="17"/>
      <c r="E59" s="309"/>
      <c r="F59" s="256" t="s">
        <v>123</v>
      </c>
      <c r="G59" s="311"/>
    </row>
    <row r="60" spans="1:7">
      <c r="A60" s="256" t="s">
        <v>33</v>
      </c>
      <c r="B60" s="100"/>
      <c r="C60" s="256" t="s">
        <v>33</v>
      </c>
      <c r="D60" s="17"/>
      <c r="E60" s="309"/>
      <c r="G60" s="312"/>
    </row>
    <row r="61" spans="1:7">
      <c r="A61" s="256" t="s">
        <v>34</v>
      </c>
      <c r="B61" s="16"/>
      <c r="C61" s="256" t="s">
        <v>34</v>
      </c>
      <c r="D61" s="17"/>
      <c r="E61" s="309"/>
      <c r="F61" s="256" t="s">
        <v>35</v>
      </c>
      <c r="G61" s="86"/>
    </row>
    <row r="62" spans="1:7">
      <c r="A62" s="256" t="s">
        <v>35</v>
      </c>
      <c r="B62" s="85"/>
      <c r="C62" s="256" t="s">
        <v>35</v>
      </c>
      <c r="D62" s="86"/>
      <c r="E62" s="309"/>
      <c r="G62" s="18"/>
    </row>
    <row r="63" spans="1:7">
      <c r="A63" s="256" t="s">
        <v>36</v>
      </c>
      <c r="B63" s="85"/>
      <c r="C63" s="256" t="s">
        <v>36</v>
      </c>
      <c r="D63" s="86"/>
      <c r="E63" s="309"/>
      <c r="F63" s="256" t="s">
        <v>36</v>
      </c>
      <c r="G63" s="86"/>
    </row>
    <row r="64" spans="1:7">
      <c r="A64" s="256" t="s">
        <v>37</v>
      </c>
      <c r="B64" s="85"/>
      <c r="C64" s="256" t="s">
        <v>37</v>
      </c>
      <c r="D64" s="86"/>
      <c r="E64" s="309"/>
      <c r="G64" s="18"/>
    </row>
    <row r="65" spans="1:7">
      <c r="A65" s="256" t="s">
        <v>38</v>
      </c>
      <c r="B65" s="16"/>
      <c r="C65" s="256" t="s">
        <v>38</v>
      </c>
      <c r="D65" s="17"/>
      <c r="E65" s="309"/>
      <c r="F65" s="256" t="s">
        <v>37</v>
      </c>
      <c r="G65" s="86"/>
    </row>
    <row r="66" spans="1:7">
      <c r="A66" s="257" t="s">
        <v>39</v>
      </c>
      <c r="B66" s="19"/>
      <c r="C66" s="257" t="s">
        <v>39</v>
      </c>
      <c r="D66" s="20"/>
      <c r="E66" s="310"/>
      <c r="F66" s="257"/>
      <c r="G66" s="21"/>
    </row>
    <row r="67" spans="1:7" ht="15.75">
      <c r="A67" s="254" t="str">
        <f ca="1">'Daisy 7'!A1</f>
        <v>Daisy 7</v>
      </c>
      <c r="B67" s="10" t="s">
        <v>104</v>
      </c>
      <c r="C67" s="255" t="s">
        <v>28</v>
      </c>
      <c r="D67" s="11"/>
      <c r="E67" s="308" t="s">
        <v>29</v>
      </c>
      <c r="F67" s="12"/>
      <c r="G67" s="13"/>
    </row>
    <row r="68" spans="1:7">
      <c r="A68" s="313" t="s">
        <v>30</v>
      </c>
      <c r="B68" s="313"/>
      <c r="C68" s="313" t="s">
        <v>124</v>
      </c>
      <c r="D68" s="313"/>
      <c r="E68" s="309"/>
      <c r="F68" s="256" t="s">
        <v>31</v>
      </c>
      <c r="G68" s="15"/>
    </row>
    <row r="69" spans="1:7">
      <c r="A69" s="256" t="s">
        <v>32</v>
      </c>
      <c r="B69" s="100"/>
      <c r="C69" s="256" t="s">
        <v>32</v>
      </c>
      <c r="D69" s="17"/>
      <c r="E69" s="309"/>
      <c r="G69" s="18"/>
    </row>
    <row r="70" spans="1:7">
      <c r="A70" s="256" t="s">
        <v>31</v>
      </c>
      <c r="B70" s="100"/>
      <c r="C70" s="256" t="s">
        <v>31</v>
      </c>
      <c r="D70" s="17"/>
      <c r="E70" s="309"/>
      <c r="F70" s="256" t="s">
        <v>123</v>
      </c>
      <c r="G70" s="311"/>
    </row>
    <row r="71" spans="1:7">
      <c r="A71" s="256" t="s">
        <v>33</v>
      </c>
      <c r="B71" s="100"/>
      <c r="C71" s="256" t="s">
        <v>33</v>
      </c>
      <c r="D71" s="17"/>
      <c r="E71" s="309"/>
      <c r="G71" s="312"/>
    </row>
    <row r="72" spans="1:7">
      <c r="A72" s="256" t="s">
        <v>34</v>
      </c>
      <c r="B72" s="16"/>
      <c r="C72" s="256" t="s">
        <v>34</v>
      </c>
      <c r="D72" s="17"/>
      <c r="E72" s="309"/>
      <c r="F72" s="256" t="s">
        <v>35</v>
      </c>
      <c r="G72" s="86"/>
    </row>
    <row r="73" spans="1:7">
      <c r="A73" s="256" t="s">
        <v>35</v>
      </c>
      <c r="B73" s="85"/>
      <c r="C73" s="256" t="s">
        <v>35</v>
      </c>
      <c r="D73" s="86"/>
      <c r="E73" s="309"/>
      <c r="G73" s="18"/>
    </row>
    <row r="74" spans="1:7">
      <c r="A74" s="256" t="s">
        <v>36</v>
      </c>
      <c r="B74" s="85"/>
      <c r="C74" s="256" t="s">
        <v>36</v>
      </c>
      <c r="D74" s="86"/>
      <c r="E74" s="309"/>
      <c r="F74" s="256" t="s">
        <v>36</v>
      </c>
      <c r="G74" s="86"/>
    </row>
    <row r="75" spans="1:7">
      <c r="A75" s="256" t="s">
        <v>37</v>
      </c>
      <c r="B75" s="85"/>
      <c r="C75" s="256" t="s">
        <v>37</v>
      </c>
      <c r="D75" s="86"/>
      <c r="E75" s="309"/>
      <c r="G75" s="18"/>
    </row>
    <row r="76" spans="1:7">
      <c r="A76" s="256" t="s">
        <v>38</v>
      </c>
      <c r="B76" s="16"/>
      <c r="C76" s="256" t="s">
        <v>38</v>
      </c>
      <c r="D76" s="17"/>
      <c r="E76" s="309"/>
      <c r="F76" s="256" t="s">
        <v>37</v>
      </c>
      <c r="G76" s="86"/>
    </row>
    <row r="77" spans="1:7">
      <c r="A77" s="257" t="s">
        <v>39</v>
      </c>
      <c r="B77" s="19"/>
      <c r="C77" s="257" t="s">
        <v>39</v>
      </c>
      <c r="D77" s="20"/>
      <c r="E77" s="310"/>
      <c r="F77" s="257"/>
      <c r="G77" s="21"/>
    </row>
    <row r="78" spans="1:7" ht="15.75">
      <c r="A78" s="254" t="str">
        <f ca="1">'Daisy 8'!A1</f>
        <v>Daisy 8</v>
      </c>
      <c r="B78" s="10" t="s">
        <v>104</v>
      </c>
      <c r="C78" s="255" t="s">
        <v>28</v>
      </c>
      <c r="D78" s="11"/>
      <c r="E78" s="308" t="s">
        <v>29</v>
      </c>
      <c r="F78" s="12"/>
      <c r="G78" s="13"/>
    </row>
    <row r="79" spans="1:7">
      <c r="A79" s="313" t="s">
        <v>30</v>
      </c>
      <c r="B79" s="313"/>
      <c r="C79" s="313" t="s">
        <v>124</v>
      </c>
      <c r="D79" s="313"/>
      <c r="E79" s="309"/>
      <c r="F79" s="256" t="s">
        <v>31</v>
      </c>
      <c r="G79" s="15"/>
    </row>
    <row r="80" spans="1:7">
      <c r="A80" s="256" t="s">
        <v>32</v>
      </c>
      <c r="B80" s="100"/>
      <c r="C80" s="256" t="s">
        <v>32</v>
      </c>
      <c r="D80" s="17"/>
      <c r="E80" s="309"/>
      <c r="G80" s="18"/>
    </row>
    <row r="81" spans="1:7">
      <c r="A81" s="256" t="s">
        <v>31</v>
      </c>
      <c r="B81" s="100"/>
      <c r="C81" s="256" t="s">
        <v>31</v>
      </c>
      <c r="D81" s="17"/>
      <c r="E81" s="309"/>
      <c r="F81" s="256" t="s">
        <v>123</v>
      </c>
      <c r="G81" s="311"/>
    </row>
    <row r="82" spans="1:7">
      <c r="A82" s="256" t="s">
        <v>33</v>
      </c>
      <c r="B82" s="100"/>
      <c r="C82" s="256" t="s">
        <v>33</v>
      </c>
      <c r="D82" s="17"/>
      <c r="E82" s="309"/>
      <c r="G82" s="312"/>
    </row>
    <row r="83" spans="1:7">
      <c r="A83" s="256" t="s">
        <v>34</v>
      </c>
      <c r="B83" s="16"/>
      <c r="C83" s="256" t="s">
        <v>34</v>
      </c>
      <c r="D83" s="17"/>
      <c r="E83" s="309"/>
      <c r="F83" s="256" t="s">
        <v>35</v>
      </c>
      <c r="G83" s="86"/>
    </row>
    <row r="84" spans="1:7">
      <c r="A84" s="256" t="s">
        <v>35</v>
      </c>
      <c r="B84" s="85"/>
      <c r="C84" s="256" t="s">
        <v>35</v>
      </c>
      <c r="D84" s="86"/>
      <c r="E84" s="309"/>
      <c r="G84" s="18"/>
    </row>
    <row r="85" spans="1:7">
      <c r="A85" s="256" t="s">
        <v>36</v>
      </c>
      <c r="B85" s="85"/>
      <c r="C85" s="256" t="s">
        <v>36</v>
      </c>
      <c r="D85" s="86"/>
      <c r="E85" s="309"/>
      <c r="F85" s="256" t="s">
        <v>36</v>
      </c>
      <c r="G85" s="86"/>
    </row>
    <row r="86" spans="1:7">
      <c r="A86" s="256" t="s">
        <v>37</v>
      </c>
      <c r="B86" s="85"/>
      <c r="C86" s="256" t="s">
        <v>37</v>
      </c>
      <c r="D86" s="86"/>
      <c r="E86" s="309"/>
      <c r="G86" s="18"/>
    </row>
    <row r="87" spans="1:7">
      <c r="A87" s="256" t="s">
        <v>38</v>
      </c>
      <c r="B87" s="16"/>
      <c r="C87" s="256" t="s">
        <v>38</v>
      </c>
      <c r="D87" s="17"/>
      <c r="E87" s="309"/>
      <c r="F87" s="256" t="s">
        <v>37</v>
      </c>
      <c r="G87" s="86"/>
    </row>
    <row r="88" spans="1:7">
      <c r="A88" s="257" t="s">
        <v>39</v>
      </c>
      <c r="B88" s="19"/>
      <c r="C88" s="257" t="s">
        <v>39</v>
      </c>
      <c r="D88" s="20"/>
      <c r="E88" s="310"/>
      <c r="F88" s="257"/>
      <c r="G88" s="21"/>
    </row>
    <row r="89" spans="1:7" ht="15.75">
      <c r="A89" s="254" t="str">
        <f ca="1">'Daisy 9'!A1</f>
        <v>Daisy 9</v>
      </c>
      <c r="B89" s="10" t="s">
        <v>104</v>
      </c>
      <c r="C89" s="255" t="s">
        <v>28</v>
      </c>
      <c r="D89" s="11"/>
      <c r="E89" s="308" t="s">
        <v>29</v>
      </c>
      <c r="F89" s="12"/>
      <c r="G89" s="13"/>
    </row>
    <row r="90" spans="1:7">
      <c r="A90" s="313" t="s">
        <v>30</v>
      </c>
      <c r="B90" s="313"/>
      <c r="C90" s="313" t="s">
        <v>124</v>
      </c>
      <c r="D90" s="313"/>
      <c r="E90" s="309"/>
      <c r="F90" s="256" t="s">
        <v>31</v>
      </c>
      <c r="G90" s="15"/>
    </row>
    <row r="91" spans="1:7">
      <c r="A91" s="256" t="s">
        <v>32</v>
      </c>
      <c r="B91" s="100"/>
      <c r="C91" s="256" t="s">
        <v>32</v>
      </c>
      <c r="D91" s="17"/>
      <c r="E91" s="309"/>
      <c r="G91" s="18"/>
    </row>
    <row r="92" spans="1:7">
      <c r="A92" s="256" t="s">
        <v>31</v>
      </c>
      <c r="B92" s="100"/>
      <c r="C92" s="256" t="s">
        <v>31</v>
      </c>
      <c r="D92" s="17"/>
      <c r="E92" s="309"/>
      <c r="F92" s="256" t="s">
        <v>123</v>
      </c>
      <c r="G92" s="311"/>
    </row>
    <row r="93" spans="1:7">
      <c r="A93" s="256" t="s">
        <v>33</v>
      </c>
      <c r="B93" s="100"/>
      <c r="C93" s="256" t="s">
        <v>33</v>
      </c>
      <c r="D93" s="17"/>
      <c r="E93" s="309"/>
      <c r="G93" s="312"/>
    </row>
    <row r="94" spans="1:7">
      <c r="A94" s="256" t="s">
        <v>34</v>
      </c>
      <c r="B94" s="16"/>
      <c r="C94" s="256" t="s">
        <v>34</v>
      </c>
      <c r="D94" s="17"/>
      <c r="E94" s="309"/>
      <c r="F94" s="256" t="s">
        <v>35</v>
      </c>
      <c r="G94" s="86"/>
    </row>
    <row r="95" spans="1:7">
      <c r="A95" s="256" t="s">
        <v>35</v>
      </c>
      <c r="B95" s="85"/>
      <c r="C95" s="256" t="s">
        <v>35</v>
      </c>
      <c r="D95" s="86"/>
      <c r="E95" s="309"/>
      <c r="G95" s="18"/>
    </row>
    <row r="96" spans="1:7">
      <c r="A96" s="256" t="s">
        <v>36</v>
      </c>
      <c r="B96" s="85"/>
      <c r="C96" s="256" t="s">
        <v>36</v>
      </c>
      <c r="D96" s="86"/>
      <c r="E96" s="309"/>
      <c r="F96" s="256" t="s">
        <v>36</v>
      </c>
      <c r="G96" s="86"/>
    </row>
    <row r="97" spans="1:7">
      <c r="A97" s="256" t="s">
        <v>37</v>
      </c>
      <c r="B97" s="85"/>
      <c r="C97" s="256" t="s">
        <v>37</v>
      </c>
      <c r="D97" s="86"/>
      <c r="E97" s="309"/>
      <c r="G97" s="18"/>
    </row>
    <row r="98" spans="1:7">
      <c r="A98" s="256" t="s">
        <v>38</v>
      </c>
      <c r="B98" s="16"/>
      <c r="C98" s="256" t="s">
        <v>38</v>
      </c>
      <c r="D98" s="17"/>
      <c r="E98" s="309"/>
      <c r="F98" s="256" t="s">
        <v>37</v>
      </c>
      <c r="G98" s="86"/>
    </row>
    <row r="99" spans="1:7">
      <c r="A99" s="257" t="s">
        <v>39</v>
      </c>
      <c r="B99" s="19"/>
      <c r="C99" s="257" t="s">
        <v>39</v>
      </c>
      <c r="D99" s="20"/>
      <c r="E99" s="310"/>
      <c r="F99" s="257"/>
      <c r="G99" s="21"/>
    </row>
    <row r="100" spans="1:7" ht="15.75">
      <c r="A100" s="254" t="str">
        <f ca="1">'Daisy 10'!A1</f>
        <v>Daisy 10</v>
      </c>
      <c r="B100" s="10" t="s">
        <v>104</v>
      </c>
      <c r="C100" s="255" t="s">
        <v>28</v>
      </c>
      <c r="D100" s="11"/>
      <c r="E100" s="308" t="s">
        <v>29</v>
      </c>
      <c r="F100" s="12"/>
      <c r="G100" s="13"/>
    </row>
    <row r="101" spans="1:7">
      <c r="A101" s="313" t="s">
        <v>30</v>
      </c>
      <c r="B101" s="313"/>
      <c r="C101" s="313" t="s">
        <v>124</v>
      </c>
      <c r="D101" s="313"/>
      <c r="E101" s="309"/>
      <c r="F101" s="256" t="s">
        <v>31</v>
      </c>
      <c r="G101" s="15"/>
    </row>
    <row r="102" spans="1:7">
      <c r="A102" s="256" t="s">
        <v>32</v>
      </c>
      <c r="B102" s="100"/>
      <c r="C102" s="256" t="s">
        <v>32</v>
      </c>
      <c r="D102" s="17"/>
      <c r="E102" s="309"/>
      <c r="G102" s="18"/>
    </row>
    <row r="103" spans="1:7">
      <c r="A103" s="256" t="s">
        <v>31</v>
      </c>
      <c r="B103" s="100"/>
      <c r="C103" s="256" t="s">
        <v>31</v>
      </c>
      <c r="D103" s="17"/>
      <c r="E103" s="309"/>
      <c r="F103" s="256" t="s">
        <v>123</v>
      </c>
      <c r="G103" s="311"/>
    </row>
    <row r="104" spans="1:7">
      <c r="A104" s="256" t="s">
        <v>33</v>
      </c>
      <c r="B104" s="100"/>
      <c r="C104" s="256" t="s">
        <v>33</v>
      </c>
      <c r="D104" s="17"/>
      <c r="E104" s="309"/>
      <c r="G104" s="312"/>
    </row>
    <row r="105" spans="1:7">
      <c r="A105" s="256" t="s">
        <v>34</v>
      </c>
      <c r="B105" s="16"/>
      <c r="C105" s="256" t="s">
        <v>34</v>
      </c>
      <c r="D105" s="17"/>
      <c r="E105" s="309"/>
      <c r="F105" s="256" t="s">
        <v>35</v>
      </c>
      <c r="G105" s="86"/>
    </row>
    <row r="106" spans="1:7">
      <c r="A106" s="256" t="s">
        <v>35</v>
      </c>
      <c r="B106" s="85"/>
      <c r="C106" s="256" t="s">
        <v>35</v>
      </c>
      <c r="D106" s="86"/>
      <c r="E106" s="309"/>
      <c r="G106" s="18"/>
    </row>
    <row r="107" spans="1:7">
      <c r="A107" s="256" t="s">
        <v>36</v>
      </c>
      <c r="B107" s="85"/>
      <c r="C107" s="256" t="s">
        <v>36</v>
      </c>
      <c r="D107" s="86"/>
      <c r="E107" s="309"/>
      <c r="F107" s="256" t="s">
        <v>36</v>
      </c>
      <c r="G107" s="86"/>
    </row>
    <row r="108" spans="1:7">
      <c r="A108" s="256" t="s">
        <v>37</v>
      </c>
      <c r="B108" s="85"/>
      <c r="C108" s="256" t="s">
        <v>37</v>
      </c>
      <c r="D108" s="86"/>
      <c r="E108" s="309"/>
      <c r="G108" s="18"/>
    </row>
    <row r="109" spans="1:7">
      <c r="A109" s="256" t="s">
        <v>38</v>
      </c>
      <c r="B109" s="16"/>
      <c r="C109" s="256" t="s">
        <v>38</v>
      </c>
      <c r="D109" s="17"/>
      <c r="E109" s="309"/>
      <c r="F109" s="256" t="s">
        <v>37</v>
      </c>
      <c r="G109" s="86"/>
    </row>
    <row r="110" spans="1:7">
      <c r="A110" s="257" t="s">
        <v>39</v>
      </c>
      <c r="B110" s="19"/>
      <c r="C110" s="257" t="s">
        <v>39</v>
      </c>
      <c r="D110" s="20"/>
      <c r="E110" s="310"/>
      <c r="F110" s="257"/>
      <c r="G110" s="21"/>
    </row>
    <row r="111" spans="1:7" ht="15.75">
      <c r="A111" s="254" t="str">
        <f ca="1">'Daisy 11'!A1</f>
        <v>Daisy 11</v>
      </c>
      <c r="B111" s="10" t="s">
        <v>104</v>
      </c>
      <c r="C111" s="255" t="s">
        <v>28</v>
      </c>
      <c r="D111" s="11"/>
      <c r="E111" s="308" t="s">
        <v>29</v>
      </c>
      <c r="F111" s="12"/>
      <c r="G111" s="13"/>
    </row>
    <row r="112" spans="1:7">
      <c r="A112" s="313" t="s">
        <v>30</v>
      </c>
      <c r="B112" s="313"/>
      <c r="C112" s="313" t="s">
        <v>124</v>
      </c>
      <c r="D112" s="313"/>
      <c r="E112" s="309"/>
      <c r="F112" s="256" t="s">
        <v>31</v>
      </c>
      <c r="G112" s="15"/>
    </row>
    <row r="113" spans="1:7">
      <c r="A113" s="256" t="s">
        <v>32</v>
      </c>
      <c r="B113" s="100"/>
      <c r="C113" s="256" t="s">
        <v>32</v>
      </c>
      <c r="D113" s="17"/>
      <c r="E113" s="309"/>
      <c r="G113" s="18"/>
    </row>
    <row r="114" spans="1:7">
      <c r="A114" s="256" t="s">
        <v>31</v>
      </c>
      <c r="B114" s="100"/>
      <c r="C114" s="256" t="s">
        <v>31</v>
      </c>
      <c r="D114" s="17"/>
      <c r="E114" s="309"/>
      <c r="F114" s="256" t="s">
        <v>123</v>
      </c>
      <c r="G114" s="311"/>
    </row>
    <row r="115" spans="1:7">
      <c r="A115" s="256" t="s">
        <v>33</v>
      </c>
      <c r="B115" s="100"/>
      <c r="C115" s="256" t="s">
        <v>33</v>
      </c>
      <c r="D115" s="17"/>
      <c r="E115" s="309"/>
      <c r="G115" s="312"/>
    </row>
    <row r="116" spans="1:7">
      <c r="A116" s="256" t="s">
        <v>34</v>
      </c>
      <c r="B116" s="16"/>
      <c r="C116" s="256" t="s">
        <v>34</v>
      </c>
      <c r="D116" s="17"/>
      <c r="E116" s="309"/>
      <c r="F116" s="256" t="s">
        <v>35</v>
      </c>
      <c r="G116" s="86"/>
    </row>
    <row r="117" spans="1:7">
      <c r="A117" s="256" t="s">
        <v>35</v>
      </c>
      <c r="B117" s="85"/>
      <c r="C117" s="256" t="s">
        <v>35</v>
      </c>
      <c r="D117" s="86"/>
      <c r="E117" s="309"/>
      <c r="G117" s="18"/>
    </row>
    <row r="118" spans="1:7">
      <c r="A118" s="256" t="s">
        <v>36</v>
      </c>
      <c r="B118" s="85"/>
      <c r="C118" s="256" t="s">
        <v>36</v>
      </c>
      <c r="D118" s="86"/>
      <c r="E118" s="309"/>
      <c r="F118" s="256" t="s">
        <v>36</v>
      </c>
      <c r="G118" s="86"/>
    </row>
    <row r="119" spans="1:7">
      <c r="A119" s="256" t="s">
        <v>37</v>
      </c>
      <c r="B119" s="85"/>
      <c r="C119" s="256" t="s">
        <v>37</v>
      </c>
      <c r="D119" s="86"/>
      <c r="E119" s="309"/>
      <c r="G119" s="18"/>
    </row>
    <row r="120" spans="1:7">
      <c r="A120" s="256" t="s">
        <v>38</v>
      </c>
      <c r="B120" s="16"/>
      <c r="C120" s="256" t="s">
        <v>38</v>
      </c>
      <c r="D120" s="17"/>
      <c r="E120" s="309"/>
      <c r="F120" s="256" t="s">
        <v>37</v>
      </c>
      <c r="G120" s="86"/>
    </row>
    <row r="121" spans="1:7">
      <c r="A121" s="257" t="s">
        <v>39</v>
      </c>
      <c r="B121" s="19"/>
      <c r="C121" s="257" t="s">
        <v>39</v>
      </c>
      <c r="D121" s="20"/>
      <c r="E121" s="310"/>
      <c r="F121" s="257"/>
      <c r="G121" s="21"/>
    </row>
    <row r="122" spans="1:7" ht="15.75">
      <c r="A122" s="254" t="str">
        <f ca="1">'Daisy 12'!A1</f>
        <v>Daisy 12</v>
      </c>
      <c r="B122" s="10" t="s">
        <v>104</v>
      </c>
      <c r="C122" s="255" t="s">
        <v>28</v>
      </c>
      <c r="D122" s="11"/>
      <c r="E122" s="308" t="s">
        <v>29</v>
      </c>
      <c r="F122" s="12"/>
      <c r="G122" s="13"/>
    </row>
    <row r="123" spans="1:7">
      <c r="A123" s="313" t="s">
        <v>30</v>
      </c>
      <c r="B123" s="313"/>
      <c r="C123" s="313" t="s">
        <v>124</v>
      </c>
      <c r="D123" s="313"/>
      <c r="E123" s="309"/>
      <c r="F123" s="256" t="s">
        <v>31</v>
      </c>
      <c r="G123" s="15"/>
    </row>
    <row r="124" spans="1:7">
      <c r="A124" s="256" t="s">
        <v>32</v>
      </c>
      <c r="B124" s="100"/>
      <c r="C124" s="256" t="s">
        <v>32</v>
      </c>
      <c r="D124" s="17"/>
      <c r="E124" s="309"/>
      <c r="G124" s="18"/>
    </row>
    <row r="125" spans="1:7">
      <c r="A125" s="256" t="s">
        <v>31</v>
      </c>
      <c r="B125" s="100"/>
      <c r="C125" s="256" t="s">
        <v>31</v>
      </c>
      <c r="D125" s="17"/>
      <c r="E125" s="309"/>
      <c r="F125" s="256" t="s">
        <v>123</v>
      </c>
      <c r="G125" s="311"/>
    </row>
    <row r="126" spans="1:7">
      <c r="A126" s="256" t="s">
        <v>33</v>
      </c>
      <c r="B126" s="100"/>
      <c r="C126" s="256" t="s">
        <v>33</v>
      </c>
      <c r="D126" s="17"/>
      <c r="E126" s="309"/>
      <c r="G126" s="312"/>
    </row>
    <row r="127" spans="1:7">
      <c r="A127" s="256" t="s">
        <v>34</v>
      </c>
      <c r="B127" s="16"/>
      <c r="C127" s="256" t="s">
        <v>34</v>
      </c>
      <c r="D127" s="17"/>
      <c r="E127" s="309"/>
      <c r="F127" s="256" t="s">
        <v>35</v>
      </c>
      <c r="G127" s="86"/>
    </row>
    <row r="128" spans="1:7">
      <c r="A128" s="256" t="s">
        <v>35</v>
      </c>
      <c r="B128" s="85"/>
      <c r="C128" s="256" t="s">
        <v>35</v>
      </c>
      <c r="D128" s="86"/>
      <c r="E128" s="309"/>
      <c r="G128" s="18"/>
    </row>
    <row r="129" spans="1:7">
      <c r="A129" s="256" t="s">
        <v>36</v>
      </c>
      <c r="B129" s="85"/>
      <c r="C129" s="256" t="s">
        <v>36</v>
      </c>
      <c r="D129" s="86"/>
      <c r="E129" s="309"/>
      <c r="F129" s="256" t="s">
        <v>36</v>
      </c>
      <c r="G129" s="86"/>
    </row>
    <row r="130" spans="1:7">
      <c r="A130" s="256" t="s">
        <v>37</v>
      </c>
      <c r="B130" s="85"/>
      <c r="C130" s="256" t="s">
        <v>37</v>
      </c>
      <c r="D130" s="86"/>
      <c r="E130" s="309"/>
      <c r="G130" s="18"/>
    </row>
    <row r="131" spans="1:7">
      <c r="A131" s="256" t="s">
        <v>38</v>
      </c>
      <c r="B131" s="16"/>
      <c r="C131" s="256" t="s">
        <v>38</v>
      </c>
      <c r="D131" s="17"/>
      <c r="E131" s="309"/>
      <c r="F131" s="256" t="s">
        <v>37</v>
      </c>
      <c r="G131" s="86"/>
    </row>
    <row r="132" spans="1:7">
      <c r="A132" s="257" t="s">
        <v>39</v>
      </c>
      <c r="B132" s="19"/>
      <c r="C132" s="257" t="s">
        <v>39</v>
      </c>
      <c r="D132" s="20"/>
      <c r="E132" s="310"/>
      <c r="F132" s="257"/>
      <c r="G132" s="21"/>
    </row>
    <row r="133" spans="1:7" ht="15.75">
      <c r="A133" s="254" t="str">
        <f ca="1">'Daisy 13'!A1</f>
        <v>Daisy 13</v>
      </c>
      <c r="B133" s="10" t="s">
        <v>104</v>
      </c>
      <c r="C133" s="255" t="s">
        <v>28</v>
      </c>
      <c r="D133" s="11"/>
      <c r="E133" s="308" t="s">
        <v>29</v>
      </c>
      <c r="F133" s="12"/>
      <c r="G133" s="13"/>
    </row>
    <row r="134" spans="1:7">
      <c r="A134" s="313" t="s">
        <v>30</v>
      </c>
      <c r="B134" s="313"/>
      <c r="C134" s="313" t="s">
        <v>124</v>
      </c>
      <c r="D134" s="313"/>
      <c r="E134" s="309"/>
      <c r="F134" s="256" t="s">
        <v>31</v>
      </c>
      <c r="G134" s="15"/>
    </row>
    <row r="135" spans="1:7">
      <c r="A135" s="256" t="s">
        <v>32</v>
      </c>
      <c r="B135" s="100"/>
      <c r="C135" s="256" t="s">
        <v>32</v>
      </c>
      <c r="D135" s="17"/>
      <c r="E135" s="309"/>
      <c r="G135" s="18"/>
    </row>
    <row r="136" spans="1:7">
      <c r="A136" s="256" t="s">
        <v>31</v>
      </c>
      <c r="B136" s="100"/>
      <c r="C136" s="256" t="s">
        <v>31</v>
      </c>
      <c r="D136" s="17"/>
      <c r="E136" s="309"/>
      <c r="F136" s="256" t="s">
        <v>123</v>
      </c>
      <c r="G136" s="311"/>
    </row>
    <row r="137" spans="1:7">
      <c r="A137" s="256" t="s">
        <v>33</v>
      </c>
      <c r="B137" s="100"/>
      <c r="C137" s="256" t="s">
        <v>33</v>
      </c>
      <c r="D137" s="17"/>
      <c r="E137" s="309"/>
      <c r="G137" s="312"/>
    </row>
    <row r="138" spans="1:7">
      <c r="A138" s="256" t="s">
        <v>34</v>
      </c>
      <c r="B138" s="16"/>
      <c r="C138" s="256" t="s">
        <v>34</v>
      </c>
      <c r="D138" s="17"/>
      <c r="E138" s="309"/>
      <c r="F138" s="256" t="s">
        <v>35</v>
      </c>
      <c r="G138" s="86"/>
    </row>
    <row r="139" spans="1:7">
      <c r="A139" s="256" t="s">
        <v>35</v>
      </c>
      <c r="B139" s="85"/>
      <c r="C139" s="256" t="s">
        <v>35</v>
      </c>
      <c r="D139" s="86"/>
      <c r="E139" s="309"/>
      <c r="G139" s="18"/>
    </row>
    <row r="140" spans="1:7">
      <c r="A140" s="256" t="s">
        <v>36</v>
      </c>
      <c r="B140" s="85"/>
      <c r="C140" s="256" t="s">
        <v>36</v>
      </c>
      <c r="D140" s="86"/>
      <c r="E140" s="309"/>
      <c r="F140" s="256" t="s">
        <v>36</v>
      </c>
      <c r="G140" s="86"/>
    </row>
    <row r="141" spans="1:7">
      <c r="A141" s="256" t="s">
        <v>37</v>
      </c>
      <c r="B141" s="85"/>
      <c r="C141" s="256" t="s">
        <v>37</v>
      </c>
      <c r="D141" s="86"/>
      <c r="E141" s="309"/>
      <c r="G141" s="18"/>
    </row>
    <row r="142" spans="1:7">
      <c r="A142" s="256" t="s">
        <v>38</v>
      </c>
      <c r="B142" s="16"/>
      <c r="C142" s="256" t="s">
        <v>38</v>
      </c>
      <c r="D142" s="17"/>
      <c r="E142" s="309"/>
      <c r="F142" s="256" t="s">
        <v>37</v>
      </c>
      <c r="G142" s="86"/>
    </row>
    <row r="143" spans="1:7">
      <c r="A143" s="257" t="s">
        <v>39</v>
      </c>
      <c r="B143" s="19"/>
      <c r="C143" s="257" t="s">
        <v>39</v>
      </c>
      <c r="D143" s="20"/>
      <c r="E143" s="310"/>
      <c r="F143" s="257"/>
      <c r="G143" s="21"/>
    </row>
    <row r="144" spans="1:7" ht="15.75">
      <c r="A144" s="254" t="str">
        <f ca="1">'Daisy 14'!A1</f>
        <v>Daisy 14</v>
      </c>
      <c r="B144" s="10" t="s">
        <v>104</v>
      </c>
      <c r="C144" s="255" t="s">
        <v>28</v>
      </c>
      <c r="D144" s="11"/>
      <c r="E144" s="308" t="s">
        <v>29</v>
      </c>
      <c r="F144" s="12"/>
      <c r="G144" s="13"/>
    </row>
    <row r="145" spans="1:7">
      <c r="A145" s="313" t="s">
        <v>30</v>
      </c>
      <c r="B145" s="313"/>
      <c r="C145" s="313" t="s">
        <v>124</v>
      </c>
      <c r="D145" s="313"/>
      <c r="E145" s="309"/>
      <c r="F145" s="256" t="s">
        <v>31</v>
      </c>
      <c r="G145" s="15"/>
    </row>
    <row r="146" spans="1:7">
      <c r="A146" s="256" t="s">
        <v>32</v>
      </c>
      <c r="B146" s="100"/>
      <c r="C146" s="256" t="s">
        <v>32</v>
      </c>
      <c r="D146" s="17"/>
      <c r="E146" s="309"/>
      <c r="G146" s="18"/>
    </row>
    <row r="147" spans="1:7">
      <c r="A147" s="256" t="s">
        <v>31</v>
      </c>
      <c r="B147" s="100"/>
      <c r="C147" s="256" t="s">
        <v>31</v>
      </c>
      <c r="D147" s="17"/>
      <c r="E147" s="309"/>
      <c r="F147" s="256" t="s">
        <v>123</v>
      </c>
      <c r="G147" s="311"/>
    </row>
    <row r="148" spans="1:7">
      <c r="A148" s="256" t="s">
        <v>33</v>
      </c>
      <c r="B148" s="100"/>
      <c r="C148" s="256" t="s">
        <v>33</v>
      </c>
      <c r="D148" s="17"/>
      <c r="E148" s="309"/>
      <c r="G148" s="312"/>
    </row>
    <row r="149" spans="1:7">
      <c r="A149" s="256" t="s">
        <v>34</v>
      </c>
      <c r="B149" s="16"/>
      <c r="C149" s="256" t="s">
        <v>34</v>
      </c>
      <c r="D149" s="17"/>
      <c r="E149" s="309"/>
      <c r="F149" s="256" t="s">
        <v>35</v>
      </c>
      <c r="G149" s="86"/>
    </row>
    <row r="150" spans="1:7">
      <c r="A150" s="256" t="s">
        <v>35</v>
      </c>
      <c r="B150" s="85"/>
      <c r="C150" s="256" t="s">
        <v>35</v>
      </c>
      <c r="D150" s="86"/>
      <c r="E150" s="309"/>
      <c r="G150" s="18"/>
    </row>
    <row r="151" spans="1:7">
      <c r="A151" s="256" t="s">
        <v>36</v>
      </c>
      <c r="B151" s="85"/>
      <c r="C151" s="256" t="s">
        <v>36</v>
      </c>
      <c r="D151" s="86"/>
      <c r="E151" s="309"/>
      <c r="F151" s="256" t="s">
        <v>36</v>
      </c>
      <c r="G151" s="86"/>
    </row>
    <row r="152" spans="1:7">
      <c r="A152" s="256" t="s">
        <v>37</v>
      </c>
      <c r="B152" s="85"/>
      <c r="C152" s="256" t="s">
        <v>37</v>
      </c>
      <c r="D152" s="86"/>
      <c r="E152" s="309"/>
      <c r="G152" s="18"/>
    </row>
    <row r="153" spans="1:7">
      <c r="A153" s="256" t="s">
        <v>38</v>
      </c>
      <c r="B153" s="16"/>
      <c r="C153" s="256" t="s">
        <v>38</v>
      </c>
      <c r="D153" s="17"/>
      <c r="E153" s="309"/>
      <c r="F153" s="256" t="s">
        <v>37</v>
      </c>
      <c r="G153" s="86"/>
    </row>
    <row r="154" spans="1:7">
      <c r="A154" s="257" t="s">
        <v>39</v>
      </c>
      <c r="B154" s="19"/>
      <c r="C154" s="257" t="s">
        <v>39</v>
      </c>
      <c r="D154" s="20"/>
      <c r="E154" s="310"/>
      <c r="F154" s="257"/>
      <c r="G154" s="21"/>
    </row>
    <row r="155" spans="1:7" ht="15.75">
      <c r="A155" s="254" t="str">
        <f ca="1">'Daisy 15'!A1</f>
        <v>Daisy 15</v>
      </c>
      <c r="B155" s="10" t="s">
        <v>104</v>
      </c>
      <c r="C155" s="255" t="s">
        <v>28</v>
      </c>
      <c r="D155" s="11"/>
      <c r="E155" s="308" t="s">
        <v>29</v>
      </c>
      <c r="F155" s="12"/>
      <c r="G155" s="13"/>
    </row>
    <row r="156" spans="1:7">
      <c r="A156" s="313" t="s">
        <v>30</v>
      </c>
      <c r="B156" s="313"/>
      <c r="C156" s="313" t="s">
        <v>124</v>
      </c>
      <c r="D156" s="313"/>
      <c r="E156" s="309"/>
      <c r="F156" s="256" t="s">
        <v>31</v>
      </c>
      <c r="G156" s="15"/>
    </row>
    <row r="157" spans="1:7">
      <c r="A157" s="256" t="s">
        <v>32</v>
      </c>
      <c r="B157" s="100"/>
      <c r="C157" s="256" t="s">
        <v>32</v>
      </c>
      <c r="D157" s="17"/>
      <c r="E157" s="309"/>
      <c r="G157" s="18"/>
    </row>
    <row r="158" spans="1:7">
      <c r="A158" s="256" t="s">
        <v>31</v>
      </c>
      <c r="B158" s="100"/>
      <c r="C158" s="256" t="s">
        <v>31</v>
      </c>
      <c r="D158" s="17"/>
      <c r="E158" s="309"/>
      <c r="F158" s="256" t="s">
        <v>123</v>
      </c>
      <c r="G158" s="311"/>
    </row>
    <row r="159" spans="1:7">
      <c r="A159" s="256" t="s">
        <v>33</v>
      </c>
      <c r="B159" s="100"/>
      <c r="C159" s="256" t="s">
        <v>33</v>
      </c>
      <c r="D159" s="17"/>
      <c r="E159" s="309"/>
      <c r="G159" s="312"/>
    </row>
    <row r="160" spans="1:7">
      <c r="A160" s="256" t="s">
        <v>34</v>
      </c>
      <c r="B160" s="16"/>
      <c r="C160" s="256" t="s">
        <v>34</v>
      </c>
      <c r="D160" s="17"/>
      <c r="E160" s="309"/>
      <c r="F160" s="256" t="s">
        <v>35</v>
      </c>
      <c r="G160" s="86"/>
    </row>
    <row r="161" spans="1:7">
      <c r="A161" s="256" t="s">
        <v>35</v>
      </c>
      <c r="B161" s="85"/>
      <c r="C161" s="256" t="s">
        <v>35</v>
      </c>
      <c r="D161" s="86"/>
      <c r="E161" s="309"/>
      <c r="G161" s="18"/>
    </row>
    <row r="162" spans="1:7">
      <c r="A162" s="256" t="s">
        <v>36</v>
      </c>
      <c r="B162" s="85"/>
      <c r="C162" s="256" t="s">
        <v>36</v>
      </c>
      <c r="D162" s="86"/>
      <c r="E162" s="309"/>
      <c r="F162" s="256" t="s">
        <v>36</v>
      </c>
      <c r="G162" s="86"/>
    </row>
    <row r="163" spans="1:7">
      <c r="A163" s="256" t="s">
        <v>37</v>
      </c>
      <c r="B163" s="85"/>
      <c r="C163" s="256" t="s">
        <v>37</v>
      </c>
      <c r="D163" s="86"/>
      <c r="E163" s="309"/>
      <c r="G163" s="18"/>
    </row>
    <row r="164" spans="1:7">
      <c r="A164" s="256" t="s">
        <v>38</v>
      </c>
      <c r="B164" s="16"/>
      <c r="C164" s="256" t="s">
        <v>38</v>
      </c>
      <c r="D164" s="17"/>
      <c r="E164" s="309"/>
      <c r="F164" s="256" t="s">
        <v>37</v>
      </c>
      <c r="G164" s="86"/>
    </row>
    <row r="165" spans="1:7">
      <c r="A165" s="257" t="s">
        <v>39</v>
      </c>
      <c r="B165" s="19"/>
      <c r="C165" s="257" t="s">
        <v>39</v>
      </c>
      <c r="D165" s="20"/>
      <c r="E165" s="310"/>
      <c r="F165" s="257"/>
      <c r="G165" s="21"/>
    </row>
  </sheetData>
  <sheetProtection password="C45A" sheet="1" objects="1" scenarios="1" selectLockedCells="1"/>
  <protectedRanges>
    <protectedRange sqref="D1:G1 D12:G12 D23:G23 D34:G34 D45:G45 D56:G56 D67:G67 D78:G78 D89:G89 D100:G100 D111:G111 D122:G122 D133:G133 D144:G144 D155:G155" name="Range2"/>
    <protectedRange sqref="B1 B12 B23 B34 B45 B56 B67 B78 B89 B100 B111 B122 B133 B144 B155" name="Range1"/>
  </protectedRanges>
  <mergeCells count="60">
    <mergeCell ref="A2:B2"/>
    <mergeCell ref="C2:D2"/>
    <mergeCell ref="G4:G5"/>
    <mergeCell ref="E1:E11"/>
    <mergeCell ref="A13:B13"/>
    <mergeCell ref="C13:D13"/>
    <mergeCell ref="G15:G16"/>
    <mergeCell ref="A24:B24"/>
    <mergeCell ref="C24:D24"/>
    <mergeCell ref="G26:G27"/>
    <mergeCell ref="A35:B35"/>
    <mergeCell ref="C35:D35"/>
    <mergeCell ref="E12:E22"/>
    <mergeCell ref="E23:E33"/>
    <mergeCell ref="G37:G38"/>
    <mergeCell ref="A46:B46"/>
    <mergeCell ref="C46:D46"/>
    <mergeCell ref="G48:G49"/>
    <mergeCell ref="A57:B57"/>
    <mergeCell ref="C57:D57"/>
    <mergeCell ref="E34:E44"/>
    <mergeCell ref="E45:E55"/>
    <mergeCell ref="G59:G60"/>
    <mergeCell ref="A68:B68"/>
    <mergeCell ref="C68:D68"/>
    <mergeCell ref="G70:G71"/>
    <mergeCell ref="A79:B79"/>
    <mergeCell ref="C79:D79"/>
    <mergeCell ref="E56:E66"/>
    <mergeCell ref="E67:E77"/>
    <mergeCell ref="G81:G82"/>
    <mergeCell ref="E78:E88"/>
    <mergeCell ref="E89:E99"/>
    <mergeCell ref="A90:B90"/>
    <mergeCell ref="C90:D90"/>
    <mergeCell ref="G92:G93"/>
    <mergeCell ref="G136:G137"/>
    <mergeCell ref="E122:E132"/>
    <mergeCell ref="E133:E143"/>
    <mergeCell ref="G103:G104"/>
    <mergeCell ref="A112:B112"/>
    <mergeCell ref="C112:D112"/>
    <mergeCell ref="G114:G115"/>
    <mergeCell ref="A123:B123"/>
    <mergeCell ref="C123:D123"/>
    <mergeCell ref="E100:E110"/>
    <mergeCell ref="E111:E121"/>
    <mergeCell ref="A101:B101"/>
    <mergeCell ref="C101:D101"/>
    <mergeCell ref="G125:G126"/>
    <mergeCell ref="A134:B134"/>
    <mergeCell ref="C134:D134"/>
    <mergeCell ref="E155:E165"/>
    <mergeCell ref="E144:E154"/>
    <mergeCell ref="G147:G148"/>
    <mergeCell ref="A156:B156"/>
    <mergeCell ref="C156:D156"/>
    <mergeCell ref="G158:G159"/>
    <mergeCell ref="A145:B145"/>
    <mergeCell ref="C145:D145"/>
  </mergeCells>
  <pageMargins left="0.75" right="0.75" top="1" bottom="0.5" header="0.25" footer="0.25"/>
  <pageSetup scale="96" orientation="landscape" horizontalDpi="300" verticalDpi="300" r:id="rId1"/>
  <headerFooter>
    <oddHeader>&amp;C&amp;"Arial,Bold"&amp;14DaisyTrax
&amp;12Parent Contact Information - &amp;D</oddHeader>
    <oddFooter>&amp;CPage &amp;P</oddFooter>
  </headerFooter>
  <rowBreaks count="4" manualBreakCount="4">
    <brk id="33" max="16383" man="1"/>
    <brk id="66" max="16383" man="1"/>
    <brk id="99" max="16383" man="1"/>
    <brk id="132"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R24"/>
  <sheetViews>
    <sheetView showGridLines="0" zoomScaleNormal="100" workbookViewId="0">
      <selection activeCell="A6" sqref="A6"/>
    </sheetView>
  </sheetViews>
  <sheetFormatPr defaultRowHeight="12.75"/>
  <cols>
    <col min="1" max="1" width="2.5703125" style="3" customWidth="1"/>
    <col min="2" max="3" width="17.7109375" style="3" customWidth="1"/>
    <col min="4" max="18" width="3.28515625" style="3" customWidth="1"/>
    <col min="19" max="16384" width="9.140625" style="3"/>
  </cols>
  <sheetData>
    <row r="1" spans="1:18" ht="15.75" customHeight="1">
      <c r="A1" s="104"/>
      <c r="B1" s="105" t="s">
        <v>55</v>
      </c>
      <c r="C1" s="106">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18" ht="15">
      <c r="A2" s="18"/>
      <c r="B2" s="107" t="s">
        <v>42</v>
      </c>
      <c r="C2" s="108">
        <f>Instructions!E5</f>
        <v>0</v>
      </c>
      <c r="D2" s="323"/>
      <c r="E2" s="323"/>
      <c r="F2" s="323"/>
      <c r="G2" s="323"/>
      <c r="H2" s="323"/>
      <c r="I2" s="323"/>
      <c r="J2" s="323"/>
      <c r="K2" s="323"/>
      <c r="L2" s="323"/>
      <c r="M2" s="323"/>
      <c r="N2" s="323"/>
      <c r="O2" s="323"/>
      <c r="P2" s="323"/>
      <c r="Q2" s="323"/>
      <c r="R2" s="323"/>
    </row>
    <row r="3" spans="1:18">
      <c r="A3" s="325"/>
      <c r="B3" s="325"/>
      <c r="C3" s="326"/>
      <c r="D3" s="323"/>
      <c r="E3" s="323"/>
      <c r="F3" s="323"/>
      <c r="G3" s="323"/>
      <c r="H3" s="323"/>
      <c r="I3" s="323"/>
      <c r="J3" s="323"/>
      <c r="K3" s="323"/>
      <c r="L3" s="323"/>
      <c r="M3" s="323"/>
      <c r="N3" s="323"/>
      <c r="O3" s="323"/>
      <c r="P3" s="323"/>
      <c r="Q3" s="323"/>
      <c r="R3" s="323"/>
    </row>
    <row r="4" spans="1:18" ht="12.75" customHeight="1">
      <c r="A4" s="327" t="s">
        <v>107</v>
      </c>
      <c r="B4" s="327"/>
      <c r="C4" s="328"/>
      <c r="D4" s="324"/>
      <c r="E4" s="324"/>
      <c r="F4" s="324"/>
      <c r="G4" s="324"/>
      <c r="H4" s="324"/>
      <c r="I4" s="324"/>
      <c r="J4" s="324"/>
      <c r="K4" s="324"/>
      <c r="L4" s="324"/>
      <c r="M4" s="324"/>
      <c r="N4" s="324"/>
      <c r="O4" s="324"/>
      <c r="P4" s="324"/>
      <c r="Q4" s="324"/>
      <c r="R4" s="324"/>
    </row>
    <row r="5" spans="1:18" ht="20.25" customHeight="1">
      <c r="A5" s="25"/>
      <c r="B5" s="148"/>
      <c r="C5" s="148"/>
      <c r="D5" s="149"/>
      <c r="E5" s="148"/>
      <c r="F5" s="148"/>
      <c r="G5" s="148"/>
      <c r="H5" s="148"/>
      <c r="I5" s="148"/>
      <c r="J5" s="148"/>
      <c r="K5" s="148"/>
      <c r="L5" s="148"/>
      <c r="M5" s="148"/>
      <c r="N5" s="148"/>
      <c r="O5" s="148"/>
      <c r="P5" s="148"/>
      <c r="Q5" s="148"/>
      <c r="R5" s="148"/>
    </row>
    <row r="6" spans="1:18">
      <c r="A6" s="109">
        <v>1</v>
      </c>
      <c r="B6" s="322" t="s">
        <v>80</v>
      </c>
      <c r="C6" s="322"/>
      <c r="D6" s="22"/>
      <c r="E6" s="22"/>
      <c r="F6" s="22"/>
      <c r="G6" s="22"/>
      <c r="H6" s="22"/>
      <c r="I6" s="22"/>
      <c r="J6" s="22"/>
      <c r="K6" s="22"/>
      <c r="L6" s="22"/>
      <c r="M6" s="22"/>
      <c r="N6" s="22"/>
      <c r="O6" s="22"/>
      <c r="P6" s="22"/>
      <c r="Q6" s="22"/>
      <c r="R6" s="22"/>
    </row>
    <row r="7" spans="1:18">
      <c r="A7" s="109">
        <v>2</v>
      </c>
      <c r="B7" s="322" t="s">
        <v>103</v>
      </c>
      <c r="C7" s="322"/>
      <c r="D7" s="22"/>
      <c r="E7" s="22"/>
      <c r="F7" s="22"/>
      <c r="G7" s="22"/>
      <c r="H7" s="22"/>
      <c r="I7" s="22"/>
      <c r="J7" s="22"/>
      <c r="K7" s="22"/>
      <c r="L7" s="22"/>
      <c r="M7" s="22"/>
      <c r="N7" s="22"/>
      <c r="O7" s="22"/>
      <c r="P7" s="22"/>
      <c r="Q7" s="22"/>
      <c r="R7" s="22"/>
    </row>
    <row r="8" spans="1:18">
      <c r="A8" s="109">
        <v>3</v>
      </c>
      <c r="B8" s="318" t="s">
        <v>217</v>
      </c>
      <c r="C8" s="319"/>
      <c r="D8" s="22"/>
      <c r="E8" s="22"/>
      <c r="F8" s="22"/>
      <c r="G8" s="22"/>
      <c r="H8" s="22"/>
      <c r="I8" s="22"/>
      <c r="J8" s="22"/>
      <c r="K8" s="22"/>
      <c r="L8" s="22"/>
      <c r="M8" s="22"/>
      <c r="N8" s="22"/>
      <c r="O8" s="22"/>
      <c r="P8" s="22"/>
      <c r="Q8" s="22"/>
      <c r="R8" s="22"/>
    </row>
    <row r="9" spans="1:18">
      <c r="A9" s="109">
        <v>4</v>
      </c>
      <c r="B9" s="290" t="s">
        <v>218</v>
      </c>
      <c r="C9" s="291"/>
      <c r="D9" s="22"/>
      <c r="E9" s="22"/>
      <c r="F9" s="22"/>
      <c r="G9" s="22"/>
      <c r="H9" s="22"/>
      <c r="I9" s="22"/>
      <c r="J9" s="22"/>
      <c r="K9" s="22"/>
      <c r="L9" s="22"/>
      <c r="M9" s="22"/>
      <c r="N9" s="22"/>
      <c r="O9" s="22"/>
      <c r="P9" s="22"/>
      <c r="Q9" s="22"/>
      <c r="R9" s="22"/>
    </row>
    <row r="10" spans="1:18">
      <c r="A10" s="109">
        <v>5</v>
      </c>
      <c r="B10" s="290" t="s">
        <v>219</v>
      </c>
      <c r="C10" s="291"/>
      <c r="D10" s="22"/>
      <c r="E10" s="22"/>
      <c r="F10" s="22"/>
      <c r="G10" s="22"/>
      <c r="H10" s="22"/>
      <c r="I10" s="22"/>
      <c r="J10" s="22"/>
      <c r="K10" s="22"/>
      <c r="L10" s="22"/>
      <c r="M10" s="22"/>
      <c r="N10" s="22"/>
      <c r="O10" s="22"/>
      <c r="P10" s="22"/>
      <c r="Q10" s="22"/>
      <c r="R10" s="22"/>
    </row>
    <row r="11" spans="1:18">
      <c r="A11" s="109">
        <v>6</v>
      </c>
      <c r="B11" s="322" t="s">
        <v>220</v>
      </c>
      <c r="C11" s="322"/>
      <c r="D11" s="22"/>
      <c r="E11" s="22"/>
      <c r="F11" s="22"/>
      <c r="G11" s="22"/>
      <c r="H11" s="22"/>
      <c r="I11" s="22"/>
      <c r="J11" s="22"/>
      <c r="K11" s="22"/>
      <c r="L11" s="22"/>
      <c r="M11" s="22"/>
      <c r="N11" s="22"/>
      <c r="O11" s="22"/>
      <c r="P11" s="22"/>
      <c r="Q11" s="22"/>
      <c r="R11" s="22"/>
    </row>
    <row r="12" spans="1:18">
      <c r="A12" s="109">
        <v>7</v>
      </c>
      <c r="B12" s="318" t="s">
        <v>221</v>
      </c>
      <c r="C12" s="319"/>
      <c r="D12" s="22"/>
      <c r="E12" s="22"/>
      <c r="F12" s="22"/>
      <c r="G12" s="22"/>
      <c r="H12" s="22"/>
      <c r="I12" s="22"/>
      <c r="J12" s="22"/>
      <c r="K12" s="22"/>
      <c r="L12" s="22"/>
      <c r="M12" s="22"/>
      <c r="N12" s="22"/>
      <c r="O12" s="22"/>
      <c r="P12" s="22"/>
      <c r="Q12" s="22"/>
      <c r="R12" s="22"/>
    </row>
    <row r="13" spans="1:18" ht="13.5" thickBot="1">
      <c r="A13" s="109">
        <v>8</v>
      </c>
      <c r="B13" s="318" t="s">
        <v>222</v>
      </c>
      <c r="C13" s="319"/>
      <c r="D13" s="22"/>
      <c r="E13" s="22"/>
      <c r="F13" s="22"/>
      <c r="G13" s="22"/>
      <c r="H13" s="22"/>
      <c r="I13" s="22"/>
      <c r="J13" s="22"/>
      <c r="K13" s="22"/>
      <c r="L13" s="22"/>
      <c r="M13" s="22"/>
      <c r="N13" s="22"/>
      <c r="O13" s="22"/>
      <c r="P13" s="22"/>
      <c r="Q13" s="22"/>
      <c r="R13" s="22"/>
    </row>
    <row r="14" spans="1:18" ht="13.5" thickBot="1">
      <c r="B14" s="317" t="s">
        <v>54</v>
      </c>
      <c r="C14" s="317"/>
      <c r="D14" s="110" t="str">
        <f>IF(COUNTIF(D6:D13,"A")+COUNTIF(D6:D13,"N")=8,"C",IF(COUNTIF(D6:D13,"A")+COUNTIF(D6:D13,”N”)&gt;0,"P"," "))</f>
        <v xml:space="preserve"> </v>
      </c>
      <c r="E14" s="110" t="str">
        <f>IF(COUNTIF(E6:E13,"A")+COUNTIF(E6:E13,"N")=8,"C",IF(COUNTIF(E6:E13,"A")+COUNTIF(E6:E13,”N”)&gt;0,"P"," "))</f>
        <v xml:space="preserve"> </v>
      </c>
      <c r="F14" s="110" t="str">
        <f>IF(COUNTIF(F6:F13,"A")+COUNTIF(F6:F13,"N")=8,"C",IF(COUNTIF(F6:F13,"A")+COUNTIF(F6:F13,”N”)&gt;0,"P"," "))</f>
        <v xml:space="preserve"> </v>
      </c>
      <c r="G14" s="110" t="str">
        <f>IF(COUNTIF(G6:G13,"A")+COUNTIF(G6:G13,"N")=8,"C",IF(COUNTIF(G6:G13,"A")+COUNTIF(G6:G13,”N”)&gt;0,"P"," "))</f>
        <v xml:space="preserve"> </v>
      </c>
      <c r="H14" s="110" t="str">
        <f>IF(COUNTIF(H6:H13,"A")+COUNTIF(H6:H13,"N")=8,"C",IF(COUNTIF(H6:H13,"A")+COUNTIF(H6:H13,”N”)&gt;0,"P"," "))</f>
        <v xml:space="preserve"> </v>
      </c>
      <c r="I14" s="110" t="str">
        <f>IF(COUNTIF(I6:I13,"A")+COUNTIF(I6:I13,"N")=8,"C",IF(COUNTIF(I6:I13,"A")+COUNTIF(I6:I13,”N”)&gt;0,"P"," "))</f>
        <v xml:space="preserve"> </v>
      </c>
      <c r="J14" s="110" t="str">
        <f>IF(COUNTIF(J6:J13,"A")+COUNTIF(J6:J13,"N")=8,"C",IF(COUNTIF(J6:J13,"A")+COUNTIF(J6:J13,”N”)&gt;0,"P"," "))</f>
        <v xml:space="preserve"> </v>
      </c>
      <c r="K14" s="110" t="str">
        <f>IF(COUNTIF(K6:K13,"A")+COUNTIF(K6:K13,"N")=8,"C",IF(COUNTIF(K6:K13,"A")+COUNTIF(K6:K13,”N”)&gt;0,"P"," "))</f>
        <v xml:space="preserve"> </v>
      </c>
      <c r="L14" s="110" t="str">
        <f>IF(COUNTIF(L6:L13,"A")+COUNTIF(L6:L13,"N")=8,"C",IF(COUNTIF(L6:L13,"A")+COUNTIF(L6:L13,”N”)&gt;0,"P"," "))</f>
        <v xml:space="preserve"> </v>
      </c>
      <c r="M14" s="110" t="str">
        <f>IF(COUNTIF(M6:M13,"A")+COUNTIF(M6:M13,"N")=8,"C",IF(COUNTIF(M6:M13,"A")+COUNTIF(M6:M13,”N”)&gt;0,"P"," "))</f>
        <v xml:space="preserve"> </v>
      </c>
      <c r="N14" s="110" t="str">
        <f>IF(COUNTIF(N6:N13,"A")+COUNTIF(N6:N13,"N")=8,"C",IF(COUNTIF(N6:N13,"A")+COUNTIF(N6:N13,”N”)&gt;0,"P"," "))</f>
        <v xml:space="preserve"> </v>
      </c>
      <c r="O14" s="110" t="str">
        <f>IF(COUNTIF(O6:O13,"A")+COUNTIF(O6:O13,"N")=8,"C",IF(COUNTIF(O6:O13,"A")+COUNTIF(O6:O13,”N”)&gt;0,"P"," "))</f>
        <v xml:space="preserve"> </v>
      </c>
      <c r="P14" s="110" t="str">
        <f>IF(COUNTIF(P6:P13,"A")+COUNTIF(P6:P13,"N")=8,"C",IF(COUNTIF(P6:P13,"A")+COUNTIF(P6:P13,”N”)&gt;0,"P"," "))</f>
        <v xml:space="preserve"> </v>
      </c>
      <c r="Q14" s="110" t="str">
        <f>IF(COUNTIF(Q6:Q13,"A")+COUNTIF(Q6:Q13,"N")=8,"C",IF(COUNTIF(Q6:Q13,"A")+COUNTIF(Q6:Q13,”N”)&gt;0,"P"," "))</f>
        <v xml:space="preserve"> </v>
      </c>
      <c r="R14" s="110" t="str">
        <f>IF(COUNTIF(R6:R13,"A")+COUNTIF(R6:R13,"N")=8,"C",IF(COUNTIF(R6:R13,"A")+COUNTIF(R6:R13,”N”)&gt;0,"P"," "))</f>
        <v xml:space="preserve"> </v>
      </c>
    </row>
    <row r="15" spans="1:18" ht="20.25" customHeight="1">
      <c r="A15" s="111"/>
      <c r="B15" s="320"/>
      <c r="C15" s="320"/>
      <c r="D15" s="321"/>
      <c r="E15" s="320"/>
      <c r="F15" s="320"/>
      <c r="G15" s="320"/>
      <c r="H15" s="320"/>
      <c r="I15" s="320"/>
      <c r="J15" s="320"/>
      <c r="K15" s="320"/>
      <c r="L15" s="320"/>
      <c r="M15" s="320"/>
      <c r="N15" s="320"/>
      <c r="O15" s="320"/>
      <c r="P15" s="320"/>
      <c r="Q15" s="320"/>
      <c r="R15" s="320"/>
    </row>
    <row r="16" spans="1:18">
      <c r="A16" s="109">
        <v>1</v>
      </c>
      <c r="B16" s="322" t="s">
        <v>80</v>
      </c>
      <c r="C16" s="322"/>
      <c r="D16" s="22"/>
      <c r="E16" s="22"/>
      <c r="F16" s="22"/>
      <c r="G16" s="22"/>
      <c r="H16" s="22"/>
      <c r="I16" s="22"/>
      <c r="J16" s="22"/>
      <c r="K16" s="22"/>
      <c r="L16" s="22"/>
      <c r="M16" s="22"/>
      <c r="N16" s="22"/>
      <c r="O16" s="22"/>
      <c r="P16" s="22"/>
      <c r="Q16" s="22"/>
      <c r="R16" s="22"/>
    </row>
    <row r="17" spans="1:18">
      <c r="A17" s="109">
        <v>2</v>
      </c>
      <c r="B17" s="322" t="s">
        <v>103</v>
      </c>
      <c r="C17" s="322"/>
      <c r="D17" s="22"/>
      <c r="E17" s="22"/>
      <c r="F17" s="22"/>
      <c r="G17" s="22"/>
      <c r="H17" s="22"/>
      <c r="I17" s="22"/>
      <c r="J17" s="22"/>
      <c r="K17" s="22"/>
      <c r="L17" s="22"/>
      <c r="M17" s="22"/>
      <c r="N17" s="22"/>
      <c r="O17" s="22"/>
      <c r="P17" s="22"/>
      <c r="Q17" s="22"/>
      <c r="R17" s="22"/>
    </row>
    <row r="18" spans="1:18">
      <c r="A18" s="109">
        <v>3</v>
      </c>
      <c r="B18" s="318" t="s">
        <v>217</v>
      </c>
      <c r="C18" s="319"/>
      <c r="D18" s="22"/>
      <c r="E18" s="22"/>
      <c r="F18" s="22"/>
      <c r="G18" s="22"/>
      <c r="H18" s="22"/>
      <c r="I18" s="22"/>
      <c r="J18" s="22"/>
      <c r="K18" s="22"/>
      <c r="L18" s="22"/>
      <c r="M18" s="22"/>
      <c r="N18" s="22"/>
      <c r="O18" s="22"/>
      <c r="P18" s="22"/>
      <c r="Q18" s="22"/>
      <c r="R18" s="22"/>
    </row>
    <row r="19" spans="1:18">
      <c r="A19" s="109">
        <v>4</v>
      </c>
      <c r="B19" s="290" t="s">
        <v>218</v>
      </c>
      <c r="C19" s="291"/>
      <c r="D19" s="22"/>
      <c r="E19" s="22"/>
      <c r="F19" s="22"/>
      <c r="G19" s="22"/>
      <c r="H19" s="22"/>
      <c r="I19" s="22"/>
      <c r="J19" s="22"/>
      <c r="K19" s="22"/>
      <c r="L19" s="22"/>
      <c r="M19" s="22"/>
      <c r="N19" s="22"/>
      <c r="O19" s="22"/>
      <c r="P19" s="22"/>
      <c r="Q19" s="22"/>
      <c r="R19" s="22"/>
    </row>
    <row r="20" spans="1:18">
      <c r="A20" s="109">
        <v>5</v>
      </c>
      <c r="B20" s="290" t="s">
        <v>219</v>
      </c>
      <c r="C20" s="291"/>
      <c r="D20" s="22"/>
      <c r="E20" s="22"/>
      <c r="F20" s="22"/>
      <c r="G20" s="22"/>
      <c r="H20" s="22"/>
      <c r="I20" s="22"/>
      <c r="J20" s="22"/>
      <c r="K20" s="22"/>
      <c r="L20" s="22"/>
      <c r="M20" s="22"/>
      <c r="N20" s="22"/>
      <c r="O20" s="22"/>
      <c r="P20" s="22"/>
      <c r="Q20" s="22"/>
      <c r="R20" s="22"/>
    </row>
    <row r="21" spans="1:18">
      <c r="A21" s="109">
        <v>6</v>
      </c>
      <c r="B21" s="322" t="s">
        <v>220</v>
      </c>
      <c r="C21" s="322"/>
      <c r="D21" s="22"/>
      <c r="E21" s="22"/>
      <c r="F21" s="22"/>
      <c r="G21" s="22"/>
      <c r="H21" s="22"/>
      <c r="I21" s="22"/>
      <c r="J21" s="22"/>
      <c r="K21" s="22"/>
      <c r="L21" s="22"/>
      <c r="M21" s="22"/>
      <c r="N21" s="22"/>
      <c r="O21" s="22"/>
      <c r="P21" s="22"/>
      <c r="Q21" s="22"/>
      <c r="R21" s="22"/>
    </row>
    <row r="22" spans="1:18">
      <c r="A22" s="109">
        <v>7</v>
      </c>
      <c r="B22" s="318" t="s">
        <v>221</v>
      </c>
      <c r="C22" s="319"/>
      <c r="D22" s="22"/>
      <c r="E22" s="22"/>
      <c r="F22" s="22"/>
      <c r="G22" s="22"/>
      <c r="H22" s="22"/>
      <c r="I22" s="22"/>
      <c r="J22" s="22"/>
      <c r="K22" s="22"/>
      <c r="L22" s="22"/>
      <c r="M22" s="22"/>
      <c r="N22" s="22"/>
      <c r="O22" s="22"/>
      <c r="P22" s="22"/>
      <c r="Q22" s="22"/>
      <c r="R22" s="22"/>
    </row>
    <row r="23" spans="1:18" ht="13.5" thickBot="1">
      <c r="A23" s="109">
        <v>8</v>
      </c>
      <c r="B23" s="318" t="s">
        <v>222</v>
      </c>
      <c r="C23" s="319"/>
      <c r="D23" s="22"/>
      <c r="E23" s="22"/>
      <c r="F23" s="22"/>
      <c r="G23" s="22"/>
      <c r="H23" s="22"/>
      <c r="I23" s="22"/>
      <c r="J23" s="22"/>
      <c r="K23" s="22"/>
      <c r="L23" s="22"/>
      <c r="M23" s="22"/>
      <c r="N23" s="22"/>
      <c r="O23" s="22"/>
      <c r="P23" s="22"/>
      <c r="Q23" s="22"/>
      <c r="R23" s="22"/>
    </row>
    <row r="24" spans="1:18" ht="13.5" thickBot="1">
      <c r="B24" s="317" t="s">
        <v>54</v>
      </c>
      <c r="C24" s="317"/>
      <c r="D24" s="110" t="str">
        <f>IF(COUNTIF(D16:D23,"A")+COUNTIF(D16:D23,"N")=8,"C",IF(COUNTIF(D16:D23,"A")+COUNTIF(D16:D23,”N”)&gt;0,"P"," "))</f>
        <v xml:space="preserve"> </v>
      </c>
      <c r="E24" s="110" t="str">
        <f>IF(COUNTIF(E16:E23,"A")+COUNTIF(E16:E23,"N")=8,"C",IF(COUNTIF(E16:E23,"A")+COUNTIF(E16:E23,”N”)&gt;0,"P"," "))</f>
        <v xml:space="preserve"> </v>
      </c>
      <c r="F24" s="110" t="str">
        <f>IF(COUNTIF(F16:F23,"A")+COUNTIF(F16:F23,"N")=8,"C",IF(COUNTIF(F16:F23,"A")+COUNTIF(F16:F23,”N”)&gt;0,"P"," "))</f>
        <v xml:space="preserve"> </v>
      </c>
      <c r="G24" s="110" t="str">
        <f>IF(COUNTIF(G16:G23,"A")+COUNTIF(G16:G23,"N")=8,"C",IF(COUNTIF(G16:G23,"A")+COUNTIF(G16:G23,”N”)&gt;0,"P"," "))</f>
        <v xml:space="preserve"> </v>
      </c>
      <c r="H24" s="110" t="str">
        <f>IF(COUNTIF(H16:H23,"A")+COUNTIF(H16:H23,"N")=8,"C",IF(COUNTIF(H16:H23,"A")+COUNTIF(H16:H23,”N”)&gt;0,"P"," "))</f>
        <v xml:space="preserve"> </v>
      </c>
      <c r="I24" s="110" t="str">
        <f>IF(COUNTIF(I16:I23,"A")+COUNTIF(I16:I23,"N")=8,"C",IF(COUNTIF(I16:I23,"A")+COUNTIF(I16:I23,”N”)&gt;0,"P"," "))</f>
        <v xml:space="preserve"> </v>
      </c>
      <c r="J24" s="110" t="str">
        <f>IF(COUNTIF(J16:J23,"A")+COUNTIF(J16:J23,"N")=8,"C",IF(COUNTIF(J16:J23,"A")+COUNTIF(J16:J23,”N”)&gt;0,"P"," "))</f>
        <v xml:space="preserve"> </v>
      </c>
      <c r="K24" s="110" t="str">
        <f>IF(COUNTIF(K16:K23,"A")+COUNTIF(K16:K23,"N")=8,"C",IF(COUNTIF(K16:K23,"A")+COUNTIF(K16:K23,”N”)&gt;0,"P"," "))</f>
        <v xml:space="preserve"> </v>
      </c>
      <c r="L24" s="110" t="str">
        <f>IF(COUNTIF(L16:L23,"A")+COUNTIF(L16:L23,"N")=8,"C",IF(COUNTIF(L16:L23,"A")+COUNTIF(L16:L23,”N”)&gt;0,"P"," "))</f>
        <v xml:space="preserve"> </v>
      </c>
      <c r="M24" s="110" t="str">
        <f>IF(COUNTIF(M16:M23,"A")+COUNTIF(M16:M23,"N")=8,"C",IF(COUNTIF(M16:M23,"A")+COUNTIF(M16:M23,”N”)&gt;0,"P"," "))</f>
        <v xml:space="preserve"> </v>
      </c>
      <c r="N24" s="110" t="str">
        <f>IF(COUNTIF(N16:N23,"A")+COUNTIF(N16:N23,"N")=8,"C",IF(COUNTIF(N16:N23,"A")+COUNTIF(N16:N23,”N”)&gt;0,"P"," "))</f>
        <v xml:space="preserve"> </v>
      </c>
      <c r="O24" s="110" t="str">
        <f>IF(COUNTIF(O16:O23,"A")+COUNTIF(O16:O23,"N")=8,"C",IF(COUNTIF(O16:O23,"A")+COUNTIF(O16:O23,”N”)&gt;0,"P"," "))</f>
        <v xml:space="preserve"> </v>
      </c>
      <c r="P24" s="110" t="str">
        <f>IF(COUNTIF(P16:P23,"A")+COUNTIF(P16:P23,"N")=8,"C",IF(COUNTIF(P16:P23,"A")+COUNTIF(P16:P23,”N”)&gt;0,"P"," "))</f>
        <v xml:space="preserve"> </v>
      </c>
      <c r="Q24" s="110" t="str">
        <f>IF(COUNTIF(Q16:Q23,"A")+COUNTIF(Q16:Q23,"N")=8,"C",IF(COUNTIF(Q16:Q23,"A")+COUNTIF(Q16:Q23,”N”)&gt;0,"P"," "))</f>
        <v xml:space="preserve"> </v>
      </c>
      <c r="R24" s="110" t="str">
        <f>IF(COUNTIF(R16:R23,"A")+COUNTIF(R16:R23,"N")=8,"C",IF(COUNTIF(R16:R23,"A")+COUNTIF(R16:R23,”N”)&gt;0,"P"," "))</f>
        <v xml:space="preserve"> </v>
      </c>
    </row>
  </sheetData>
  <sheetProtection selectLockedCells="1"/>
  <mergeCells count="32">
    <mergeCell ref="R1:R4"/>
    <mergeCell ref="M1:M4"/>
    <mergeCell ref="N1:N4"/>
    <mergeCell ref="O1:O4"/>
    <mergeCell ref="P1:P4"/>
    <mergeCell ref="Q1:Q4"/>
    <mergeCell ref="B11:C11"/>
    <mergeCell ref="L1:L4"/>
    <mergeCell ref="F1:F4"/>
    <mergeCell ref="B8:C8"/>
    <mergeCell ref="A3:C3"/>
    <mergeCell ref="E1:E4"/>
    <mergeCell ref="K1:K4"/>
    <mergeCell ref="J1:J4"/>
    <mergeCell ref="B6:C6"/>
    <mergeCell ref="D1:D4"/>
    <mergeCell ref="A4:C4"/>
    <mergeCell ref="B7:C7"/>
    <mergeCell ref="I1:I4"/>
    <mergeCell ref="H1:H4"/>
    <mergeCell ref="G1:G4"/>
    <mergeCell ref="B24:C24"/>
    <mergeCell ref="B12:C12"/>
    <mergeCell ref="B15:R15"/>
    <mergeCell ref="B21:C21"/>
    <mergeCell ref="B22:C22"/>
    <mergeCell ref="B23:C23"/>
    <mergeCell ref="B18:C18"/>
    <mergeCell ref="B16:C16"/>
    <mergeCell ref="B17:C17"/>
    <mergeCell ref="B13:C13"/>
    <mergeCell ref="B14:C14"/>
  </mergeCells>
  <phoneticPr fontId="7" type="noConversion"/>
  <printOptions horizontalCentered="1"/>
  <pageMargins left="0.75" right="0.75" top="1" bottom="0.5" header="0.25" footer="0.25"/>
  <pageSetup scale="78" orientation="portrait" r:id="rId1"/>
  <headerFooter alignWithMargins="0">
    <oddHeader>&amp;C&amp;"Arial,Bold"&amp;14DaisyTrax&amp;12
Annual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38"/>
  <sheetViews>
    <sheetView showGridLines="0" zoomScaleNormal="100" workbookViewId="0">
      <pane ySplit="4" topLeftCell="A5" activePane="bottomLeft" state="frozen"/>
      <selection pane="bottomLeft" activeCell="A5" sqref="A5"/>
    </sheetView>
  </sheetViews>
  <sheetFormatPr defaultRowHeight="12.75"/>
  <cols>
    <col min="1" max="1" width="12.140625" bestFit="1" customWidth="1"/>
    <col min="2" max="16" width="7.7109375" customWidth="1"/>
    <col min="17" max="17" width="8.5703125" style="122" customWidth="1"/>
  </cols>
  <sheetData>
    <row r="1" spans="1:17" ht="25.5" customHeight="1">
      <c r="A1" s="334" t="s">
        <v>73</v>
      </c>
      <c r="B1" s="329" t="str">
        <f ca="1">'Daisy 1'!$A1</f>
        <v>Daisy 1</v>
      </c>
      <c r="C1" s="329" t="str">
        <f ca="1">'Daisy 2'!$A1</f>
        <v>Daisy 2</v>
      </c>
      <c r="D1" s="329" t="str">
        <f ca="1">'Daisy 3'!$A1</f>
        <v>Daisy 3</v>
      </c>
      <c r="E1" s="329" t="str">
        <f ca="1">'Daisy 4'!$A1</f>
        <v>Daisy 4</v>
      </c>
      <c r="F1" s="329" t="str">
        <f ca="1">'Daisy 5'!$A1</f>
        <v>Daisy 5</v>
      </c>
      <c r="G1" s="329" t="str">
        <f ca="1">'Daisy 6'!$A1</f>
        <v>Daisy 6</v>
      </c>
      <c r="H1" s="329" t="str">
        <f ca="1">'Daisy 7'!$A1</f>
        <v>Daisy 7</v>
      </c>
      <c r="I1" s="329" t="str">
        <f ca="1">'Daisy 8'!$A1</f>
        <v>Daisy 8</v>
      </c>
      <c r="J1" s="329" t="str">
        <f ca="1">'Daisy 9'!$A1</f>
        <v>Daisy 9</v>
      </c>
      <c r="K1" s="329" t="str">
        <f ca="1">'Daisy 10'!$A1</f>
        <v>Daisy 10</v>
      </c>
      <c r="L1" s="329" t="str">
        <f ca="1">'Daisy 11'!$A1</f>
        <v>Daisy 11</v>
      </c>
      <c r="M1" s="329" t="str">
        <f ca="1">'Daisy 12'!$A1</f>
        <v>Daisy 12</v>
      </c>
      <c r="N1" s="329" t="str">
        <f ca="1">'Daisy 13'!$A1</f>
        <v>Daisy 13</v>
      </c>
      <c r="O1" s="329" t="str">
        <f ca="1">'Daisy 14'!$A1</f>
        <v>Daisy 14</v>
      </c>
      <c r="P1" s="329" t="str">
        <f ca="1">'Daisy 15'!$A1</f>
        <v>Daisy 15</v>
      </c>
      <c r="Q1" s="331" t="s">
        <v>106</v>
      </c>
    </row>
    <row r="2" spans="1:17">
      <c r="A2" s="334"/>
      <c r="B2" s="329"/>
      <c r="C2" s="329"/>
      <c r="D2" s="329"/>
      <c r="E2" s="329"/>
      <c r="F2" s="329"/>
      <c r="G2" s="329"/>
      <c r="H2" s="329"/>
      <c r="I2" s="329"/>
      <c r="J2" s="329"/>
      <c r="K2" s="329"/>
      <c r="L2" s="329"/>
      <c r="M2" s="329"/>
      <c r="N2" s="329"/>
      <c r="O2" s="329"/>
      <c r="P2" s="329"/>
      <c r="Q2" s="332"/>
    </row>
    <row r="3" spans="1:17">
      <c r="B3" s="329"/>
      <c r="C3" s="329"/>
      <c r="D3" s="329"/>
      <c r="E3" s="329"/>
      <c r="F3" s="329"/>
      <c r="G3" s="329"/>
      <c r="H3" s="329"/>
      <c r="I3" s="329"/>
      <c r="J3" s="329"/>
      <c r="K3" s="329"/>
      <c r="L3" s="329"/>
      <c r="M3" s="329"/>
      <c r="N3" s="329"/>
      <c r="O3" s="329"/>
      <c r="P3" s="329"/>
      <c r="Q3" s="332"/>
    </row>
    <row r="4" spans="1:17">
      <c r="A4" s="14" t="s">
        <v>41</v>
      </c>
      <c r="B4" s="330"/>
      <c r="C4" s="330"/>
      <c r="D4" s="330"/>
      <c r="E4" s="330"/>
      <c r="F4" s="330"/>
      <c r="G4" s="330"/>
      <c r="H4" s="330"/>
      <c r="I4" s="330"/>
      <c r="J4" s="330"/>
      <c r="K4" s="330"/>
      <c r="L4" s="330"/>
      <c r="M4" s="330"/>
      <c r="N4" s="330"/>
      <c r="O4" s="330"/>
      <c r="P4" s="330"/>
      <c r="Q4" s="333"/>
    </row>
    <row r="5" spans="1:17">
      <c r="A5" s="125"/>
      <c r="B5" s="60"/>
      <c r="C5" s="60"/>
      <c r="D5" s="60"/>
      <c r="E5" s="60"/>
      <c r="F5" s="60"/>
      <c r="G5" s="60"/>
      <c r="H5" s="60"/>
      <c r="I5" s="60"/>
      <c r="J5" s="60"/>
      <c r="K5" s="60"/>
      <c r="L5" s="60"/>
      <c r="M5" s="60"/>
      <c r="N5" s="60"/>
      <c r="O5" s="60"/>
      <c r="P5" s="60"/>
      <c r="Q5" s="128">
        <f t="shared" ref="Q5:Q19" si="0">SUM(B5:P5)</f>
        <v>0</v>
      </c>
    </row>
    <row r="6" spans="1:17">
      <c r="A6" s="125"/>
      <c r="B6" s="60"/>
      <c r="C6" s="60"/>
      <c r="D6" s="60"/>
      <c r="E6" s="60"/>
      <c r="F6" s="60"/>
      <c r="G6" s="60"/>
      <c r="H6" s="60"/>
      <c r="I6" s="60"/>
      <c r="J6" s="60"/>
      <c r="K6" s="60"/>
      <c r="L6" s="60"/>
      <c r="M6" s="60"/>
      <c r="N6" s="60"/>
      <c r="O6" s="60"/>
      <c r="P6" s="60"/>
      <c r="Q6" s="128">
        <f t="shared" si="0"/>
        <v>0</v>
      </c>
    </row>
    <row r="7" spans="1:17">
      <c r="A7" s="125"/>
      <c r="B7" s="60"/>
      <c r="C7" s="60"/>
      <c r="D7" s="60"/>
      <c r="E7" s="60"/>
      <c r="F7" s="60"/>
      <c r="G7" s="60"/>
      <c r="H7" s="60"/>
      <c r="I7" s="60"/>
      <c r="J7" s="60"/>
      <c r="K7" s="60"/>
      <c r="L7" s="60"/>
      <c r="M7" s="60"/>
      <c r="N7" s="60"/>
      <c r="O7" s="60"/>
      <c r="P7" s="60"/>
      <c r="Q7" s="128">
        <f t="shared" si="0"/>
        <v>0</v>
      </c>
    </row>
    <row r="8" spans="1:17">
      <c r="A8" s="125"/>
      <c r="B8" s="60"/>
      <c r="C8" s="60"/>
      <c r="D8" s="60"/>
      <c r="E8" s="60"/>
      <c r="F8" s="60"/>
      <c r="G8" s="60"/>
      <c r="H8" s="60"/>
      <c r="I8" s="60"/>
      <c r="J8" s="60"/>
      <c r="K8" s="60"/>
      <c r="L8" s="60"/>
      <c r="M8" s="60"/>
      <c r="N8" s="60"/>
      <c r="O8" s="60"/>
      <c r="P8" s="60"/>
      <c r="Q8" s="128">
        <f t="shared" si="0"/>
        <v>0</v>
      </c>
    </row>
    <row r="9" spans="1:17">
      <c r="A9" s="125"/>
      <c r="B9" s="60"/>
      <c r="C9" s="60"/>
      <c r="D9" s="60"/>
      <c r="E9" s="60"/>
      <c r="F9" s="60"/>
      <c r="G9" s="60"/>
      <c r="H9" s="60"/>
      <c r="I9" s="60"/>
      <c r="J9" s="60"/>
      <c r="K9" s="60"/>
      <c r="L9" s="60"/>
      <c r="M9" s="60"/>
      <c r="N9" s="60"/>
      <c r="O9" s="60"/>
      <c r="P9" s="60"/>
      <c r="Q9" s="128">
        <f t="shared" si="0"/>
        <v>0</v>
      </c>
    </row>
    <row r="10" spans="1:17">
      <c r="A10" s="125"/>
      <c r="B10" s="60"/>
      <c r="C10" s="60"/>
      <c r="D10" s="60"/>
      <c r="E10" s="60"/>
      <c r="F10" s="60"/>
      <c r="G10" s="60"/>
      <c r="H10" s="60"/>
      <c r="I10" s="60"/>
      <c r="J10" s="60"/>
      <c r="K10" s="60"/>
      <c r="L10" s="60"/>
      <c r="M10" s="60"/>
      <c r="N10" s="60"/>
      <c r="O10" s="60"/>
      <c r="P10" s="60"/>
      <c r="Q10" s="128">
        <f t="shared" si="0"/>
        <v>0</v>
      </c>
    </row>
    <row r="11" spans="1:17">
      <c r="A11" s="125"/>
      <c r="B11" s="60"/>
      <c r="C11" s="60"/>
      <c r="D11" s="60"/>
      <c r="E11" s="60"/>
      <c r="F11" s="60"/>
      <c r="G11" s="60"/>
      <c r="H11" s="60"/>
      <c r="I11" s="60"/>
      <c r="J11" s="60"/>
      <c r="K11" s="60"/>
      <c r="L11" s="60"/>
      <c r="M11" s="60"/>
      <c r="N11" s="60"/>
      <c r="O11" s="60"/>
      <c r="P11" s="60"/>
      <c r="Q11" s="128">
        <f t="shared" si="0"/>
        <v>0</v>
      </c>
    </row>
    <row r="12" spans="1:17">
      <c r="A12" s="125"/>
      <c r="B12" s="60"/>
      <c r="C12" s="60"/>
      <c r="D12" s="60"/>
      <c r="E12" s="60"/>
      <c r="F12" s="60"/>
      <c r="G12" s="60"/>
      <c r="H12" s="60"/>
      <c r="I12" s="60"/>
      <c r="J12" s="60"/>
      <c r="K12" s="60"/>
      <c r="L12" s="60"/>
      <c r="M12" s="60"/>
      <c r="N12" s="60"/>
      <c r="O12" s="60"/>
      <c r="P12" s="60"/>
      <c r="Q12" s="128">
        <f t="shared" si="0"/>
        <v>0</v>
      </c>
    </row>
    <row r="13" spans="1:17">
      <c r="A13" s="125"/>
      <c r="B13" s="60"/>
      <c r="C13" s="60"/>
      <c r="D13" s="60"/>
      <c r="E13" s="60"/>
      <c r="F13" s="60"/>
      <c r="G13" s="60"/>
      <c r="H13" s="60"/>
      <c r="I13" s="60"/>
      <c r="J13" s="60"/>
      <c r="K13" s="60"/>
      <c r="L13" s="60"/>
      <c r="M13" s="60"/>
      <c r="N13" s="60"/>
      <c r="O13" s="60"/>
      <c r="P13" s="60"/>
      <c r="Q13" s="128">
        <f t="shared" si="0"/>
        <v>0</v>
      </c>
    </row>
    <row r="14" spans="1:17">
      <c r="A14" s="125"/>
      <c r="B14" s="60"/>
      <c r="C14" s="60"/>
      <c r="D14" s="60"/>
      <c r="E14" s="60"/>
      <c r="F14" s="60"/>
      <c r="G14" s="60"/>
      <c r="H14" s="60"/>
      <c r="I14" s="60"/>
      <c r="J14" s="60"/>
      <c r="K14" s="60"/>
      <c r="L14" s="60"/>
      <c r="M14" s="60"/>
      <c r="N14" s="60"/>
      <c r="O14" s="60"/>
      <c r="P14" s="60"/>
      <c r="Q14" s="128">
        <f t="shared" si="0"/>
        <v>0</v>
      </c>
    </row>
    <row r="15" spans="1:17">
      <c r="A15" s="125"/>
      <c r="B15" s="60"/>
      <c r="C15" s="60"/>
      <c r="D15" s="60"/>
      <c r="E15" s="60"/>
      <c r="F15" s="60"/>
      <c r="G15" s="60"/>
      <c r="H15" s="60"/>
      <c r="I15" s="60"/>
      <c r="J15" s="60"/>
      <c r="K15" s="60"/>
      <c r="L15" s="60"/>
      <c r="M15" s="60"/>
      <c r="N15" s="60"/>
      <c r="O15" s="60"/>
      <c r="P15" s="60"/>
      <c r="Q15" s="128">
        <f t="shared" si="0"/>
        <v>0</v>
      </c>
    </row>
    <row r="16" spans="1:17">
      <c r="A16" s="125"/>
      <c r="B16" s="60"/>
      <c r="C16" s="60"/>
      <c r="D16" s="60"/>
      <c r="E16" s="60"/>
      <c r="F16" s="60"/>
      <c r="G16" s="60"/>
      <c r="H16" s="60"/>
      <c r="I16" s="60"/>
      <c r="J16" s="60"/>
      <c r="K16" s="60"/>
      <c r="L16" s="60"/>
      <c r="M16" s="60"/>
      <c r="N16" s="60"/>
      <c r="O16" s="60"/>
      <c r="P16" s="60"/>
      <c r="Q16" s="128">
        <f t="shared" si="0"/>
        <v>0</v>
      </c>
    </row>
    <row r="17" spans="1:17">
      <c r="A17" s="125"/>
      <c r="B17" s="60"/>
      <c r="C17" s="60"/>
      <c r="D17" s="60"/>
      <c r="E17" s="60"/>
      <c r="F17" s="60"/>
      <c r="G17" s="60"/>
      <c r="H17" s="60"/>
      <c r="I17" s="60"/>
      <c r="J17" s="60"/>
      <c r="K17" s="60"/>
      <c r="L17" s="60"/>
      <c r="M17" s="60"/>
      <c r="N17" s="60"/>
      <c r="O17" s="60"/>
      <c r="P17" s="60"/>
      <c r="Q17" s="128">
        <f t="shared" si="0"/>
        <v>0</v>
      </c>
    </row>
    <row r="18" spans="1:17">
      <c r="A18" s="125"/>
      <c r="B18" s="60"/>
      <c r="C18" s="60"/>
      <c r="D18" s="60"/>
      <c r="E18" s="60"/>
      <c r="F18" s="60"/>
      <c r="G18" s="60"/>
      <c r="H18" s="60"/>
      <c r="I18" s="60"/>
      <c r="J18" s="60"/>
      <c r="K18" s="60"/>
      <c r="L18" s="60"/>
      <c r="M18" s="60"/>
      <c r="N18" s="60"/>
      <c r="O18" s="60"/>
      <c r="P18" s="60"/>
      <c r="Q18" s="128">
        <f t="shared" si="0"/>
        <v>0</v>
      </c>
    </row>
    <row r="19" spans="1:17" ht="13.5" thickBot="1">
      <c r="A19" s="125"/>
      <c r="B19" s="60"/>
      <c r="C19" s="60"/>
      <c r="D19" s="60"/>
      <c r="E19" s="60"/>
      <c r="F19" s="60"/>
      <c r="G19" s="60"/>
      <c r="H19" s="60"/>
      <c r="I19" s="60"/>
      <c r="J19" s="60"/>
      <c r="K19" s="60"/>
      <c r="L19" s="60"/>
      <c r="M19" s="60"/>
      <c r="N19" s="60"/>
      <c r="O19" s="60"/>
      <c r="P19" s="60"/>
      <c r="Q19" s="128">
        <f t="shared" si="0"/>
        <v>0</v>
      </c>
    </row>
    <row r="20" spans="1:17" s="126" customFormat="1" ht="26.25" thickBot="1">
      <c r="A20" s="130" t="s">
        <v>105</v>
      </c>
      <c r="B20" s="131">
        <f>SUM(B5:B19)</f>
        <v>0</v>
      </c>
      <c r="C20" s="131">
        <f t="shared" ref="C20:P20" si="1">SUM(C5:C19)</f>
        <v>0</v>
      </c>
      <c r="D20" s="131">
        <f t="shared" si="1"/>
        <v>0</v>
      </c>
      <c r="E20" s="131">
        <f t="shared" si="1"/>
        <v>0</v>
      </c>
      <c r="F20" s="131">
        <f t="shared" si="1"/>
        <v>0</v>
      </c>
      <c r="G20" s="131">
        <f t="shared" si="1"/>
        <v>0</v>
      </c>
      <c r="H20" s="131">
        <f t="shared" si="1"/>
        <v>0</v>
      </c>
      <c r="I20" s="131">
        <f t="shared" si="1"/>
        <v>0</v>
      </c>
      <c r="J20" s="131">
        <f t="shared" si="1"/>
        <v>0</v>
      </c>
      <c r="K20" s="131">
        <f t="shared" si="1"/>
        <v>0</v>
      </c>
      <c r="L20" s="131">
        <f t="shared" si="1"/>
        <v>0</v>
      </c>
      <c r="M20" s="131">
        <f t="shared" si="1"/>
        <v>0</v>
      </c>
      <c r="N20" s="131">
        <f t="shared" si="1"/>
        <v>0</v>
      </c>
      <c r="O20" s="131">
        <f t="shared" si="1"/>
        <v>0</v>
      </c>
      <c r="P20" s="150">
        <f t="shared" si="1"/>
        <v>0</v>
      </c>
      <c r="Q20" s="129">
        <f>SUM(Q5:Q19)</f>
        <v>0</v>
      </c>
    </row>
    <row r="21" spans="1:17">
      <c r="A21" s="123"/>
      <c r="B21" s="124"/>
      <c r="C21" s="124"/>
      <c r="D21" s="124"/>
      <c r="E21" s="124"/>
      <c r="F21" s="124"/>
      <c r="G21" s="124"/>
      <c r="H21" s="124"/>
      <c r="I21" s="124"/>
      <c r="J21" s="124"/>
      <c r="K21" s="124"/>
      <c r="L21" s="124"/>
      <c r="M21" s="124"/>
      <c r="N21" s="124"/>
      <c r="O21" s="124"/>
      <c r="P21" s="124"/>
      <c r="Q21" s="285"/>
    </row>
    <row r="22" spans="1:17">
      <c r="A22" s="125"/>
      <c r="B22" s="60"/>
      <c r="C22" s="60"/>
      <c r="D22" s="60"/>
      <c r="E22" s="60"/>
      <c r="F22" s="60"/>
      <c r="G22" s="60"/>
      <c r="H22" s="60"/>
      <c r="I22" s="60"/>
      <c r="J22" s="60"/>
      <c r="K22" s="60"/>
      <c r="L22" s="60"/>
      <c r="M22" s="60"/>
      <c r="N22" s="60"/>
      <c r="O22" s="60"/>
      <c r="P22" s="60"/>
      <c r="Q22" s="128">
        <f t="shared" ref="Q22:Q36" si="2">SUM(B22:P22)</f>
        <v>0</v>
      </c>
    </row>
    <row r="23" spans="1:17">
      <c r="A23" s="125"/>
      <c r="B23" s="60"/>
      <c r="C23" s="60"/>
      <c r="D23" s="60"/>
      <c r="E23" s="60"/>
      <c r="F23" s="60"/>
      <c r="G23" s="60"/>
      <c r="H23" s="60"/>
      <c r="I23" s="60"/>
      <c r="J23" s="60"/>
      <c r="K23" s="60"/>
      <c r="L23" s="60"/>
      <c r="M23" s="60"/>
      <c r="N23" s="60"/>
      <c r="O23" s="60"/>
      <c r="P23" s="60"/>
      <c r="Q23" s="128">
        <f t="shared" si="2"/>
        <v>0</v>
      </c>
    </row>
    <row r="24" spans="1:17">
      <c r="A24" s="125"/>
      <c r="B24" s="60"/>
      <c r="C24" s="60"/>
      <c r="D24" s="60"/>
      <c r="E24" s="60"/>
      <c r="F24" s="60"/>
      <c r="G24" s="60"/>
      <c r="H24" s="60"/>
      <c r="I24" s="60"/>
      <c r="J24" s="60"/>
      <c r="K24" s="60"/>
      <c r="L24" s="60"/>
      <c r="M24" s="60"/>
      <c r="N24" s="60"/>
      <c r="O24" s="60"/>
      <c r="P24" s="60"/>
      <c r="Q24" s="128">
        <f t="shared" si="2"/>
        <v>0</v>
      </c>
    </row>
    <row r="25" spans="1:17">
      <c r="A25" s="125"/>
      <c r="B25" s="60"/>
      <c r="C25" s="60"/>
      <c r="D25" s="60"/>
      <c r="E25" s="60"/>
      <c r="F25" s="60"/>
      <c r="G25" s="60"/>
      <c r="H25" s="60"/>
      <c r="I25" s="60"/>
      <c r="J25" s="60"/>
      <c r="K25" s="60"/>
      <c r="L25" s="60"/>
      <c r="M25" s="60"/>
      <c r="N25" s="60"/>
      <c r="O25" s="60"/>
      <c r="P25" s="60"/>
      <c r="Q25" s="128">
        <f t="shared" si="2"/>
        <v>0</v>
      </c>
    </row>
    <row r="26" spans="1:17">
      <c r="A26" s="125"/>
      <c r="B26" s="60"/>
      <c r="C26" s="60"/>
      <c r="D26" s="60"/>
      <c r="E26" s="60"/>
      <c r="F26" s="60"/>
      <c r="G26" s="60"/>
      <c r="H26" s="60"/>
      <c r="I26" s="60"/>
      <c r="J26" s="60"/>
      <c r="K26" s="60"/>
      <c r="L26" s="60"/>
      <c r="M26" s="60"/>
      <c r="N26" s="60"/>
      <c r="O26" s="60"/>
      <c r="P26" s="60"/>
      <c r="Q26" s="128">
        <f t="shared" si="2"/>
        <v>0</v>
      </c>
    </row>
    <row r="27" spans="1:17">
      <c r="A27" s="125"/>
      <c r="B27" s="60"/>
      <c r="C27" s="60"/>
      <c r="D27" s="60"/>
      <c r="E27" s="60"/>
      <c r="F27" s="60"/>
      <c r="G27" s="60"/>
      <c r="H27" s="60"/>
      <c r="I27" s="60"/>
      <c r="J27" s="60"/>
      <c r="K27" s="60"/>
      <c r="L27" s="60"/>
      <c r="M27" s="60"/>
      <c r="N27" s="60"/>
      <c r="O27" s="60"/>
      <c r="P27" s="60"/>
      <c r="Q27" s="128">
        <f t="shared" si="2"/>
        <v>0</v>
      </c>
    </row>
    <row r="28" spans="1:17">
      <c r="A28" s="125"/>
      <c r="B28" s="60"/>
      <c r="C28" s="60"/>
      <c r="D28" s="60"/>
      <c r="E28" s="60"/>
      <c r="F28" s="60"/>
      <c r="G28" s="60"/>
      <c r="H28" s="60"/>
      <c r="I28" s="60"/>
      <c r="J28" s="60"/>
      <c r="K28" s="60"/>
      <c r="L28" s="60"/>
      <c r="M28" s="60"/>
      <c r="N28" s="60"/>
      <c r="O28" s="60"/>
      <c r="P28" s="60"/>
      <c r="Q28" s="128">
        <f t="shared" si="2"/>
        <v>0</v>
      </c>
    </row>
    <row r="29" spans="1:17">
      <c r="A29" s="125"/>
      <c r="B29" s="60"/>
      <c r="C29" s="60"/>
      <c r="D29" s="60"/>
      <c r="E29" s="60"/>
      <c r="F29" s="60"/>
      <c r="G29" s="60"/>
      <c r="H29" s="60"/>
      <c r="I29" s="60"/>
      <c r="J29" s="60"/>
      <c r="K29" s="60"/>
      <c r="L29" s="60"/>
      <c r="M29" s="60"/>
      <c r="N29" s="60"/>
      <c r="O29" s="60"/>
      <c r="P29" s="60"/>
      <c r="Q29" s="128">
        <f t="shared" si="2"/>
        <v>0</v>
      </c>
    </row>
    <row r="30" spans="1:17">
      <c r="A30" s="125"/>
      <c r="B30" s="60"/>
      <c r="C30" s="60"/>
      <c r="D30" s="60"/>
      <c r="E30" s="60"/>
      <c r="F30" s="60"/>
      <c r="G30" s="60"/>
      <c r="H30" s="60"/>
      <c r="I30" s="60"/>
      <c r="J30" s="60"/>
      <c r="K30" s="60"/>
      <c r="L30" s="60"/>
      <c r="M30" s="60"/>
      <c r="N30" s="60"/>
      <c r="O30" s="60"/>
      <c r="P30" s="60"/>
      <c r="Q30" s="128">
        <f t="shared" si="2"/>
        <v>0</v>
      </c>
    </row>
    <row r="31" spans="1:17">
      <c r="A31" s="125"/>
      <c r="B31" s="60"/>
      <c r="C31" s="60"/>
      <c r="D31" s="60"/>
      <c r="E31" s="60"/>
      <c r="F31" s="60"/>
      <c r="G31" s="60"/>
      <c r="H31" s="60"/>
      <c r="I31" s="60"/>
      <c r="J31" s="60"/>
      <c r="K31" s="60"/>
      <c r="L31" s="60"/>
      <c r="M31" s="60"/>
      <c r="N31" s="60"/>
      <c r="O31" s="60"/>
      <c r="P31" s="60"/>
      <c r="Q31" s="128">
        <f t="shared" si="2"/>
        <v>0</v>
      </c>
    </row>
    <row r="32" spans="1:17">
      <c r="A32" s="125"/>
      <c r="B32" s="60"/>
      <c r="C32" s="60"/>
      <c r="D32" s="60"/>
      <c r="E32" s="60"/>
      <c r="F32" s="60"/>
      <c r="G32" s="60"/>
      <c r="H32" s="60"/>
      <c r="I32" s="60"/>
      <c r="J32" s="60"/>
      <c r="K32" s="60"/>
      <c r="L32" s="60"/>
      <c r="M32" s="60"/>
      <c r="N32" s="60"/>
      <c r="O32" s="60"/>
      <c r="P32" s="60"/>
      <c r="Q32" s="128">
        <f t="shared" si="2"/>
        <v>0</v>
      </c>
    </row>
    <row r="33" spans="1:17">
      <c r="A33" s="125"/>
      <c r="B33" s="60"/>
      <c r="C33" s="60"/>
      <c r="D33" s="60"/>
      <c r="E33" s="60"/>
      <c r="F33" s="60"/>
      <c r="G33" s="60"/>
      <c r="H33" s="60"/>
      <c r="I33" s="60"/>
      <c r="J33" s="60"/>
      <c r="K33" s="60"/>
      <c r="L33" s="60"/>
      <c r="M33" s="60"/>
      <c r="N33" s="60"/>
      <c r="O33" s="60"/>
      <c r="P33" s="60"/>
      <c r="Q33" s="128">
        <f t="shared" si="2"/>
        <v>0</v>
      </c>
    </row>
    <row r="34" spans="1:17">
      <c r="A34" s="125"/>
      <c r="B34" s="60"/>
      <c r="C34" s="60"/>
      <c r="D34" s="60"/>
      <c r="E34" s="60"/>
      <c r="F34" s="60"/>
      <c r="G34" s="60"/>
      <c r="H34" s="60"/>
      <c r="I34" s="60"/>
      <c r="J34" s="60"/>
      <c r="K34" s="60"/>
      <c r="L34" s="60"/>
      <c r="M34" s="60"/>
      <c r="N34" s="60"/>
      <c r="O34" s="60"/>
      <c r="P34" s="60"/>
      <c r="Q34" s="128">
        <f t="shared" si="2"/>
        <v>0</v>
      </c>
    </row>
    <row r="35" spans="1:17">
      <c r="A35" s="125"/>
      <c r="B35" s="60"/>
      <c r="C35" s="60"/>
      <c r="D35" s="60"/>
      <c r="E35" s="60"/>
      <c r="F35" s="60"/>
      <c r="G35" s="60"/>
      <c r="H35" s="60"/>
      <c r="I35" s="60"/>
      <c r="J35" s="60"/>
      <c r="K35" s="60"/>
      <c r="L35" s="60"/>
      <c r="M35" s="60"/>
      <c r="N35" s="60"/>
      <c r="O35" s="60"/>
      <c r="P35" s="60"/>
      <c r="Q35" s="128">
        <f t="shared" si="2"/>
        <v>0</v>
      </c>
    </row>
    <row r="36" spans="1:17" ht="13.5" thickBot="1">
      <c r="A36" s="125"/>
      <c r="B36" s="60"/>
      <c r="C36" s="60"/>
      <c r="D36" s="60"/>
      <c r="E36" s="60"/>
      <c r="F36" s="60"/>
      <c r="G36" s="60"/>
      <c r="H36" s="60"/>
      <c r="I36" s="60"/>
      <c r="J36" s="60"/>
      <c r="K36" s="60"/>
      <c r="L36" s="60"/>
      <c r="M36" s="60"/>
      <c r="N36" s="60"/>
      <c r="O36" s="60"/>
      <c r="P36" s="60"/>
      <c r="Q36" s="128">
        <f t="shared" si="2"/>
        <v>0</v>
      </c>
    </row>
    <row r="37" spans="1:17" ht="26.25" thickBot="1">
      <c r="A37" s="135" t="s">
        <v>105</v>
      </c>
      <c r="B37" s="132">
        <f>SUM(B22:B36)</f>
        <v>0</v>
      </c>
      <c r="C37" s="132">
        <f t="shared" ref="C37:P37" si="3">SUM(C5:C36)</f>
        <v>0</v>
      </c>
      <c r="D37" s="132">
        <f t="shared" si="3"/>
        <v>0</v>
      </c>
      <c r="E37" s="132">
        <f t="shared" si="3"/>
        <v>0</v>
      </c>
      <c r="F37" s="132">
        <f t="shared" si="3"/>
        <v>0</v>
      </c>
      <c r="G37" s="132">
        <f t="shared" si="3"/>
        <v>0</v>
      </c>
      <c r="H37" s="132">
        <f t="shared" si="3"/>
        <v>0</v>
      </c>
      <c r="I37" s="132">
        <f t="shared" si="3"/>
        <v>0</v>
      </c>
      <c r="J37" s="132">
        <f t="shared" si="3"/>
        <v>0</v>
      </c>
      <c r="K37" s="132">
        <f t="shared" si="3"/>
        <v>0</v>
      </c>
      <c r="L37" s="132">
        <f t="shared" si="3"/>
        <v>0</v>
      </c>
      <c r="M37" s="132">
        <f t="shared" si="3"/>
        <v>0</v>
      </c>
      <c r="N37" s="132">
        <f t="shared" si="3"/>
        <v>0</v>
      </c>
      <c r="O37" s="132">
        <f t="shared" si="3"/>
        <v>0</v>
      </c>
      <c r="P37" s="133">
        <f t="shared" si="3"/>
        <v>0</v>
      </c>
      <c r="Q37" s="134">
        <f>SUM(Q22:Q36)</f>
        <v>0</v>
      </c>
    </row>
    <row r="38" spans="1:17">
      <c r="Q38" s="127"/>
    </row>
  </sheetData>
  <sheetProtection password="C45A" sheet="1" objects="1" scenarios="1" selectLockedCells="1"/>
  <mergeCells count="17">
    <mergeCell ref="A1:A2"/>
    <mergeCell ref="B1:B4"/>
    <mergeCell ref="C1:C4"/>
    <mergeCell ref="F1:F4"/>
    <mergeCell ref="G1:G4"/>
    <mergeCell ref="P1:P4"/>
    <mergeCell ref="Q1:Q4"/>
    <mergeCell ref="M1:M4"/>
    <mergeCell ref="I1:I4"/>
    <mergeCell ref="D1:D4"/>
    <mergeCell ref="E1:E4"/>
    <mergeCell ref="H1:H4"/>
    <mergeCell ref="J1:J4"/>
    <mergeCell ref="K1:K4"/>
    <mergeCell ref="L1:L4"/>
    <mergeCell ref="N1:N4"/>
    <mergeCell ref="O1:O4"/>
  </mergeCells>
  <phoneticPr fontId="7" type="noConversion"/>
  <pageMargins left="0.75" right="0.75" top="1" bottom="0.5" header="0.25" footer="0.25"/>
  <pageSetup scale="87" orientation="landscape" horizontalDpi="300" verticalDpi="300" r:id="rId1"/>
  <headerFooter alignWithMargins="0">
    <oddHeader>&amp;C&amp;"Arial,Bold"&amp;14DaisyTrax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pageSetUpPr fitToPage="1"/>
  </sheetPr>
  <dimension ref="A1:Q44"/>
  <sheetViews>
    <sheetView showGridLines="0" workbookViewId="0">
      <pane ySplit="4" topLeftCell="A5" activePane="bottomLeft" state="frozen"/>
      <selection pane="bottomLeft" activeCell="A5" sqref="A5"/>
    </sheetView>
  </sheetViews>
  <sheetFormatPr defaultRowHeight="12.75"/>
  <cols>
    <col min="1" max="1" width="8.140625" style="62" bestFit="1" customWidth="1"/>
    <col min="2" max="2" width="41.42578125" customWidth="1"/>
    <col min="3" max="17" width="3.28515625" style="69" customWidth="1"/>
  </cols>
  <sheetData>
    <row r="1" spans="1:17" ht="15.75" customHeight="1">
      <c r="A1" s="335" t="s">
        <v>40</v>
      </c>
      <c r="B1" s="300"/>
      <c r="C1" s="329" t="str">
        <f ca="1">'Daisy 1'!$A1</f>
        <v>Daisy 1</v>
      </c>
      <c r="D1" s="323" t="str">
        <f ca="1">'Daisy 2'!$A1</f>
        <v>Daisy 2</v>
      </c>
      <c r="E1" s="323" t="str">
        <f ca="1">'Daisy 3'!$A1</f>
        <v>Daisy 3</v>
      </c>
      <c r="F1" s="323" t="str">
        <f ca="1">'Daisy 4'!$A1</f>
        <v>Daisy 4</v>
      </c>
      <c r="G1" s="323" t="str">
        <f ca="1">'Daisy 5'!$A1</f>
        <v>Daisy 5</v>
      </c>
      <c r="H1" s="323" t="str">
        <f ca="1">'Daisy 6'!$A1</f>
        <v>Daisy 6</v>
      </c>
      <c r="I1" s="323" t="str">
        <f ca="1">'Daisy 7'!$A1</f>
        <v>Daisy 7</v>
      </c>
      <c r="J1" s="323" t="str">
        <f ca="1">'Daisy 8'!$A1</f>
        <v>Daisy 8</v>
      </c>
      <c r="K1" s="323" t="str">
        <f ca="1">'Daisy 9'!$A1</f>
        <v>Daisy 9</v>
      </c>
      <c r="L1" s="323" t="str">
        <f ca="1">'Daisy 10'!$A1</f>
        <v>Daisy 10</v>
      </c>
      <c r="M1" s="323" t="str">
        <f ca="1">'Daisy 11'!$A1</f>
        <v>Daisy 11</v>
      </c>
      <c r="N1" s="323" t="str">
        <f ca="1">'Daisy 12'!$A1</f>
        <v>Daisy 12</v>
      </c>
      <c r="O1" s="323" t="str">
        <f ca="1">'Daisy 13'!$A1</f>
        <v>Daisy 13</v>
      </c>
      <c r="P1" s="323" t="str">
        <f ca="1">'Daisy 14'!$A1</f>
        <v>Daisy 14</v>
      </c>
      <c r="Q1" s="323" t="str">
        <f ca="1">'Daisy 15'!$A1</f>
        <v>Daisy 15</v>
      </c>
    </row>
    <row r="2" spans="1:17">
      <c r="A2" s="336" t="s">
        <v>110</v>
      </c>
      <c r="B2" s="300"/>
      <c r="C2" s="329"/>
      <c r="D2" s="323"/>
      <c r="E2" s="323"/>
      <c r="F2" s="323"/>
      <c r="G2" s="323"/>
      <c r="H2" s="323"/>
      <c r="I2" s="323"/>
      <c r="J2" s="323"/>
      <c r="K2" s="323"/>
      <c r="L2" s="323"/>
      <c r="M2" s="323"/>
      <c r="N2" s="323"/>
      <c r="O2" s="323"/>
      <c r="P2" s="323"/>
      <c r="Q2" s="323"/>
    </row>
    <row r="3" spans="1:17">
      <c r="C3" s="329"/>
      <c r="D3" s="323"/>
      <c r="E3" s="323"/>
      <c r="F3" s="323"/>
      <c r="G3" s="323"/>
      <c r="H3" s="323"/>
      <c r="I3" s="323"/>
      <c r="J3" s="323"/>
      <c r="K3" s="323"/>
      <c r="L3" s="323"/>
      <c r="M3" s="323"/>
      <c r="N3" s="323"/>
      <c r="O3" s="323"/>
      <c r="P3" s="323"/>
      <c r="Q3" s="323"/>
    </row>
    <row r="4" spans="1:17">
      <c r="A4" s="63" t="s">
        <v>41</v>
      </c>
      <c r="B4" s="14" t="s">
        <v>72</v>
      </c>
      <c r="C4" s="330"/>
      <c r="D4" s="324"/>
      <c r="E4" s="324"/>
      <c r="F4" s="324"/>
      <c r="G4" s="324"/>
      <c r="H4" s="324"/>
      <c r="I4" s="324"/>
      <c r="J4" s="324"/>
      <c r="K4" s="324"/>
      <c r="L4" s="324"/>
      <c r="M4" s="324"/>
      <c r="N4" s="324"/>
      <c r="O4" s="324"/>
      <c r="P4" s="324"/>
      <c r="Q4" s="324"/>
    </row>
    <row r="5" spans="1:17">
      <c r="A5" s="64"/>
      <c r="B5" s="24"/>
      <c r="C5" s="74"/>
      <c r="D5" s="74"/>
      <c r="E5" s="74"/>
      <c r="F5" s="74"/>
      <c r="G5" s="74"/>
      <c r="H5" s="74"/>
      <c r="I5" s="74"/>
      <c r="J5" s="74"/>
      <c r="K5" s="74"/>
      <c r="L5" s="74"/>
      <c r="M5" s="74"/>
      <c r="N5" s="74"/>
      <c r="O5" s="74"/>
      <c r="P5" s="74"/>
      <c r="Q5" s="74"/>
    </row>
    <row r="6" spans="1:17">
      <c r="A6" s="64"/>
      <c r="B6" s="24"/>
      <c r="C6" s="74"/>
      <c r="D6" s="74"/>
      <c r="E6" s="74"/>
      <c r="F6" s="74"/>
      <c r="G6" s="74"/>
      <c r="H6" s="74"/>
      <c r="I6" s="74"/>
      <c r="J6" s="74"/>
      <c r="K6" s="74"/>
      <c r="L6" s="74"/>
      <c r="M6" s="74"/>
      <c r="N6" s="74"/>
      <c r="O6" s="74"/>
      <c r="P6" s="74"/>
      <c r="Q6" s="74"/>
    </row>
    <row r="7" spans="1:17">
      <c r="A7" s="64"/>
      <c r="B7" s="24"/>
      <c r="C7" s="74"/>
      <c r="D7" s="74"/>
      <c r="E7" s="74"/>
      <c r="F7" s="74"/>
      <c r="G7" s="74"/>
      <c r="H7" s="74"/>
      <c r="I7" s="74"/>
      <c r="J7" s="74"/>
      <c r="K7" s="74"/>
      <c r="L7" s="74"/>
      <c r="M7" s="74"/>
      <c r="N7" s="74"/>
      <c r="O7" s="74"/>
      <c r="P7" s="74"/>
      <c r="Q7" s="74"/>
    </row>
    <row r="8" spans="1:17">
      <c r="A8" s="64"/>
      <c r="B8" s="24"/>
      <c r="C8" s="74"/>
      <c r="D8" s="74"/>
      <c r="E8" s="74"/>
      <c r="F8" s="74"/>
      <c r="G8" s="74"/>
      <c r="H8" s="74"/>
      <c r="I8" s="74"/>
      <c r="J8" s="74"/>
      <c r="K8" s="74"/>
      <c r="L8" s="74"/>
      <c r="M8" s="74"/>
      <c r="N8" s="74"/>
      <c r="O8" s="74"/>
      <c r="P8" s="74"/>
      <c r="Q8" s="74"/>
    </row>
    <row r="9" spans="1:17">
      <c r="A9" s="64"/>
      <c r="B9" s="24"/>
      <c r="C9" s="74"/>
      <c r="D9" s="74"/>
      <c r="E9" s="74"/>
      <c r="F9" s="74"/>
      <c r="G9" s="74"/>
      <c r="H9" s="74"/>
      <c r="I9" s="74"/>
      <c r="J9" s="74"/>
      <c r="K9" s="74"/>
      <c r="L9" s="74"/>
      <c r="M9" s="74"/>
      <c r="N9" s="74"/>
      <c r="O9" s="74"/>
      <c r="P9" s="74"/>
      <c r="Q9" s="74"/>
    </row>
    <row r="10" spans="1:17">
      <c r="A10" s="64"/>
      <c r="B10" s="24"/>
      <c r="C10" s="74"/>
      <c r="D10" s="74"/>
      <c r="E10" s="74"/>
      <c r="F10" s="74"/>
      <c r="G10" s="74"/>
      <c r="H10" s="74"/>
      <c r="I10" s="74"/>
      <c r="J10" s="74"/>
      <c r="K10" s="74"/>
      <c r="L10" s="74"/>
      <c r="M10" s="74"/>
      <c r="N10" s="74"/>
      <c r="O10" s="74"/>
      <c r="P10" s="74"/>
      <c r="Q10" s="74"/>
    </row>
    <row r="11" spans="1:17">
      <c r="A11" s="64"/>
      <c r="B11" s="24"/>
      <c r="C11" s="74"/>
      <c r="D11" s="74"/>
      <c r="E11" s="74"/>
      <c r="F11" s="74"/>
      <c r="G11" s="74"/>
      <c r="H11" s="74"/>
      <c r="I11" s="74"/>
      <c r="J11" s="74"/>
      <c r="K11" s="74"/>
      <c r="L11" s="74"/>
      <c r="M11" s="74"/>
      <c r="N11" s="74"/>
      <c r="O11" s="74"/>
      <c r="P11" s="74"/>
      <c r="Q11" s="74"/>
    </row>
    <row r="12" spans="1:17">
      <c r="A12" s="64"/>
      <c r="B12" s="24"/>
      <c r="C12" s="74"/>
      <c r="D12" s="74"/>
      <c r="E12" s="74"/>
      <c r="F12" s="74"/>
      <c r="G12" s="74"/>
      <c r="H12" s="74"/>
      <c r="I12" s="74"/>
      <c r="J12" s="74"/>
      <c r="K12" s="74"/>
      <c r="L12" s="74"/>
      <c r="M12" s="74"/>
      <c r="N12" s="74"/>
      <c r="O12" s="74"/>
      <c r="P12" s="74"/>
      <c r="Q12" s="74"/>
    </row>
    <row r="13" spans="1:17">
      <c r="A13" s="64"/>
      <c r="B13" s="24"/>
      <c r="C13" s="74"/>
      <c r="D13" s="74"/>
      <c r="E13" s="74"/>
      <c r="F13" s="74"/>
      <c r="G13" s="74"/>
      <c r="H13" s="74"/>
      <c r="I13" s="74"/>
      <c r="J13" s="74"/>
      <c r="K13" s="74"/>
      <c r="L13" s="74"/>
      <c r="M13" s="74"/>
      <c r="N13" s="74"/>
      <c r="O13" s="74"/>
      <c r="P13" s="74"/>
      <c r="Q13" s="74"/>
    </row>
    <row r="14" spans="1:17">
      <c r="A14" s="64"/>
      <c r="B14" s="24"/>
      <c r="C14" s="74"/>
      <c r="D14" s="74"/>
      <c r="E14" s="74"/>
      <c r="F14" s="74"/>
      <c r="G14" s="74"/>
      <c r="H14" s="74"/>
      <c r="I14" s="74"/>
      <c r="J14" s="74"/>
      <c r="K14" s="74"/>
      <c r="L14" s="74"/>
      <c r="M14" s="74"/>
      <c r="N14" s="74"/>
      <c r="O14" s="74"/>
      <c r="P14" s="74"/>
      <c r="Q14" s="74"/>
    </row>
    <row r="15" spans="1:17">
      <c r="A15" s="64"/>
      <c r="B15" s="24"/>
      <c r="C15" s="74"/>
      <c r="D15" s="74"/>
      <c r="E15" s="74"/>
      <c r="F15" s="74"/>
      <c r="G15" s="74"/>
      <c r="H15" s="74"/>
      <c r="I15" s="74"/>
      <c r="J15" s="74"/>
      <c r="K15" s="74"/>
      <c r="L15" s="74"/>
      <c r="M15" s="74"/>
      <c r="N15" s="74"/>
      <c r="O15" s="74"/>
      <c r="P15" s="74"/>
      <c r="Q15" s="74"/>
    </row>
    <row r="16" spans="1:17">
      <c r="A16" s="64"/>
      <c r="B16" s="24"/>
      <c r="C16" s="74"/>
      <c r="D16" s="74"/>
      <c r="E16" s="74"/>
      <c r="F16" s="74"/>
      <c r="G16" s="74"/>
      <c r="H16" s="74"/>
      <c r="I16" s="74"/>
      <c r="J16" s="74"/>
      <c r="K16" s="74"/>
      <c r="L16" s="74"/>
      <c r="M16" s="74"/>
      <c r="N16" s="74"/>
      <c r="O16" s="74"/>
      <c r="P16" s="74"/>
      <c r="Q16" s="74"/>
    </row>
    <row r="17" spans="1:17">
      <c r="A17" s="64"/>
      <c r="B17" s="24"/>
      <c r="C17" s="74"/>
      <c r="D17" s="74"/>
      <c r="E17" s="74"/>
      <c r="F17" s="74"/>
      <c r="G17" s="74"/>
      <c r="H17" s="74"/>
      <c r="I17" s="74"/>
      <c r="J17" s="74"/>
      <c r="K17" s="74"/>
      <c r="L17" s="74"/>
      <c r="M17" s="74"/>
      <c r="N17" s="74"/>
      <c r="O17" s="74"/>
      <c r="P17" s="74"/>
      <c r="Q17" s="74"/>
    </row>
    <row r="18" spans="1:17">
      <c r="A18" s="64"/>
      <c r="B18" s="24"/>
      <c r="C18" s="74"/>
      <c r="D18" s="74"/>
      <c r="E18" s="74"/>
      <c r="F18" s="74"/>
      <c r="G18" s="74"/>
      <c r="H18" s="74"/>
      <c r="I18" s="74"/>
      <c r="J18" s="74"/>
      <c r="K18" s="74"/>
      <c r="L18" s="74"/>
      <c r="M18" s="74"/>
      <c r="N18" s="74"/>
      <c r="O18" s="74"/>
      <c r="P18" s="74"/>
      <c r="Q18" s="74"/>
    </row>
    <row r="19" spans="1:17">
      <c r="A19" s="64"/>
      <c r="B19" s="24"/>
      <c r="C19" s="74"/>
      <c r="D19" s="74"/>
      <c r="E19" s="74"/>
      <c r="F19" s="74"/>
      <c r="G19" s="74"/>
      <c r="H19" s="74"/>
      <c r="I19" s="74"/>
      <c r="J19" s="74"/>
      <c r="K19" s="74"/>
      <c r="L19" s="74"/>
      <c r="M19" s="74"/>
      <c r="N19" s="74"/>
      <c r="O19" s="74"/>
      <c r="P19" s="74"/>
      <c r="Q19" s="74"/>
    </row>
    <row r="20" spans="1:17">
      <c r="A20" s="64"/>
      <c r="B20" s="24"/>
      <c r="C20" s="74"/>
      <c r="D20" s="74"/>
      <c r="E20" s="74"/>
      <c r="F20" s="74"/>
      <c r="G20" s="74"/>
      <c r="H20" s="74"/>
      <c r="I20" s="74"/>
      <c r="J20" s="74"/>
      <c r="K20" s="74"/>
      <c r="L20" s="74"/>
      <c r="M20" s="74"/>
      <c r="N20" s="74"/>
      <c r="O20" s="74"/>
      <c r="P20" s="74"/>
      <c r="Q20" s="74"/>
    </row>
    <row r="21" spans="1:17">
      <c r="A21" s="64"/>
      <c r="B21" s="24"/>
      <c r="C21" s="74"/>
      <c r="D21" s="74"/>
      <c r="E21" s="74"/>
      <c r="F21" s="74"/>
      <c r="G21" s="74"/>
      <c r="H21" s="74"/>
      <c r="I21" s="74"/>
      <c r="J21" s="74"/>
      <c r="K21" s="74"/>
      <c r="L21" s="74"/>
      <c r="M21" s="74"/>
      <c r="N21" s="74"/>
      <c r="O21" s="74"/>
      <c r="P21" s="74"/>
      <c r="Q21" s="74"/>
    </row>
    <row r="22" spans="1:17">
      <c r="A22" s="64"/>
      <c r="B22" s="24"/>
      <c r="C22" s="74"/>
      <c r="D22" s="74"/>
      <c r="E22" s="74"/>
      <c r="F22" s="74"/>
      <c r="G22" s="74"/>
      <c r="H22" s="74"/>
      <c r="I22" s="74"/>
      <c r="J22" s="74"/>
      <c r="K22" s="74"/>
      <c r="L22" s="74"/>
      <c r="M22" s="74"/>
      <c r="N22" s="74"/>
      <c r="O22" s="74"/>
      <c r="P22" s="74"/>
      <c r="Q22" s="74"/>
    </row>
    <row r="23" spans="1:17">
      <c r="A23" s="64"/>
      <c r="B23" s="24"/>
      <c r="C23" s="74"/>
      <c r="D23" s="74"/>
      <c r="E23" s="74"/>
      <c r="F23" s="74"/>
      <c r="G23" s="74"/>
      <c r="H23" s="74"/>
      <c r="I23" s="74"/>
      <c r="J23" s="74"/>
      <c r="K23" s="74"/>
      <c r="L23" s="74"/>
      <c r="M23" s="74"/>
      <c r="N23" s="74"/>
      <c r="O23" s="74"/>
      <c r="P23" s="74"/>
      <c r="Q23" s="74"/>
    </row>
    <row r="24" spans="1:17">
      <c r="A24" s="64"/>
      <c r="B24" s="24"/>
      <c r="C24" s="74"/>
      <c r="D24" s="74"/>
      <c r="E24" s="74"/>
      <c r="F24" s="74"/>
      <c r="G24" s="74"/>
      <c r="H24" s="74"/>
      <c r="I24" s="74"/>
      <c r="J24" s="74"/>
      <c r="K24" s="74"/>
      <c r="L24" s="74"/>
      <c r="M24" s="74"/>
      <c r="N24" s="74"/>
      <c r="O24" s="74"/>
      <c r="P24" s="74"/>
      <c r="Q24" s="74"/>
    </row>
    <row r="25" spans="1:17">
      <c r="A25" s="64"/>
      <c r="B25" s="24"/>
      <c r="C25" s="74"/>
      <c r="D25" s="74"/>
      <c r="E25" s="74"/>
      <c r="F25" s="74"/>
      <c r="G25" s="74"/>
      <c r="H25" s="74"/>
      <c r="I25" s="74"/>
      <c r="J25" s="74"/>
      <c r="K25" s="74"/>
      <c r="L25" s="74"/>
      <c r="M25" s="74"/>
      <c r="N25" s="74"/>
      <c r="O25" s="74"/>
      <c r="P25" s="74"/>
      <c r="Q25" s="74"/>
    </row>
    <row r="26" spans="1:17">
      <c r="A26" s="64"/>
      <c r="B26" s="24"/>
      <c r="C26" s="74"/>
      <c r="D26" s="74"/>
      <c r="E26" s="74"/>
      <c r="F26" s="74"/>
      <c r="G26" s="74"/>
      <c r="H26" s="74"/>
      <c r="I26" s="74"/>
      <c r="J26" s="74"/>
      <c r="K26" s="74"/>
      <c r="L26" s="74"/>
      <c r="M26" s="74"/>
      <c r="N26" s="74"/>
      <c r="O26" s="74"/>
      <c r="P26" s="74"/>
      <c r="Q26" s="74"/>
    </row>
    <row r="27" spans="1:17">
      <c r="A27" s="64"/>
      <c r="B27" s="24"/>
      <c r="C27" s="74"/>
      <c r="D27" s="74"/>
      <c r="E27" s="74"/>
      <c r="F27" s="74"/>
      <c r="G27" s="74"/>
      <c r="H27" s="74"/>
      <c r="I27" s="74"/>
      <c r="J27" s="74"/>
      <c r="K27" s="74"/>
      <c r="L27" s="74"/>
      <c r="M27" s="74"/>
      <c r="N27" s="74"/>
      <c r="O27" s="74"/>
      <c r="P27" s="74"/>
      <c r="Q27" s="74"/>
    </row>
    <row r="28" spans="1:17">
      <c r="A28" s="64"/>
      <c r="B28" s="24"/>
      <c r="C28" s="74"/>
      <c r="D28" s="74"/>
      <c r="E28" s="74"/>
      <c r="F28" s="74"/>
      <c r="G28" s="74"/>
      <c r="H28" s="74"/>
      <c r="I28" s="74"/>
      <c r="J28" s="74"/>
      <c r="K28" s="74"/>
      <c r="L28" s="74"/>
      <c r="M28" s="74"/>
      <c r="N28" s="74"/>
      <c r="O28" s="74"/>
      <c r="P28" s="74"/>
      <c r="Q28" s="74"/>
    </row>
    <row r="29" spans="1:17">
      <c r="A29" s="64"/>
      <c r="B29" s="24"/>
      <c r="C29" s="74"/>
      <c r="D29" s="74"/>
      <c r="E29" s="74"/>
      <c r="F29" s="74"/>
      <c r="G29" s="74"/>
      <c r="H29" s="74"/>
      <c r="I29" s="74"/>
      <c r="J29" s="74"/>
      <c r="K29" s="74"/>
      <c r="L29" s="74"/>
      <c r="M29" s="74"/>
      <c r="N29" s="74"/>
      <c r="O29" s="74"/>
      <c r="P29" s="74"/>
      <c r="Q29" s="74"/>
    </row>
    <row r="30" spans="1:17">
      <c r="A30" s="64"/>
      <c r="B30" s="24"/>
      <c r="C30" s="74"/>
      <c r="D30" s="74"/>
      <c r="E30" s="74"/>
      <c r="F30" s="74"/>
      <c r="G30" s="74"/>
      <c r="H30" s="74"/>
      <c r="I30" s="74"/>
      <c r="J30" s="74"/>
      <c r="K30" s="74"/>
      <c r="L30" s="74"/>
      <c r="M30" s="74"/>
      <c r="N30" s="74"/>
      <c r="O30" s="74"/>
      <c r="P30" s="74"/>
      <c r="Q30" s="74"/>
    </row>
    <row r="31" spans="1:17">
      <c r="A31" s="64"/>
      <c r="B31" s="24"/>
      <c r="C31" s="74"/>
      <c r="D31" s="74"/>
      <c r="E31" s="74"/>
      <c r="F31" s="74"/>
      <c r="G31" s="74"/>
      <c r="H31" s="74"/>
      <c r="I31" s="74"/>
      <c r="J31" s="74"/>
      <c r="K31" s="74"/>
      <c r="L31" s="74"/>
      <c r="M31" s="74"/>
      <c r="N31" s="74"/>
      <c r="O31" s="74"/>
      <c r="P31" s="74"/>
      <c r="Q31" s="74"/>
    </row>
    <row r="32" spans="1:17">
      <c r="A32" s="64"/>
      <c r="B32" s="24"/>
      <c r="C32" s="74"/>
      <c r="D32" s="74"/>
      <c r="E32" s="74"/>
      <c r="F32" s="74"/>
      <c r="G32" s="74"/>
      <c r="H32" s="74"/>
      <c r="I32" s="74"/>
      <c r="J32" s="74"/>
      <c r="K32" s="74"/>
      <c r="L32" s="74"/>
      <c r="M32" s="74"/>
      <c r="N32" s="74"/>
      <c r="O32" s="74"/>
      <c r="P32" s="74"/>
      <c r="Q32" s="74"/>
    </row>
    <row r="33" spans="1:17">
      <c r="A33" s="64"/>
      <c r="B33" s="24"/>
      <c r="C33" s="74"/>
      <c r="D33" s="74"/>
      <c r="E33" s="74"/>
      <c r="F33" s="74"/>
      <c r="G33" s="74"/>
      <c r="H33" s="74"/>
      <c r="I33" s="74"/>
      <c r="J33" s="74"/>
      <c r="K33" s="74"/>
      <c r="L33" s="74"/>
      <c r="M33" s="74"/>
      <c r="N33" s="74"/>
      <c r="O33" s="74"/>
      <c r="P33" s="74"/>
      <c r="Q33" s="74"/>
    </row>
    <row r="34" spans="1:17">
      <c r="A34" s="64"/>
      <c r="B34" s="24"/>
      <c r="C34" s="74"/>
      <c r="D34" s="74"/>
      <c r="E34" s="74"/>
      <c r="F34" s="74"/>
      <c r="G34" s="74"/>
      <c r="H34" s="74"/>
      <c r="I34" s="74"/>
      <c r="J34" s="74"/>
      <c r="K34" s="74"/>
      <c r="L34" s="74"/>
      <c r="M34" s="74"/>
      <c r="N34" s="74"/>
      <c r="O34" s="74"/>
      <c r="P34" s="74"/>
      <c r="Q34" s="74"/>
    </row>
    <row r="35" spans="1:17">
      <c r="A35" s="64"/>
      <c r="B35" s="24"/>
      <c r="C35" s="74"/>
      <c r="D35" s="74"/>
      <c r="E35" s="74"/>
      <c r="F35" s="74"/>
      <c r="G35" s="74"/>
      <c r="H35" s="74"/>
      <c r="I35" s="74"/>
      <c r="J35" s="74"/>
      <c r="K35" s="74"/>
      <c r="L35" s="74"/>
      <c r="M35" s="74"/>
      <c r="N35" s="74"/>
      <c r="O35" s="74"/>
      <c r="P35" s="74"/>
      <c r="Q35" s="74"/>
    </row>
    <row r="36" spans="1:17">
      <c r="A36" s="64"/>
      <c r="B36" s="24"/>
      <c r="C36" s="74"/>
      <c r="D36" s="74"/>
      <c r="E36" s="74"/>
      <c r="F36" s="74"/>
      <c r="G36" s="74"/>
      <c r="H36" s="74"/>
      <c r="I36" s="74"/>
      <c r="J36" s="74"/>
      <c r="K36" s="74"/>
      <c r="L36" s="74"/>
      <c r="M36" s="74"/>
      <c r="N36" s="74"/>
      <c r="O36" s="74"/>
      <c r="P36" s="74"/>
      <c r="Q36" s="74"/>
    </row>
    <row r="37" spans="1:17">
      <c r="A37" s="64"/>
      <c r="B37" s="24"/>
      <c r="C37" s="74"/>
      <c r="D37" s="74"/>
      <c r="E37" s="74"/>
      <c r="F37" s="74"/>
      <c r="G37" s="74"/>
      <c r="H37" s="74"/>
      <c r="I37" s="74"/>
      <c r="J37" s="74"/>
      <c r="K37" s="74"/>
      <c r="L37" s="74"/>
      <c r="M37" s="74"/>
      <c r="N37" s="74"/>
      <c r="O37" s="74"/>
      <c r="P37" s="74"/>
      <c r="Q37" s="74"/>
    </row>
    <row r="38" spans="1:17">
      <c r="A38" s="64"/>
      <c r="B38" s="24"/>
      <c r="C38" s="74"/>
      <c r="D38" s="74"/>
      <c r="E38" s="74"/>
      <c r="F38" s="74"/>
      <c r="G38" s="74"/>
      <c r="H38" s="74"/>
      <c r="I38" s="74"/>
      <c r="J38" s="74"/>
      <c r="K38" s="74"/>
      <c r="L38" s="74"/>
      <c r="M38" s="74"/>
      <c r="N38" s="74"/>
      <c r="O38" s="74"/>
      <c r="P38" s="74"/>
      <c r="Q38" s="74"/>
    </row>
    <row r="39" spans="1:17">
      <c r="A39" s="64"/>
      <c r="B39" s="24"/>
      <c r="C39" s="74"/>
      <c r="D39" s="74"/>
      <c r="E39" s="74"/>
      <c r="F39" s="74"/>
      <c r="G39" s="74"/>
      <c r="H39" s="74"/>
      <c r="I39" s="74"/>
      <c r="J39" s="74"/>
      <c r="K39" s="74"/>
      <c r="L39" s="74"/>
      <c r="M39" s="74"/>
      <c r="N39" s="74"/>
      <c r="O39" s="74"/>
      <c r="P39" s="74"/>
      <c r="Q39" s="74"/>
    </row>
    <row r="40" spans="1:17">
      <c r="A40" s="64"/>
      <c r="B40" s="24"/>
      <c r="C40" s="74"/>
      <c r="D40" s="74"/>
      <c r="E40" s="74"/>
      <c r="F40" s="74"/>
      <c r="G40" s="74"/>
      <c r="H40" s="74"/>
      <c r="I40" s="74"/>
      <c r="J40" s="74"/>
      <c r="K40" s="74"/>
      <c r="L40" s="74"/>
      <c r="M40" s="74"/>
      <c r="N40" s="74"/>
      <c r="O40" s="74"/>
      <c r="P40" s="74"/>
      <c r="Q40" s="74"/>
    </row>
    <row r="41" spans="1:17">
      <c r="A41" s="64"/>
      <c r="B41" s="24"/>
      <c r="C41" s="74"/>
      <c r="D41" s="74"/>
      <c r="E41" s="74"/>
      <c r="F41" s="74"/>
      <c r="G41" s="74"/>
      <c r="H41" s="74"/>
      <c r="I41" s="74"/>
      <c r="J41" s="74"/>
      <c r="K41" s="74"/>
      <c r="L41" s="74"/>
      <c r="M41" s="74"/>
      <c r="N41" s="74"/>
      <c r="O41" s="74"/>
      <c r="P41" s="74"/>
      <c r="Q41" s="74"/>
    </row>
    <row r="42" spans="1:17">
      <c r="A42" s="64"/>
      <c r="B42" s="24"/>
      <c r="C42" s="74"/>
      <c r="D42" s="74"/>
      <c r="E42" s="74"/>
      <c r="F42" s="74"/>
      <c r="G42" s="74"/>
      <c r="H42" s="74"/>
      <c r="I42" s="74"/>
      <c r="J42" s="74"/>
      <c r="K42" s="74"/>
      <c r="L42" s="74"/>
      <c r="M42" s="74"/>
      <c r="N42" s="74"/>
      <c r="O42" s="74"/>
      <c r="P42" s="74"/>
      <c r="Q42" s="74"/>
    </row>
    <row r="43" spans="1:17">
      <c r="A43" s="64"/>
      <c r="B43" s="24"/>
      <c r="C43" s="74"/>
      <c r="D43" s="74"/>
      <c r="E43" s="74"/>
      <c r="F43" s="74"/>
      <c r="G43" s="74"/>
      <c r="H43" s="74"/>
      <c r="I43" s="74"/>
      <c r="J43" s="74"/>
      <c r="K43" s="74"/>
      <c r="L43" s="74"/>
      <c r="M43" s="74"/>
      <c r="N43" s="74"/>
      <c r="O43" s="74"/>
      <c r="P43" s="74"/>
      <c r="Q43" s="74"/>
    </row>
    <row r="44" spans="1:17">
      <c r="A44" s="64"/>
      <c r="B44" s="24"/>
      <c r="C44" s="74"/>
      <c r="D44" s="74"/>
      <c r="E44" s="74"/>
      <c r="F44" s="74"/>
      <c r="G44" s="74"/>
      <c r="H44" s="74"/>
      <c r="I44" s="74"/>
      <c r="J44" s="74"/>
      <c r="K44" s="74"/>
      <c r="L44" s="74"/>
      <c r="M44" s="74"/>
      <c r="N44" s="74"/>
      <c r="O44" s="74"/>
      <c r="P44" s="74"/>
      <c r="Q44" s="74"/>
    </row>
  </sheetData>
  <sheetProtection password="C45A" sheet="1" objects="1" scenarios="1" selectLockedCells="1"/>
  <mergeCells count="17">
    <mergeCell ref="A1:B1"/>
    <mergeCell ref="F1:F4"/>
    <mergeCell ref="A2:B2"/>
    <mergeCell ref="C1:C4"/>
    <mergeCell ref="D1:D4"/>
    <mergeCell ref="E1:E4"/>
    <mergeCell ref="G1:G4"/>
    <mergeCell ref="H1:H4"/>
    <mergeCell ref="Q1:Q4"/>
    <mergeCell ref="P1:P4"/>
    <mergeCell ref="N1:N4"/>
    <mergeCell ref="O1:O4"/>
    <mergeCell ref="I1:I4"/>
    <mergeCell ref="J1:J4"/>
    <mergeCell ref="K1:K4"/>
    <mergeCell ref="M1:M4"/>
    <mergeCell ref="L1:L4"/>
  </mergeCells>
  <phoneticPr fontId="7" type="noConversion"/>
  <pageMargins left="0.75" right="0.75" top="1" bottom="0.5" header="0.25" footer="0.25"/>
  <pageSetup scale="87" orientation="portrait" horizontalDpi="300" verticalDpi="300" r:id="rId1"/>
  <headerFooter alignWithMargins="0">
    <oddHeader>&amp;C&amp;"Arial,Bold"&amp;14DaisyTrax
&amp;12Attendance page - &amp;D</oddHeader>
    <oddFooter>&amp;CPage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A1:U38"/>
  <sheetViews>
    <sheetView showGridLines="0" workbookViewId="0">
      <pane ySplit="4" topLeftCell="A5" activePane="bottomLeft" state="frozen"/>
      <selection pane="bottomLeft" activeCell="U6" sqref="U6:U38"/>
    </sheetView>
  </sheetViews>
  <sheetFormatPr defaultRowHeight="12.75"/>
  <cols>
    <col min="1" max="1" width="2.5703125" customWidth="1"/>
    <col min="2" max="2" width="14.42578125" bestFit="1" customWidth="1"/>
    <col min="3" max="3" width="37.5703125" bestFit="1" customWidth="1"/>
    <col min="4" max="12" width="3.28515625" bestFit="1" customWidth="1"/>
    <col min="13" max="13" width="3.28515625" customWidth="1"/>
    <col min="14" max="17" width="3.28515625" bestFit="1" customWidth="1"/>
    <col min="18" max="18" width="3.28515625" customWidth="1"/>
  </cols>
  <sheetData>
    <row r="1" spans="1:21" s="80" customFormat="1" ht="12.75" customHeight="1">
      <c r="A1" s="88"/>
      <c r="B1" s="89" t="s">
        <v>55</v>
      </c>
      <c r="C1" s="87">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21" ht="15">
      <c r="A2" s="18"/>
      <c r="B2" s="78" t="s">
        <v>42</v>
      </c>
      <c r="C2" s="81">
        <f>Instructions!E5</f>
        <v>0</v>
      </c>
      <c r="D2" s="323"/>
      <c r="E2" s="323"/>
      <c r="F2" s="323"/>
      <c r="G2" s="323"/>
      <c r="H2" s="323"/>
      <c r="I2" s="323"/>
      <c r="J2" s="323"/>
      <c r="K2" s="323"/>
      <c r="L2" s="323"/>
      <c r="M2" s="323"/>
      <c r="N2" s="323"/>
      <c r="O2" s="323"/>
      <c r="P2" s="323"/>
      <c r="Q2" s="323"/>
      <c r="R2" s="323"/>
    </row>
    <row r="3" spans="1:21">
      <c r="A3" s="325"/>
      <c r="B3" s="325"/>
      <c r="C3" s="326"/>
      <c r="D3" s="323"/>
      <c r="E3" s="323"/>
      <c r="F3" s="323"/>
      <c r="G3" s="323"/>
      <c r="H3" s="323"/>
      <c r="I3" s="323"/>
      <c r="J3" s="323"/>
      <c r="K3" s="323"/>
      <c r="L3" s="323"/>
      <c r="M3" s="323"/>
      <c r="N3" s="323"/>
      <c r="O3" s="323"/>
      <c r="P3" s="323"/>
      <c r="Q3" s="323"/>
      <c r="R3" s="323"/>
    </row>
    <row r="4" spans="1:21">
      <c r="A4" s="327" t="s">
        <v>107</v>
      </c>
      <c r="B4" s="327"/>
      <c r="C4" s="328"/>
      <c r="D4" s="324"/>
      <c r="E4" s="324"/>
      <c r="F4" s="324"/>
      <c r="G4" s="324"/>
      <c r="H4" s="324"/>
      <c r="I4" s="324"/>
      <c r="J4" s="324"/>
      <c r="K4" s="324"/>
      <c r="L4" s="324"/>
      <c r="M4" s="324"/>
      <c r="N4" s="324"/>
      <c r="O4" s="324"/>
      <c r="P4" s="324"/>
      <c r="Q4" s="324"/>
      <c r="R4" s="324"/>
    </row>
    <row r="5" spans="1:21" ht="17.25" customHeight="1">
      <c r="A5" s="26" t="s">
        <v>140</v>
      </c>
      <c r="B5" s="27"/>
      <c r="C5" s="28"/>
      <c r="D5" s="29"/>
      <c r="E5" s="29" t="s">
        <v>1</v>
      </c>
      <c r="F5" s="29" t="s">
        <v>1</v>
      </c>
      <c r="G5" s="29" t="s">
        <v>1</v>
      </c>
      <c r="H5" s="29" t="s">
        <v>1</v>
      </c>
      <c r="I5" s="29" t="s">
        <v>1</v>
      </c>
      <c r="J5" s="29" t="s">
        <v>1</v>
      </c>
      <c r="K5" s="29" t="s">
        <v>1</v>
      </c>
      <c r="L5" s="29" t="s">
        <v>1</v>
      </c>
      <c r="M5" s="29"/>
      <c r="N5" s="29" t="s">
        <v>1</v>
      </c>
      <c r="O5" s="29" t="s">
        <v>1</v>
      </c>
      <c r="P5" s="29" t="s">
        <v>1</v>
      </c>
      <c r="Q5" s="29" t="s">
        <v>1</v>
      </c>
      <c r="R5" s="29"/>
    </row>
    <row r="6" spans="1:21">
      <c r="A6" s="30"/>
      <c r="B6" s="279" t="s">
        <v>201</v>
      </c>
      <c r="C6" s="200" t="s">
        <v>166</v>
      </c>
      <c r="D6" s="154"/>
      <c r="E6" s="154"/>
      <c r="F6" s="154"/>
      <c r="G6" s="154"/>
      <c r="H6" s="154"/>
      <c r="I6" s="154"/>
      <c r="J6" s="154"/>
      <c r="K6" s="154"/>
      <c r="L6" s="154"/>
      <c r="M6" s="154"/>
      <c r="N6" s="154"/>
      <c r="O6" s="154"/>
      <c r="P6" s="154"/>
      <c r="Q6" s="154"/>
      <c r="R6" s="154"/>
      <c r="U6" t="str">
        <f>GetComments(C6)</f>
        <v>1. Make a circle. You can make it with your Daisy friends and Girl Scout adults, or even with your family!
2. Say the Girl Scout Promise.
3. Talk about what the Promise means to you.</v>
      </c>
    </row>
    <row r="7" spans="1:21" ht="17.25" customHeight="1">
      <c r="A7" s="26" t="s">
        <v>44</v>
      </c>
      <c r="B7" s="32"/>
      <c r="C7" s="33"/>
      <c r="D7" s="34"/>
      <c r="E7" s="34"/>
      <c r="F7" s="34"/>
      <c r="G7" s="34"/>
      <c r="H7" s="34"/>
      <c r="I7" s="34"/>
      <c r="J7" s="34"/>
      <c r="K7" s="34"/>
      <c r="L7" s="34"/>
      <c r="M7" s="34"/>
      <c r="N7" s="34"/>
      <c r="O7" s="34"/>
      <c r="P7" s="34"/>
      <c r="Q7" s="34"/>
      <c r="R7" s="34"/>
      <c r="U7" t="str">
        <f t="shared" ref="U7:U38" si="0">GetComments(C7)</f>
        <v/>
      </c>
    </row>
    <row r="8" spans="1:21">
      <c r="A8" s="30"/>
      <c r="B8" s="258" t="s">
        <v>167</v>
      </c>
      <c r="C8" s="35" t="s">
        <v>45</v>
      </c>
      <c r="D8" s="154"/>
      <c r="E8" s="154"/>
      <c r="F8" s="154"/>
      <c r="G8" s="154"/>
      <c r="H8" s="154"/>
      <c r="I8" s="154"/>
      <c r="J8" s="154"/>
      <c r="K8" s="154"/>
      <c r="L8" s="154"/>
      <c r="M8" s="154"/>
      <c r="N8" s="154"/>
      <c r="O8" s="154"/>
      <c r="P8" s="154"/>
      <c r="Q8" s="154"/>
      <c r="R8" s="154"/>
      <c r="U8" t="str">
        <f t="shared" si="0"/>
        <v>1. Enjoy "Lupe's Story," then talk about it.
2. Act out the story with your Daisy friends-each girl can take a different part.
3. Practice being honest and fair.</v>
      </c>
    </row>
    <row r="9" spans="1:21">
      <c r="A9" s="30"/>
      <c r="B9" s="259" t="s">
        <v>168</v>
      </c>
      <c r="C9" s="35" t="s">
        <v>46</v>
      </c>
      <c r="D9" s="154"/>
      <c r="E9" s="154"/>
      <c r="F9" s="154"/>
      <c r="G9" s="154"/>
      <c r="H9" s="154"/>
      <c r="I9" s="154"/>
      <c r="J9" s="154"/>
      <c r="K9" s="154"/>
      <c r="L9" s="154"/>
      <c r="M9" s="154"/>
      <c r="N9" s="154"/>
      <c r="O9" s="154"/>
      <c r="P9" s="154"/>
      <c r="Q9" s="154"/>
      <c r="R9" s="154"/>
      <c r="U9" t="str">
        <f t="shared" si="0"/>
        <v>1. Enjoy "Sunny's Story," then talk about it.
2. Make a mural based on "Sunny's Sotry" with your Daisy friends.
3. Practice being friendly and helpful.</v>
      </c>
    </row>
    <row r="10" spans="1:21">
      <c r="A10" s="30"/>
      <c r="B10" s="260" t="s">
        <v>169</v>
      </c>
      <c r="C10" s="156" t="s">
        <v>76</v>
      </c>
      <c r="D10" s="155"/>
      <c r="E10" s="155"/>
      <c r="F10" s="155"/>
      <c r="G10" s="155"/>
      <c r="H10" s="155"/>
      <c r="I10" s="155"/>
      <c r="J10" s="155"/>
      <c r="K10" s="155"/>
      <c r="L10" s="155"/>
      <c r="M10" s="155"/>
      <c r="N10" s="155"/>
      <c r="O10" s="155"/>
      <c r="P10" s="155"/>
      <c r="Q10" s="155"/>
      <c r="R10" s="155"/>
      <c r="U10" t="str">
        <f t="shared" si="0"/>
        <v>1. Enjoy "Zinnia's Story," then talk about it.
2. Come up with ideas of how to be like Zinni.
3. Practice being considerate and caring.</v>
      </c>
    </row>
    <row r="11" spans="1:21">
      <c r="A11" s="30"/>
      <c r="B11" s="261" t="s">
        <v>170</v>
      </c>
      <c r="C11" s="35" t="s">
        <v>47</v>
      </c>
      <c r="D11" s="154"/>
      <c r="E11" s="154"/>
      <c r="F11" s="154"/>
      <c r="G11" s="154"/>
      <c r="H11" s="154"/>
      <c r="I11" s="154"/>
      <c r="J11" s="154"/>
      <c r="K11" s="154"/>
      <c r="L11" s="154"/>
      <c r="M11" s="154"/>
      <c r="N11" s="154"/>
      <c r="O11" s="154"/>
      <c r="P11" s="154"/>
      <c r="Q11" s="154"/>
      <c r="R11" s="154"/>
      <c r="U11" t="str">
        <f t="shared" si="0"/>
        <v>1. Enjoy "Tula's Story," then talk about it.
2. Make an art gallery celebrating women who are courageous and strong.
3. Practice being courageous and strong.</v>
      </c>
    </row>
    <row r="12" spans="1:21">
      <c r="A12" s="30"/>
      <c r="B12" s="262" t="s">
        <v>171</v>
      </c>
      <c r="C12" s="35" t="s">
        <v>48</v>
      </c>
      <c r="D12" s="154"/>
      <c r="E12" s="154"/>
      <c r="F12" s="154"/>
      <c r="G12" s="154"/>
      <c r="H12" s="154"/>
      <c r="I12" s="154"/>
      <c r="J12" s="154"/>
      <c r="K12" s="154"/>
      <c r="L12" s="154"/>
      <c r="M12" s="154"/>
      <c r="N12" s="154"/>
      <c r="O12" s="154"/>
      <c r="P12" s="154"/>
      <c r="Q12" s="154"/>
      <c r="R12" s="154"/>
      <c r="U12" t="str">
        <f t="shared" si="0"/>
        <v>1. Enjoy "Mari's Story," then talk about it.
2. With your Daisy friends, act out different ways to be responsible during the day-from the time you wake up to the time you go to bed!
3. Practice being responsible for what you say and do.</v>
      </c>
    </row>
    <row r="13" spans="1:21">
      <c r="A13" s="30"/>
      <c r="B13" s="39" t="s">
        <v>172</v>
      </c>
      <c r="C13" s="35" t="s">
        <v>49</v>
      </c>
      <c r="D13" s="155"/>
      <c r="E13" s="155"/>
      <c r="F13" s="155"/>
      <c r="G13" s="155"/>
      <c r="H13" s="155"/>
      <c r="I13" s="155"/>
      <c r="J13" s="155"/>
      <c r="K13" s="155"/>
      <c r="L13" s="155"/>
      <c r="M13" s="155"/>
      <c r="N13" s="155"/>
      <c r="O13" s="155"/>
      <c r="P13" s="155"/>
      <c r="Q13" s="155"/>
      <c r="R13" s="155"/>
      <c r="U13" t="str">
        <f t="shared" si="0"/>
        <v>1. Enjoy "Gloria's Story," then talk about it.
2. Invite an older Girl Scout to talk to your group about ways to respect yourself and others.
3. Practice respecting yourself and others.</v>
      </c>
    </row>
    <row r="14" spans="1:21">
      <c r="A14" s="30"/>
      <c r="B14" s="263" t="s">
        <v>173</v>
      </c>
      <c r="C14" s="35" t="s">
        <v>50</v>
      </c>
      <c r="D14" s="154"/>
      <c r="E14" s="154"/>
      <c r="F14" s="154"/>
      <c r="G14" s="154"/>
      <c r="H14" s="154"/>
      <c r="I14" s="154"/>
      <c r="J14" s="154"/>
      <c r="K14" s="154"/>
      <c r="L14" s="154"/>
      <c r="M14" s="154"/>
      <c r="N14" s="154"/>
      <c r="O14" s="154"/>
      <c r="P14" s="154"/>
      <c r="Q14" s="154"/>
      <c r="R14" s="154"/>
      <c r="U14" t="str">
        <f t="shared" si="0"/>
        <v>1. Enjoy "Gerri's Story," then talk about it.
2. Visit someone who has authority in your community, such as a police officer, firefighter, or your school principal.
3. Practice respecting authority.</v>
      </c>
    </row>
    <row r="15" spans="1:21">
      <c r="A15" s="30"/>
      <c r="B15" s="40" t="s">
        <v>174</v>
      </c>
      <c r="C15" s="35" t="s">
        <v>51</v>
      </c>
      <c r="D15" s="154"/>
      <c r="E15" s="154"/>
      <c r="F15" s="154"/>
      <c r="G15" s="154"/>
      <c r="H15" s="154"/>
      <c r="I15" s="154"/>
      <c r="J15" s="154"/>
      <c r="K15" s="154"/>
      <c r="L15" s="154"/>
      <c r="M15" s="154"/>
      <c r="N15" s="154"/>
      <c r="O15" s="154"/>
      <c r="P15" s="154"/>
      <c r="Q15" s="154"/>
      <c r="R15" s="154"/>
      <c r="U15" t="str">
        <f t="shared" si="0"/>
        <v>1. Enjoy "Clover's Story," then talk about it.
2. Make a collage using old magazines or postcards.
3. Practice being resourceful.</v>
      </c>
    </row>
    <row r="16" spans="1:21">
      <c r="A16" s="30"/>
      <c r="B16" s="264" t="s">
        <v>175</v>
      </c>
      <c r="C16" s="35" t="s">
        <v>52</v>
      </c>
      <c r="D16" s="154"/>
      <c r="E16" s="154"/>
      <c r="F16" s="154"/>
      <c r="G16" s="154"/>
      <c r="H16" s="154"/>
      <c r="I16" s="154"/>
      <c r="J16" s="154"/>
      <c r="K16" s="154"/>
      <c r="L16" s="154"/>
      <c r="M16" s="154"/>
      <c r="N16" s="154"/>
      <c r="O16" s="154"/>
      <c r="P16" s="154"/>
      <c r="Q16" s="154"/>
      <c r="R16" s="154"/>
      <c r="U16" t="str">
        <f t="shared" si="0"/>
        <v>1. Enjoy "Rosie's Story," then talk about it.
2. Act out the story with your Daisy friends.
3. Practice making the world a better place.</v>
      </c>
    </row>
    <row r="17" spans="1:21" ht="13.5" thickBot="1">
      <c r="A17" s="30"/>
      <c r="B17" s="265" t="s">
        <v>176</v>
      </c>
      <c r="C17" s="35" t="s">
        <v>53</v>
      </c>
      <c r="D17" s="154"/>
      <c r="E17" s="154"/>
      <c r="F17" s="154"/>
      <c r="G17" s="154"/>
      <c r="H17" s="154"/>
      <c r="I17" s="154"/>
      <c r="J17" s="154"/>
      <c r="K17" s="154"/>
      <c r="L17" s="154"/>
      <c r="M17" s="154"/>
      <c r="N17" s="154"/>
      <c r="O17" s="154"/>
      <c r="P17" s="154"/>
      <c r="Q17" s="154"/>
      <c r="R17" s="154"/>
      <c r="U17" t="str">
        <f t="shared" si="0"/>
        <v>1. Enjoy "Vi's Story," then talk about it.
2. Create a mural about girls around the world with your Daisy friends.
3. Practice being a sister to every Girl Scout.</v>
      </c>
    </row>
    <row r="18" spans="1:21" ht="13.5" thickBot="1">
      <c r="B18" s="337" t="s">
        <v>54</v>
      </c>
      <c r="C18" s="338"/>
      <c r="D18" s="38" t="str">
        <f>IF(COUNTIF(D6:D17,"A")=11,"C",IF(COUNTIF(D6:D17,"A")&gt;0,"P"," "))</f>
        <v xml:space="preserve"> </v>
      </c>
      <c r="E18" s="38" t="str">
        <f t="shared" ref="E18:Q18" si="1">IF(COUNTIF(E6:E17,"A")&gt;10,"C",IF(COUNTIF(E6:E17,"A")&gt;0,"P"," "))</f>
        <v xml:space="preserve"> </v>
      </c>
      <c r="F18" s="38" t="str">
        <f t="shared" si="1"/>
        <v xml:space="preserve"> </v>
      </c>
      <c r="G18" s="38" t="str">
        <f t="shared" si="1"/>
        <v xml:space="preserve"> </v>
      </c>
      <c r="H18" s="38" t="str">
        <f t="shared" si="1"/>
        <v xml:space="preserve"> </v>
      </c>
      <c r="I18" s="38" t="str">
        <f t="shared" si="1"/>
        <v xml:space="preserve"> </v>
      </c>
      <c r="J18" s="38" t="str">
        <f t="shared" si="1"/>
        <v xml:space="preserve"> </v>
      </c>
      <c r="K18" s="38" t="str">
        <f t="shared" si="1"/>
        <v xml:space="preserve"> </v>
      </c>
      <c r="L18" s="38" t="str">
        <f t="shared" si="1"/>
        <v xml:space="preserve"> </v>
      </c>
      <c r="M18" s="38" t="str">
        <f t="shared" ref="M18" si="2">IF(COUNTIF(M6:M17,"A")&gt;10,"C",IF(COUNTIF(M6:M17,"A")&gt;0,"P"," "))</f>
        <v xml:space="preserve"> </v>
      </c>
      <c r="N18" s="38" t="str">
        <f t="shared" si="1"/>
        <v xml:space="preserve"> </v>
      </c>
      <c r="O18" s="38" t="str">
        <f t="shared" si="1"/>
        <v xml:space="preserve"> </v>
      </c>
      <c r="P18" s="38" t="str">
        <f t="shared" si="1"/>
        <v xml:space="preserve"> </v>
      </c>
      <c r="Q18" s="38" t="str">
        <f t="shared" si="1"/>
        <v xml:space="preserve"> </v>
      </c>
      <c r="R18" s="38" t="str">
        <f t="shared" ref="R18" si="3">IF(COUNTIF(R6:R17,"A")&gt;10,"C",IF(COUNTIF(R6:R17,"A")&gt;0,"P"," "))</f>
        <v xml:space="preserve"> </v>
      </c>
      <c r="U18" t="str">
        <f t="shared" si="0"/>
        <v/>
      </c>
    </row>
    <row r="19" spans="1:21">
      <c r="A19" s="61" t="s">
        <v>141</v>
      </c>
      <c r="C19" s="271" t="s">
        <v>182</v>
      </c>
      <c r="D19" s="193"/>
      <c r="E19" s="193"/>
      <c r="F19" s="193"/>
      <c r="G19" s="193"/>
      <c r="H19" s="193"/>
      <c r="I19" s="193"/>
      <c r="J19" s="193"/>
      <c r="K19" s="193"/>
      <c r="L19" s="193"/>
      <c r="M19" s="205"/>
      <c r="N19" s="193"/>
      <c r="O19" s="193"/>
      <c r="P19" s="193"/>
      <c r="Q19" s="193"/>
      <c r="R19" s="205"/>
      <c r="U19" t="str">
        <f t="shared" si="0"/>
        <v/>
      </c>
    </row>
    <row r="20" spans="1:21">
      <c r="B20" s="267" t="s">
        <v>136</v>
      </c>
      <c r="C20" s="266" t="s">
        <v>177</v>
      </c>
      <c r="D20" s="154"/>
      <c r="E20" s="154"/>
      <c r="F20" s="154"/>
      <c r="G20" s="154"/>
      <c r="H20" s="154"/>
      <c r="I20" s="154"/>
      <c r="J20" s="154"/>
      <c r="K20" s="154"/>
      <c r="L20" s="154"/>
      <c r="M20" s="154"/>
      <c r="N20" s="154"/>
      <c r="O20" s="154"/>
      <c r="P20" s="154"/>
      <c r="Q20" s="154"/>
      <c r="R20" s="154"/>
      <c r="U20" t="str">
        <f t="shared" si="0"/>
        <v>With your Daisy friends, put a pile of coins on a table. Search through the coins for a penny, nickel, dime, and quarter. When each girl has one of each, talk about what is the same and different about the coins. Which one is largest? The smallest? What color is each coin?
Fill a jar with coins, then take turns picking a coin out of the jar. Shout out the name of the coin and how many cents it is worth.</v>
      </c>
    </row>
    <row r="21" spans="1:21">
      <c r="B21" s="269"/>
      <c r="C21" s="266" t="s">
        <v>178</v>
      </c>
      <c r="D21" s="154"/>
      <c r="E21" s="154"/>
      <c r="F21" s="154"/>
      <c r="G21" s="154"/>
      <c r="H21" s="154"/>
      <c r="I21" s="154"/>
      <c r="J21" s="154"/>
      <c r="K21" s="154"/>
      <c r="L21" s="154"/>
      <c r="M21" s="154"/>
      <c r="N21" s="154"/>
      <c r="O21" s="154"/>
      <c r="P21" s="154"/>
      <c r="Q21" s="154"/>
      <c r="R21" s="154"/>
      <c r="U21" t="str">
        <f t="shared" si="0"/>
        <v>Money comes as coins and bills. Different coins and bills are worth different amounts of money.
One dollar is worth 100 cents. Make a pile of coins that addup to one dollar.
Some paper "bills" are worth much more than one dollar. Look at several bills of different values, such as $1, $5, and a $10 bill. Find the number on each bill that tells you what it's worth.</v>
      </c>
    </row>
    <row r="22" spans="1:21" ht="13.5" thickBot="1">
      <c r="B22" s="268" t="s">
        <v>142</v>
      </c>
      <c r="C22" s="266" t="s">
        <v>179</v>
      </c>
      <c r="D22" s="234"/>
      <c r="E22" s="234"/>
      <c r="F22" s="234"/>
      <c r="G22" s="234"/>
      <c r="H22" s="234"/>
      <c r="I22" s="234"/>
      <c r="J22" s="234"/>
      <c r="K22" s="234"/>
      <c r="L22" s="234"/>
      <c r="M22" s="234"/>
      <c r="N22" s="234"/>
      <c r="O22" s="234"/>
      <c r="P22" s="234"/>
      <c r="Q22" s="234"/>
      <c r="R22" s="234"/>
      <c r="U22" t="str">
        <f t="shared" si="0"/>
        <v>Sometimes, the things we might enjoy doing with our families or in Girl Scouts cost money!
Practice planning for something you might like to do that costs money.
With your family or at your Girl Scout Daisy meeting, pretend you are going to the movies, going bowling, or going to a local fair. Ask an adult to help you write down two things that you'd need to save money for, and also to help you figure out how much the activity will cost.
The cost of everything you need to do the activity is your "budget." If you really want to do the activity, you will need to save that much money!</v>
      </c>
    </row>
    <row r="23" spans="1:21" ht="13.5" thickBot="1">
      <c r="B23" s="339" t="s">
        <v>54</v>
      </c>
      <c r="C23" s="340"/>
      <c r="D23" s="38" t="str">
        <f>IF(COUNTIF(D20:D22,"A")=3,"C",IF(COUNTIF(D20:D22,"A")&gt;0,"P"," "))</f>
        <v xml:space="preserve"> </v>
      </c>
      <c r="E23" s="38" t="str">
        <f t="shared" ref="E23:R23" si="4">IF(COUNTIF(E20:E22,"A")=3,"C",IF(COUNTIF(E20:E22,"A")&gt;0,"P"," "))</f>
        <v xml:space="preserve"> </v>
      </c>
      <c r="F23" s="38" t="str">
        <f t="shared" si="4"/>
        <v xml:space="preserve"> </v>
      </c>
      <c r="G23" s="38" t="str">
        <f t="shared" si="4"/>
        <v xml:space="preserve"> </v>
      </c>
      <c r="H23" s="38" t="str">
        <f t="shared" si="4"/>
        <v xml:space="preserve"> </v>
      </c>
      <c r="I23" s="38" t="str">
        <f t="shared" si="4"/>
        <v xml:space="preserve"> </v>
      </c>
      <c r="J23" s="38" t="str">
        <f t="shared" si="4"/>
        <v xml:space="preserve"> </v>
      </c>
      <c r="K23" s="38" t="str">
        <f t="shared" si="4"/>
        <v xml:space="preserve"> </v>
      </c>
      <c r="L23" s="38" t="str">
        <f t="shared" si="4"/>
        <v xml:space="preserve"> </v>
      </c>
      <c r="M23" s="38" t="str">
        <f t="shared" si="4"/>
        <v xml:space="preserve"> </v>
      </c>
      <c r="N23" s="38" t="str">
        <f t="shared" si="4"/>
        <v xml:space="preserve"> </v>
      </c>
      <c r="O23" s="38" t="str">
        <f t="shared" si="4"/>
        <v xml:space="preserve"> </v>
      </c>
      <c r="P23" s="38" t="str">
        <f t="shared" si="4"/>
        <v xml:space="preserve"> </v>
      </c>
      <c r="Q23" s="38" t="str">
        <f t="shared" si="4"/>
        <v xml:space="preserve"> </v>
      </c>
      <c r="R23" s="38" t="str">
        <f t="shared" si="4"/>
        <v xml:space="preserve"> </v>
      </c>
      <c r="U23" t="str">
        <f t="shared" si="0"/>
        <v/>
      </c>
    </row>
    <row r="24" spans="1:21" ht="6.75" customHeight="1">
      <c r="B24" s="37"/>
      <c r="C24" s="37"/>
      <c r="D24" s="37"/>
      <c r="E24" s="37"/>
      <c r="F24" s="37"/>
      <c r="G24" s="37"/>
      <c r="H24" s="37"/>
      <c r="I24" s="37"/>
      <c r="J24" s="37"/>
      <c r="K24" s="37"/>
      <c r="L24" s="37"/>
      <c r="M24" s="37"/>
      <c r="N24" s="37"/>
      <c r="O24" s="37"/>
      <c r="P24" s="37"/>
      <c r="Q24" s="37"/>
      <c r="R24" s="37"/>
      <c r="U24" t="str">
        <f t="shared" si="0"/>
        <v/>
      </c>
    </row>
    <row r="25" spans="1:21">
      <c r="B25" s="267" t="s">
        <v>137</v>
      </c>
      <c r="C25" s="270" t="s">
        <v>202</v>
      </c>
      <c r="D25" s="234"/>
      <c r="E25" s="234"/>
      <c r="F25" s="234"/>
      <c r="G25" s="234"/>
      <c r="H25" s="234"/>
      <c r="I25" s="234"/>
      <c r="J25" s="234"/>
      <c r="K25" s="234"/>
      <c r="L25" s="234"/>
      <c r="M25" s="234"/>
      <c r="N25" s="234"/>
      <c r="O25" s="234"/>
      <c r="P25" s="234"/>
      <c r="Q25" s="234"/>
      <c r="R25" s="234"/>
      <c r="U25" t="str">
        <f t="shared" si="0"/>
        <v>Adults work and earn money. Families use the money to buy the things they need.
All peoople need certain things, like food, clothes, and a place to live. Talk about this with your Daisy friends.
Can you think of other things that people need?
After you have everything you need, you can think about things you don't need, but still want! You can make a plan to save for these things, too. For example, you may want a new bicycle, a pet, or a toy.Can you think of other things people may want, but not need?</v>
      </c>
    </row>
    <row r="26" spans="1:21">
      <c r="B26" s="269"/>
      <c r="C26" s="266" t="s">
        <v>180</v>
      </c>
      <c r="D26" s="154"/>
      <c r="E26" s="154"/>
      <c r="F26" s="154"/>
      <c r="G26" s="154"/>
      <c r="H26" s="154"/>
      <c r="I26" s="154"/>
      <c r="J26" s="154"/>
      <c r="K26" s="154"/>
      <c r="L26" s="154"/>
      <c r="M26" s="154"/>
      <c r="N26" s="154"/>
      <c r="O26" s="154"/>
      <c r="P26" s="154"/>
      <c r="Q26" s="154"/>
      <c r="R26" s="154"/>
      <c r="U26" t="str">
        <f t="shared" si="0"/>
        <v>What do you do if you want to buy something but you don't have enough money? You figure out how much the item costs and how long it will take to save the money-that's called setting a goal.
Try It Out!
With your Daisy friends, make a list of a few things you want, such as toys, art supplies, or a field trip. Ask an adult to help you find out how much each item costs. Then make believe that you can save five dollars a week toward your goal. Fill in the Setting Goals Chart to find out how long it would take to save the money you need.</v>
      </c>
    </row>
    <row r="27" spans="1:21" ht="13.5" thickBot="1">
      <c r="B27" s="268" t="s">
        <v>142</v>
      </c>
      <c r="C27" s="270" t="s">
        <v>181</v>
      </c>
      <c r="D27" s="233"/>
      <c r="E27" s="233"/>
      <c r="F27" s="233"/>
      <c r="G27" s="233"/>
      <c r="H27" s="233"/>
      <c r="I27" s="233"/>
      <c r="J27" s="233"/>
      <c r="K27" s="233"/>
      <c r="L27" s="233"/>
      <c r="M27" s="233"/>
      <c r="N27" s="233"/>
      <c r="O27" s="233"/>
      <c r="P27" s="233"/>
      <c r="Q27" s="233"/>
      <c r="R27" s="233"/>
      <c r="U27" t="str">
        <f t="shared" si="0"/>
        <v>Sometimes people don't have the basic things they need, like food and clothes. Some people have more than they need.
There are many ways to help other people. One way is to give away things you no longer use, or offer to give time to help others.
How could you and your Daisy friends help?
Here are some examples to get you started. Organize a "Families Helping Families Day." Collect things you ahve too much of, such as clothes, dishes, or other household items, and donate them to a local charity.
After you've collected things people need, think about what they want, too. If someone is sad or sick or lonely, maybe they'd like a toy or a book.
Perhaps you and your Daisy friends are going to earn money by selling Girl Scout Cookies. use some of the money to help others. Ask your Girl Scout adutls for ideas about how!</v>
      </c>
    </row>
    <row r="28" spans="1:21" ht="13.5" thickBot="1">
      <c r="B28" s="337" t="s">
        <v>54</v>
      </c>
      <c r="C28" s="338"/>
      <c r="D28" s="38" t="str">
        <f>IF(COUNTIF(D25:D27,"A")=3,"C",IF(COUNTIF(D25:D27,"A")&gt;0,"P"," "))</f>
        <v xml:space="preserve"> </v>
      </c>
      <c r="E28" s="38" t="str">
        <f t="shared" ref="E28:R28" si="5">IF(COUNTIF(E25:E27,"A")=3,"C",IF(COUNTIF(E25:E27,"A")&gt;0,"P"," "))</f>
        <v xml:space="preserve"> </v>
      </c>
      <c r="F28" s="38" t="str">
        <f t="shared" si="5"/>
        <v xml:space="preserve"> </v>
      </c>
      <c r="G28" s="38" t="str">
        <f t="shared" si="5"/>
        <v xml:space="preserve"> </v>
      </c>
      <c r="H28" s="38" t="str">
        <f t="shared" si="5"/>
        <v xml:space="preserve"> </v>
      </c>
      <c r="I28" s="38" t="str">
        <f t="shared" si="5"/>
        <v xml:space="preserve"> </v>
      </c>
      <c r="J28" s="38" t="str">
        <f t="shared" si="5"/>
        <v xml:space="preserve"> </v>
      </c>
      <c r="K28" s="38" t="str">
        <f t="shared" si="5"/>
        <v xml:space="preserve"> </v>
      </c>
      <c r="L28" s="38" t="str">
        <f t="shared" si="5"/>
        <v xml:space="preserve"> </v>
      </c>
      <c r="M28" s="38" t="str">
        <f t="shared" si="5"/>
        <v xml:space="preserve"> </v>
      </c>
      <c r="N28" s="38" t="str">
        <f t="shared" si="5"/>
        <v xml:space="preserve"> </v>
      </c>
      <c r="O28" s="38" t="str">
        <f t="shared" si="5"/>
        <v xml:space="preserve"> </v>
      </c>
      <c r="P28" s="38" t="str">
        <f t="shared" si="5"/>
        <v xml:space="preserve"> </v>
      </c>
      <c r="Q28" s="38" t="str">
        <f t="shared" si="5"/>
        <v xml:space="preserve"> </v>
      </c>
      <c r="R28" s="38" t="str">
        <f t="shared" si="5"/>
        <v xml:space="preserve"> </v>
      </c>
      <c r="U28" t="str">
        <f t="shared" si="0"/>
        <v/>
      </c>
    </row>
    <row r="29" spans="1:21" ht="6.75" customHeight="1">
      <c r="B29" s="37"/>
      <c r="C29" s="37"/>
      <c r="D29" s="37"/>
      <c r="E29" s="37"/>
      <c r="F29" s="37"/>
      <c r="G29" s="37"/>
      <c r="H29" s="37"/>
      <c r="I29" s="37"/>
      <c r="J29" s="37"/>
      <c r="K29" s="37"/>
      <c r="L29" s="37"/>
      <c r="M29" s="37"/>
      <c r="N29" s="37"/>
      <c r="O29" s="37"/>
      <c r="P29" s="37"/>
      <c r="Q29" s="37"/>
      <c r="R29" s="37"/>
      <c r="U29" t="str">
        <f t="shared" si="0"/>
        <v/>
      </c>
    </row>
    <row r="30" spans="1:21">
      <c r="B30" s="201" t="s">
        <v>138</v>
      </c>
      <c r="C30" s="202" t="s">
        <v>203</v>
      </c>
      <c r="D30" s="234"/>
      <c r="E30" s="234"/>
      <c r="F30" s="234"/>
      <c r="G30" s="234"/>
      <c r="H30" s="234"/>
      <c r="I30" s="234"/>
      <c r="J30" s="234"/>
      <c r="K30" s="234"/>
      <c r="L30" s="234"/>
      <c r="M30" s="234"/>
      <c r="N30" s="234"/>
      <c r="O30" s="234"/>
      <c r="P30" s="234"/>
      <c r="Q30" s="234"/>
      <c r="R30" s="234"/>
      <c r="U30" t="str">
        <f t="shared" si="0"/>
        <v>How much does a box of Girl Scout Cookies cost?
Practice putting that much money together with different coins and bills. Now try putting together money for the price of two boxes.</v>
      </c>
    </row>
    <row r="31" spans="1:21">
      <c r="B31" s="280"/>
      <c r="C31" s="202" t="s">
        <v>204</v>
      </c>
      <c r="D31" s="154"/>
      <c r="E31" s="154"/>
      <c r="F31" s="154"/>
      <c r="G31" s="154"/>
      <c r="H31" s="154"/>
      <c r="I31" s="154"/>
      <c r="J31" s="154"/>
      <c r="K31" s="154"/>
      <c r="L31" s="154"/>
      <c r="M31" s="154"/>
      <c r="N31" s="154"/>
      <c r="O31" s="154"/>
      <c r="P31" s="154"/>
      <c r="Q31" s="154"/>
      <c r="R31" s="154"/>
      <c r="U31" t="str">
        <f t="shared" si="0"/>
        <v>To sell cookies, you need to know what kinds you have. With your Daisy friends, lay out one box of each kind. Practice saying the name of the cookie. Then practice answering questions that customers might ask.</v>
      </c>
    </row>
    <row r="32" spans="1:21" ht="13.5" thickBot="1">
      <c r="B32" s="281" t="s">
        <v>143</v>
      </c>
      <c r="C32" s="202" t="s">
        <v>205</v>
      </c>
      <c r="D32" s="233"/>
      <c r="E32" s="233"/>
      <c r="F32" s="233"/>
      <c r="G32" s="233"/>
      <c r="H32" s="233"/>
      <c r="I32" s="233"/>
      <c r="J32" s="233"/>
      <c r="K32" s="233"/>
      <c r="L32" s="233"/>
      <c r="M32" s="233"/>
      <c r="N32" s="233"/>
      <c r="O32" s="233"/>
      <c r="P32" s="233"/>
      <c r="Q32" s="233"/>
      <c r="R32" s="233"/>
      <c r="U32" t="str">
        <f t="shared" si="0"/>
        <v>How many boxes of cookies do you and your Daisy friends want to sell? That's called your goal.
Set a goal for the number of boxes you hope to sell.
Draw a poster to help you see your goal. Put lines on the picture that show the number of boxes sold. Every time you and your Daisy friends meet, color in the poster according to your sales to see how close you are to reaching yoru goal.</v>
      </c>
    </row>
    <row r="33" spans="2:21" ht="13.5" thickBot="1">
      <c r="B33" s="337" t="s">
        <v>54</v>
      </c>
      <c r="C33" s="338"/>
      <c r="D33" s="38" t="str">
        <f>IF(COUNTIF(D30:D32,"A")=3,"C",IF(COUNTIF(D30:D32,"A")&gt;0,"P"," "))</f>
        <v xml:space="preserve"> </v>
      </c>
      <c r="E33" s="38" t="str">
        <f t="shared" ref="E33:R33" si="6">IF(COUNTIF(E30:E32,"A")=3,"C",IF(COUNTIF(E30:E32,"A")&gt;0,"P"," "))</f>
        <v xml:space="preserve"> </v>
      </c>
      <c r="F33" s="38" t="str">
        <f t="shared" si="6"/>
        <v xml:space="preserve"> </v>
      </c>
      <c r="G33" s="38" t="str">
        <f t="shared" si="6"/>
        <v xml:space="preserve"> </v>
      </c>
      <c r="H33" s="38" t="str">
        <f t="shared" si="6"/>
        <v xml:space="preserve"> </v>
      </c>
      <c r="I33" s="38" t="str">
        <f t="shared" si="6"/>
        <v xml:space="preserve"> </v>
      </c>
      <c r="J33" s="38" t="str">
        <f t="shared" si="6"/>
        <v xml:space="preserve"> </v>
      </c>
      <c r="K33" s="38" t="str">
        <f t="shared" si="6"/>
        <v xml:space="preserve"> </v>
      </c>
      <c r="L33" s="38" t="str">
        <f t="shared" si="6"/>
        <v xml:space="preserve"> </v>
      </c>
      <c r="M33" s="38" t="str">
        <f t="shared" si="6"/>
        <v xml:space="preserve"> </v>
      </c>
      <c r="N33" s="38" t="str">
        <f t="shared" si="6"/>
        <v xml:space="preserve"> </v>
      </c>
      <c r="O33" s="38" t="str">
        <f t="shared" si="6"/>
        <v xml:space="preserve"> </v>
      </c>
      <c r="P33" s="38" t="str">
        <f t="shared" si="6"/>
        <v xml:space="preserve"> </v>
      </c>
      <c r="Q33" s="38" t="str">
        <f t="shared" si="6"/>
        <v xml:space="preserve"> </v>
      </c>
      <c r="R33" s="38" t="str">
        <f t="shared" si="6"/>
        <v xml:space="preserve"> </v>
      </c>
      <c r="U33" t="str">
        <f t="shared" si="0"/>
        <v/>
      </c>
    </row>
    <row r="34" spans="2:21" ht="6.75" customHeight="1">
      <c r="C34" s="72"/>
      <c r="D34" s="193"/>
      <c r="E34" s="193"/>
      <c r="F34" s="193"/>
      <c r="G34" s="193"/>
      <c r="H34" s="193"/>
      <c r="I34" s="193"/>
      <c r="J34" s="193"/>
      <c r="K34" s="193"/>
      <c r="L34" s="193"/>
      <c r="M34" s="205"/>
      <c r="N34" s="193"/>
      <c r="O34" s="193"/>
      <c r="P34" s="193"/>
      <c r="Q34" s="193"/>
      <c r="R34" s="205"/>
      <c r="U34" t="str">
        <f t="shared" si="0"/>
        <v/>
      </c>
    </row>
    <row r="35" spans="2:21">
      <c r="B35" s="201" t="s">
        <v>139</v>
      </c>
      <c r="C35" s="202" t="s">
        <v>206</v>
      </c>
      <c r="D35" s="234" t="s">
        <v>214</v>
      </c>
      <c r="E35" s="234"/>
      <c r="F35" s="234"/>
      <c r="G35" s="234"/>
      <c r="H35" s="234"/>
      <c r="I35" s="234"/>
      <c r="J35" s="234" t="s">
        <v>214</v>
      </c>
      <c r="K35" s="234"/>
      <c r="L35" s="234"/>
      <c r="M35" s="234"/>
      <c r="N35" s="234"/>
      <c r="O35" s="234"/>
      <c r="P35" s="234"/>
      <c r="Q35" s="234"/>
      <c r="R35" s="234"/>
      <c r="U35" t="str">
        <f t="shared" si="0"/>
        <v>Decide how to use your cookie money. Talk about what you want with your Daisy friends. Do you want to buy snacks or supplies for your Daisy meetings? Girl Scout books or awards? Materials for a Journey project?
Set a savings goal-figure out how much money it costs to buy what you want.
If you have money left over, you may want to use it for something extra that you really want to do, like have a party or go on a trip.</v>
      </c>
    </row>
    <row r="36" spans="2:21">
      <c r="B36" s="280"/>
      <c r="C36" s="200" t="s">
        <v>207</v>
      </c>
      <c r="D36" s="154" t="s">
        <v>214</v>
      </c>
      <c r="E36" s="154"/>
      <c r="F36" s="154"/>
      <c r="G36" s="154"/>
      <c r="H36" s="154"/>
      <c r="I36" s="154"/>
      <c r="J36" s="154" t="s">
        <v>214</v>
      </c>
      <c r="K36" s="154"/>
      <c r="L36" s="154"/>
      <c r="M36" s="154"/>
      <c r="N36" s="154"/>
      <c r="O36" s="154"/>
      <c r="P36" s="154"/>
      <c r="Q36" s="154"/>
      <c r="R36" s="154"/>
      <c r="U36" t="str">
        <f t="shared" si="0"/>
        <v>Talk about how to use cookie money to help others. You may also want to use some of your money to help others who have needs. With your Daisy friends, talk about different ways you could use your money. Once you decide how you would like to use the money, think about how much money you want to give. Team up to create a big poster showing how you'd like to help others with some of your money. Put up the poster at your cookie booth and talk to customers about it.</v>
      </c>
    </row>
    <row r="37" spans="2:21" ht="13.5" thickBot="1">
      <c r="B37" s="281" t="s">
        <v>143</v>
      </c>
      <c r="C37" s="202" t="s">
        <v>208</v>
      </c>
      <c r="D37" s="234" t="s">
        <v>214</v>
      </c>
      <c r="E37" s="234"/>
      <c r="F37" s="234"/>
      <c r="G37" s="234"/>
      <c r="H37" s="234"/>
      <c r="I37" s="234"/>
      <c r="J37" s="234" t="s">
        <v>214</v>
      </c>
      <c r="K37" s="234"/>
      <c r="L37" s="234"/>
      <c r="M37" s="234"/>
      <c r="N37" s="234"/>
      <c r="O37" s="234"/>
      <c r="P37" s="234"/>
      <c r="Q37" s="234"/>
      <c r="R37" s="234"/>
      <c r="U37" t="str">
        <f t="shared" si="0"/>
        <v>Inspire your customers. Customers want to feel that they are helping girls do something important when they buy cookies. If they like the way you will spend your money, they might even buy more cookies! Customers might also ask about your cookie business.
Practice saying these three things to each other:
*Every cookie helps girls do great things! The money we earn will help us ____!
*We are Girl Scout Daisies and we help lead the largest girl-run business in the whole world!
*We are running our own business! With all this practice, we'll be really great at it by the time we're adults!</v>
      </c>
    </row>
    <row r="38" spans="2:21" ht="13.5" thickBot="1">
      <c r="B38" s="337" t="s">
        <v>54</v>
      </c>
      <c r="C38" s="338"/>
      <c r="D38" s="38" t="str">
        <f>IF(COUNTIF(D35:D37,"A")=3,"C",IF(COUNTIF(D35:D37,"A")&gt;0,"P"," "))</f>
        <v>C</v>
      </c>
      <c r="E38" s="38" t="str">
        <f t="shared" ref="E38:R38" si="7">IF(COUNTIF(E35:E37,"A")=3,"C",IF(COUNTIF(E35:E37,"A")&gt;0,"P"," "))</f>
        <v xml:space="preserve"> </v>
      </c>
      <c r="F38" s="38" t="str">
        <f t="shared" si="7"/>
        <v xml:space="preserve"> </v>
      </c>
      <c r="G38" s="38" t="str">
        <f t="shared" si="7"/>
        <v xml:space="preserve"> </v>
      </c>
      <c r="H38" s="38" t="str">
        <f t="shared" si="7"/>
        <v xml:space="preserve"> </v>
      </c>
      <c r="I38" s="38" t="str">
        <f t="shared" si="7"/>
        <v xml:space="preserve"> </v>
      </c>
      <c r="J38" s="38" t="str">
        <f t="shared" si="7"/>
        <v>C</v>
      </c>
      <c r="K38" s="38" t="str">
        <f t="shared" si="7"/>
        <v xml:space="preserve"> </v>
      </c>
      <c r="L38" s="38" t="str">
        <f t="shared" si="7"/>
        <v xml:space="preserve"> </v>
      </c>
      <c r="M38" s="38" t="str">
        <f t="shared" si="7"/>
        <v xml:space="preserve"> </v>
      </c>
      <c r="N38" s="38" t="str">
        <f t="shared" si="7"/>
        <v xml:space="preserve"> </v>
      </c>
      <c r="O38" s="38" t="str">
        <f t="shared" si="7"/>
        <v xml:space="preserve"> </v>
      </c>
      <c r="P38" s="38" t="str">
        <f t="shared" si="7"/>
        <v xml:space="preserve"> </v>
      </c>
      <c r="Q38" s="38" t="str">
        <f t="shared" si="7"/>
        <v xml:space="preserve"> </v>
      </c>
      <c r="R38" s="38" t="str">
        <f t="shared" si="7"/>
        <v xml:space="preserve"> </v>
      </c>
      <c r="U38" t="str">
        <f t="shared" si="0"/>
        <v/>
      </c>
    </row>
  </sheetData>
  <sheetProtection selectLockedCells="1"/>
  <mergeCells count="22">
    <mergeCell ref="Q1:Q4"/>
    <mergeCell ref="R1:R4"/>
    <mergeCell ref="K1:K4"/>
    <mergeCell ref="L1:L4"/>
    <mergeCell ref="N1:N4"/>
    <mergeCell ref="O1:O4"/>
    <mergeCell ref="M1:M4"/>
    <mergeCell ref="P1:P4"/>
    <mergeCell ref="J1:J4"/>
    <mergeCell ref="D1:D4"/>
    <mergeCell ref="B28:C28"/>
    <mergeCell ref="B38:C38"/>
    <mergeCell ref="B33:C33"/>
    <mergeCell ref="E1:E4"/>
    <mergeCell ref="F1:F4"/>
    <mergeCell ref="B18:C18"/>
    <mergeCell ref="B23:C23"/>
    <mergeCell ref="A3:C3"/>
    <mergeCell ref="A4:C4"/>
    <mergeCell ref="G1:G4"/>
    <mergeCell ref="H1:H4"/>
    <mergeCell ref="I1:I4"/>
  </mergeCells>
  <phoneticPr fontId="7" type="noConversion"/>
  <pageMargins left="0.75" right="0.75" top="1" bottom="0.5" header="0.25" footer="0.25"/>
  <pageSetup scale="83" orientation="portrait" horizontalDpi="300" verticalDpi="300" r:id="rId1"/>
  <headerFooter alignWithMargins="0">
    <oddHeader>&amp;C&amp;"Arial,Bold"&amp;14DaisyTrax
&amp;12Petals - &amp;D</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8"/>
    <pageSetUpPr fitToPage="1"/>
  </sheetPr>
  <dimension ref="A1:U28"/>
  <sheetViews>
    <sheetView showGridLines="0" workbookViewId="0">
      <pane ySplit="4" topLeftCell="A5" activePane="bottomLeft" state="frozen"/>
      <selection pane="bottomLeft" activeCell="U8" sqref="U8:U27"/>
    </sheetView>
  </sheetViews>
  <sheetFormatPr defaultRowHeight="12.75"/>
  <cols>
    <col min="1" max="1" width="2.7109375" customWidth="1"/>
    <col min="2" max="2" width="13.42578125" customWidth="1"/>
    <col min="3" max="3" width="27.7109375" customWidth="1"/>
    <col min="4" max="18" width="3.28515625" bestFit="1" customWidth="1"/>
  </cols>
  <sheetData>
    <row r="1" spans="1:21" ht="12.75" customHeight="1">
      <c r="A1" s="95"/>
      <c r="B1" s="77" t="s">
        <v>55</v>
      </c>
      <c r="C1" s="79">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21" ht="15">
      <c r="A2" s="92"/>
      <c r="B2" s="78" t="s">
        <v>42</v>
      </c>
      <c r="C2" s="81">
        <f>Instructions!E5</f>
        <v>0</v>
      </c>
      <c r="D2" s="323"/>
      <c r="E2" s="323"/>
      <c r="F2" s="323"/>
      <c r="G2" s="323"/>
      <c r="H2" s="323"/>
      <c r="I2" s="323"/>
      <c r="J2" s="323"/>
      <c r="K2" s="323"/>
      <c r="L2" s="323"/>
      <c r="M2" s="323"/>
      <c r="N2" s="323"/>
      <c r="O2" s="323"/>
      <c r="P2" s="323"/>
      <c r="Q2" s="323"/>
      <c r="R2" s="323"/>
    </row>
    <row r="3" spans="1:21">
      <c r="A3" s="92"/>
      <c r="B3" s="343"/>
      <c r="C3" s="344"/>
      <c r="D3" s="323"/>
      <c r="E3" s="323"/>
      <c r="F3" s="323"/>
      <c r="G3" s="323"/>
      <c r="H3" s="323"/>
      <c r="I3" s="323"/>
      <c r="J3" s="323"/>
      <c r="K3" s="323"/>
      <c r="L3" s="323"/>
      <c r="M3" s="323"/>
      <c r="N3" s="323"/>
      <c r="O3" s="323"/>
      <c r="P3" s="323"/>
      <c r="Q3" s="323"/>
      <c r="R3" s="323"/>
    </row>
    <row r="4" spans="1:21">
      <c r="A4" s="92"/>
      <c r="B4" s="348" t="s">
        <v>107</v>
      </c>
      <c r="C4" s="349"/>
      <c r="D4" s="324"/>
      <c r="E4" s="324"/>
      <c r="F4" s="324"/>
      <c r="G4" s="324"/>
      <c r="H4" s="324"/>
      <c r="I4" s="324"/>
      <c r="J4" s="324"/>
      <c r="K4" s="324"/>
      <c r="L4" s="324"/>
      <c r="M4" s="324"/>
      <c r="N4" s="324"/>
      <c r="O4" s="324"/>
      <c r="P4" s="324"/>
      <c r="Q4" s="324"/>
      <c r="R4" s="324"/>
    </row>
    <row r="5" spans="1:21" ht="12.75" customHeight="1">
      <c r="A5" s="345" t="s">
        <v>56</v>
      </c>
      <c r="B5" s="347"/>
      <c r="C5" s="347"/>
      <c r="D5" s="347"/>
      <c r="E5" s="347"/>
      <c r="F5" s="347"/>
      <c r="G5" s="347"/>
      <c r="H5" s="347"/>
      <c r="I5" s="347"/>
      <c r="J5" s="347"/>
      <c r="K5" s="347"/>
      <c r="L5" s="347"/>
      <c r="M5" s="347"/>
      <c r="N5" s="347"/>
      <c r="O5" s="347"/>
      <c r="P5" s="347"/>
      <c r="Q5" s="347"/>
      <c r="R5" s="347"/>
    </row>
    <row r="6" spans="1:21" ht="18">
      <c r="A6" s="341" t="s">
        <v>57</v>
      </c>
      <c r="B6" s="342"/>
      <c r="C6" s="342"/>
      <c r="D6" s="342"/>
      <c r="E6" s="342"/>
      <c r="F6" s="342"/>
      <c r="G6" s="342"/>
      <c r="H6" s="342"/>
      <c r="I6" s="342"/>
      <c r="J6" s="342"/>
      <c r="K6" s="342"/>
      <c r="L6" s="342"/>
      <c r="M6" s="342"/>
      <c r="N6" s="342"/>
      <c r="O6" s="342"/>
      <c r="P6" s="342"/>
      <c r="Q6" s="342"/>
      <c r="R6" s="342"/>
    </row>
    <row r="7" spans="1:21" ht="18">
      <c r="A7" s="92"/>
      <c r="B7" s="42"/>
      <c r="C7" s="41"/>
      <c r="D7" s="41"/>
      <c r="E7" s="41"/>
      <c r="F7" s="41"/>
      <c r="G7" s="41"/>
      <c r="H7" s="41"/>
      <c r="I7" s="41"/>
      <c r="J7" s="41"/>
      <c r="K7" s="41"/>
      <c r="L7" s="41"/>
      <c r="M7" s="41"/>
      <c r="N7" s="41"/>
      <c r="O7" s="41"/>
      <c r="P7" s="41"/>
      <c r="Q7" s="41"/>
      <c r="R7" s="41"/>
    </row>
    <row r="8" spans="1:21">
      <c r="A8" s="92"/>
      <c r="C8" s="44" t="s">
        <v>58</v>
      </c>
      <c r="D8" s="154"/>
      <c r="E8" s="154"/>
      <c r="F8" s="154"/>
      <c r="G8" s="154"/>
      <c r="H8" s="154"/>
      <c r="I8" s="154"/>
      <c r="J8" s="154"/>
      <c r="K8" s="154"/>
      <c r="L8" s="154"/>
      <c r="M8" s="154"/>
      <c r="N8" s="154"/>
      <c r="O8" s="154"/>
      <c r="P8" s="154"/>
      <c r="Q8" s="154"/>
      <c r="R8" s="154"/>
      <c r="U8" t="str">
        <f>GetComments(C8)</f>
        <v xml:space="preserve">The Watering Can Award represents girls being ''responsible for what I say and do.'' Girls earn the award by caring for their mini-garden and beginning to understand how the Promise and Law play out in their daily lives.
</v>
      </c>
    </row>
    <row r="9" spans="1:21">
      <c r="A9" s="92"/>
      <c r="C9" s="44" t="s">
        <v>59</v>
      </c>
      <c r="D9" s="45"/>
      <c r="E9" s="45"/>
      <c r="F9" s="45"/>
      <c r="G9" s="45"/>
      <c r="H9" s="45"/>
      <c r="I9" s="45"/>
      <c r="J9" s="45"/>
      <c r="K9" s="45"/>
      <c r="L9" s="45"/>
      <c r="M9" s="45"/>
      <c r="N9" s="45"/>
      <c r="O9" s="45"/>
      <c r="P9" s="45"/>
      <c r="Q9" s="45"/>
      <c r="R9" s="45"/>
      <c r="U9" t="str">
        <f t="shared" ref="U9:U27" si="0">GetComments(C9)</f>
        <v>The Golden Honey Bee Award represents taking action through a gardening effort for others to make the world a better place. The award is named for Honey, the bee who is one of the Daisy Flower Garden characters.</v>
      </c>
    </row>
    <row r="10" spans="1:21" ht="13.5" thickBot="1">
      <c r="A10" s="92"/>
      <c r="C10" s="44" t="s">
        <v>60</v>
      </c>
      <c r="D10" s="45"/>
      <c r="E10" s="45"/>
      <c r="F10" s="45"/>
      <c r="G10" s="45"/>
      <c r="H10" s="45"/>
      <c r="I10" s="45"/>
      <c r="J10" s="45"/>
      <c r="K10" s="45"/>
      <c r="L10" s="45"/>
      <c r="M10" s="45"/>
      <c r="N10" s="45"/>
      <c r="O10" s="45"/>
      <c r="P10" s="45"/>
      <c r="Q10" s="45"/>
      <c r="R10" s="45"/>
      <c r="U10" t="str">
        <f t="shared" si="0"/>
        <v>The Amazing Daisy Award represents knowing—and living—the Promise and Law, just like Amazing Daisy, the main character of the journey.</v>
      </c>
    </row>
    <row r="11" spans="1:21" ht="13.5" thickBot="1">
      <c r="A11" s="92"/>
      <c r="C11" s="37" t="s">
        <v>54</v>
      </c>
      <c r="D11" s="38" t="str">
        <f t="shared" ref="D11:R11" si="1">IF(COUNTIF(D8:D10,"A")&gt;2,"C",IF(COUNTIF(D8:D10,"A")&gt;0,"P"," "))</f>
        <v xml:space="preserve"> </v>
      </c>
      <c r="E11" s="38" t="str">
        <f t="shared" si="1"/>
        <v xml:space="preserve"> </v>
      </c>
      <c r="F11" s="38" t="str">
        <f t="shared" si="1"/>
        <v xml:space="preserve"> </v>
      </c>
      <c r="G11" s="38" t="str">
        <f t="shared" si="1"/>
        <v xml:space="preserve"> </v>
      </c>
      <c r="H11" s="38" t="str">
        <f t="shared" si="1"/>
        <v xml:space="preserve"> </v>
      </c>
      <c r="I11" s="38" t="str">
        <f t="shared" si="1"/>
        <v xml:space="preserve"> </v>
      </c>
      <c r="J11" s="38" t="str">
        <f t="shared" si="1"/>
        <v xml:space="preserve"> </v>
      </c>
      <c r="K11" s="38" t="str">
        <f t="shared" si="1"/>
        <v xml:space="preserve"> </v>
      </c>
      <c r="L11" s="38" t="str">
        <f t="shared" si="1"/>
        <v xml:space="preserve"> </v>
      </c>
      <c r="M11" s="38" t="str">
        <f t="shared" si="1"/>
        <v xml:space="preserve"> </v>
      </c>
      <c r="N11" s="38" t="str">
        <f t="shared" si="1"/>
        <v xml:space="preserve"> </v>
      </c>
      <c r="O11" s="38" t="str">
        <f t="shared" si="1"/>
        <v xml:space="preserve"> </v>
      </c>
      <c r="P11" s="38" t="str">
        <f t="shared" si="1"/>
        <v xml:space="preserve"> </v>
      </c>
      <c r="Q11" s="38" t="str">
        <f t="shared" si="1"/>
        <v xml:space="preserve"> </v>
      </c>
      <c r="R11" s="38" t="str">
        <f t="shared" si="1"/>
        <v xml:space="preserve"> </v>
      </c>
      <c r="U11" t="str">
        <f t="shared" si="0"/>
        <v/>
      </c>
    </row>
    <row r="12" spans="1:21" ht="26.25" customHeight="1">
      <c r="A12" s="92"/>
      <c r="C12" s="136"/>
      <c r="D12" s="137"/>
      <c r="E12" s="138"/>
      <c r="F12" s="138"/>
      <c r="G12" s="138"/>
      <c r="H12" s="138"/>
      <c r="I12" s="138"/>
      <c r="J12" s="138"/>
      <c r="K12" s="138"/>
      <c r="L12" s="138"/>
      <c r="M12" s="138"/>
      <c r="N12" s="138"/>
      <c r="O12" s="138"/>
      <c r="P12" s="138"/>
      <c r="Q12" s="138"/>
      <c r="R12" s="138"/>
      <c r="U12" t="str">
        <f t="shared" si="0"/>
        <v/>
      </c>
    </row>
    <row r="13" spans="1:21" ht="18">
      <c r="A13" s="345" t="s">
        <v>95</v>
      </c>
      <c r="B13" s="346"/>
      <c r="C13" s="346"/>
      <c r="D13" s="346"/>
      <c r="E13" s="346"/>
      <c r="F13" s="346"/>
      <c r="G13" s="346"/>
      <c r="H13" s="346"/>
      <c r="I13" s="346"/>
      <c r="J13" s="346"/>
      <c r="K13" s="346"/>
      <c r="L13" s="346"/>
      <c r="M13" s="346"/>
      <c r="N13" s="346"/>
      <c r="O13" s="346"/>
      <c r="P13" s="346"/>
      <c r="Q13" s="346"/>
      <c r="R13" s="347"/>
      <c r="U13" t="str">
        <f t="shared" si="0"/>
        <v/>
      </c>
    </row>
    <row r="14" spans="1:21" ht="18">
      <c r="A14" s="341" t="s">
        <v>96</v>
      </c>
      <c r="B14" s="342"/>
      <c r="C14" s="342"/>
      <c r="D14" s="342"/>
      <c r="E14" s="342"/>
      <c r="F14" s="342"/>
      <c r="G14" s="342"/>
      <c r="H14" s="342"/>
      <c r="I14" s="342"/>
      <c r="J14" s="342"/>
      <c r="K14" s="342"/>
      <c r="L14" s="342"/>
      <c r="M14" s="342"/>
      <c r="N14" s="342"/>
      <c r="O14" s="342"/>
      <c r="P14" s="342"/>
      <c r="Q14" s="342"/>
      <c r="R14" s="342"/>
      <c r="U14" t="str">
        <f t="shared" si="0"/>
        <v/>
      </c>
    </row>
    <row r="15" spans="1:21" ht="18">
      <c r="A15" s="92"/>
      <c r="B15" s="46"/>
      <c r="C15" s="41"/>
      <c r="D15" s="41"/>
      <c r="E15" s="41"/>
      <c r="F15" s="41"/>
      <c r="G15" s="41"/>
      <c r="H15" s="41"/>
      <c r="I15" s="41"/>
      <c r="J15" s="41"/>
      <c r="K15" s="41"/>
      <c r="L15" s="41"/>
      <c r="M15" s="41"/>
      <c r="N15" s="41"/>
      <c r="O15" s="41"/>
      <c r="P15" s="41"/>
      <c r="Q15" s="41"/>
      <c r="R15" s="41"/>
      <c r="U15" t="str">
        <f t="shared" si="0"/>
        <v/>
      </c>
    </row>
    <row r="16" spans="1:21">
      <c r="A16" s="92"/>
      <c r="C16" s="44" t="s">
        <v>111</v>
      </c>
      <c r="D16" s="45"/>
      <c r="E16" s="45"/>
      <c r="F16" s="45"/>
      <c r="G16" s="45"/>
      <c r="H16" s="45"/>
      <c r="I16" s="45"/>
      <c r="J16" s="45"/>
      <c r="K16" s="45"/>
      <c r="L16" s="45"/>
      <c r="M16" s="45"/>
      <c r="N16" s="45"/>
      <c r="O16" s="45"/>
      <c r="P16" s="45"/>
      <c r="Q16" s="45"/>
      <c r="R16" s="45"/>
      <c r="U16" t="str">
        <f t="shared" si="0"/>
        <v xml:space="preserve">This first award encourages girls to become aware of their feelings and the feelings of those around them. It also encourages them to develop good relationship skills: for negotiating and compromising to resolve conflicts, and for being considerate and caring to others.
To earn the award, the girls: 
· tell one another aobut their feelings and the feelings of those around them.
· take part in role-playing activities that encourage them to resolve conflicts, negotiate, and be considerate to others.
</v>
      </c>
    </row>
    <row r="17" spans="1:21">
      <c r="A17" s="92"/>
      <c r="C17" s="44" t="s">
        <v>112</v>
      </c>
      <c r="D17" s="45"/>
      <c r="E17" s="45"/>
      <c r="F17" s="45"/>
      <c r="G17" s="45"/>
      <c r="H17" s="45"/>
      <c r="I17" s="45"/>
      <c r="J17" s="45"/>
      <c r="K17" s="45"/>
      <c r="L17" s="45"/>
      <c r="M17" s="45"/>
      <c r="N17" s="45"/>
      <c r="O17" s="45"/>
      <c r="P17" s="45"/>
      <c r="Q17" s="45"/>
      <c r="R17" s="45"/>
      <c r="U17" t="str">
        <f t="shared" si="0"/>
        <v>This second award is earned as the Daisies recognize and develop their skills and then choosea  skill they will educate and inspire others about. By making an effort that moves beyond themselves, the girls begin to realize the impact that they can have on others around them.
To earn the award, the girls: 
·Think about and talk about their own skills and those of their sister Daisies.
· Choose a skill that they can teach others, either at home or in their community.</v>
      </c>
    </row>
    <row r="18" spans="1:21" ht="13.5" thickBot="1">
      <c r="A18" s="92"/>
      <c r="C18" s="44" t="s">
        <v>113</v>
      </c>
      <c r="D18" s="45"/>
      <c r="E18" s="45"/>
      <c r="F18" s="45"/>
      <c r="G18" s="45"/>
      <c r="H18" s="45"/>
      <c r="I18" s="45"/>
      <c r="J18" s="45"/>
      <c r="K18" s="45"/>
      <c r="L18" s="45"/>
      <c r="M18" s="45"/>
      <c r="N18" s="45"/>
      <c r="O18" s="45"/>
      <c r="P18" s="45"/>
      <c r="Q18" s="45"/>
      <c r="R18" s="45"/>
      <c r="U18" t="str">
        <f t="shared" si="0"/>
        <v>Girls earn this third award as they team up to protect a natural treasure in their region. The award is named for flower friend Clover, who helps preserve the natural habitat of Alaska by convincing her cousin White Sweetclover to leave the state so that its natural vegetation can flourish.
To earn the award, the girls: 
·learn about and commit to protecting a natural treasure in their region.
·educate and inspire others in their community to join with them to protect the local treasure, too.</v>
      </c>
    </row>
    <row r="19" spans="1:21" ht="13.5" thickBot="1">
      <c r="A19" s="92"/>
      <c r="C19" s="37" t="s">
        <v>54</v>
      </c>
      <c r="D19" s="38" t="str">
        <f t="shared" ref="D19:R19" si="2">IF(COUNTIF(D16:D18,"A")&gt;2,"C",IF(COUNTIF(D16:D18,"A")&gt;0,"P"," "))</f>
        <v xml:space="preserve"> </v>
      </c>
      <c r="E19" s="38" t="str">
        <f t="shared" si="2"/>
        <v xml:space="preserve"> </v>
      </c>
      <c r="F19" s="38" t="str">
        <f t="shared" si="2"/>
        <v xml:space="preserve"> </v>
      </c>
      <c r="G19" s="38" t="str">
        <f t="shared" si="2"/>
        <v xml:space="preserve"> </v>
      </c>
      <c r="H19" s="38" t="str">
        <f t="shared" si="2"/>
        <v xml:space="preserve"> </v>
      </c>
      <c r="I19" s="38" t="str">
        <f t="shared" si="2"/>
        <v xml:space="preserve"> </v>
      </c>
      <c r="J19" s="38" t="str">
        <f t="shared" si="2"/>
        <v xml:space="preserve"> </v>
      </c>
      <c r="K19" s="38" t="str">
        <f t="shared" si="2"/>
        <v xml:space="preserve"> </v>
      </c>
      <c r="L19" s="38" t="str">
        <f t="shared" si="2"/>
        <v xml:space="preserve"> </v>
      </c>
      <c r="M19" s="38" t="str">
        <f t="shared" si="2"/>
        <v xml:space="preserve"> </v>
      </c>
      <c r="N19" s="38" t="str">
        <f t="shared" si="2"/>
        <v xml:space="preserve"> </v>
      </c>
      <c r="O19" s="38" t="str">
        <f t="shared" si="2"/>
        <v xml:space="preserve"> </v>
      </c>
      <c r="P19" s="38" t="str">
        <f t="shared" si="2"/>
        <v xml:space="preserve"> </v>
      </c>
      <c r="Q19" s="38" t="str">
        <f t="shared" si="2"/>
        <v xml:space="preserve"> </v>
      </c>
      <c r="R19" s="38" t="str">
        <f t="shared" si="2"/>
        <v xml:space="preserve"> </v>
      </c>
      <c r="U19" t="str">
        <f t="shared" si="0"/>
        <v/>
      </c>
    </row>
    <row r="20" spans="1:21" ht="26.25" customHeight="1">
      <c r="A20" s="92"/>
      <c r="C20" s="136"/>
      <c r="D20" s="137"/>
      <c r="E20" s="138"/>
      <c r="F20" s="138"/>
      <c r="G20" s="138"/>
      <c r="H20" s="138"/>
      <c r="I20" s="138"/>
      <c r="J20" s="138"/>
      <c r="K20" s="138"/>
      <c r="L20" s="138"/>
      <c r="M20" s="138"/>
      <c r="N20" s="138"/>
      <c r="O20" s="138"/>
      <c r="P20" s="138"/>
      <c r="Q20" s="138"/>
      <c r="R20" s="138"/>
      <c r="U20" t="str">
        <f t="shared" si="0"/>
        <v/>
      </c>
    </row>
    <row r="21" spans="1:21" ht="18">
      <c r="A21" s="345" t="s">
        <v>99</v>
      </c>
      <c r="B21" s="346"/>
      <c r="C21" s="346"/>
      <c r="D21" s="346"/>
      <c r="E21" s="346"/>
      <c r="F21" s="346"/>
      <c r="G21" s="346"/>
      <c r="H21" s="346"/>
      <c r="I21" s="346"/>
      <c r="J21" s="346"/>
      <c r="K21" s="346"/>
      <c r="L21" s="346"/>
      <c r="M21" s="346"/>
      <c r="N21" s="346"/>
      <c r="O21" s="346"/>
      <c r="P21" s="346"/>
      <c r="Q21" s="346"/>
      <c r="R21" s="347"/>
      <c r="U21" t="str">
        <f t="shared" si="0"/>
        <v/>
      </c>
    </row>
    <row r="22" spans="1:21" ht="18">
      <c r="A22" s="341" t="s">
        <v>125</v>
      </c>
      <c r="B22" s="342"/>
      <c r="C22" s="342"/>
      <c r="D22" s="342"/>
      <c r="E22" s="342"/>
      <c r="F22" s="342"/>
      <c r="G22" s="342"/>
      <c r="H22" s="342"/>
      <c r="I22" s="342"/>
      <c r="J22" s="342"/>
      <c r="K22" s="342"/>
      <c r="L22" s="342"/>
      <c r="M22" s="342"/>
      <c r="N22" s="342"/>
      <c r="O22" s="342"/>
      <c r="P22" s="342"/>
      <c r="Q22" s="342"/>
      <c r="R22" s="342"/>
      <c r="U22" t="str">
        <f t="shared" si="0"/>
        <v/>
      </c>
    </row>
    <row r="23" spans="1:21" ht="18">
      <c r="A23" s="92"/>
      <c r="B23" s="42"/>
      <c r="C23" s="68"/>
      <c r="D23" s="41"/>
      <c r="E23" s="41"/>
      <c r="F23" s="41"/>
      <c r="G23" s="41"/>
      <c r="H23" s="41"/>
      <c r="I23" s="41"/>
      <c r="J23" s="41"/>
      <c r="K23" s="41"/>
      <c r="L23" s="41"/>
      <c r="M23" s="41"/>
      <c r="N23" s="41"/>
      <c r="O23" s="41"/>
      <c r="P23" s="41"/>
      <c r="Q23" s="41"/>
      <c r="R23" s="41"/>
      <c r="U23" t="str">
        <f t="shared" si="0"/>
        <v/>
      </c>
    </row>
    <row r="24" spans="1:21">
      <c r="A24" s="92"/>
      <c r="C24" s="156" t="s">
        <v>131</v>
      </c>
      <c r="D24" s="45"/>
      <c r="E24" s="45"/>
      <c r="F24" s="45"/>
      <c r="G24" s="45"/>
      <c r="H24" s="45"/>
      <c r="I24" s="45"/>
      <c r="J24" s="45"/>
      <c r="K24" s="45"/>
      <c r="L24" s="45"/>
      <c r="M24" s="45"/>
      <c r="N24" s="45"/>
      <c r="O24" s="45"/>
      <c r="P24" s="45"/>
      <c r="Q24" s="45"/>
      <c r="R24" s="45"/>
      <c r="U24" t="str">
        <f t="shared" si="0"/>
        <v>What it means for Daisies: They can say: "Animals need care; I need care. I can do both."
How Daisies earn it: They name one way they can care for animals and one way they can care for themselves.</v>
      </c>
    </row>
    <row r="25" spans="1:21">
      <c r="A25" s="92"/>
      <c r="C25" s="156" t="s">
        <v>132</v>
      </c>
      <c r="D25" s="45"/>
      <c r="E25" s="45"/>
      <c r="F25" s="45"/>
      <c r="G25" s="45"/>
      <c r="H25" s="45"/>
      <c r="I25" s="45"/>
      <c r="J25" s="45"/>
      <c r="K25" s="45"/>
      <c r="L25" s="45"/>
      <c r="M25" s="45"/>
      <c r="N25" s="45"/>
      <c r="O25" s="45"/>
      <c r="P25" s="45"/>
      <c r="Q25" s="45"/>
      <c r="R25" s="45"/>
      <c r="U25" t="str">
        <f t="shared" si="0"/>
        <v>What it means for Daisies: They can use their new knowledge and creativity to teach others how to care for animals.
How Daisies earn it: They choose animal care tips to share with others then tell this "story of animal care" in a creative way with a Red Robin Project.</v>
      </c>
    </row>
    <row r="26" spans="1:21" ht="13.5" thickBot="1">
      <c r="A26" s="92"/>
      <c r="C26" s="156" t="s">
        <v>133</v>
      </c>
      <c r="D26" s="45"/>
      <c r="E26" s="45"/>
      <c r="F26" s="45"/>
      <c r="G26" s="45"/>
      <c r="H26" s="45"/>
      <c r="I26" s="45"/>
      <c r="J26" s="45"/>
      <c r="K26" s="45"/>
      <c r="L26" s="45"/>
      <c r="M26" s="45"/>
      <c r="N26" s="45"/>
      <c r="O26" s="45"/>
      <c r="P26" s="45"/>
      <c r="Q26" s="45"/>
      <c r="R26" s="45"/>
      <c r="U26" t="str">
        <f t="shared" si="0"/>
        <v>What it means for Daisies: They have gained courage and confidence in teaching others about animal care.
How Daisies can earn it: They share with one another the good feelings they experienced as they taught others in their community about animal care.</v>
      </c>
    </row>
    <row r="27" spans="1:21" ht="13.5" thickBot="1">
      <c r="A27" s="92"/>
      <c r="C27" s="37" t="s">
        <v>54</v>
      </c>
      <c r="D27" s="38" t="str">
        <f t="shared" ref="D27:R27" si="3">IF(COUNTIF(D24:D26,"A")&gt;2,"C",IF(COUNTIF(D24:D26,"A")&gt;0,"P"," "))</f>
        <v xml:space="preserve"> </v>
      </c>
      <c r="E27" s="38" t="str">
        <f t="shared" si="3"/>
        <v xml:space="preserve"> </v>
      </c>
      <c r="F27" s="38" t="str">
        <f t="shared" si="3"/>
        <v xml:space="preserve"> </v>
      </c>
      <c r="G27" s="38" t="str">
        <f t="shared" si="3"/>
        <v xml:space="preserve"> </v>
      </c>
      <c r="H27" s="38" t="str">
        <f t="shared" si="3"/>
        <v xml:space="preserve"> </v>
      </c>
      <c r="I27" s="38" t="str">
        <f t="shared" si="3"/>
        <v xml:space="preserve"> </v>
      </c>
      <c r="J27" s="38" t="str">
        <f t="shared" si="3"/>
        <v xml:space="preserve"> </v>
      </c>
      <c r="K27" s="38" t="str">
        <f t="shared" si="3"/>
        <v xml:space="preserve"> </v>
      </c>
      <c r="L27" s="38" t="str">
        <f t="shared" si="3"/>
        <v xml:space="preserve"> </v>
      </c>
      <c r="M27" s="38" t="str">
        <f t="shared" si="3"/>
        <v xml:space="preserve"> </v>
      </c>
      <c r="N27" s="38" t="str">
        <f t="shared" si="3"/>
        <v xml:space="preserve"> </v>
      </c>
      <c r="O27" s="38" t="str">
        <f t="shared" si="3"/>
        <v xml:space="preserve"> </v>
      </c>
      <c r="P27" s="38" t="str">
        <f t="shared" si="3"/>
        <v xml:space="preserve"> </v>
      </c>
      <c r="Q27" s="38" t="str">
        <f t="shared" si="3"/>
        <v xml:space="preserve"> </v>
      </c>
      <c r="R27" s="38" t="str">
        <f t="shared" si="3"/>
        <v xml:space="preserve"> </v>
      </c>
      <c r="U27" t="str">
        <f t="shared" si="0"/>
        <v/>
      </c>
    </row>
    <row r="28" spans="1:21" ht="13.5" customHeight="1">
      <c r="A28" s="94"/>
      <c r="B28" s="3"/>
      <c r="C28" s="136"/>
      <c r="D28" s="137"/>
      <c r="E28" s="138"/>
      <c r="F28" s="138"/>
      <c r="G28" s="138"/>
      <c r="H28" s="138"/>
      <c r="I28" s="138"/>
      <c r="J28" s="138"/>
      <c r="K28" s="138"/>
      <c r="L28" s="138"/>
      <c r="M28" s="138"/>
      <c r="N28" s="138"/>
      <c r="O28" s="138"/>
      <c r="P28" s="138"/>
      <c r="Q28" s="138"/>
      <c r="R28" s="138"/>
    </row>
  </sheetData>
  <sheetProtection selectLockedCells="1"/>
  <mergeCells count="23">
    <mergeCell ref="A22:R22"/>
    <mergeCell ref="A6:R6"/>
    <mergeCell ref="B3:C3"/>
    <mergeCell ref="H1:H4"/>
    <mergeCell ref="A13:R13"/>
    <mergeCell ref="A14:R14"/>
    <mergeCell ref="A21:R21"/>
    <mergeCell ref="O1:O4"/>
    <mergeCell ref="P1:P4"/>
    <mergeCell ref="A5:R5"/>
    <mergeCell ref="F1:F4"/>
    <mergeCell ref="B4:C4"/>
    <mergeCell ref="I1:I4"/>
    <mergeCell ref="D1:D4"/>
    <mergeCell ref="E1:E4"/>
    <mergeCell ref="G1:G4"/>
    <mergeCell ref="Q1:Q4"/>
    <mergeCell ref="R1:R4"/>
    <mergeCell ref="N1:N4"/>
    <mergeCell ref="J1:J4"/>
    <mergeCell ref="K1:K4"/>
    <mergeCell ref="L1:L4"/>
    <mergeCell ref="M1:M4"/>
  </mergeCells>
  <phoneticPr fontId="7" type="noConversion"/>
  <pageMargins left="0.75" right="0.75" top="1" bottom="0.5" header="0.25" footer="0.25"/>
  <pageSetup scale="92" orientation="portrait" horizontalDpi="300" verticalDpi="300" r:id="rId1"/>
  <headerFooter alignWithMargins="0">
    <oddHeader>&amp;C&amp;"Arial,Bold"&amp;14DaisyTrax
&amp;12Journey Pages - &amp;D</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7"/>
    <pageSetUpPr fitToPage="1"/>
  </sheetPr>
  <dimension ref="A1:U18"/>
  <sheetViews>
    <sheetView showGridLines="0" zoomScaleNormal="100" workbookViewId="0">
      <selection activeCell="U6" sqref="U6:U18"/>
    </sheetView>
  </sheetViews>
  <sheetFormatPr defaultRowHeight="12.75"/>
  <cols>
    <col min="1" max="1" width="13.28515625" customWidth="1"/>
    <col min="2" max="2" width="2.28515625" customWidth="1"/>
    <col min="3" max="3" width="34.7109375" bestFit="1" customWidth="1"/>
    <col min="4" max="18" width="3.28515625" bestFit="1" customWidth="1"/>
  </cols>
  <sheetData>
    <row r="1" spans="1:21" ht="12.75" customHeight="1">
      <c r="A1" s="212"/>
      <c r="B1" s="213" t="s">
        <v>55</v>
      </c>
      <c r="C1" s="214">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21" ht="15.75">
      <c r="A2" s="215"/>
      <c r="B2" s="216" t="s">
        <v>42</v>
      </c>
      <c r="C2" s="217">
        <f>Instructions!E5</f>
        <v>0</v>
      </c>
      <c r="D2" s="323"/>
      <c r="E2" s="323"/>
      <c r="F2" s="323"/>
      <c r="G2" s="323"/>
      <c r="H2" s="323"/>
      <c r="I2" s="323"/>
      <c r="J2" s="323"/>
      <c r="K2" s="323"/>
      <c r="L2" s="323"/>
      <c r="M2" s="323"/>
      <c r="N2" s="323"/>
      <c r="O2" s="323"/>
      <c r="P2" s="323"/>
      <c r="Q2" s="323"/>
      <c r="R2" s="323"/>
    </row>
    <row r="3" spans="1:21">
      <c r="A3" s="325"/>
      <c r="B3" s="325"/>
      <c r="C3" s="326"/>
      <c r="D3" s="323"/>
      <c r="E3" s="323"/>
      <c r="F3" s="323"/>
      <c r="G3" s="323"/>
      <c r="H3" s="323"/>
      <c r="I3" s="323"/>
      <c r="J3" s="323"/>
      <c r="K3" s="323"/>
      <c r="L3" s="323"/>
      <c r="M3" s="323"/>
      <c r="N3" s="323"/>
      <c r="O3" s="323"/>
      <c r="P3" s="323"/>
      <c r="Q3" s="323"/>
      <c r="R3" s="323"/>
    </row>
    <row r="4" spans="1:21">
      <c r="A4" s="352" t="s">
        <v>108</v>
      </c>
      <c r="B4" s="353"/>
      <c r="C4" s="354"/>
      <c r="D4" s="324"/>
      <c r="E4" s="324"/>
      <c r="F4" s="324"/>
      <c r="G4" s="324"/>
      <c r="H4" s="324"/>
      <c r="I4" s="324"/>
      <c r="J4" s="324"/>
      <c r="K4" s="324"/>
      <c r="L4" s="324"/>
      <c r="M4" s="324"/>
      <c r="N4" s="324"/>
      <c r="O4" s="324"/>
      <c r="P4" s="324"/>
      <c r="Q4" s="324"/>
      <c r="R4" s="324"/>
    </row>
    <row r="5" spans="1:21">
      <c r="A5" s="25"/>
      <c r="B5" s="25"/>
      <c r="C5" s="25"/>
      <c r="D5" s="218"/>
      <c r="E5" s="218"/>
      <c r="F5" s="25"/>
      <c r="G5" s="25"/>
      <c r="H5" s="25"/>
      <c r="I5" s="25"/>
      <c r="J5" s="350"/>
      <c r="K5" s="351"/>
      <c r="L5" s="351"/>
      <c r="M5" s="351"/>
      <c r="N5" s="351"/>
      <c r="O5" s="351"/>
      <c r="P5" s="351"/>
      <c r="Q5" s="351"/>
      <c r="R5" s="351"/>
    </row>
    <row r="6" spans="1:21">
      <c r="A6" s="111"/>
      <c r="B6" s="219" t="s">
        <v>198</v>
      </c>
      <c r="C6" s="220"/>
      <c r="D6" s="221"/>
      <c r="E6" s="221"/>
      <c r="F6" s="220"/>
      <c r="G6" s="220"/>
      <c r="H6" s="220"/>
      <c r="I6" s="220"/>
      <c r="J6" s="222"/>
      <c r="K6" s="223"/>
      <c r="L6" s="223"/>
      <c r="M6" s="223"/>
      <c r="N6" s="223"/>
      <c r="O6" s="223"/>
      <c r="P6" s="223"/>
      <c r="Q6" s="223"/>
      <c r="R6" s="223"/>
      <c r="U6" t="str">
        <f>GetComments(C6)</f>
        <v>Remember how excited you were about becoming a Daisy? There are younger girls who can't wait to follow in your footsteps! Share your talents and skills by teaching younger Girl Scouts something you learned to do as a Daisy.
This list has a few ideas to get started. You only have to do one of these-or something like it-to complete the step.</v>
      </c>
    </row>
    <row r="7" spans="1:21">
      <c r="A7" s="224"/>
      <c r="B7" s="109">
        <v>1</v>
      </c>
      <c r="C7" s="225" t="s">
        <v>160</v>
      </c>
      <c r="D7" s="155"/>
      <c r="E7" s="22" t="s">
        <v>1</v>
      </c>
      <c r="F7" s="22" t="s">
        <v>1</v>
      </c>
      <c r="G7" s="22" t="s">
        <v>1</v>
      </c>
      <c r="H7" s="22" t="s">
        <v>1</v>
      </c>
      <c r="I7" s="22"/>
      <c r="J7" s="22" t="s">
        <v>1</v>
      </c>
      <c r="K7" s="22" t="s">
        <v>1</v>
      </c>
      <c r="L7" s="22" t="s">
        <v>1</v>
      </c>
      <c r="M7" s="22" t="s">
        <v>1</v>
      </c>
      <c r="N7" s="22" t="s">
        <v>1</v>
      </c>
      <c r="O7" s="22" t="s">
        <v>1</v>
      </c>
      <c r="P7" s="22" t="s">
        <v>1</v>
      </c>
      <c r="Q7" s="22" t="s">
        <v>1</v>
      </c>
      <c r="R7" s="36" t="s">
        <v>1</v>
      </c>
      <c r="U7" t="str">
        <f t="shared" ref="U7:U18" si="0">GetComments(C7)</f>
        <v>Teach younger girls the Girl Scout Promise and the Girl Scout Law.</v>
      </c>
    </row>
    <row r="8" spans="1:21">
      <c r="A8" s="224"/>
      <c r="B8" s="109">
        <v>2</v>
      </c>
      <c r="C8" s="225" t="s">
        <v>199</v>
      </c>
      <c r="D8" s="22"/>
      <c r="E8" s="22"/>
      <c r="F8" s="22"/>
      <c r="G8" s="22"/>
      <c r="H8" s="22"/>
      <c r="I8" s="22"/>
      <c r="J8" s="22"/>
      <c r="K8" s="22"/>
      <c r="L8" s="22"/>
      <c r="M8" s="22"/>
      <c r="N8" s="22"/>
      <c r="O8" s="22"/>
      <c r="P8" s="22"/>
      <c r="Q8" s="22"/>
      <c r="R8" s="36"/>
      <c r="U8" t="str">
        <f t="shared" si="0"/>
        <v>Tell younger girls about the Flower Friends. Then share a story about your favoite. Why is she your favorite? What did you learn from her? Help the younger girls color pictures of the Flower Friends to take home.</v>
      </c>
    </row>
    <row r="9" spans="1:21">
      <c r="A9" s="224"/>
      <c r="B9" s="109">
        <v>3</v>
      </c>
      <c r="C9" s="225" t="s">
        <v>159</v>
      </c>
      <c r="D9" s="155"/>
      <c r="E9" s="22"/>
      <c r="F9" s="22"/>
      <c r="G9" s="22"/>
      <c r="H9" s="22"/>
      <c r="I9" s="22"/>
      <c r="J9" s="22"/>
      <c r="K9" s="22"/>
      <c r="L9" s="22"/>
      <c r="M9" s="22"/>
      <c r="N9" s="22"/>
      <c r="O9" s="22"/>
      <c r="P9" s="22"/>
      <c r="Q9" s="22"/>
      <c r="R9" s="36"/>
      <c r="U9" t="str">
        <f t="shared" si="0"/>
        <v>Play a game together! Is there a special game you loved to play as a Daisy that you could teach the younger girls?</v>
      </c>
    </row>
    <row r="10" spans="1:21" s="210" customFormat="1" ht="6" customHeight="1">
      <c r="A10" s="226"/>
      <c r="B10" s="227"/>
      <c r="C10" s="228"/>
      <c r="D10" s="229" t="str">
        <f t="shared" ref="D10:R10" si="1">IF(COUNTIF(D7:D9,"A")&gt;=1,"C",IF(COUNTIF(D7:D9,"A")&gt;0,"P"," "))</f>
        <v xml:space="preserve"> </v>
      </c>
      <c r="E10" s="229" t="str">
        <f t="shared" si="1"/>
        <v xml:space="preserve"> </v>
      </c>
      <c r="F10" s="229" t="str">
        <f t="shared" si="1"/>
        <v xml:space="preserve"> </v>
      </c>
      <c r="G10" s="229" t="str">
        <f t="shared" si="1"/>
        <v xml:space="preserve"> </v>
      </c>
      <c r="H10" s="229" t="str">
        <f t="shared" si="1"/>
        <v xml:space="preserve"> </v>
      </c>
      <c r="I10" s="229" t="str">
        <f t="shared" si="1"/>
        <v xml:space="preserve"> </v>
      </c>
      <c r="J10" s="229" t="str">
        <f t="shared" si="1"/>
        <v xml:space="preserve"> </v>
      </c>
      <c r="K10" s="229" t="str">
        <f t="shared" si="1"/>
        <v xml:space="preserve"> </v>
      </c>
      <c r="L10" s="229" t="str">
        <f t="shared" si="1"/>
        <v xml:space="preserve"> </v>
      </c>
      <c r="M10" s="229" t="str">
        <f t="shared" si="1"/>
        <v xml:space="preserve"> </v>
      </c>
      <c r="N10" s="229" t="str">
        <f t="shared" si="1"/>
        <v xml:space="preserve"> </v>
      </c>
      <c r="O10" s="229" t="str">
        <f t="shared" si="1"/>
        <v xml:space="preserve"> </v>
      </c>
      <c r="P10" s="229" t="str">
        <f t="shared" si="1"/>
        <v xml:space="preserve"> </v>
      </c>
      <c r="Q10" s="229" t="str">
        <f t="shared" si="1"/>
        <v xml:space="preserve"> </v>
      </c>
      <c r="R10" s="229" t="str">
        <f t="shared" si="1"/>
        <v xml:space="preserve"> </v>
      </c>
      <c r="U10" t="str">
        <f t="shared" si="0"/>
        <v/>
      </c>
    </row>
    <row r="11" spans="1:21">
      <c r="A11" s="3"/>
      <c r="B11" s="219" t="s">
        <v>200</v>
      </c>
      <c r="C11" s="220"/>
      <c r="D11" s="221"/>
      <c r="E11" s="221"/>
      <c r="F11" s="220"/>
      <c r="G11" s="220"/>
      <c r="H11" s="220"/>
      <c r="I11" s="220"/>
      <c r="J11" s="222"/>
      <c r="K11" s="223"/>
      <c r="L11" s="223"/>
      <c r="M11" s="223"/>
      <c r="N11" s="223"/>
      <c r="O11" s="223"/>
      <c r="P11" s="223"/>
      <c r="Q11" s="223"/>
      <c r="R11" s="223"/>
      <c r="U11" t="str">
        <f t="shared" si="0"/>
        <v>Spend time with some Brownie sisters-after all, they know about the fun and adventures Brownies can have together! 
This list has a few ideas to get started. You only have to do one of these-or something like it-to complete the step.</v>
      </c>
    </row>
    <row r="12" spans="1:21">
      <c r="A12" s="3"/>
      <c r="B12" s="109">
        <v>1</v>
      </c>
      <c r="C12" s="225" t="s">
        <v>161</v>
      </c>
      <c r="D12" s="155"/>
      <c r="E12" s="22" t="s">
        <v>1</v>
      </c>
      <c r="F12" s="22" t="s">
        <v>1</v>
      </c>
      <c r="G12" s="22" t="s">
        <v>1</v>
      </c>
      <c r="H12" s="22" t="s">
        <v>1</v>
      </c>
      <c r="I12" s="22"/>
      <c r="J12" s="22" t="s">
        <v>1</v>
      </c>
      <c r="K12" s="22" t="s">
        <v>1</v>
      </c>
      <c r="L12" s="22" t="s">
        <v>1</v>
      </c>
      <c r="M12" s="22" t="s">
        <v>1</v>
      </c>
      <c r="N12" s="22" t="s">
        <v>1</v>
      </c>
      <c r="O12" s="22" t="s">
        <v>1</v>
      </c>
      <c r="P12" s="22" t="s">
        <v>1</v>
      </c>
      <c r="Q12" s="22" t="s">
        <v>1</v>
      </c>
      <c r="R12" s="36" t="s">
        <v>1</v>
      </c>
      <c r="U12" t="str">
        <f t="shared" si="0"/>
        <v>Say the Girl Scout Promise together, then trade stories about living the Promise and Law. What did you do as a Daisy? Were you friendly and helpful, or courageous and strong? What did the Brownies do?</v>
      </c>
    </row>
    <row r="13" spans="1:21">
      <c r="A13" s="3"/>
      <c r="B13" s="109">
        <v>2</v>
      </c>
      <c r="C13" s="225" t="s">
        <v>162</v>
      </c>
      <c r="D13" s="155"/>
      <c r="E13" s="22"/>
      <c r="F13" s="22"/>
      <c r="G13" s="22"/>
      <c r="H13" s="22"/>
      <c r="I13" s="22"/>
      <c r="J13" s="22"/>
      <c r="K13" s="22"/>
      <c r="L13" s="22"/>
      <c r="M13" s="22"/>
      <c r="N13" s="22"/>
      <c r="O13" s="22"/>
      <c r="P13" s="22"/>
      <c r="Q13" s="22"/>
      <c r="R13" s="36"/>
      <c r="U13" t="str">
        <f t="shared" si="0"/>
        <v>Ask the Brownies to teach you their favorite Brownie song, then sing it together.</v>
      </c>
    </row>
    <row r="14" spans="1:21">
      <c r="A14" s="3"/>
      <c r="B14" s="109">
        <v>3</v>
      </c>
      <c r="C14" s="225" t="s">
        <v>163</v>
      </c>
      <c r="D14" s="155"/>
      <c r="E14" s="22"/>
      <c r="F14" s="22"/>
      <c r="G14" s="22"/>
      <c r="H14" s="22"/>
      <c r="I14" s="22"/>
      <c r="J14" s="22"/>
      <c r="K14" s="22"/>
      <c r="L14" s="22"/>
      <c r="M14" s="22"/>
      <c r="N14" s="22"/>
      <c r="O14" s="22"/>
      <c r="P14" s="22"/>
      <c r="Q14" s="22"/>
      <c r="R14" s="36"/>
      <c r="U14" t="str">
        <f t="shared" si="0"/>
        <v xml:space="preserve">Ask the Brownies to show you their Journey awards and tell you what they did to earn them. How did they make the world a better place? </v>
      </c>
    </row>
    <row r="15" spans="1:21" s="210" customFormat="1" ht="6" customHeight="1">
      <c r="A15" s="226"/>
      <c r="B15" s="226"/>
      <c r="C15" s="226"/>
      <c r="D15" s="229" t="str">
        <f t="shared" ref="D15:R15" si="2">IF(COUNTIF(D12:D14,"A")&gt;=1,"C",IF(COUNTIF(D12:D14,"A")&gt;0,"P"," "))</f>
        <v xml:space="preserve"> </v>
      </c>
      <c r="E15" s="229" t="str">
        <f t="shared" si="2"/>
        <v xml:space="preserve"> </v>
      </c>
      <c r="F15" s="229" t="str">
        <f t="shared" si="2"/>
        <v xml:space="preserve"> </v>
      </c>
      <c r="G15" s="229" t="str">
        <f t="shared" si="2"/>
        <v xml:space="preserve"> </v>
      </c>
      <c r="H15" s="229" t="str">
        <f t="shared" si="2"/>
        <v xml:space="preserve"> </v>
      </c>
      <c r="I15" s="229" t="str">
        <f t="shared" si="2"/>
        <v xml:space="preserve"> </v>
      </c>
      <c r="J15" s="229" t="str">
        <f t="shared" si="2"/>
        <v xml:space="preserve"> </v>
      </c>
      <c r="K15" s="229" t="str">
        <f t="shared" si="2"/>
        <v xml:space="preserve"> </v>
      </c>
      <c r="L15" s="229" t="str">
        <f t="shared" si="2"/>
        <v xml:space="preserve"> </v>
      </c>
      <c r="M15" s="229" t="str">
        <f t="shared" si="2"/>
        <v xml:space="preserve"> </v>
      </c>
      <c r="N15" s="229" t="str">
        <f t="shared" si="2"/>
        <v xml:space="preserve"> </v>
      </c>
      <c r="O15" s="229" t="str">
        <f t="shared" si="2"/>
        <v xml:space="preserve"> </v>
      </c>
      <c r="P15" s="229" t="str">
        <f t="shared" si="2"/>
        <v xml:space="preserve"> </v>
      </c>
      <c r="Q15" s="229" t="str">
        <f t="shared" si="2"/>
        <v xml:space="preserve"> </v>
      </c>
      <c r="R15" s="229" t="str">
        <f t="shared" si="2"/>
        <v xml:space="preserve"> </v>
      </c>
      <c r="U15" t="str">
        <f t="shared" si="0"/>
        <v/>
      </c>
    </row>
    <row r="16" spans="1:21">
      <c r="A16" s="3"/>
      <c r="B16" s="109"/>
      <c r="C16" s="225" t="s">
        <v>164</v>
      </c>
      <c r="D16" s="155"/>
      <c r="E16" s="22"/>
      <c r="F16" s="22"/>
      <c r="G16" s="22"/>
      <c r="H16" s="22"/>
      <c r="I16" s="22"/>
      <c r="J16" s="22"/>
      <c r="K16" s="22"/>
      <c r="L16" s="22"/>
      <c r="M16" s="22"/>
      <c r="N16" s="22"/>
      <c r="O16" s="22"/>
      <c r="P16" s="22"/>
      <c r="Q16" s="22"/>
      <c r="R16" s="36"/>
      <c r="U16" t="str">
        <f t="shared" si="0"/>
        <v>Daisy sisters can help your community when you become Brownies. Ask the Brownies to help you decorate a box or jar that will become your "Take Action Idea Bank." Get ideas by asking the Brownies how you can to help your community. Get more ideas by talking to an adult who works in the community such as at a firehouse, hospital, library, or mayor's office. You could even get ideas by walking around your neighborhood with an adult and looking for ways to help. For example, maybe you might see playground equipment that needs to be fixed. Write down all your ideas and put them in your idea bank. These ideas will be waiting for you when you become a Girl Scout Brownie!</v>
      </c>
    </row>
    <row r="17" spans="1:21" s="210" customFormat="1" ht="6" customHeight="1" thickBot="1">
      <c r="A17" s="226"/>
      <c r="B17" s="230"/>
      <c r="C17" s="231"/>
      <c r="D17" s="229" t="str">
        <f>IF(COUNTIF(D16:D16,"A")=1,"C",IF(COUNTIF(D16:D16,"A")&gt;0,"P"," "))</f>
        <v xml:space="preserve"> </v>
      </c>
      <c r="E17" s="229" t="str">
        <f t="shared" ref="E17:R17" si="3">IF(COUNTIF(E16:E16,"A")=1,"C",IF(COUNTIF(E16:E16,"A")&gt;0,"P"," "))</f>
        <v xml:space="preserve"> </v>
      </c>
      <c r="F17" s="229" t="str">
        <f t="shared" si="3"/>
        <v xml:space="preserve"> </v>
      </c>
      <c r="G17" s="229" t="str">
        <f t="shared" si="3"/>
        <v xml:space="preserve"> </v>
      </c>
      <c r="H17" s="229" t="str">
        <f t="shared" si="3"/>
        <v xml:space="preserve"> </v>
      </c>
      <c r="I17" s="229" t="str">
        <f t="shared" si="3"/>
        <v xml:space="preserve"> </v>
      </c>
      <c r="J17" s="229" t="str">
        <f t="shared" si="3"/>
        <v xml:space="preserve"> </v>
      </c>
      <c r="K17" s="229" t="str">
        <f t="shared" si="3"/>
        <v xml:space="preserve"> </v>
      </c>
      <c r="L17" s="229" t="str">
        <f t="shared" si="3"/>
        <v xml:space="preserve"> </v>
      </c>
      <c r="M17" s="229" t="str">
        <f t="shared" si="3"/>
        <v xml:space="preserve"> </v>
      </c>
      <c r="N17" s="229" t="str">
        <f t="shared" si="3"/>
        <v xml:space="preserve"> </v>
      </c>
      <c r="O17" s="229" t="str">
        <f t="shared" si="3"/>
        <v xml:space="preserve"> </v>
      </c>
      <c r="P17" s="229" t="str">
        <f t="shared" si="3"/>
        <v xml:space="preserve"> </v>
      </c>
      <c r="Q17" s="229" t="str">
        <f t="shared" si="3"/>
        <v xml:space="preserve"> </v>
      </c>
      <c r="R17" s="229" t="str">
        <f t="shared" si="3"/>
        <v xml:space="preserve"> </v>
      </c>
      <c r="U17" t="str">
        <f t="shared" si="0"/>
        <v/>
      </c>
    </row>
    <row r="18" spans="1:21" ht="13.5" thickBot="1">
      <c r="A18" s="3"/>
      <c r="B18" s="3"/>
      <c r="C18" s="194" t="s">
        <v>54</v>
      </c>
      <c r="D18" s="110" t="str">
        <f t="shared" ref="D18:R18" si="4">IF(COUNTIF(D7:D17,"C")=3,"C",IF(COUNTIF(D7:D17,"C")&gt;0,"P"," "))</f>
        <v xml:space="preserve"> </v>
      </c>
      <c r="E18" s="110" t="str">
        <f t="shared" si="4"/>
        <v xml:space="preserve"> </v>
      </c>
      <c r="F18" s="110" t="str">
        <f t="shared" si="4"/>
        <v xml:space="preserve"> </v>
      </c>
      <c r="G18" s="110" t="str">
        <f t="shared" si="4"/>
        <v xml:space="preserve"> </v>
      </c>
      <c r="H18" s="110" t="str">
        <f t="shared" si="4"/>
        <v xml:space="preserve"> </v>
      </c>
      <c r="I18" s="110" t="str">
        <f t="shared" si="4"/>
        <v xml:space="preserve"> </v>
      </c>
      <c r="J18" s="110" t="str">
        <f t="shared" si="4"/>
        <v xml:space="preserve"> </v>
      </c>
      <c r="K18" s="110" t="str">
        <f t="shared" si="4"/>
        <v xml:space="preserve"> </v>
      </c>
      <c r="L18" s="110" t="str">
        <f t="shared" si="4"/>
        <v xml:space="preserve"> </v>
      </c>
      <c r="M18" s="110" t="str">
        <f t="shared" si="4"/>
        <v xml:space="preserve"> </v>
      </c>
      <c r="N18" s="110" t="str">
        <f t="shared" si="4"/>
        <v xml:space="preserve"> </v>
      </c>
      <c r="O18" s="110" t="str">
        <f t="shared" si="4"/>
        <v xml:space="preserve"> </v>
      </c>
      <c r="P18" s="110" t="str">
        <f t="shared" si="4"/>
        <v xml:space="preserve"> </v>
      </c>
      <c r="Q18" s="110" t="str">
        <f t="shared" si="4"/>
        <v xml:space="preserve"> </v>
      </c>
      <c r="R18" s="110" t="str">
        <f t="shared" si="4"/>
        <v xml:space="preserve"> </v>
      </c>
      <c r="U18" t="str">
        <f t="shared" si="0"/>
        <v/>
      </c>
    </row>
  </sheetData>
  <sheetProtection selectLockedCells="1"/>
  <mergeCells count="18">
    <mergeCell ref="F1:F4"/>
    <mergeCell ref="J1:J4"/>
    <mergeCell ref="K1:K4"/>
    <mergeCell ref="L1:L4"/>
    <mergeCell ref="A3:C3"/>
    <mergeCell ref="A4:C4"/>
    <mergeCell ref="G1:G4"/>
    <mergeCell ref="H1:H4"/>
    <mergeCell ref="I1:I4"/>
    <mergeCell ref="D1:D4"/>
    <mergeCell ref="E1:E4"/>
    <mergeCell ref="J5:R5"/>
    <mergeCell ref="O1:O4"/>
    <mergeCell ref="P1:P4"/>
    <mergeCell ref="M1:M4"/>
    <mergeCell ref="N1:N4"/>
    <mergeCell ref="Q1:Q4"/>
    <mergeCell ref="R1:R4"/>
  </mergeCells>
  <phoneticPr fontId="7" type="noConversion"/>
  <pageMargins left="0.75" right="0.75" top="1" bottom="0.5" header="0.25" footer="0.25"/>
  <pageSetup scale="86" orientation="portrait" horizontalDpi="300" verticalDpi="300" r:id="rId1"/>
  <headerFooter alignWithMargins="0">
    <oddHeader>&amp;C&amp;"Arial,Bold"&amp;14DaisyTrax
&amp;12Bridging page - &amp;D</oddHead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51"/>
    <pageSetUpPr fitToPage="1"/>
  </sheetPr>
  <dimension ref="A1:R43"/>
  <sheetViews>
    <sheetView showGridLines="0" workbookViewId="0">
      <pane ySplit="5" topLeftCell="A6" activePane="bottomLeft" state="frozen"/>
      <selection pane="bottomLeft" activeCell="D29" sqref="D29"/>
    </sheetView>
  </sheetViews>
  <sheetFormatPr defaultRowHeight="12.75"/>
  <cols>
    <col min="1" max="1" width="9.7109375" style="97" customWidth="1"/>
    <col min="2" max="2" width="2.5703125" customWidth="1"/>
    <col min="3" max="3" width="29" bestFit="1" customWidth="1"/>
    <col min="4" max="18" width="3.28515625" style="56" customWidth="1"/>
  </cols>
  <sheetData>
    <row r="1" spans="1:18" ht="12.75" customHeight="1">
      <c r="A1" s="96"/>
      <c r="B1" s="114" t="s">
        <v>55</v>
      </c>
      <c r="C1" s="115">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18" ht="15">
      <c r="A2" s="96"/>
      <c r="B2" s="116" t="s">
        <v>42</v>
      </c>
      <c r="C2" s="117">
        <f>Instructions!E5</f>
        <v>0</v>
      </c>
      <c r="D2" s="323"/>
      <c r="E2" s="323"/>
      <c r="F2" s="323"/>
      <c r="G2" s="323"/>
      <c r="H2" s="323"/>
      <c r="I2" s="323"/>
      <c r="J2" s="323"/>
      <c r="K2" s="323"/>
      <c r="L2" s="323"/>
      <c r="M2" s="323"/>
      <c r="N2" s="323"/>
      <c r="O2" s="323"/>
      <c r="P2" s="323"/>
      <c r="Q2" s="323"/>
      <c r="R2" s="323"/>
    </row>
    <row r="3" spans="1:18">
      <c r="A3" s="96"/>
      <c r="B3" s="3"/>
      <c r="C3" s="283"/>
      <c r="D3" s="323"/>
      <c r="E3" s="323"/>
      <c r="F3" s="323"/>
      <c r="G3" s="323"/>
      <c r="H3" s="323"/>
      <c r="I3" s="323"/>
      <c r="J3" s="323"/>
      <c r="K3" s="323"/>
      <c r="L3" s="323"/>
      <c r="M3" s="323"/>
      <c r="N3" s="323"/>
      <c r="O3" s="323"/>
      <c r="P3" s="323"/>
      <c r="Q3" s="323"/>
      <c r="R3" s="323"/>
    </row>
    <row r="4" spans="1:18">
      <c r="A4" s="96"/>
      <c r="B4" s="355" t="s">
        <v>109</v>
      </c>
      <c r="C4" s="356"/>
      <c r="D4" s="324"/>
      <c r="E4" s="324"/>
      <c r="F4" s="324"/>
      <c r="G4" s="324"/>
      <c r="H4" s="324"/>
      <c r="I4" s="324"/>
      <c r="J4" s="324"/>
      <c r="K4" s="324"/>
      <c r="L4" s="324"/>
      <c r="M4" s="324"/>
      <c r="N4" s="324"/>
      <c r="O4" s="324"/>
      <c r="P4" s="324"/>
      <c r="Q4" s="324"/>
      <c r="R4" s="324"/>
    </row>
    <row r="5" spans="1:18">
      <c r="A5" s="96"/>
      <c r="B5" s="26" t="s">
        <v>145</v>
      </c>
      <c r="C5" s="235"/>
      <c r="D5" s="7" t="s">
        <v>193</v>
      </c>
      <c r="E5" s="236"/>
      <c r="F5" s="236"/>
      <c r="G5" s="236"/>
      <c r="H5" s="236"/>
      <c r="I5" s="236"/>
      <c r="J5" s="236"/>
      <c r="K5" s="236"/>
      <c r="L5" s="236"/>
      <c r="M5" s="236"/>
      <c r="N5" s="237"/>
      <c r="O5" s="236"/>
      <c r="P5" s="236"/>
      <c r="Q5" s="236"/>
      <c r="R5" s="236"/>
    </row>
    <row r="6" spans="1:18">
      <c r="A6" s="96"/>
      <c r="B6" s="3"/>
      <c r="C6" s="204" t="s">
        <v>149</v>
      </c>
      <c r="D6" s="154"/>
      <c r="E6" s="154"/>
      <c r="F6" s="154"/>
      <c r="G6" s="154"/>
      <c r="H6" s="154"/>
      <c r="I6" s="154"/>
      <c r="J6" s="154"/>
      <c r="K6" s="154"/>
      <c r="L6" s="154"/>
      <c r="M6" s="154"/>
      <c r="N6" s="154"/>
      <c r="O6" s="154"/>
      <c r="P6" s="154"/>
      <c r="Q6" s="154"/>
      <c r="R6" s="154"/>
    </row>
    <row r="7" spans="1:18">
      <c r="A7" s="96"/>
      <c r="B7" s="3"/>
      <c r="C7" s="204" t="s">
        <v>152</v>
      </c>
      <c r="D7" s="154"/>
      <c r="E7" s="154"/>
      <c r="F7" s="154"/>
      <c r="G7" s="154"/>
      <c r="H7" s="154"/>
      <c r="I7" s="154"/>
      <c r="J7" s="154"/>
      <c r="K7" s="154"/>
      <c r="L7" s="154"/>
      <c r="M7" s="154"/>
      <c r="N7" s="154"/>
      <c r="O7" s="154"/>
      <c r="P7" s="154"/>
      <c r="Q7" s="154"/>
      <c r="R7" s="154"/>
    </row>
    <row r="8" spans="1:18" ht="13.5" customHeight="1">
      <c r="A8" s="96"/>
      <c r="B8" s="3"/>
      <c r="C8" s="204" t="s">
        <v>151</v>
      </c>
      <c r="D8" s="154"/>
      <c r="E8" s="154"/>
      <c r="F8" s="154"/>
      <c r="G8" s="154"/>
      <c r="H8" s="154"/>
      <c r="I8" s="154"/>
      <c r="J8" s="154"/>
      <c r="K8" s="154"/>
      <c r="L8" s="154"/>
      <c r="M8" s="154"/>
      <c r="N8" s="154"/>
      <c r="O8" s="154"/>
      <c r="P8" s="154"/>
      <c r="Q8" s="154"/>
      <c r="R8" s="154"/>
    </row>
    <row r="9" spans="1:18" ht="13.5" customHeight="1">
      <c r="A9" s="96"/>
      <c r="B9" s="239"/>
      <c r="C9" s="204" t="s">
        <v>153</v>
      </c>
      <c r="D9" s="154"/>
      <c r="E9" s="154"/>
      <c r="F9" s="154"/>
      <c r="G9" s="154"/>
      <c r="H9" s="154"/>
      <c r="I9" s="154"/>
      <c r="J9" s="154"/>
      <c r="K9" s="154"/>
      <c r="L9" s="154"/>
      <c r="M9" s="154"/>
      <c r="N9" s="154"/>
      <c r="O9" s="154"/>
      <c r="P9" s="154"/>
      <c r="Q9" s="154"/>
      <c r="R9" s="154"/>
    </row>
    <row r="10" spans="1:18" ht="13.5" customHeight="1">
      <c r="A10" s="96"/>
      <c r="B10" s="240"/>
      <c r="C10" s="204" t="s">
        <v>150</v>
      </c>
      <c r="D10" s="154"/>
      <c r="E10" s="154"/>
      <c r="F10" s="154"/>
      <c r="G10" s="154"/>
      <c r="H10" s="154"/>
      <c r="I10" s="154"/>
      <c r="J10" s="154"/>
      <c r="K10" s="154"/>
      <c r="L10" s="154"/>
      <c r="M10" s="154"/>
      <c r="N10" s="154"/>
      <c r="O10" s="154"/>
      <c r="P10" s="154"/>
      <c r="Q10" s="154"/>
      <c r="R10" s="154"/>
    </row>
    <row r="11" spans="1:18" ht="13.5" customHeight="1">
      <c r="A11" s="96"/>
      <c r="B11" s="3"/>
      <c r="C11" s="204" t="s">
        <v>154</v>
      </c>
      <c r="D11" s="154"/>
      <c r="E11" s="154"/>
      <c r="F11" s="154"/>
      <c r="G11" s="154"/>
      <c r="H11" s="154"/>
      <c r="I11" s="154"/>
      <c r="J11" s="154"/>
      <c r="K11" s="154"/>
      <c r="L11" s="154"/>
      <c r="M11" s="154"/>
      <c r="N11" s="154"/>
      <c r="O11" s="154"/>
      <c r="P11" s="154"/>
      <c r="Q11" s="154"/>
      <c r="R11" s="154"/>
    </row>
    <row r="12" spans="1:18" s="73" customFormat="1" ht="13.5" customHeight="1">
      <c r="A12" s="112"/>
      <c r="B12" s="26" t="s">
        <v>146</v>
      </c>
      <c r="C12" s="241"/>
      <c r="D12" s="34"/>
      <c r="E12" s="34"/>
      <c r="F12" s="34"/>
      <c r="G12" s="34"/>
      <c r="H12" s="34"/>
      <c r="I12" s="34"/>
      <c r="J12" s="34"/>
      <c r="K12" s="34"/>
      <c r="L12" s="34"/>
      <c r="M12" s="34"/>
      <c r="N12" s="34"/>
      <c r="O12" s="34"/>
      <c r="P12" s="34"/>
      <c r="Q12" s="34"/>
      <c r="R12" s="34"/>
    </row>
    <row r="13" spans="1:18" ht="13.5" customHeight="1">
      <c r="A13" s="96"/>
      <c r="B13" s="3"/>
      <c r="C13" s="242" t="s">
        <v>155</v>
      </c>
      <c r="D13" s="154"/>
      <c r="E13" s="154"/>
      <c r="F13" s="154"/>
      <c r="G13" s="154"/>
      <c r="H13" s="154"/>
      <c r="I13" s="154"/>
      <c r="J13" s="154"/>
      <c r="K13" s="154"/>
      <c r="L13" s="154"/>
      <c r="M13" s="154"/>
      <c r="N13" s="154"/>
      <c r="O13" s="154"/>
      <c r="P13" s="154"/>
      <c r="Q13" s="154"/>
      <c r="R13" s="154"/>
    </row>
    <row r="14" spans="1:18">
      <c r="A14" s="96"/>
      <c r="B14" s="3"/>
      <c r="C14" s="243" t="s">
        <v>156</v>
      </c>
      <c r="D14" s="154"/>
      <c r="E14" s="154"/>
      <c r="F14" s="154"/>
      <c r="G14" s="154"/>
      <c r="H14" s="154"/>
      <c r="I14" s="154"/>
      <c r="J14" s="154"/>
      <c r="K14" s="154"/>
      <c r="L14" s="154"/>
      <c r="M14" s="154"/>
      <c r="N14" s="154"/>
      <c r="O14" s="154"/>
      <c r="P14" s="154"/>
      <c r="Q14" s="154"/>
      <c r="R14" s="154"/>
    </row>
    <row r="15" spans="1:18" s="73" customFormat="1">
      <c r="A15" s="112"/>
      <c r="B15" s="26" t="s">
        <v>147</v>
      </c>
      <c r="C15" s="244"/>
      <c r="D15" s="277" t="s">
        <v>188</v>
      </c>
      <c r="E15" s="34"/>
      <c r="F15" s="34"/>
      <c r="G15" s="34"/>
      <c r="H15" s="34"/>
      <c r="I15" s="34"/>
      <c r="J15" s="34"/>
      <c r="K15" s="34"/>
      <c r="L15" s="34"/>
      <c r="M15" s="34"/>
      <c r="N15" s="34"/>
      <c r="O15" s="34"/>
      <c r="P15" s="34"/>
      <c r="Q15" s="34"/>
      <c r="R15" s="34"/>
    </row>
    <row r="16" spans="1:18">
      <c r="A16" s="96"/>
      <c r="B16" s="3"/>
      <c r="C16" s="242" t="s">
        <v>157</v>
      </c>
      <c r="D16" s="154"/>
      <c r="E16" s="154"/>
      <c r="F16" s="154"/>
      <c r="G16" s="154"/>
      <c r="H16" s="154"/>
      <c r="I16" s="154"/>
      <c r="J16" s="154"/>
      <c r="K16" s="154"/>
      <c r="L16" s="154"/>
      <c r="M16" s="154"/>
      <c r="N16" s="154"/>
      <c r="O16" s="154"/>
      <c r="P16" s="154"/>
      <c r="Q16" s="154"/>
      <c r="R16" s="154"/>
    </row>
    <row r="17" spans="1:18">
      <c r="A17" s="96"/>
      <c r="B17" s="3"/>
      <c r="C17" s="242" t="s">
        <v>158</v>
      </c>
      <c r="D17" s="154"/>
      <c r="E17" s="154"/>
      <c r="F17" s="154"/>
      <c r="G17" s="154"/>
      <c r="H17" s="154"/>
      <c r="I17" s="154"/>
      <c r="J17" s="154"/>
      <c r="K17" s="154"/>
      <c r="L17" s="154"/>
      <c r="M17" s="154"/>
      <c r="N17" s="154"/>
      <c r="O17" s="154"/>
      <c r="P17" s="154"/>
      <c r="Q17" s="154"/>
      <c r="R17" s="154"/>
    </row>
    <row r="18" spans="1:18" s="73" customFormat="1">
      <c r="A18" s="112"/>
      <c r="B18" s="26" t="s">
        <v>148</v>
      </c>
      <c r="C18" s="33"/>
      <c r="D18" s="34"/>
      <c r="E18" s="34"/>
      <c r="F18" s="34"/>
      <c r="G18" s="34"/>
      <c r="H18" s="34"/>
      <c r="I18" s="34"/>
      <c r="J18" s="34"/>
      <c r="K18" s="34"/>
      <c r="L18" s="34"/>
      <c r="M18" s="34"/>
      <c r="N18" s="34"/>
      <c r="O18" s="34"/>
      <c r="P18" s="34"/>
      <c r="Q18" s="34"/>
      <c r="R18" s="34"/>
    </row>
    <row r="19" spans="1:18">
      <c r="A19" s="96"/>
      <c r="B19" s="3"/>
      <c r="C19" s="245" t="s">
        <v>69</v>
      </c>
      <c r="D19" s="154"/>
      <c r="E19" s="154"/>
      <c r="F19" s="154"/>
      <c r="G19" s="154"/>
      <c r="H19" s="154"/>
      <c r="I19" s="154"/>
      <c r="J19" s="154"/>
      <c r="K19" s="154"/>
      <c r="L19" s="154"/>
      <c r="M19" s="154"/>
      <c r="N19" s="154"/>
      <c r="O19" s="154"/>
      <c r="P19" s="154"/>
      <c r="Q19" s="154"/>
      <c r="R19" s="154"/>
    </row>
    <row r="20" spans="1:18">
      <c r="A20" s="96"/>
      <c r="B20" s="3"/>
      <c r="C20" s="245" t="s">
        <v>70</v>
      </c>
      <c r="D20" s="154"/>
      <c r="E20" s="154"/>
      <c r="F20" s="154"/>
      <c r="G20" s="154"/>
      <c r="H20" s="154"/>
      <c r="I20" s="154"/>
      <c r="J20" s="154"/>
      <c r="K20" s="154"/>
      <c r="L20" s="154"/>
      <c r="M20" s="154"/>
      <c r="N20" s="154"/>
      <c r="O20" s="154"/>
      <c r="P20" s="154"/>
      <c r="Q20" s="154"/>
      <c r="R20" s="154"/>
    </row>
    <row r="21" spans="1:18">
      <c r="B21" s="273" t="s">
        <v>191</v>
      </c>
      <c r="C21" s="121"/>
      <c r="D21" s="121"/>
      <c r="E21" s="121"/>
      <c r="F21" s="121"/>
      <c r="G21" s="121"/>
      <c r="H21" s="121"/>
      <c r="I21" s="121"/>
      <c r="J21" s="121"/>
      <c r="K21" s="121"/>
      <c r="L21" s="121"/>
      <c r="M21" s="121"/>
      <c r="N21" s="121"/>
      <c r="O21" s="121"/>
      <c r="P21" s="121"/>
      <c r="Q21" s="121"/>
      <c r="R21" s="121"/>
    </row>
    <row r="22" spans="1:18">
      <c r="A22" s="276"/>
      <c r="B22" s="3">
        <v>1</v>
      </c>
      <c r="C22" s="275" t="s">
        <v>183</v>
      </c>
      <c r="D22" s="154"/>
      <c r="E22" s="154"/>
      <c r="F22" s="154"/>
      <c r="G22" s="154"/>
      <c r="H22" s="154"/>
      <c r="I22" s="154"/>
      <c r="J22" s="154"/>
      <c r="K22" s="154"/>
      <c r="L22" s="154"/>
      <c r="M22" s="154"/>
      <c r="N22" s="154"/>
      <c r="O22" s="154"/>
      <c r="P22" s="154"/>
      <c r="Q22" s="154"/>
      <c r="R22" s="154"/>
    </row>
    <row r="23" spans="1:18">
      <c r="B23" s="3">
        <v>2</v>
      </c>
      <c r="C23" s="275" t="s">
        <v>184</v>
      </c>
      <c r="D23" s="154"/>
      <c r="E23" s="154"/>
      <c r="F23" s="154"/>
      <c r="G23" s="154"/>
      <c r="H23" s="154"/>
      <c r="I23" s="154"/>
      <c r="J23" s="154"/>
      <c r="K23" s="154"/>
      <c r="L23" s="154"/>
      <c r="M23" s="154"/>
      <c r="N23" s="154"/>
      <c r="O23" s="154"/>
      <c r="P23" s="154"/>
      <c r="Q23" s="154"/>
      <c r="R23" s="154"/>
    </row>
    <row r="24" spans="1:18">
      <c r="B24" s="3">
        <v>3</v>
      </c>
      <c r="C24" s="275" t="s">
        <v>185</v>
      </c>
      <c r="D24" s="154"/>
      <c r="E24" s="154"/>
      <c r="F24" s="154"/>
      <c r="G24" s="154"/>
      <c r="H24" s="154"/>
      <c r="I24" s="154"/>
      <c r="J24" s="154"/>
      <c r="K24" s="154"/>
      <c r="L24" s="154"/>
      <c r="M24" s="154"/>
      <c r="N24" s="154"/>
      <c r="O24" s="154"/>
      <c r="P24" s="154"/>
      <c r="Q24" s="154"/>
      <c r="R24" s="154"/>
    </row>
    <row r="25" spans="1:18">
      <c r="B25" s="274">
        <v>4</v>
      </c>
      <c r="C25" s="275" t="s">
        <v>186</v>
      </c>
      <c r="D25" s="154"/>
      <c r="E25" s="154"/>
      <c r="F25" s="154"/>
      <c r="G25" s="154"/>
      <c r="H25" s="154"/>
      <c r="I25" s="154"/>
      <c r="J25" s="154"/>
      <c r="K25" s="154"/>
      <c r="L25" s="154"/>
      <c r="M25" s="154"/>
      <c r="N25" s="154"/>
      <c r="O25" s="154"/>
      <c r="P25" s="154"/>
      <c r="Q25" s="154"/>
      <c r="R25" s="154"/>
    </row>
    <row r="26" spans="1:18" ht="13.5" thickBot="1">
      <c r="B26" s="274">
        <v>5</v>
      </c>
      <c r="C26" s="275" t="s">
        <v>187</v>
      </c>
      <c r="D26" s="154"/>
      <c r="E26" s="154"/>
      <c r="F26" s="154"/>
      <c r="G26" s="154"/>
      <c r="H26" s="154"/>
      <c r="I26" s="154"/>
      <c r="J26" s="154"/>
      <c r="K26" s="154"/>
      <c r="L26" s="154"/>
      <c r="M26" s="154"/>
      <c r="N26" s="154"/>
      <c r="O26" s="154"/>
      <c r="P26" s="154"/>
      <c r="Q26" s="154"/>
      <c r="R26" s="154"/>
    </row>
    <row r="27" spans="1:18" ht="12" customHeight="1" thickBot="1">
      <c r="B27" s="3"/>
      <c r="C27" s="37" t="s">
        <v>54</v>
      </c>
      <c r="D27" s="38" t="str">
        <f>IF(COUNTIF(D22:D26,"A")&gt;4,"C",IF(COUNTIF(D22:D26,"A")&gt;0,"P"," "))</f>
        <v xml:space="preserve"> </v>
      </c>
      <c r="E27" s="38" t="str">
        <f t="shared" ref="E27:R27" si="0">IF(COUNTIF(E22:E26,"A")&gt;4,"C",IF(COUNTIF(E22:E26,"A")&gt;0,"P"," "))</f>
        <v xml:space="preserve"> </v>
      </c>
      <c r="F27" s="38" t="str">
        <f t="shared" si="0"/>
        <v xml:space="preserve"> </v>
      </c>
      <c r="G27" s="38" t="str">
        <f t="shared" si="0"/>
        <v xml:space="preserve"> </v>
      </c>
      <c r="H27" s="38" t="str">
        <f t="shared" si="0"/>
        <v xml:space="preserve"> </v>
      </c>
      <c r="I27" s="38" t="str">
        <f t="shared" si="0"/>
        <v xml:space="preserve"> </v>
      </c>
      <c r="J27" s="38" t="str">
        <f t="shared" si="0"/>
        <v xml:space="preserve"> </v>
      </c>
      <c r="K27" s="38" t="str">
        <f t="shared" si="0"/>
        <v xml:space="preserve"> </v>
      </c>
      <c r="L27" s="38" t="str">
        <f t="shared" si="0"/>
        <v xml:space="preserve"> </v>
      </c>
      <c r="M27" s="38" t="str">
        <f t="shared" si="0"/>
        <v xml:space="preserve"> </v>
      </c>
      <c r="N27" s="38" t="str">
        <f t="shared" si="0"/>
        <v xml:space="preserve"> </v>
      </c>
      <c r="O27" s="38" t="str">
        <f t="shared" si="0"/>
        <v xml:space="preserve"> </v>
      </c>
      <c r="P27" s="38" t="str">
        <f t="shared" si="0"/>
        <v xml:space="preserve"> </v>
      </c>
      <c r="Q27" s="38" t="str">
        <f t="shared" si="0"/>
        <v xml:space="preserve"> </v>
      </c>
      <c r="R27" s="38" t="str">
        <f t="shared" si="0"/>
        <v xml:space="preserve"> </v>
      </c>
    </row>
    <row r="28" spans="1:18">
      <c r="B28" s="273" t="s">
        <v>192</v>
      </c>
      <c r="C28" s="121"/>
      <c r="D28" s="121"/>
      <c r="E28" s="121"/>
      <c r="F28" s="121"/>
      <c r="G28" s="121"/>
      <c r="H28" s="121"/>
      <c r="I28" s="121"/>
      <c r="J28" s="121"/>
      <c r="K28" s="121"/>
      <c r="L28" s="121"/>
      <c r="M28" s="121"/>
      <c r="N28" s="121"/>
      <c r="O28" s="121"/>
      <c r="P28" s="121"/>
      <c r="Q28" s="121"/>
      <c r="R28" s="121"/>
    </row>
    <row r="29" spans="1:18">
      <c r="A29" s="276"/>
      <c r="B29" s="3">
        <v>1</v>
      </c>
      <c r="C29" s="275" t="s">
        <v>183</v>
      </c>
      <c r="D29" s="154"/>
      <c r="E29" s="154"/>
      <c r="F29" s="154"/>
      <c r="G29" s="154"/>
      <c r="H29" s="154"/>
      <c r="I29" s="154"/>
      <c r="J29" s="154"/>
      <c r="K29" s="154"/>
      <c r="L29" s="154"/>
      <c r="M29" s="154"/>
      <c r="N29" s="154"/>
      <c r="O29" s="154"/>
      <c r="P29" s="154"/>
      <c r="Q29" s="154"/>
      <c r="R29" s="154"/>
    </row>
    <row r="30" spans="1:18">
      <c r="B30" s="3">
        <v>2</v>
      </c>
      <c r="C30" s="275" t="s">
        <v>184</v>
      </c>
      <c r="D30" s="154"/>
      <c r="E30" s="154"/>
      <c r="F30" s="154"/>
      <c r="G30" s="154"/>
      <c r="H30" s="154"/>
      <c r="I30" s="154"/>
      <c r="J30" s="154"/>
      <c r="K30" s="154"/>
      <c r="L30" s="154"/>
      <c r="M30" s="154"/>
      <c r="N30" s="154"/>
      <c r="O30" s="154"/>
      <c r="P30" s="154"/>
      <c r="Q30" s="154"/>
      <c r="R30" s="154"/>
    </row>
    <row r="31" spans="1:18">
      <c r="B31" s="3">
        <v>3</v>
      </c>
      <c r="C31" s="275" t="s">
        <v>185</v>
      </c>
      <c r="D31" s="154"/>
      <c r="E31" s="154"/>
      <c r="F31" s="154"/>
      <c r="G31" s="154"/>
      <c r="H31" s="154"/>
      <c r="I31" s="154"/>
      <c r="J31" s="154"/>
      <c r="K31" s="154"/>
      <c r="L31" s="154"/>
      <c r="M31" s="154"/>
      <c r="N31" s="154"/>
      <c r="O31" s="154"/>
      <c r="P31" s="154"/>
      <c r="Q31" s="154"/>
      <c r="R31" s="154"/>
    </row>
    <row r="32" spans="1:18">
      <c r="B32" s="274">
        <v>4</v>
      </c>
      <c r="C32" s="275" t="s">
        <v>186</v>
      </c>
      <c r="D32" s="154"/>
      <c r="E32" s="154"/>
      <c r="F32" s="154"/>
      <c r="G32" s="154"/>
      <c r="H32" s="154"/>
      <c r="I32" s="154"/>
      <c r="J32" s="154"/>
      <c r="K32" s="154"/>
      <c r="L32" s="154"/>
      <c r="M32" s="154"/>
      <c r="N32" s="154"/>
      <c r="O32" s="154"/>
      <c r="P32" s="154"/>
      <c r="Q32" s="154"/>
      <c r="R32" s="154"/>
    </row>
    <row r="33" spans="1:18" ht="13.5" thickBot="1">
      <c r="B33" s="274">
        <v>5</v>
      </c>
      <c r="C33" s="275" t="s">
        <v>187</v>
      </c>
      <c r="D33" s="154"/>
      <c r="E33" s="154"/>
      <c r="F33" s="154"/>
      <c r="G33" s="154"/>
      <c r="H33" s="154"/>
      <c r="I33" s="154"/>
      <c r="J33" s="154"/>
      <c r="K33" s="154"/>
      <c r="L33" s="154"/>
      <c r="M33" s="154"/>
      <c r="N33" s="154"/>
      <c r="O33" s="154"/>
      <c r="P33" s="154"/>
      <c r="Q33" s="154"/>
      <c r="R33" s="154"/>
    </row>
    <row r="34" spans="1:18" ht="12" customHeight="1" thickBot="1">
      <c r="B34" s="3"/>
      <c r="C34" s="37" t="s">
        <v>54</v>
      </c>
      <c r="D34" s="38" t="str">
        <f>IF(COUNTIF(D29:D33,"A")&gt;4,"C",IF(COUNTIF(D29:D33,"A")&gt;0,"P"," "))</f>
        <v xml:space="preserve"> </v>
      </c>
      <c r="E34" s="38" t="str">
        <f t="shared" ref="E34:R34" si="1">IF(COUNTIF(E29:E33,"A")&gt;4,"C",IF(COUNTIF(E29:E33,"A")&gt;0,"P"," "))</f>
        <v xml:space="preserve"> </v>
      </c>
      <c r="F34" s="38" t="str">
        <f t="shared" si="1"/>
        <v xml:space="preserve"> </v>
      </c>
      <c r="G34" s="38" t="str">
        <f t="shared" si="1"/>
        <v xml:space="preserve"> </v>
      </c>
      <c r="H34" s="38" t="str">
        <f t="shared" si="1"/>
        <v xml:space="preserve"> </v>
      </c>
      <c r="I34" s="38" t="str">
        <f t="shared" si="1"/>
        <v xml:space="preserve"> </v>
      </c>
      <c r="J34" s="38" t="str">
        <f t="shared" si="1"/>
        <v xml:space="preserve"> </v>
      </c>
      <c r="K34" s="38" t="str">
        <f t="shared" si="1"/>
        <v xml:space="preserve"> </v>
      </c>
      <c r="L34" s="38" t="str">
        <f t="shared" si="1"/>
        <v xml:space="preserve"> </v>
      </c>
      <c r="M34" s="38" t="str">
        <f t="shared" si="1"/>
        <v xml:space="preserve"> </v>
      </c>
      <c r="N34" s="38" t="str">
        <f t="shared" si="1"/>
        <v xml:space="preserve"> </v>
      </c>
      <c r="O34" s="38" t="str">
        <f t="shared" si="1"/>
        <v xml:space="preserve"> </v>
      </c>
      <c r="P34" s="38" t="str">
        <f t="shared" si="1"/>
        <v xml:space="preserve"> </v>
      </c>
      <c r="Q34" s="38" t="str">
        <f t="shared" si="1"/>
        <v xml:space="preserve"> </v>
      </c>
      <c r="R34" s="38" t="str">
        <f t="shared" si="1"/>
        <v xml:space="preserve"> </v>
      </c>
    </row>
    <row r="35" spans="1:18" s="73" customFormat="1">
      <c r="A35" s="112"/>
      <c r="B35" s="26" t="s">
        <v>189</v>
      </c>
      <c r="C35" s="244"/>
      <c r="D35" s="277" t="s">
        <v>190</v>
      </c>
      <c r="E35" s="34"/>
      <c r="F35" s="34"/>
      <c r="G35" s="34"/>
      <c r="H35" s="34"/>
      <c r="I35" s="34"/>
      <c r="J35" s="34"/>
      <c r="K35" s="34"/>
      <c r="L35" s="34"/>
      <c r="M35" s="34"/>
      <c r="N35" s="34"/>
      <c r="O35" s="34"/>
      <c r="P35" s="34"/>
      <c r="Q35" s="34"/>
      <c r="R35" s="34"/>
    </row>
    <row r="36" spans="1:18" s="73" customFormat="1">
      <c r="A36" s="112"/>
      <c r="B36" s="26"/>
      <c r="C36" s="243" t="s">
        <v>189</v>
      </c>
      <c r="D36" s="154"/>
      <c r="E36" s="154"/>
      <c r="F36" s="154"/>
      <c r="G36" s="154"/>
      <c r="H36" s="154"/>
      <c r="I36" s="23"/>
      <c r="J36" s="23"/>
      <c r="K36" s="23"/>
      <c r="L36" s="23"/>
      <c r="M36" s="23"/>
      <c r="N36" s="23"/>
      <c r="O36" s="23"/>
      <c r="P36" s="23"/>
      <c r="Q36" s="23"/>
      <c r="R36" s="23"/>
    </row>
    <row r="37" spans="1:18">
      <c r="B37" s="246" t="s">
        <v>144</v>
      </c>
      <c r="C37" s="3"/>
      <c r="D37" s="121"/>
      <c r="E37" s="121"/>
      <c r="F37" s="121"/>
      <c r="G37" s="121"/>
      <c r="H37" s="121"/>
      <c r="I37" s="121"/>
      <c r="J37" s="121"/>
      <c r="K37" s="121"/>
      <c r="L37" s="121"/>
      <c r="M37" s="121"/>
      <c r="N37" s="121"/>
      <c r="O37" s="121"/>
      <c r="P37" s="121"/>
      <c r="Q37" s="121"/>
      <c r="R37" s="121"/>
    </row>
    <row r="38" spans="1:18">
      <c r="B38" s="3"/>
      <c r="C38" s="272" t="s">
        <v>144</v>
      </c>
      <c r="D38" s="288" t="str">
        <f>IF(COUNTIF('Journey Awards'!D11:'Journey Awards'!D27,"C")=3,"C",IF(COUNTIF('Journey Awards'!D11:'Journey Awards'!D27,"C")&gt;0,"P"," "))</f>
        <v xml:space="preserve"> </v>
      </c>
      <c r="E38" s="288" t="str">
        <f>IF(COUNTIF('Journey Awards'!E11:'Journey Awards'!E27,"C")=3,"C",IF(COUNTIF('Journey Awards'!E11:'Journey Awards'!E27,"C")&gt;0,"P"," "))</f>
        <v xml:space="preserve"> </v>
      </c>
      <c r="F38" s="288" t="str">
        <f>IF(COUNTIF('Journey Awards'!F11:'Journey Awards'!F27,"C")=3,"C",IF(COUNTIF('Journey Awards'!F11:'Journey Awards'!F27,"C")&gt;0,"P"," "))</f>
        <v xml:space="preserve"> </v>
      </c>
      <c r="G38" s="288" t="str">
        <f>IF(COUNTIF('Journey Awards'!G11:'Journey Awards'!G27,"C")=3,"C",IF(COUNTIF('Journey Awards'!G11:'Journey Awards'!G27,"C")&gt;0,"P"," "))</f>
        <v xml:space="preserve"> </v>
      </c>
      <c r="H38" s="288" t="str">
        <f>IF(COUNTIF('Journey Awards'!H11:'Journey Awards'!H27,"C")=3,"C",IF(COUNTIF('Journey Awards'!H11:'Journey Awards'!H27,"C")&gt;0,"P"," "))</f>
        <v xml:space="preserve"> </v>
      </c>
      <c r="I38" s="288" t="str">
        <f>IF(COUNTIF('Journey Awards'!I11:'Journey Awards'!I27,"C")=3,"C",IF(COUNTIF('Journey Awards'!I11:'Journey Awards'!I27,"C")&gt;0,"P"," "))</f>
        <v xml:space="preserve"> </v>
      </c>
      <c r="J38" s="288" t="str">
        <f>IF(COUNTIF('Journey Awards'!J11:'Journey Awards'!J27,"C")=3,"C",IF(COUNTIF('Journey Awards'!J11:'Journey Awards'!J27,"C")&gt;0,"P"," "))</f>
        <v xml:space="preserve"> </v>
      </c>
      <c r="K38" s="288" t="str">
        <f>IF(COUNTIF('Journey Awards'!K11:'Journey Awards'!K27,"C")=3,"C",IF(COUNTIF('Journey Awards'!K11:'Journey Awards'!K27,"C")&gt;0,"P"," "))</f>
        <v xml:space="preserve"> </v>
      </c>
      <c r="L38" s="288" t="str">
        <f>IF(COUNTIF('Journey Awards'!L11:'Journey Awards'!L27,"C")=3,"C",IF(COUNTIF('Journey Awards'!L11:'Journey Awards'!L27,"C")&gt;0,"P"," "))</f>
        <v xml:space="preserve"> </v>
      </c>
      <c r="M38" s="288" t="str">
        <f>IF(COUNTIF('Journey Awards'!M11:'Journey Awards'!M27,"C")=3,"C",IF(COUNTIF('Journey Awards'!M11:'Journey Awards'!M27,"C")&gt;0,"P"," "))</f>
        <v xml:space="preserve"> </v>
      </c>
      <c r="N38" s="288" t="str">
        <f>IF(COUNTIF('Journey Awards'!N11:'Journey Awards'!N27,"C")=3,"C",IF(COUNTIF('Journey Awards'!N11:'Journey Awards'!N27,"C")&gt;0,"P"," "))</f>
        <v xml:space="preserve"> </v>
      </c>
      <c r="O38" s="288" t="str">
        <f>IF(COUNTIF('Journey Awards'!O11:'Journey Awards'!O27,"C")=3,"C",IF(COUNTIF('Journey Awards'!O11:'Journey Awards'!O27,"C")&gt;0,"P"," "))</f>
        <v xml:space="preserve"> </v>
      </c>
      <c r="P38" s="288" t="str">
        <f>IF(COUNTIF('Journey Awards'!P11:'Journey Awards'!P27,"C")=3,"C",IF(COUNTIF('Journey Awards'!P11:'Journey Awards'!P27,"C")&gt;0,"P"," "))</f>
        <v xml:space="preserve"> </v>
      </c>
      <c r="Q38" s="288" t="str">
        <f>IF(COUNTIF('Journey Awards'!Q11:'Journey Awards'!Q27,"C")=3,"C",IF(COUNTIF('Journey Awards'!Q11:'Journey Awards'!Q27,"C")&gt;0,"P"," "))</f>
        <v xml:space="preserve"> </v>
      </c>
      <c r="R38" s="288" t="str">
        <f>IF(COUNTIF('Journey Awards'!R11:'Journey Awards'!R27,"C")=3,"C",IF(COUNTIF('Journey Awards'!R11:'Journey Awards'!R27,"C")&gt;0,"P"," "))</f>
        <v xml:space="preserve"> </v>
      </c>
    </row>
    <row r="39" spans="1:18" ht="13.5" customHeight="1">
      <c r="A39" s="96"/>
      <c r="B39" s="26" t="s">
        <v>194</v>
      </c>
      <c r="C39" s="238"/>
      <c r="D39" s="287"/>
      <c r="E39" s="34"/>
      <c r="F39" s="34"/>
      <c r="G39" s="34"/>
      <c r="H39" s="34"/>
      <c r="I39" s="34"/>
      <c r="J39" s="34"/>
      <c r="K39" s="34"/>
      <c r="L39" s="34"/>
      <c r="M39" s="34"/>
      <c r="N39" s="34"/>
      <c r="O39" s="34"/>
      <c r="P39" s="34"/>
      <c r="Q39" s="34"/>
      <c r="R39" s="34"/>
    </row>
    <row r="40" spans="1:18" ht="13.5" customHeight="1">
      <c r="A40" s="96"/>
      <c r="B40" s="278">
        <v>1</v>
      </c>
      <c r="C40" s="243" t="s">
        <v>195</v>
      </c>
      <c r="D40" s="154"/>
      <c r="E40" s="154"/>
      <c r="F40" s="154"/>
      <c r="G40" s="154"/>
      <c r="H40" s="154"/>
      <c r="I40" s="154"/>
      <c r="J40" s="154"/>
      <c r="K40" s="154"/>
      <c r="L40" s="154"/>
      <c r="M40" s="154"/>
      <c r="N40" s="154"/>
      <c r="O40" s="154"/>
      <c r="P40" s="154"/>
      <c r="Q40" s="154"/>
      <c r="R40" s="154"/>
    </row>
    <row r="41" spans="1:18" ht="13.5" customHeight="1">
      <c r="A41" s="96"/>
      <c r="B41" s="240">
        <v>2</v>
      </c>
      <c r="C41" s="243" t="s">
        <v>196</v>
      </c>
      <c r="D41" s="154"/>
      <c r="E41" s="154"/>
      <c r="F41" s="154"/>
      <c r="G41" s="154"/>
      <c r="H41" s="154"/>
      <c r="I41" s="154"/>
      <c r="J41" s="154"/>
      <c r="K41" s="154"/>
      <c r="L41" s="154"/>
      <c r="M41" s="154"/>
      <c r="N41" s="154"/>
      <c r="O41" s="154"/>
      <c r="P41" s="154"/>
      <c r="Q41" s="154"/>
      <c r="R41" s="154"/>
    </row>
    <row r="42" spans="1:18" ht="13.5" customHeight="1" thickBot="1">
      <c r="A42" s="96"/>
      <c r="B42" s="3">
        <v>3</v>
      </c>
      <c r="C42" s="243" t="s">
        <v>197</v>
      </c>
      <c r="D42" s="154"/>
      <c r="E42" s="154"/>
      <c r="F42" s="154"/>
      <c r="G42" s="154"/>
      <c r="H42" s="154"/>
      <c r="I42" s="154"/>
      <c r="J42" s="154"/>
      <c r="K42" s="154"/>
      <c r="L42" s="154"/>
      <c r="M42" s="154"/>
      <c r="N42" s="154"/>
      <c r="O42" s="154"/>
      <c r="P42" s="154"/>
      <c r="Q42" s="154"/>
      <c r="R42" s="154"/>
    </row>
    <row r="43" spans="1:18" ht="12" customHeight="1" thickBot="1">
      <c r="B43" s="3"/>
      <c r="C43" s="37" t="s">
        <v>54</v>
      </c>
      <c r="D43" s="38" t="str">
        <f>IF(COUNTIF(D40:D42,"A")=3,"C",IF(COUNTIF(D40:D42,"A")&gt;0,"P"," "))</f>
        <v xml:space="preserve"> </v>
      </c>
      <c r="E43" s="38" t="str">
        <f t="shared" ref="E43:R43" si="2">IF(COUNTIF(E40:E42,"A")=3,"C",IF(COUNTIF(E40:E42,"A")&gt;0,"P"," "))</f>
        <v xml:space="preserve"> </v>
      </c>
      <c r="F43" s="38" t="str">
        <f t="shared" si="2"/>
        <v xml:space="preserve"> </v>
      </c>
      <c r="G43" s="38" t="str">
        <f t="shared" si="2"/>
        <v xml:space="preserve"> </v>
      </c>
      <c r="H43" s="38" t="str">
        <f t="shared" si="2"/>
        <v xml:space="preserve"> </v>
      </c>
      <c r="I43" s="38" t="str">
        <f t="shared" si="2"/>
        <v xml:space="preserve"> </v>
      </c>
      <c r="J43" s="38" t="str">
        <f t="shared" si="2"/>
        <v xml:space="preserve"> </v>
      </c>
      <c r="K43" s="38" t="str">
        <f t="shared" si="2"/>
        <v xml:space="preserve"> </v>
      </c>
      <c r="L43" s="38" t="str">
        <f t="shared" si="2"/>
        <v xml:space="preserve"> </v>
      </c>
      <c r="M43" s="38" t="str">
        <f t="shared" si="2"/>
        <v xml:space="preserve"> </v>
      </c>
      <c r="N43" s="38" t="str">
        <f t="shared" si="2"/>
        <v xml:space="preserve"> </v>
      </c>
      <c r="O43" s="38" t="str">
        <f t="shared" si="2"/>
        <v xml:space="preserve"> </v>
      </c>
      <c r="P43" s="38" t="str">
        <f t="shared" si="2"/>
        <v xml:space="preserve"> </v>
      </c>
      <c r="Q43" s="38" t="str">
        <f t="shared" si="2"/>
        <v xml:space="preserve"> </v>
      </c>
      <c r="R43" s="38" t="str">
        <f t="shared" si="2"/>
        <v xml:space="preserve"> </v>
      </c>
    </row>
  </sheetData>
  <sheetProtection password="C45A" sheet="1" objects="1" scenarios="1" selectLockedCells="1"/>
  <mergeCells count="16">
    <mergeCell ref="B4:C4"/>
    <mergeCell ref="D1:D4"/>
    <mergeCell ref="E1:E4"/>
    <mergeCell ref="F1:F4"/>
    <mergeCell ref="Q1:Q4"/>
    <mergeCell ref="G1:G4"/>
    <mergeCell ref="H1:H4"/>
    <mergeCell ref="I1:I4"/>
    <mergeCell ref="R1:R4"/>
    <mergeCell ref="P1:P4"/>
    <mergeCell ref="N1:N4"/>
    <mergeCell ref="O1:O4"/>
    <mergeCell ref="J1:J4"/>
    <mergeCell ref="K1:K4"/>
    <mergeCell ref="L1:L4"/>
    <mergeCell ref="M1:M4"/>
  </mergeCells>
  <phoneticPr fontId="7" type="noConversion"/>
  <hyperlinks>
    <hyperlink ref="D15" r:id="rId1"/>
    <hyperlink ref="D35" r:id="rId2"/>
    <hyperlink ref="D5" r:id="rId3"/>
  </hyperlinks>
  <pageMargins left="0.75" right="0.75" top="1" bottom="0.5" header="0.25" footer="0.25"/>
  <pageSetup scale="94" orientation="portrait" horizontalDpi="300" verticalDpi="300" r:id="rId4"/>
  <headerFooter alignWithMargins="0">
    <oddHeader>&amp;C&amp;"Arial,Bold"&amp;14DaisyTrax
&amp;12Age-Level Awards - &amp;D</oddHeader>
  </headerFooter>
  <legacy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62"/>
    <pageSetUpPr fitToPage="1"/>
  </sheetPr>
  <dimension ref="A1:R44"/>
  <sheetViews>
    <sheetView showGridLines="0" workbookViewId="0">
      <pane ySplit="4" topLeftCell="A5" activePane="bottomLeft" state="frozen"/>
      <selection pane="bottomLeft" activeCell="D5" sqref="D5"/>
    </sheetView>
  </sheetViews>
  <sheetFormatPr defaultRowHeight="12.75"/>
  <cols>
    <col min="1" max="1" width="2.7109375" style="120" customWidth="1"/>
    <col min="2" max="2" width="9.7109375" style="3" customWidth="1"/>
    <col min="3" max="3" width="32.7109375" style="3" customWidth="1"/>
    <col min="4" max="18" width="3.28515625" style="121" customWidth="1"/>
    <col min="19" max="16384" width="9.140625" style="3"/>
  </cols>
  <sheetData>
    <row r="1" spans="1:18" ht="12.75" customHeight="1">
      <c r="A1" s="113"/>
      <c r="B1" s="114" t="s">
        <v>55</v>
      </c>
      <c r="C1" s="115">
        <f>Instructions!E3</f>
        <v>0</v>
      </c>
      <c r="D1" s="323" t="str">
        <f ca="1">'Daisy 1'!$A1</f>
        <v>Daisy 1</v>
      </c>
      <c r="E1" s="323" t="str">
        <f ca="1">'Daisy 2'!$A1</f>
        <v>Daisy 2</v>
      </c>
      <c r="F1" s="323" t="str">
        <f ca="1">'Daisy 3'!$A1</f>
        <v>Daisy 3</v>
      </c>
      <c r="G1" s="323" t="str">
        <f ca="1">'Daisy 4'!$A1</f>
        <v>Daisy 4</v>
      </c>
      <c r="H1" s="323" t="str">
        <f ca="1">'Daisy 5'!$A1</f>
        <v>Daisy 5</v>
      </c>
      <c r="I1" s="323" t="str">
        <f ca="1">'Daisy 6'!$A1</f>
        <v>Daisy 6</v>
      </c>
      <c r="J1" s="323" t="str">
        <f ca="1">'Daisy 7'!$A1</f>
        <v>Daisy 7</v>
      </c>
      <c r="K1" s="323" t="str">
        <f ca="1">'Daisy 8'!$A1</f>
        <v>Daisy 8</v>
      </c>
      <c r="L1" s="323" t="str">
        <f ca="1">'Daisy 9'!$A1</f>
        <v>Daisy 9</v>
      </c>
      <c r="M1" s="323" t="str">
        <f ca="1">'Daisy 10'!$A1</f>
        <v>Daisy 10</v>
      </c>
      <c r="N1" s="323" t="str">
        <f ca="1">'Daisy 11'!$A1</f>
        <v>Daisy 11</v>
      </c>
      <c r="O1" s="323" t="str">
        <f ca="1">'Daisy 12'!$A1</f>
        <v>Daisy 12</v>
      </c>
      <c r="P1" s="323" t="str">
        <f ca="1">'Daisy 13'!$A1</f>
        <v>Daisy 13</v>
      </c>
      <c r="Q1" s="323" t="str">
        <f ca="1">'Daisy 14'!$A1</f>
        <v>Daisy 14</v>
      </c>
      <c r="R1" s="323" t="str">
        <f ca="1">'Daisy 15'!$A1</f>
        <v>Daisy 15</v>
      </c>
    </row>
    <row r="2" spans="1:18" ht="15">
      <c r="A2" s="113"/>
      <c r="B2" s="116" t="s">
        <v>42</v>
      </c>
      <c r="C2" s="117">
        <f>Instructions!E5</f>
        <v>0</v>
      </c>
      <c r="D2" s="323"/>
      <c r="E2" s="323"/>
      <c r="F2" s="323"/>
      <c r="G2" s="323"/>
      <c r="H2" s="323"/>
      <c r="I2" s="323"/>
      <c r="J2" s="323"/>
      <c r="K2" s="323"/>
      <c r="L2" s="323"/>
      <c r="M2" s="323"/>
      <c r="N2" s="323"/>
      <c r="O2" s="323"/>
      <c r="P2" s="323"/>
      <c r="Q2" s="323"/>
      <c r="R2" s="323"/>
    </row>
    <row r="3" spans="1:18">
      <c r="A3" s="113"/>
      <c r="C3" s="283"/>
      <c r="D3" s="323"/>
      <c r="E3" s="323"/>
      <c r="F3" s="323"/>
      <c r="G3" s="323"/>
      <c r="H3" s="323"/>
      <c r="I3" s="323"/>
      <c r="J3" s="323"/>
      <c r="K3" s="323"/>
      <c r="L3" s="323"/>
      <c r="M3" s="323"/>
      <c r="N3" s="323"/>
      <c r="O3" s="323"/>
      <c r="P3" s="323"/>
      <c r="Q3" s="323"/>
      <c r="R3" s="323"/>
    </row>
    <row r="4" spans="1:18">
      <c r="A4" s="113"/>
      <c r="B4" s="355" t="s">
        <v>109</v>
      </c>
      <c r="C4" s="356"/>
      <c r="D4" s="324"/>
      <c r="E4" s="324"/>
      <c r="F4" s="324"/>
      <c r="G4" s="324"/>
      <c r="H4" s="324"/>
      <c r="I4" s="324"/>
      <c r="J4" s="324"/>
      <c r="K4" s="324"/>
      <c r="L4" s="324"/>
      <c r="M4" s="324"/>
      <c r="N4" s="324"/>
      <c r="O4" s="324"/>
      <c r="P4" s="324"/>
      <c r="Q4" s="324"/>
      <c r="R4" s="324"/>
    </row>
    <row r="5" spans="1:18">
      <c r="A5" s="118"/>
      <c r="C5" s="70" t="s">
        <v>63</v>
      </c>
      <c r="D5" s="154"/>
      <c r="E5" s="23"/>
      <c r="F5" s="23"/>
      <c r="G5" s="23"/>
      <c r="H5" s="23"/>
      <c r="I5" s="23"/>
      <c r="J5" s="23"/>
      <c r="K5" s="23"/>
      <c r="L5" s="23"/>
      <c r="M5" s="23"/>
      <c r="N5" s="23"/>
      <c r="O5" s="23"/>
      <c r="P5" s="23"/>
      <c r="Q5" s="23"/>
      <c r="R5" s="23"/>
    </row>
    <row r="6" spans="1:18">
      <c r="A6" s="118"/>
      <c r="C6" s="70" t="s">
        <v>63</v>
      </c>
      <c r="D6" s="154"/>
      <c r="E6" s="23"/>
      <c r="F6" s="23"/>
      <c r="G6" s="23"/>
      <c r="H6" s="23"/>
      <c r="I6" s="23"/>
      <c r="J6" s="23"/>
      <c r="K6" s="23"/>
      <c r="L6" s="23"/>
      <c r="M6" s="23"/>
      <c r="N6" s="23"/>
      <c r="O6" s="23"/>
      <c r="P6" s="23"/>
      <c r="Q6" s="23"/>
      <c r="R6" s="23"/>
    </row>
    <row r="7" spans="1:18">
      <c r="A7" s="118"/>
      <c r="C7" s="70" t="s">
        <v>63</v>
      </c>
      <c r="D7" s="154"/>
      <c r="E7" s="23"/>
      <c r="F7" s="23"/>
      <c r="G7" s="23"/>
      <c r="H7" s="23"/>
      <c r="I7" s="23"/>
      <c r="J7" s="23"/>
      <c r="K7" s="23"/>
      <c r="L7" s="23"/>
      <c r="M7" s="23"/>
      <c r="N7" s="23"/>
      <c r="O7" s="23"/>
      <c r="P7" s="23"/>
      <c r="Q7" s="23"/>
      <c r="R7" s="23"/>
    </row>
    <row r="8" spans="1:18">
      <c r="A8" s="118"/>
      <c r="C8" s="70" t="s">
        <v>63</v>
      </c>
      <c r="D8" s="154"/>
      <c r="E8" s="23"/>
      <c r="F8" s="23"/>
      <c r="G8" s="23"/>
      <c r="H8" s="23"/>
      <c r="I8" s="23"/>
      <c r="J8" s="23"/>
      <c r="K8" s="23"/>
      <c r="L8" s="23"/>
      <c r="M8" s="23"/>
      <c r="N8" s="23"/>
      <c r="O8" s="23"/>
      <c r="P8" s="23"/>
      <c r="Q8" s="23"/>
      <c r="R8" s="23"/>
    </row>
    <row r="9" spans="1:18">
      <c r="A9" s="118"/>
      <c r="C9" s="70" t="s">
        <v>63</v>
      </c>
      <c r="D9" s="154"/>
      <c r="E9" s="23"/>
      <c r="F9" s="23"/>
      <c r="G9" s="23"/>
      <c r="H9" s="23"/>
      <c r="I9" s="23"/>
      <c r="J9" s="23"/>
      <c r="K9" s="23"/>
      <c r="L9" s="23"/>
      <c r="M9" s="23"/>
      <c r="N9" s="23"/>
      <c r="O9" s="23"/>
      <c r="P9" s="23"/>
      <c r="Q9" s="23"/>
      <c r="R9" s="23"/>
    </row>
    <row r="10" spans="1:18">
      <c r="A10" s="118"/>
      <c r="C10" s="70" t="s">
        <v>63</v>
      </c>
      <c r="D10" s="154"/>
      <c r="E10" s="23"/>
      <c r="F10" s="23"/>
      <c r="G10" s="23"/>
      <c r="H10" s="23"/>
      <c r="I10" s="23"/>
      <c r="J10" s="23"/>
      <c r="K10" s="23"/>
      <c r="L10" s="23"/>
      <c r="M10" s="23"/>
      <c r="N10" s="23"/>
      <c r="O10" s="23"/>
      <c r="P10" s="23"/>
      <c r="Q10" s="23"/>
      <c r="R10" s="23"/>
    </row>
    <row r="11" spans="1:18">
      <c r="A11" s="118"/>
      <c r="C11" s="70" t="s">
        <v>63</v>
      </c>
      <c r="D11" s="154"/>
      <c r="E11" s="23"/>
      <c r="F11" s="23"/>
      <c r="G11" s="23"/>
      <c r="H11" s="23"/>
      <c r="I11" s="23"/>
      <c r="J11" s="23"/>
      <c r="K11" s="23"/>
      <c r="L11" s="23"/>
      <c r="M11" s="23"/>
      <c r="N11" s="23"/>
      <c r="O11" s="23"/>
      <c r="P11" s="23"/>
      <c r="Q11" s="23"/>
      <c r="R11" s="23"/>
    </row>
    <row r="12" spans="1:18">
      <c r="A12" s="118"/>
      <c r="C12" s="70" t="s">
        <v>63</v>
      </c>
      <c r="D12" s="154"/>
      <c r="E12" s="23"/>
      <c r="F12" s="23"/>
      <c r="G12" s="23"/>
      <c r="H12" s="23"/>
      <c r="I12" s="23"/>
      <c r="J12" s="23"/>
      <c r="K12" s="23"/>
      <c r="L12" s="23"/>
      <c r="M12" s="23"/>
      <c r="N12" s="23"/>
      <c r="O12" s="23"/>
      <c r="P12" s="23"/>
      <c r="Q12" s="23"/>
      <c r="R12" s="23"/>
    </row>
    <row r="13" spans="1:18">
      <c r="A13" s="118"/>
      <c r="C13" s="70" t="s">
        <v>63</v>
      </c>
      <c r="D13" s="154"/>
      <c r="E13" s="23"/>
      <c r="F13" s="23"/>
      <c r="G13" s="23"/>
      <c r="H13" s="23"/>
      <c r="I13" s="23"/>
      <c r="J13" s="23"/>
      <c r="K13" s="23"/>
      <c r="L13" s="23"/>
      <c r="M13" s="23"/>
      <c r="N13" s="23"/>
      <c r="O13" s="23"/>
      <c r="P13" s="23"/>
      <c r="Q13" s="23"/>
      <c r="R13" s="23"/>
    </row>
    <row r="14" spans="1:18">
      <c r="A14" s="118"/>
      <c r="C14" s="70" t="s">
        <v>63</v>
      </c>
      <c r="D14" s="154"/>
      <c r="E14" s="23"/>
      <c r="F14" s="23"/>
      <c r="G14" s="23"/>
      <c r="H14" s="23"/>
      <c r="I14" s="23"/>
      <c r="J14" s="23"/>
      <c r="K14" s="23"/>
      <c r="L14" s="23"/>
      <c r="M14" s="23"/>
      <c r="N14" s="23"/>
      <c r="O14" s="23"/>
      <c r="P14" s="23"/>
      <c r="Q14" s="23"/>
      <c r="R14" s="23"/>
    </row>
    <row r="15" spans="1:18">
      <c r="A15" s="118"/>
      <c r="C15" s="70" t="s">
        <v>63</v>
      </c>
      <c r="D15" s="23"/>
      <c r="E15" s="23"/>
      <c r="F15" s="23"/>
      <c r="G15" s="23"/>
      <c r="H15" s="23"/>
      <c r="I15" s="23"/>
      <c r="J15" s="23"/>
      <c r="K15" s="23"/>
      <c r="L15" s="23"/>
      <c r="M15" s="23"/>
      <c r="N15" s="23"/>
      <c r="O15" s="23"/>
      <c r="P15" s="23"/>
      <c r="Q15" s="23"/>
      <c r="R15" s="23"/>
    </row>
    <row r="16" spans="1:18">
      <c r="A16" s="118"/>
      <c r="C16" s="70" t="s">
        <v>63</v>
      </c>
      <c r="D16" s="154"/>
      <c r="E16" s="23"/>
      <c r="F16" s="23"/>
      <c r="G16" s="23"/>
      <c r="H16" s="23"/>
      <c r="I16" s="23"/>
      <c r="J16" s="23"/>
      <c r="K16" s="23"/>
      <c r="L16" s="23"/>
      <c r="M16" s="23"/>
      <c r="N16" s="23"/>
      <c r="O16" s="23"/>
      <c r="P16" s="23"/>
      <c r="Q16" s="23"/>
      <c r="R16" s="23"/>
    </row>
    <row r="17" spans="1:18">
      <c r="A17" s="118"/>
      <c r="C17" s="70" t="s">
        <v>63</v>
      </c>
      <c r="D17" s="154"/>
      <c r="E17" s="23"/>
      <c r="F17" s="23"/>
      <c r="G17" s="23"/>
      <c r="H17" s="23"/>
      <c r="I17" s="23"/>
      <c r="J17" s="23"/>
      <c r="K17" s="23"/>
      <c r="L17" s="23"/>
      <c r="M17" s="23"/>
      <c r="N17" s="23"/>
      <c r="O17" s="23"/>
      <c r="P17" s="23"/>
      <c r="Q17" s="23"/>
      <c r="R17" s="23"/>
    </row>
    <row r="18" spans="1:18">
      <c r="A18" s="118"/>
      <c r="C18" s="70" t="s">
        <v>63</v>
      </c>
      <c r="D18" s="154"/>
      <c r="E18" s="23"/>
      <c r="F18" s="23"/>
      <c r="G18" s="23"/>
      <c r="H18" s="23"/>
      <c r="I18" s="23"/>
      <c r="J18" s="23"/>
      <c r="K18" s="23"/>
      <c r="L18" s="23"/>
      <c r="M18" s="23"/>
      <c r="N18" s="23"/>
      <c r="O18" s="23"/>
      <c r="P18" s="23"/>
      <c r="Q18" s="23"/>
      <c r="R18" s="23"/>
    </row>
    <row r="19" spans="1:18">
      <c r="A19" s="118"/>
      <c r="C19" s="70" t="s">
        <v>63</v>
      </c>
      <c r="D19" s="154"/>
      <c r="E19" s="23"/>
      <c r="F19" s="23"/>
      <c r="G19" s="23"/>
      <c r="H19" s="23"/>
      <c r="I19" s="23"/>
      <c r="J19" s="23"/>
      <c r="K19" s="23"/>
      <c r="L19" s="23"/>
      <c r="M19" s="23"/>
      <c r="N19" s="23"/>
      <c r="O19" s="23"/>
      <c r="P19" s="23"/>
      <c r="Q19" s="23"/>
      <c r="R19" s="23"/>
    </row>
    <row r="20" spans="1:18">
      <c r="A20" s="118"/>
      <c r="C20" s="70" t="s">
        <v>63</v>
      </c>
      <c r="D20" s="154"/>
      <c r="E20" s="23"/>
      <c r="F20" s="23"/>
      <c r="G20" s="23"/>
      <c r="H20" s="23"/>
      <c r="I20" s="23"/>
      <c r="J20" s="23"/>
      <c r="K20" s="23"/>
      <c r="L20" s="23"/>
      <c r="M20" s="23"/>
      <c r="N20" s="23"/>
      <c r="O20" s="23"/>
      <c r="P20" s="23"/>
      <c r="Q20" s="23"/>
      <c r="R20" s="23"/>
    </row>
    <row r="21" spans="1:18">
      <c r="A21" s="118"/>
      <c r="C21" s="70" t="s">
        <v>63</v>
      </c>
      <c r="D21" s="154"/>
      <c r="E21" s="23"/>
      <c r="F21" s="23"/>
      <c r="G21" s="23"/>
      <c r="H21" s="23"/>
      <c r="I21" s="23"/>
      <c r="J21" s="23"/>
      <c r="K21" s="23"/>
      <c r="L21" s="23"/>
      <c r="M21" s="23"/>
      <c r="N21" s="23"/>
      <c r="O21" s="23"/>
      <c r="P21" s="23"/>
      <c r="Q21" s="23"/>
      <c r="R21" s="23"/>
    </row>
    <row r="22" spans="1:18">
      <c r="A22" s="118"/>
      <c r="C22" s="70" t="s">
        <v>63</v>
      </c>
      <c r="D22" s="23"/>
      <c r="E22" s="23"/>
      <c r="F22" s="23"/>
      <c r="G22" s="23"/>
      <c r="H22" s="23"/>
      <c r="I22" s="23"/>
      <c r="J22" s="23"/>
      <c r="K22" s="23"/>
      <c r="L22" s="23"/>
      <c r="M22" s="23"/>
      <c r="N22" s="23"/>
      <c r="O22" s="23"/>
      <c r="P22" s="23"/>
      <c r="Q22" s="23"/>
      <c r="R22" s="23"/>
    </row>
    <row r="23" spans="1:18">
      <c r="A23" s="118"/>
      <c r="C23" s="70" t="s">
        <v>63</v>
      </c>
      <c r="D23" s="154"/>
      <c r="E23" s="23"/>
      <c r="F23" s="23"/>
      <c r="G23" s="23"/>
      <c r="H23" s="23"/>
      <c r="I23" s="23"/>
      <c r="J23" s="23"/>
      <c r="K23" s="23"/>
      <c r="L23" s="23"/>
      <c r="M23" s="23"/>
      <c r="N23" s="23"/>
      <c r="O23" s="23"/>
      <c r="P23" s="23"/>
      <c r="Q23" s="23"/>
      <c r="R23" s="23"/>
    </row>
    <row r="24" spans="1:18">
      <c r="A24" s="118"/>
      <c r="C24" s="70" t="s">
        <v>63</v>
      </c>
      <c r="D24" s="154"/>
      <c r="E24" s="23"/>
      <c r="F24" s="23"/>
      <c r="G24" s="23"/>
      <c r="H24" s="23"/>
      <c r="I24" s="23"/>
      <c r="J24" s="23"/>
      <c r="K24" s="23"/>
      <c r="L24" s="23"/>
      <c r="M24" s="23"/>
      <c r="N24" s="23"/>
      <c r="O24" s="23"/>
      <c r="P24" s="23"/>
      <c r="Q24" s="23"/>
      <c r="R24" s="23"/>
    </row>
    <row r="25" spans="1:18">
      <c r="A25" s="119"/>
      <c r="C25" s="70" t="s">
        <v>63</v>
      </c>
      <c r="D25" s="154"/>
      <c r="E25" s="23"/>
      <c r="F25" s="23"/>
      <c r="G25" s="23"/>
      <c r="H25" s="23"/>
      <c r="I25" s="23"/>
      <c r="J25" s="23"/>
      <c r="K25" s="23"/>
      <c r="L25" s="23"/>
      <c r="M25" s="23"/>
      <c r="N25" s="23"/>
      <c r="O25" s="23"/>
      <c r="P25" s="23"/>
      <c r="Q25" s="23"/>
      <c r="R25" s="23"/>
    </row>
    <row r="26" spans="1:18">
      <c r="A26" s="119"/>
      <c r="C26" s="70" t="s">
        <v>63</v>
      </c>
      <c r="D26" s="154"/>
      <c r="E26" s="23"/>
      <c r="F26" s="23"/>
      <c r="G26" s="23"/>
      <c r="H26" s="23"/>
      <c r="I26" s="23"/>
      <c r="J26" s="23"/>
      <c r="K26" s="23"/>
      <c r="L26" s="23"/>
      <c r="M26" s="23"/>
      <c r="N26" s="23"/>
      <c r="O26" s="23"/>
      <c r="P26" s="23"/>
      <c r="Q26" s="23"/>
      <c r="R26" s="23"/>
    </row>
    <row r="27" spans="1:18">
      <c r="A27" s="119"/>
      <c r="C27" s="70" t="s">
        <v>63</v>
      </c>
      <c r="D27" s="154"/>
      <c r="E27" s="23"/>
      <c r="F27" s="23"/>
      <c r="G27" s="23"/>
      <c r="H27" s="23"/>
      <c r="I27" s="23"/>
      <c r="J27" s="23"/>
      <c r="K27" s="23"/>
      <c r="L27" s="23"/>
      <c r="M27" s="23"/>
      <c r="N27" s="23"/>
      <c r="O27" s="23"/>
      <c r="P27" s="23"/>
      <c r="Q27" s="23"/>
      <c r="R27" s="23"/>
    </row>
    <row r="28" spans="1:18">
      <c r="A28" s="119"/>
      <c r="C28" s="70" t="s">
        <v>63</v>
      </c>
      <c r="D28" s="154"/>
      <c r="E28" s="23"/>
      <c r="F28" s="23"/>
      <c r="G28" s="23"/>
      <c r="H28" s="23"/>
      <c r="I28" s="23"/>
      <c r="J28" s="23"/>
      <c r="K28" s="23"/>
      <c r="L28" s="23"/>
      <c r="M28" s="23"/>
      <c r="N28" s="23"/>
      <c r="O28" s="23"/>
      <c r="P28" s="23"/>
      <c r="Q28" s="23"/>
      <c r="R28" s="23"/>
    </row>
    <row r="29" spans="1:18">
      <c r="A29" s="119"/>
      <c r="C29" s="70" t="s">
        <v>63</v>
      </c>
      <c r="D29" s="154"/>
      <c r="E29" s="23"/>
      <c r="F29" s="23"/>
      <c r="G29" s="23"/>
      <c r="H29" s="23"/>
      <c r="I29" s="23"/>
      <c r="J29" s="23"/>
      <c r="K29" s="23"/>
      <c r="L29" s="23"/>
      <c r="M29" s="23"/>
      <c r="N29" s="23"/>
      <c r="O29" s="23"/>
      <c r="P29" s="23"/>
      <c r="Q29" s="23"/>
      <c r="R29" s="23"/>
    </row>
    <row r="30" spans="1:18">
      <c r="A30" s="119"/>
      <c r="C30" s="70" t="s">
        <v>63</v>
      </c>
      <c r="D30" s="154"/>
      <c r="E30" s="23"/>
      <c r="F30" s="23"/>
      <c r="G30" s="23"/>
      <c r="H30" s="23"/>
      <c r="I30" s="23"/>
      <c r="J30" s="23"/>
      <c r="K30" s="23"/>
      <c r="L30" s="23"/>
      <c r="M30" s="23"/>
      <c r="N30" s="23"/>
      <c r="O30" s="23"/>
      <c r="P30" s="23"/>
      <c r="Q30" s="23"/>
      <c r="R30" s="23"/>
    </row>
    <row r="31" spans="1:18">
      <c r="A31" s="119"/>
      <c r="C31" s="70" t="s">
        <v>63</v>
      </c>
      <c r="D31" s="154"/>
      <c r="E31" s="23"/>
      <c r="F31" s="23"/>
      <c r="G31" s="23"/>
      <c r="H31" s="23"/>
      <c r="I31" s="23"/>
      <c r="J31" s="23"/>
      <c r="K31" s="23"/>
      <c r="L31" s="23"/>
      <c r="M31" s="23"/>
      <c r="N31" s="23"/>
      <c r="O31" s="23"/>
      <c r="P31" s="23"/>
      <c r="Q31" s="23"/>
      <c r="R31" s="23"/>
    </row>
    <row r="32" spans="1:18">
      <c r="A32" s="119"/>
      <c r="C32" s="70" t="s">
        <v>63</v>
      </c>
      <c r="D32" s="154"/>
      <c r="E32" s="23"/>
      <c r="F32" s="23"/>
      <c r="G32" s="23"/>
      <c r="H32" s="23"/>
      <c r="I32" s="23"/>
      <c r="J32" s="23"/>
      <c r="K32" s="23"/>
      <c r="L32" s="23"/>
      <c r="M32" s="23"/>
      <c r="N32" s="23"/>
      <c r="O32" s="23"/>
      <c r="P32" s="23"/>
      <c r="Q32" s="23"/>
      <c r="R32" s="23"/>
    </row>
    <row r="33" spans="1:18">
      <c r="A33" s="119"/>
      <c r="C33" s="70" t="s">
        <v>63</v>
      </c>
      <c r="D33" s="23"/>
      <c r="E33" s="23"/>
      <c r="F33" s="23"/>
      <c r="G33" s="23"/>
      <c r="H33" s="23"/>
      <c r="I33" s="23"/>
      <c r="J33" s="23"/>
      <c r="K33" s="23"/>
      <c r="L33" s="23"/>
      <c r="M33" s="23"/>
      <c r="N33" s="23"/>
      <c r="O33" s="23"/>
      <c r="P33" s="23"/>
      <c r="Q33" s="23"/>
      <c r="R33" s="23"/>
    </row>
    <row r="34" spans="1:18">
      <c r="A34" s="119"/>
      <c r="C34" s="70" t="s">
        <v>63</v>
      </c>
      <c r="D34" s="154"/>
      <c r="E34" s="23"/>
      <c r="F34" s="23"/>
      <c r="G34" s="23"/>
      <c r="H34" s="23"/>
      <c r="I34" s="23"/>
      <c r="J34" s="23"/>
      <c r="K34" s="23"/>
      <c r="L34" s="23"/>
      <c r="M34" s="23"/>
      <c r="N34" s="23"/>
      <c r="O34" s="23"/>
      <c r="P34" s="23"/>
      <c r="Q34" s="23"/>
      <c r="R34" s="23"/>
    </row>
    <row r="35" spans="1:18">
      <c r="A35" s="119"/>
      <c r="C35" s="70" t="s">
        <v>63</v>
      </c>
      <c r="D35" s="154"/>
      <c r="E35" s="23"/>
      <c r="F35" s="23"/>
      <c r="G35" s="23"/>
      <c r="H35" s="23"/>
      <c r="I35" s="23"/>
      <c r="J35" s="23"/>
      <c r="K35" s="23"/>
      <c r="L35" s="23"/>
      <c r="M35" s="23"/>
      <c r="N35" s="23"/>
      <c r="O35" s="23"/>
      <c r="P35" s="23"/>
      <c r="Q35" s="23"/>
      <c r="R35" s="23"/>
    </row>
    <row r="36" spans="1:18">
      <c r="A36" s="119"/>
      <c r="C36" s="70" t="s">
        <v>63</v>
      </c>
      <c r="D36" s="154"/>
      <c r="E36" s="23"/>
      <c r="F36" s="23"/>
      <c r="G36" s="23"/>
      <c r="H36" s="23"/>
      <c r="I36" s="23"/>
      <c r="J36" s="23"/>
      <c r="K36" s="23"/>
      <c r="L36" s="23"/>
      <c r="M36" s="23"/>
      <c r="N36" s="23"/>
      <c r="O36" s="23"/>
      <c r="P36" s="23"/>
      <c r="Q36" s="23"/>
      <c r="R36" s="23"/>
    </row>
    <row r="37" spans="1:18">
      <c r="A37" s="119"/>
      <c r="C37" s="70" t="s">
        <v>63</v>
      </c>
      <c r="D37" s="154"/>
      <c r="E37" s="23"/>
      <c r="F37" s="23"/>
      <c r="G37" s="23"/>
      <c r="H37" s="23"/>
      <c r="I37" s="23"/>
      <c r="J37" s="23"/>
      <c r="K37" s="23"/>
      <c r="L37" s="23"/>
      <c r="M37" s="23"/>
      <c r="N37" s="23"/>
      <c r="O37" s="23"/>
      <c r="P37" s="23"/>
      <c r="Q37" s="23"/>
      <c r="R37" s="23"/>
    </row>
    <row r="38" spans="1:18">
      <c r="A38" s="119"/>
      <c r="C38" s="70" t="s">
        <v>63</v>
      </c>
      <c r="D38" s="154"/>
      <c r="E38" s="23"/>
      <c r="F38" s="23"/>
      <c r="G38" s="23"/>
      <c r="H38" s="23"/>
      <c r="I38" s="23"/>
      <c r="J38" s="23"/>
      <c r="K38" s="23"/>
      <c r="L38" s="23"/>
      <c r="M38" s="23"/>
      <c r="N38" s="23"/>
      <c r="O38" s="23"/>
      <c r="P38" s="23"/>
      <c r="Q38" s="23"/>
      <c r="R38" s="23"/>
    </row>
    <row r="39" spans="1:18">
      <c r="A39" s="119"/>
      <c r="C39" s="70" t="s">
        <v>63</v>
      </c>
      <c r="D39" s="154"/>
      <c r="E39" s="23"/>
      <c r="F39" s="23"/>
      <c r="G39" s="23"/>
      <c r="H39" s="23"/>
      <c r="I39" s="23"/>
      <c r="J39" s="23"/>
      <c r="K39" s="23"/>
      <c r="L39" s="23"/>
      <c r="M39" s="23"/>
      <c r="N39" s="23"/>
      <c r="O39" s="23"/>
      <c r="P39" s="23"/>
      <c r="Q39" s="23"/>
      <c r="R39" s="23"/>
    </row>
    <row r="40" spans="1:18">
      <c r="A40" s="119"/>
      <c r="C40" s="70" t="s">
        <v>63</v>
      </c>
      <c r="D40" s="154"/>
      <c r="E40" s="23"/>
      <c r="F40" s="23"/>
      <c r="G40" s="23"/>
      <c r="H40" s="23"/>
      <c r="I40" s="23"/>
      <c r="J40" s="23"/>
      <c r="K40" s="23"/>
      <c r="L40" s="23"/>
      <c r="M40" s="23"/>
      <c r="N40" s="23"/>
      <c r="O40" s="23"/>
      <c r="P40" s="23"/>
      <c r="Q40" s="23"/>
      <c r="R40" s="23"/>
    </row>
    <row r="41" spans="1:18">
      <c r="A41" s="119"/>
      <c r="C41" s="70" t="s">
        <v>63</v>
      </c>
      <c r="D41" s="154"/>
      <c r="E41" s="23"/>
      <c r="F41" s="23"/>
      <c r="G41" s="23"/>
      <c r="H41" s="23"/>
      <c r="I41" s="23"/>
      <c r="J41" s="23"/>
      <c r="K41" s="23"/>
      <c r="L41" s="23"/>
      <c r="M41" s="23"/>
      <c r="N41" s="23"/>
      <c r="O41" s="23"/>
      <c r="P41" s="23"/>
      <c r="Q41" s="23"/>
      <c r="R41" s="23"/>
    </row>
    <row r="42" spans="1:18">
      <c r="A42" s="119"/>
      <c r="C42" s="70" t="s">
        <v>63</v>
      </c>
      <c r="D42" s="154"/>
      <c r="E42" s="23"/>
      <c r="F42" s="23"/>
      <c r="G42" s="23"/>
      <c r="H42" s="23"/>
      <c r="I42" s="23"/>
      <c r="J42" s="23"/>
      <c r="K42" s="23"/>
      <c r="L42" s="23"/>
      <c r="M42" s="23"/>
      <c r="N42" s="23"/>
      <c r="O42" s="23"/>
      <c r="P42" s="23"/>
      <c r="Q42" s="23"/>
      <c r="R42" s="23"/>
    </row>
    <row r="43" spans="1:18">
      <c r="A43" s="119"/>
      <c r="C43" s="70" t="s">
        <v>63</v>
      </c>
      <c r="D43" s="154"/>
      <c r="E43" s="23"/>
      <c r="F43" s="23"/>
      <c r="G43" s="23"/>
      <c r="H43" s="23"/>
      <c r="I43" s="23"/>
      <c r="J43" s="23"/>
      <c r="K43" s="23"/>
      <c r="L43" s="23"/>
      <c r="M43" s="23"/>
      <c r="N43" s="23"/>
      <c r="O43" s="23"/>
      <c r="P43" s="23"/>
      <c r="Q43" s="23"/>
      <c r="R43" s="23"/>
    </row>
    <row r="44" spans="1:18">
      <c r="A44" s="119"/>
      <c r="C44" s="70" t="s">
        <v>63</v>
      </c>
      <c r="D44" s="154"/>
      <c r="E44" s="23"/>
      <c r="F44" s="23"/>
      <c r="G44" s="23"/>
      <c r="H44" s="23"/>
      <c r="I44" s="23"/>
      <c r="J44" s="23"/>
      <c r="K44" s="23"/>
      <c r="L44" s="23"/>
      <c r="M44" s="23"/>
      <c r="N44" s="23"/>
      <c r="O44" s="23"/>
      <c r="P44" s="23"/>
      <c r="Q44" s="23"/>
      <c r="R44" s="23"/>
    </row>
  </sheetData>
  <sheetProtection password="C45A" sheet="1" objects="1" scenarios="1" selectLockedCells="1"/>
  <mergeCells count="16">
    <mergeCell ref="R1:R4"/>
    <mergeCell ref="F1:F4"/>
    <mergeCell ref="G1:G4"/>
    <mergeCell ref="H1:H4"/>
    <mergeCell ref="I1:I4"/>
    <mergeCell ref="N1:N4"/>
    <mergeCell ref="O1:O4"/>
    <mergeCell ref="J1:J4"/>
    <mergeCell ref="K1:K4"/>
    <mergeCell ref="L1:L4"/>
    <mergeCell ref="M1:M4"/>
    <mergeCell ref="D1:D4"/>
    <mergeCell ref="E1:E4"/>
    <mergeCell ref="B4:C4"/>
    <mergeCell ref="P1:P4"/>
    <mergeCell ref="Q1:Q4"/>
  </mergeCells>
  <phoneticPr fontId="7" type="noConversion"/>
  <pageMargins left="0.75" right="0.75" top="1" bottom="0.5" header="0.25" footer="0.25"/>
  <pageSetup scale="91" orientation="portrait" horizontalDpi="300" verticalDpi="300" r:id="rId1"/>
  <headerFooter alignWithMargins="0">
    <oddHeader>&amp;C&amp;"Arial,Bold"&amp;14DaisyTrax
&amp;12Miscellaneous Awards - &amp;D</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6"/>
    <pageSetUpPr fitToPage="1"/>
  </sheetPr>
  <dimension ref="A1:AE94"/>
  <sheetViews>
    <sheetView showGridLines="0" tabSelected="1" zoomScaleNormal="100" workbookViewId="0">
      <pane ySplit="2" topLeftCell="A3" activePane="bottomLeft" state="frozen"/>
      <selection pane="bottomLeft" activeCell="C4" sqref="C4"/>
    </sheetView>
  </sheetViews>
  <sheetFormatPr defaultRowHeight="12.75"/>
  <cols>
    <col min="1" max="1" width="35.7109375" style="72" customWidth="1"/>
    <col min="2" max="2" width="3" style="72" bestFit="1" customWidth="1"/>
    <col min="3" max="3" width="3.140625" style="72" customWidth="1"/>
    <col min="4" max="4" width="3" style="72" bestFit="1" customWidth="1"/>
    <col min="5" max="5" width="3.140625" style="72" customWidth="1"/>
    <col min="6" max="6" width="3" style="72" bestFit="1" customWidth="1"/>
    <col min="7" max="7" width="3.140625" style="72" customWidth="1"/>
    <col min="8" max="8" width="3" style="72" bestFit="1" customWidth="1"/>
    <col min="9" max="9" width="3.140625" style="72" customWidth="1"/>
    <col min="10" max="10" width="3" style="72" bestFit="1" customWidth="1"/>
    <col min="11" max="11" width="3.140625" style="72" customWidth="1"/>
    <col min="12" max="12" width="3" style="72" bestFit="1" customWidth="1"/>
    <col min="13" max="13" width="3.140625" style="72" customWidth="1"/>
    <col min="14" max="14" width="3" style="72" bestFit="1" customWidth="1"/>
    <col min="15" max="15" width="3.140625" style="72" customWidth="1"/>
    <col min="16" max="16" width="3" style="72" bestFit="1" customWidth="1"/>
    <col min="17" max="17" width="3.140625" style="72" customWidth="1"/>
    <col min="18" max="18" width="3" style="72" bestFit="1" customWidth="1"/>
    <col min="19" max="19" width="3.140625" style="72" customWidth="1"/>
    <col min="20" max="20" width="3" style="72" bestFit="1" customWidth="1"/>
    <col min="21" max="21" width="3.140625" style="72" customWidth="1"/>
    <col min="22" max="22" width="3" style="72" bestFit="1" customWidth="1"/>
    <col min="23" max="23" width="3.140625" style="72" customWidth="1"/>
    <col min="24" max="24" width="3" style="72" bestFit="1" customWidth="1"/>
    <col min="25" max="25" width="3.140625" style="72" customWidth="1"/>
    <col min="26" max="26" width="3" style="72" bestFit="1" customWidth="1"/>
    <col min="27" max="27" width="3.140625" style="72" customWidth="1"/>
    <col min="28" max="28" width="3" style="72" bestFit="1" customWidth="1"/>
    <col min="29" max="29" width="3.140625" style="72" customWidth="1"/>
    <col min="30" max="30" width="3" style="72" bestFit="1" customWidth="1"/>
    <col min="31" max="31" width="3.140625" style="72" customWidth="1"/>
    <col min="32" max="16384" width="9.140625" style="72"/>
  </cols>
  <sheetData>
    <row r="1" spans="1:31" ht="47.25" customHeight="1" thickTop="1">
      <c r="A1" s="93" t="s">
        <v>77</v>
      </c>
      <c r="B1" s="357" t="str">
        <f ca="1">'Daisy 1'!A1</f>
        <v>Daisy 1</v>
      </c>
      <c r="C1" s="359"/>
      <c r="D1" s="357" t="str">
        <f ca="1">'Daisy 2'!A1</f>
        <v>Daisy 2</v>
      </c>
      <c r="E1" s="359"/>
      <c r="F1" s="357" t="str">
        <f ca="1">'Daisy 3'!A1</f>
        <v>Daisy 3</v>
      </c>
      <c r="G1" s="359"/>
      <c r="H1" s="357" t="str">
        <f ca="1">'Daisy 4'!A1</f>
        <v>Daisy 4</v>
      </c>
      <c r="I1" s="359"/>
      <c r="J1" s="357" t="str">
        <f ca="1">'Daisy 5'!A1</f>
        <v>Daisy 5</v>
      </c>
      <c r="K1" s="359"/>
      <c r="L1" s="357" t="str">
        <f ca="1">'Daisy 6'!A1</f>
        <v>Daisy 6</v>
      </c>
      <c r="M1" s="359"/>
      <c r="N1" s="357" t="str">
        <f ca="1">'Daisy 7'!A1</f>
        <v>Daisy 7</v>
      </c>
      <c r="O1" s="359"/>
      <c r="P1" s="357" t="str">
        <f ca="1">'Daisy 8'!A1</f>
        <v>Daisy 8</v>
      </c>
      <c r="Q1" s="359"/>
      <c r="R1" s="357" t="str">
        <f ca="1">'Daisy 9'!A1</f>
        <v>Daisy 9</v>
      </c>
      <c r="S1" s="359"/>
      <c r="T1" s="357" t="str">
        <f ca="1">'Daisy 10'!A1</f>
        <v>Daisy 10</v>
      </c>
      <c r="U1" s="359"/>
      <c r="V1" s="357" t="str">
        <f ca="1">'Daisy 11'!A1</f>
        <v>Daisy 11</v>
      </c>
      <c r="W1" s="359"/>
      <c r="X1" s="357" t="str">
        <f ca="1">'Daisy 12'!A1</f>
        <v>Daisy 12</v>
      </c>
      <c r="Y1" s="359"/>
      <c r="Z1" s="357" t="str">
        <f ca="1">'Daisy 13'!A1</f>
        <v>Daisy 13</v>
      </c>
      <c r="AA1" s="359"/>
      <c r="AB1" s="357" t="str">
        <f ca="1">'Daisy 14'!A1</f>
        <v>Daisy 14</v>
      </c>
      <c r="AC1" s="359"/>
      <c r="AD1" s="357" t="str">
        <f ca="1">'Daisy 15'!A1</f>
        <v>Daisy 15</v>
      </c>
      <c r="AE1" s="358"/>
    </row>
    <row r="2" spans="1:31" ht="47.25" customHeight="1" thickBot="1">
      <c r="A2" s="157" t="s">
        <v>135</v>
      </c>
      <c r="B2" s="190" t="s">
        <v>88</v>
      </c>
      <c r="C2" s="191" t="s">
        <v>89</v>
      </c>
      <c r="D2" s="190" t="s">
        <v>88</v>
      </c>
      <c r="E2" s="191" t="s">
        <v>89</v>
      </c>
      <c r="F2" s="190" t="s">
        <v>88</v>
      </c>
      <c r="G2" s="191" t="s">
        <v>89</v>
      </c>
      <c r="H2" s="190" t="s">
        <v>88</v>
      </c>
      <c r="I2" s="191" t="s">
        <v>89</v>
      </c>
      <c r="J2" s="190" t="s">
        <v>88</v>
      </c>
      <c r="K2" s="191" t="s">
        <v>89</v>
      </c>
      <c r="L2" s="190" t="s">
        <v>88</v>
      </c>
      <c r="M2" s="191" t="s">
        <v>89</v>
      </c>
      <c r="N2" s="190" t="s">
        <v>88</v>
      </c>
      <c r="O2" s="191" t="s">
        <v>89</v>
      </c>
      <c r="P2" s="190" t="s">
        <v>88</v>
      </c>
      <c r="Q2" s="191" t="s">
        <v>89</v>
      </c>
      <c r="R2" s="190" t="s">
        <v>88</v>
      </c>
      <c r="S2" s="191" t="s">
        <v>89</v>
      </c>
      <c r="T2" s="190" t="s">
        <v>88</v>
      </c>
      <c r="U2" s="191" t="s">
        <v>89</v>
      </c>
      <c r="V2" s="190" t="s">
        <v>88</v>
      </c>
      <c r="W2" s="191" t="s">
        <v>89</v>
      </c>
      <c r="X2" s="190" t="s">
        <v>88</v>
      </c>
      <c r="Y2" s="191" t="s">
        <v>89</v>
      </c>
      <c r="Z2" s="190" t="s">
        <v>88</v>
      </c>
      <c r="AA2" s="191" t="s">
        <v>89</v>
      </c>
      <c r="AB2" s="190" t="s">
        <v>88</v>
      </c>
      <c r="AC2" s="191" t="s">
        <v>89</v>
      </c>
      <c r="AD2" s="190" t="s">
        <v>88</v>
      </c>
      <c r="AE2" s="192" t="s">
        <v>89</v>
      </c>
    </row>
    <row r="3" spans="1:31" ht="13.5" thickTop="1">
      <c r="A3" s="158" t="str">
        <f>Petals!A5</f>
        <v>Center Petal</v>
      </c>
      <c r="B3" s="159"/>
      <c r="C3" s="160"/>
      <c r="D3" s="159"/>
      <c r="E3" s="161"/>
      <c r="F3" s="159"/>
      <c r="G3" s="161"/>
      <c r="H3" s="159"/>
      <c r="I3" s="161"/>
      <c r="J3" s="159"/>
      <c r="K3" s="161"/>
      <c r="L3" s="159"/>
      <c r="M3" s="161"/>
      <c r="N3" s="159"/>
      <c r="O3" s="161"/>
      <c r="P3" s="159"/>
      <c r="Q3" s="161"/>
      <c r="R3" s="159"/>
      <c r="S3" s="161"/>
      <c r="T3" s="159"/>
      <c r="U3" s="161"/>
      <c r="V3" s="159"/>
      <c r="W3" s="161"/>
      <c r="X3" s="159"/>
      <c r="Y3" s="161"/>
      <c r="Z3" s="159"/>
      <c r="AA3" s="161"/>
      <c r="AB3" s="159"/>
      <c r="AC3" s="161"/>
      <c r="AD3" s="159"/>
      <c r="AE3" s="162"/>
    </row>
    <row r="4" spans="1:31">
      <c r="A4" s="163" t="str">
        <f>Petals!B6</f>
        <v>Center</v>
      </c>
      <c r="B4" s="164" t="str">
        <f>IF(Petals!D6="A","E","")</f>
        <v/>
      </c>
      <c r="C4" s="165"/>
      <c r="D4" s="164" t="str">
        <f>IF(Petals!E6="A","E","")</f>
        <v/>
      </c>
      <c r="E4" s="165"/>
      <c r="F4" s="164" t="str">
        <f>IF(Petals!F6="A","E","")</f>
        <v/>
      </c>
      <c r="G4" s="165"/>
      <c r="H4" s="164" t="str">
        <f>IF(Petals!G6="A","E","")</f>
        <v/>
      </c>
      <c r="I4" s="165"/>
      <c r="J4" s="164" t="str">
        <f>IF(Petals!H6="A","E","")</f>
        <v/>
      </c>
      <c r="K4" s="165"/>
      <c r="L4" s="164" t="str">
        <f>IF(Petals!I6="A","E","")</f>
        <v/>
      </c>
      <c r="M4" s="165"/>
      <c r="N4" s="164" t="str">
        <f>IF(Petals!J6="A","E","")</f>
        <v/>
      </c>
      <c r="O4" s="165"/>
      <c r="P4" s="164" t="str">
        <f>IF(Petals!K6="A","E","")</f>
        <v/>
      </c>
      <c r="Q4" s="165"/>
      <c r="R4" s="164" t="str">
        <f>IF(Petals!L6="A","E","")</f>
        <v/>
      </c>
      <c r="S4" s="165"/>
      <c r="T4" s="164" t="str">
        <f>IF(Petals!M6="A","E","")</f>
        <v/>
      </c>
      <c r="U4" s="165"/>
      <c r="V4" s="164" t="str">
        <f>IF(Petals!N6="A","E","")</f>
        <v/>
      </c>
      <c r="W4" s="165"/>
      <c r="X4" s="164" t="str">
        <f>IF(Petals!O6="A","E","")</f>
        <v/>
      </c>
      <c r="Y4" s="165"/>
      <c r="Z4" s="164" t="str">
        <f>IF(Petals!P6="A","E","")</f>
        <v/>
      </c>
      <c r="AA4" s="165"/>
      <c r="AB4" s="164" t="str">
        <f>IF(Petals!Q6="A","E","")</f>
        <v/>
      </c>
      <c r="AC4" s="165"/>
      <c r="AD4" s="164" t="str">
        <f>IF(Petals!K6="A","E","")</f>
        <v/>
      </c>
      <c r="AE4" s="166"/>
    </row>
    <row r="5" spans="1:31">
      <c r="A5" s="167" t="str">
        <f>Petals!A7</f>
        <v>Petals</v>
      </c>
      <c r="B5" s="168"/>
      <c r="C5" s="180"/>
      <c r="D5" s="168"/>
      <c r="E5" s="180"/>
      <c r="F5" s="168"/>
      <c r="G5" s="180"/>
      <c r="H5" s="168"/>
      <c r="I5" s="180"/>
      <c r="J5" s="168"/>
      <c r="K5" s="180"/>
      <c r="L5" s="168"/>
      <c r="M5" s="180"/>
      <c r="N5" s="168"/>
      <c r="O5" s="180"/>
      <c r="P5" s="168"/>
      <c r="Q5" s="180"/>
      <c r="R5" s="168"/>
      <c r="S5" s="180"/>
      <c r="T5" s="168"/>
      <c r="U5" s="180"/>
      <c r="V5" s="168"/>
      <c r="W5" s="180"/>
      <c r="X5" s="168"/>
      <c r="Y5" s="180"/>
      <c r="Z5" s="168"/>
      <c r="AA5" s="180"/>
      <c r="AB5" s="168"/>
      <c r="AC5" s="180"/>
      <c r="AD5" s="168"/>
      <c r="AE5" s="181"/>
    </row>
    <row r="6" spans="1:31">
      <c r="A6" s="169" t="str">
        <f>Petals!B8</f>
        <v>Lupe</v>
      </c>
      <c r="B6" s="164" t="str">
        <f>IF(Petals!D8="A","E","")</f>
        <v/>
      </c>
      <c r="C6" s="165"/>
      <c r="D6" s="164" t="str">
        <f>IF(Petals!E8="A","E","")</f>
        <v/>
      </c>
      <c r="E6" s="165"/>
      <c r="F6" s="164" t="str">
        <f>IF(Petals!F8="A","E","")</f>
        <v/>
      </c>
      <c r="G6" s="165"/>
      <c r="H6" s="164" t="str">
        <f>IF(Petals!G8="A","E","")</f>
        <v/>
      </c>
      <c r="I6" s="165"/>
      <c r="J6" s="164" t="str">
        <f>IF(Petals!H8="A","E","")</f>
        <v/>
      </c>
      <c r="K6" s="165"/>
      <c r="L6" s="164" t="str">
        <f>IF(Petals!I8="A","E","")</f>
        <v/>
      </c>
      <c r="M6" s="165"/>
      <c r="N6" s="164" t="str">
        <f>IF(Petals!J8="A","E","")</f>
        <v/>
      </c>
      <c r="O6" s="165"/>
      <c r="P6" s="164" t="str">
        <f>IF(Petals!K8="A","E","")</f>
        <v/>
      </c>
      <c r="Q6" s="165"/>
      <c r="R6" s="164" t="str">
        <f>IF(Petals!L8="A","E","")</f>
        <v/>
      </c>
      <c r="S6" s="165"/>
      <c r="T6" s="164" t="str">
        <f>IF(Petals!M8="A","E","")</f>
        <v/>
      </c>
      <c r="U6" s="165"/>
      <c r="V6" s="164" t="str">
        <f>IF(Petals!N8="A","E","")</f>
        <v/>
      </c>
      <c r="W6" s="165"/>
      <c r="X6" s="164" t="str">
        <f>IF(Petals!O8="A","E","")</f>
        <v/>
      </c>
      <c r="Y6" s="165"/>
      <c r="Z6" s="164" t="str">
        <f>IF(Petals!P8="A","E","")</f>
        <v/>
      </c>
      <c r="AA6" s="165"/>
      <c r="AB6" s="164" t="str">
        <f>IF(Petals!Q8="A","E","")</f>
        <v/>
      </c>
      <c r="AC6" s="165"/>
      <c r="AD6" s="164" t="str">
        <f>IF(Petals!K8="A","E","")</f>
        <v/>
      </c>
      <c r="AE6" s="166"/>
    </row>
    <row r="7" spans="1:31">
      <c r="A7" s="169" t="str">
        <f>Petals!B9</f>
        <v>Sunny</v>
      </c>
      <c r="B7" s="164" t="str">
        <f>IF(Petals!D9="A","E","")</f>
        <v/>
      </c>
      <c r="C7" s="165"/>
      <c r="D7" s="164" t="str">
        <f>IF(Petals!E9="A","E","")</f>
        <v/>
      </c>
      <c r="E7" s="165"/>
      <c r="F7" s="164" t="str">
        <f>IF(Petals!F9="A","E","")</f>
        <v/>
      </c>
      <c r="G7" s="165"/>
      <c r="H7" s="164" t="str">
        <f>IF(Petals!G9="A","E","")</f>
        <v/>
      </c>
      <c r="I7" s="165"/>
      <c r="J7" s="164" t="str">
        <f>IF(Petals!H9="A","E","")</f>
        <v/>
      </c>
      <c r="K7" s="165"/>
      <c r="L7" s="164" t="str">
        <f>IF(Petals!I9="A","E","")</f>
        <v/>
      </c>
      <c r="M7" s="165"/>
      <c r="N7" s="164" t="str">
        <f>IF(Petals!J9="A","E","")</f>
        <v/>
      </c>
      <c r="O7" s="165"/>
      <c r="P7" s="164" t="str">
        <f>IF(Petals!K9="A","E","")</f>
        <v/>
      </c>
      <c r="Q7" s="165"/>
      <c r="R7" s="164" t="str">
        <f>IF(Petals!L9="A","E","")</f>
        <v/>
      </c>
      <c r="S7" s="165"/>
      <c r="T7" s="164" t="str">
        <f>IF(Petals!M9="A","E","")</f>
        <v/>
      </c>
      <c r="U7" s="165"/>
      <c r="V7" s="164" t="str">
        <f>IF(Petals!N9="A","E","")</f>
        <v/>
      </c>
      <c r="W7" s="165"/>
      <c r="X7" s="164" t="str">
        <f>IF(Petals!O9="A","E","")</f>
        <v/>
      </c>
      <c r="Y7" s="165"/>
      <c r="Z7" s="164" t="str">
        <f>IF(Petals!P9="A","E","")</f>
        <v/>
      </c>
      <c r="AA7" s="165"/>
      <c r="AB7" s="164" t="str">
        <f>IF(Petals!Q9="A","E","")</f>
        <v/>
      </c>
      <c r="AC7" s="165"/>
      <c r="AD7" s="164" t="str">
        <f>IF(Petals!K9="A","E","")</f>
        <v/>
      </c>
      <c r="AE7" s="166"/>
    </row>
    <row r="8" spans="1:31">
      <c r="A8" s="169" t="str">
        <f>Petals!B10</f>
        <v>Zinni</v>
      </c>
      <c r="B8" s="164" t="str">
        <f>IF(Petals!D10="A","E","")</f>
        <v/>
      </c>
      <c r="C8" s="165"/>
      <c r="D8" s="164" t="str">
        <f>IF(Petals!E10="A","E","")</f>
        <v/>
      </c>
      <c r="E8" s="165"/>
      <c r="F8" s="164" t="str">
        <f>IF(Petals!F10="A","E","")</f>
        <v/>
      </c>
      <c r="G8" s="165"/>
      <c r="H8" s="164" t="str">
        <f>IF(Petals!G10="A","E","")</f>
        <v/>
      </c>
      <c r="I8" s="165"/>
      <c r="J8" s="164" t="str">
        <f>IF(Petals!H10="A","E","")</f>
        <v/>
      </c>
      <c r="K8" s="165"/>
      <c r="L8" s="164" t="str">
        <f>IF(Petals!I10="A","E","")</f>
        <v/>
      </c>
      <c r="M8" s="165"/>
      <c r="N8" s="164" t="str">
        <f>IF(Petals!J10="A","E","")</f>
        <v/>
      </c>
      <c r="O8" s="165"/>
      <c r="P8" s="164" t="str">
        <f>IF(Petals!K10="A","E","")</f>
        <v/>
      </c>
      <c r="Q8" s="165"/>
      <c r="R8" s="164" t="str">
        <f>IF(Petals!L10="A","E","")</f>
        <v/>
      </c>
      <c r="S8" s="165"/>
      <c r="T8" s="164" t="str">
        <f>IF(Petals!M10="A","E","")</f>
        <v/>
      </c>
      <c r="U8" s="165"/>
      <c r="V8" s="164" t="str">
        <f>IF(Petals!N10="A","E","")</f>
        <v/>
      </c>
      <c r="W8" s="165"/>
      <c r="X8" s="164" t="str">
        <f>IF(Petals!O10="A","E","")</f>
        <v/>
      </c>
      <c r="Y8" s="165"/>
      <c r="Z8" s="164" t="str">
        <f>IF(Petals!P10="A","E","")</f>
        <v/>
      </c>
      <c r="AA8" s="165"/>
      <c r="AB8" s="164" t="str">
        <f>IF(Petals!Q10="A","E","")</f>
        <v/>
      </c>
      <c r="AC8" s="165"/>
      <c r="AD8" s="164" t="str">
        <f>IF(Petals!K10="A","E","")</f>
        <v/>
      </c>
      <c r="AE8" s="166"/>
    </row>
    <row r="9" spans="1:31">
      <c r="A9" s="169" t="str">
        <f>Petals!B11</f>
        <v>Tula</v>
      </c>
      <c r="B9" s="164" t="str">
        <f>IF(Petals!D11="A","E","")</f>
        <v/>
      </c>
      <c r="C9" s="165"/>
      <c r="D9" s="164" t="str">
        <f>IF(Petals!E11="A","E","")</f>
        <v/>
      </c>
      <c r="E9" s="165"/>
      <c r="F9" s="164" t="str">
        <f>IF(Petals!F11="A","E","")</f>
        <v/>
      </c>
      <c r="G9" s="165"/>
      <c r="H9" s="164" t="str">
        <f>IF(Petals!G11="A","E","")</f>
        <v/>
      </c>
      <c r="I9" s="165"/>
      <c r="J9" s="164" t="str">
        <f>IF(Petals!H11="A","E","")</f>
        <v/>
      </c>
      <c r="K9" s="165"/>
      <c r="L9" s="164" t="str">
        <f>IF(Petals!I11="A","E","")</f>
        <v/>
      </c>
      <c r="M9" s="165"/>
      <c r="N9" s="164" t="str">
        <f>IF(Petals!J11="A","E","")</f>
        <v/>
      </c>
      <c r="O9" s="165"/>
      <c r="P9" s="164" t="str">
        <f>IF(Petals!K11="A","E","")</f>
        <v/>
      </c>
      <c r="Q9" s="165"/>
      <c r="R9" s="164" t="str">
        <f>IF(Petals!L11="A","E","")</f>
        <v/>
      </c>
      <c r="S9" s="165"/>
      <c r="T9" s="164" t="str">
        <f>IF(Petals!M11="A","E","")</f>
        <v/>
      </c>
      <c r="U9" s="165"/>
      <c r="V9" s="164" t="str">
        <f>IF(Petals!N11="A","E","")</f>
        <v/>
      </c>
      <c r="W9" s="165"/>
      <c r="X9" s="164" t="str">
        <f>IF(Petals!O11="A","E","")</f>
        <v/>
      </c>
      <c r="Y9" s="165"/>
      <c r="Z9" s="164" t="str">
        <f>IF(Petals!P11="A","E","")</f>
        <v/>
      </c>
      <c r="AA9" s="165"/>
      <c r="AB9" s="164" t="str">
        <f>IF(Petals!Q11="A","E","")</f>
        <v/>
      </c>
      <c r="AC9" s="165"/>
      <c r="AD9" s="164" t="str">
        <f>IF(Petals!K11="A","E","")</f>
        <v/>
      </c>
      <c r="AE9" s="166"/>
    </row>
    <row r="10" spans="1:31">
      <c r="A10" s="169" t="str">
        <f>Petals!B12</f>
        <v>Mari</v>
      </c>
      <c r="B10" s="164" t="str">
        <f>IF(Petals!D12="A","E","")</f>
        <v/>
      </c>
      <c r="C10" s="165"/>
      <c r="D10" s="164" t="str">
        <f>IF(Petals!E12="A","E","")</f>
        <v/>
      </c>
      <c r="E10" s="165"/>
      <c r="F10" s="164" t="str">
        <f>IF(Petals!F12="A","E","")</f>
        <v/>
      </c>
      <c r="G10" s="165"/>
      <c r="H10" s="164" t="str">
        <f>IF(Petals!G12="A","E","")</f>
        <v/>
      </c>
      <c r="I10" s="165"/>
      <c r="J10" s="164" t="str">
        <f>IF(Petals!H12="A","E","")</f>
        <v/>
      </c>
      <c r="K10" s="165"/>
      <c r="L10" s="164" t="str">
        <f>IF(Petals!I12="A","E","")</f>
        <v/>
      </c>
      <c r="M10" s="165"/>
      <c r="N10" s="164" t="str">
        <f>IF(Petals!J12="A","E","")</f>
        <v/>
      </c>
      <c r="O10" s="165"/>
      <c r="P10" s="164" t="str">
        <f>IF(Petals!K12="A","E","")</f>
        <v/>
      </c>
      <c r="Q10" s="165"/>
      <c r="R10" s="164" t="str">
        <f>IF(Petals!L12="A","E","")</f>
        <v/>
      </c>
      <c r="S10" s="165"/>
      <c r="T10" s="164" t="str">
        <f>IF(Petals!M12="A","E","")</f>
        <v/>
      </c>
      <c r="U10" s="165"/>
      <c r="V10" s="164" t="str">
        <f>IF(Petals!N12="A","E","")</f>
        <v/>
      </c>
      <c r="W10" s="165"/>
      <c r="X10" s="164" t="str">
        <f>IF(Petals!O12="A","E","")</f>
        <v/>
      </c>
      <c r="Y10" s="165"/>
      <c r="Z10" s="164" t="str">
        <f>IF(Petals!P12="A","E","")</f>
        <v/>
      </c>
      <c r="AA10" s="165"/>
      <c r="AB10" s="164" t="str">
        <f>IF(Petals!Q12="A","E","")</f>
        <v/>
      </c>
      <c r="AC10" s="165"/>
      <c r="AD10" s="164" t="str">
        <f>IF(Petals!K12="A","E","")</f>
        <v/>
      </c>
      <c r="AE10" s="166"/>
    </row>
    <row r="11" spans="1:31">
      <c r="A11" s="169" t="str">
        <f>Petals!B13</f>
        <v>Gloria</v>
      </c>
      <c r="B11" s="164" t="str">
        <f>IF(Petals!D13="A","E","")</f>
        <v/>
      </c>
      <c r="C11" s="165"/>
      <c r="D11" s="164" t="str">
        <f>IF(Petals!E13="A","E","")</f>
        <v/>
      </c>
      <c r="E11" s="165"/>
      <c r="F11" s="164" t="str">
        <f>IF(Petals!F13="A","E","")</f>
        <v/>
      </c>
      <c r="G11" s="165"/>
      <c r="H11" s="164" t="str">
        <f>IF(Petals!G13="A","E","")</f>
        <v/>
      </c>
      <c r="I11" s="165"/>
      <c r="J11" s="164" t="str">
        <f>IF(Petals!H13="A","E","")</f>
        <v/>
      </c>
      <c r="K11" s="165"/>
      <c r="L11" s="164" t="str">
        <f>IF(Petals!I13="A","E","")</f>
        <v/>
      </c>
      <c r="M11" s="165"/>
      <c r="N11" s="164" t="str">
        <f>IF(Petals!J13="A","E","")</f>
        <v/>
      </c>
      <c r="O11" s="165"/>
      <c r="P11" s="164" t="str">
        <f>IF(Petals!K13="A","E","")</f>
        <v/>
      </c>
      <c r="Q11" s="165"/>
      <c r="R11" s="164" t="str">
        <f>IF(Petals!L13="A","E","")</f>
        <v/>
      </c>
      <c r="S11" s="165"/>
      <c r="T11" s="164" t="str">
        <f>IF(Petals!M13="A","E","")</f>
        <v/>
      </c>
      <c r="U11" s="165"/>
      <c r="V11" s="164" t="str">
        <f>IF(Petals!N13="A","E","")</f>
        <v/>
      </c>
      <c r="W11" s="165"/>
      <c r="X11" s="164" t="str">
        <f>IF(Petals!O13="A","E","")</f>
        <v/>
      </c>
      <c r="Y11" s="165"/>
      <c r="Z11" s="164" t="str">
        <f>IF(Petals!P13="A","E","")</f>
        <v/>
      </c>
      <c r="AA11" s="165"/>
      <c r="AB11" s="164" t="str">
        <f>IF(Petals!Q13="A","E","")</f>
        <v/>
      </c>
      <c r="AC11" s="165"/>
      <c r="AD11" s="164" t="str">
        <f>IF(Petals!K13="A","E","")</f>
        <v/>
      </c>
      <c r="AE11" s="166"/>
    </row>
    <row r="12" spans="1:31">
      <c r="A12" s="169" t="str">
        <f>Petals!B14</f>
        <v>Gerri</v>
      </c>
      <c r="B12" s="164" t="str">
        <f>IF(Petals!D14="A","E","")</f>
        <v/>
      </c>
      <c r="C12" s="165"/>
      <c r="D12" s="164" t="str">
        <f>IF(Petals!E14="A","E","")</f>
        <v/>
      </c>
      <c r="E12" s="165"/>
      <c r="F12" s="164" t="str">
        <f>IF(Petals!F14="A","E","")</f>
        <v/>
      </c>
      <c r="G12" s="165"/>
      <c r="H12" s="164" t="str">
        <f>IF(Petals!G14="A","E","")</f>
        <v/>
      </c>
      <c r="I12" s="165"/>
      <c r="J12" s="164" t="str">
        <f>IF(Petals!H14="A","E","")</f>
        <v/>
      </c>
      <c r="K12" s="165"/>
      <c r="L12" s="164" t="str">
        <f>IF(Petals!I14="A","E","")</f>
        <v/>
      </c>
      <c r="M12" s="165"/>
      <c r="N12" s="164" t="str">
        <f>IF(Petals!J14="A","E","")</f>
        <v/>
      </c>
      <c r="O12" s="165"/>
      <c r="P12" s="164" t="str">
        <f>IF(Petals!K14="A","E","")</f>
        <v/>
      </c>
      <c r="Q12" s="165"/>
      <c r="R12" s="164" t="str">
        <f>IF(Petals!L14="A","E","")</f>
        <v/>
      </c>
      <c r="S12" s="165"/>
      <c r="T12" s="164" t="str">
        <f>IF(Petals!M14="A","E","")</f>
        <v/>
      </c>
      <c r="U12" s="165"/>
      <c r="V12" s="164" t="str">
        <f>IF(Petals!N14="A","E","")</f>
        <v/>
      </c>
      <c r="W12" s="165"/>
      <c r="X12" s="164" t="str">
        <f>IF(Petals!O14="A","E","")</f>
        <v/>
      </c>
      <c r="Y12" s="165"/>
      <c r="Z12" s="164" t="str">
        <f>IF(Petals!P14="A","E","")</f>
        <v/>
      </c>
      <c r="AA12" s="165"/>
      <c r="AB12" s="164" t="str">
        <f>IF(Petals!Q14="A","E","")</f>
        <v/>
      </c>
      <c r="AC12" s="165"/>
      <c r="AD12" s="164" t="str">
        <f>IF(Petals!K14="A","E","")</f>
        <v/>
      </c>
      <c r="AE12" s="166"/>
    </row>
    <row r="13" spans="1:31">
      <c r="A13" s="169" t="str">
        <f>Petals!B15</f>
        <v>Clover</v>
      </c>
      <c r="B13" s="164" t="str">
        <f>IF(Petals!D15="A","E","")</f>
        <v/>
      </c>
      <c r="C13" s="165"/>
      <c r="D13" s="164" t="str">
        <f>IF(Petals!E15="A","E","")</f>
        <v/>
      </c>
      <c r="E13" s="165"/>
      <c r="F13" s="164" t="str">
        <f>IF(Petals!F15="A","E","")</f>
        <v/>
      </c>
      <c r="G13" s="165"/>
      <c r="H13" s="164" t="str">
        <f>IF(Petals!G15="A","E","")</f>
        <v/>
      </c>
      <c r="I13" s="165"/>
      <c r="J13" s="164" t="str">
        <f>IF(Petals!H15="A","E","")</f>
        <v/>
      </c>
      <c r="K13" s="165"/>
      <c r="L13" s="164" t="str">
        <f>IF(Petals!I15="A","E","")</f>
        <v/>
      </c>
      <c r="M13" s="165"/>
      <c r="N13" s="164" t="str">
        <f>IF(Petals!J15="A","E","")</f>
        <v/>
      </c>
      <c r="O13" s="165"/>
      <c r="P13" s="164" t="str">
        <f>IF(Petals!K15="A","E","")</f>
        <v/>
      </c>
      <c r="Q13" s="165"/>
      <c r="R13" s="164" t="str">
        <f>IF(Petals!L15="A","E","")</f>
        <v/>
      </c>
      <c r="S13" s="165"/>
      <c r="T13" s="164" t="str">
        <f>IF(Petals!M15="A","E","")</f>
        <v/>
      </c>
      <c r="U13" s="165"/>
      <c r="V13" s="164" t="str">
        <f>IF(Petals!N15="A","E","")</f>
        <v/>
      </c>
      <c r="W13" s="165"/>
      <c r="X13" s="164" t="str">
        <f>IF(Petals!O15="A","E","")</f>
        <v/>
      </c>
      <c r="Y13" s="165"/>
      <c r="Z13" s="164" t="str">
        <f>IF(Petals!P15="A","E","")</f>
        <v/>
      </c>
      <c r="AA13" s="165"/>
      <c r="AB13" s="164" t="str">
        <f>IF(Petals!Q15="A","E","")</f>
        <v/>
      </c>
      <c r="AC13" s="165"/>
      <c r="AD13" s="164" t="str">
        <f>IF(Petals!K15="A","E","")</f>
        <v/>
      </c>
      <c r="AE13" s="166"/>
    </row>
    <row r="14" spans="1:31">
      <c r="A14" s="169" t="str">
        <f>Petals!B16</f>
        <v>Rosie</v>
      </c>
      <c r="B14" s="164" t="str">
        <f>IF(Petals!D16="A","E","")</f>
        <v/>
      </c>
      <c r="C14" s="165"/>
      <c r="D14" s="164" t="str">
        <f>IF(Petals!E16="A","E","")</f>
        <v/>
      </c>
      <c r="E14" s="165"/>
      <c r="F14" s="164" t="str">
        <f>IF(Petals!F16="A","E","")</f>
        <v/>
      </c>
      <c r="G14" s="165"/>
      <c r="H14" s="164" t="str">
        <f>IF(Petals!G16="A","E","")</f>
        <v/>
      </c>
      <c r="I14" s="165"/>
      <c r="J14" s="164" t="str">
        <f>IF(Petals!H16="A","E","")</f>
        <v/>
      </c>
      <c r="K14" s="165"/>
      <c r="L14" s="164" t="str">
        <f>IF(Petals!I16="A","E","")</f>
        <v/>
      </c>
      <c r="M14" s="165"/>
      <c r="N14" s="164" t="str">
        <f>IF(Petals!J16="A","E","")</f>
        <v/>
      </c>
      <c r="O14" s="165"/>
      <c r="P14" s="164" t="str">
        <f>IF(Petals!K16="A","E","")</f>
        <v/>
      </c>
      <c r="Q14" s="165"/>
      <c r="R14" s="164" t="str">
        <f>IF(Petals!L16="A","E","")</f>
        <v/>
      </c>
      <c r="S14" s="165"/>
      <c r="T14" s="164" t="str">
        <f>IF(Petals!M16="A","E","")</f>
        <v/>
      </c>
      <c r="U14" s="165"/>
      <c r="V14" s="164" t="str">
        <f>IF(Petals!N16="A","E","")</f>
        <v/>
      </c>
      <c r="W14" s="165"/>
      <c r="X14" s="164" t="str">
        <f>IF(Petals!O16="A","E","")</f>
        <v/>
      </c>
      <c r="Y14" s="165"/>
      <c r="Z14" s="164" t="str">
        <f>IF(Petals!P16="A","E","")</f>
        <v/>
      </c>
      <c r="AA14" s="165"/>
      <c r="AB14" s="164" t="str">
        <f>IF(Petals!Q16="A","E","")</f>
        <v/>
      </c>
      <c r="AC14" s="165"/>
      <c r="AD14" s="164" t="str">
        <f>IF(Petals!K16="A","E","")</f>
        <v/>
      </c>
      <c r="AE14" s="166"/>
    </row>
    <row r="15" spans="1:31">
      <c r="A15" s="169" t="str">
        <f>Petals!B17</f>
        <v>Vi</v>
      </c>
      <c r="B15" s="164" t="str">
        <f>IF(Petals!D17="A","E","")</f>
        <v/>
      </c>
      <c r="C15" s="165"/>
      <c r="D15" s="164" t="str">
        <f>IF(Petals!E17="A","E","")</f>
        <v/>
      </c>
      <c r="E15" s="165"/>
      <c r="F15" s="164" t="str">
        <f>IF(Petals!F17="A","E","")</f>
        <v/>
      </c>
      <c r="G15" s="165"/>
      <c r="H15" s="164" t="str">
        <f>IF(Petals!G17="A","E","")</f>
        <v/>
      </c>
      <c r="I15" s="165"/>
      <c r="J15" s="164" t="str">
        <f>IF(Petals!H17="A","E","")</f>
        <v/>
      </c>
      <c r="K15" s="165"/>
      <c r="L15" s="164" t="str">
        <f>IF(Petals!I17="A","E","")</f>
        <v/>
      </c>
      <c r="M15" s="165"/>
      <c r="N15" s="164" t="str">
        <f>IF(Petals!J17="A","E","")</f>
        <v/>
      </c>
      <c r="O15" s="165"/>
      <c r="P15" s="164" t="str">
        <f>IF(Petals!K17="A","E","")</f>
        <v/>
      </c>
      <c r="Q15" s="165"/>
      <c r="R15" s="164" t="str">
        <f>IF(Petals!L17="A","E","")</f>
        <v/>
      </c>
      <c r="S15" s="165"/>
      <c r="T15" s="164" t="str">
        <f>IF(Petals!M17="A","E","")</f>
        <v/>
      </c>
      <c r="U15" s="165"/>
      <c r="V15" s="164" t="str">
        <f>IF(Petals!N17="A","E","")</f>
        <v/>
      </c>
      <c r="W15" s="165"/>
      <c r="X15" s="164" t="str">
        <f>IF(Petals!O17="A","E","")</f>
        <v/>
      </c>
      <c r="Y15" s="165"/>
      <c r="Z15" s="164" t="str">
        <f>IF(Petals!P17="A","E","")</f>
        <v/>
      </c>
      <c r="AA15" s="165"/>
      <c r="AB15" s="164" t="str">
        <f>IF(Petals!Q17="A","E","")</f>
        <v/>
      </c>
      <c r="AC15" s="165"/>
      <c r="AD15" s="164" t="str">
        <f>IF(Petals!K17="A","E","")</f>
        <v/>
      </c>
      <c r="AE15" s="166"/>
    </row>
    <row r="16" spans="1:31">
      <c r="A16" s="167" t="str">
        <f>Petals!A19</f>
        <v>Leaves</v>
      </c>
      <c r="B16" s="168"/>
      <c r="C16" s="180"/>
      <c r="D16" s="168"/>
      <c r="E16" s="180"/>
      <c r="F16" s="168"/>
      <c r="G16" s="180"/>
      <c r="H16" s="168"/>
      <c r="I16" s="180"/>
      <c r="J16" s="168"/>
      <c r="K16" s="180"/>
      <c r="L16" s="168"/>
      <c r="M16" s="180"/>
      <c r="N16" s="168"/>
      <c r="O16" s="180"/>
      <c r="P16" s="168"/>
      <c r="Q16" s="180"/>
      <c r="R16" s="168"/>
      <c r="S16" s="180"/>
      <c r="T16" s="168"/>
      <c r="U16" s="180"/>
      <c r="V16" s="168"/>
      <c r="W16" s="180"/>
      <c r="X16" s="168"/>
      <c r="Y16" s="180"/>
      <c r="Z16" s="168"/>
      <c r="AA16" s="180"/>
      <c r="AB16" s="168"/>
      <c r="AC16" s="180"/>
      <c r="AD16" s="168"/>
      <c r="AE16" s="181"/>
    </row>
    <row r="17" spans="1:31">
      <c r="A17" s="169" t="str">
        <f>Petals!B20</f>
        <v>Money Counts</v>
      </c>
      <c r="B17" s="164" t="str">
        <f>IF(Petals!D23="C","E","")</f>
        <v/>
      </c>
      <c r="C17" s="165"/>
      <c r="D17" s="164" t="str">
        <f>IF(Petals!E23="C","E","")</f>
        <v/>
      </c>
      <c r="E17" s="165"/>
      <c r="F17" s="164" t="str">
        <f>IF(Petals!F23="C","E","")</f>
        <v/>
      </c>
      <c r="G17" s="165"/>
      <c r="H17" s="164" t="str">
        <f>IF(Petals!G23="C","E","")</f>
        <v/>
      </c>
      <c r="I17" s="165"/>
      <c r="J17" s="164" t="str">
        <f>IF(Petals!H23="C","E","")</f>
        <v/>
      </c>
      <c r="K17" s="165"/>
      <c r="L17" s="164" t="str">
        <f>IF(Petals!I23="C","E","")</f>
        <v/>
      </c>
      <c r="M17" s="165"/>
      <c r="N17" s="164" t="str">
        <f>IF(Petals!J23="C","E","")</f>
        <v/>
      </c>
      <c r="O17" s="165"/>
      <c r="P17" s="164" t="str">
        <f>IF(Petals!K23="C","E","")</f>
        <v/>
      </c>
      <c r="Q17" s="165"/>
      <c r="R17" s="164" t="str">
        <f>IF(Petals!L23="C","E","")</f>
        <v/>
      </c>
      <c r="S17" s="165"/>
      <c r="T17" s="164" t="str">
        <f>IF(Petals!M23="C","E","")</f>
        <v/>
      </c>
      <c r="U17" s="165"/>
      <c r="V17" s="164" t="str">
        <f>IF(Petals!N23="C","E","")</f>
        <v/>
      </c>
      <c r="W17" s="165"/>
      <c r="X17" s="164" t="str">
        <f>IF(Petals!O23="C","E","")</f>
        <v/>
      </c>
      <c r="Y17" s="165"/>
      <c r="Z17" s="164" t="str">
        <f>IF(Petals!P23="C","E","")</f>
        <v/>
      </c>
      <c r="AA17" s="165"/>
      <c r="AB17" s="164" t="str">
        <f>IF(Petals!Q23="C","E","")</f>
        <v/>
      </c>
      <c r="AC17" s="165"/>
      <c r="AD17" s="164" t="str">
        <f>IF(Petals!K23="C","E","")</f>
        <v/>
      </c>
      <c r="AE17" s="166"/>
    </row>
    <row r="18" spans="1:31">
      <c r="A18" s="169" t="str">
        <f>Petals!B25</f>
        <v>Making Choices</v>
      </c>
      <c r="B18" s="164" t="str">
        <f>IF(Petals!D28="C","E","")</f>
        <v/>
      </c>
      <c r="C18" s="165"/>
      <c r="D18" s="164" t="str">
        <f>IF(Petals!E28="C","E","")</f>
        <v/>
      </c>
      <c r="E18" s="165"/>
      <c r="F18" s="164" t="str">
        <f>IF(Petals!F28="C","E","")</f>
        <v/>
      </c>
      <c r="G18" s="165"/>
      <c r="H18" s="164" t="str">
        <f>IF(Petals!G28="C","E","")</f>
        <v/>
      </c>
      <c r="I18" s="165"/>
      <c r="J18" s="164" t="str">
        <f>IF(Petals!H28="C","E","")</f>
        <v/>
      </c>
      <c r="K18" s="165"/>
      <c r="L18" s="164" t="str">
        <f>IF(Petals!I28="C","E","")</f>
        <v/>
      </c>
      <c r="M18" s="165"/>
      <c r="N18" s="164" t="str">
        <f>IF(Petals!J28="C","E","")</f>
        <v/>
      </c>
      <c r="O18" s="165"/>
      <c r="P18" s="164" t="str">
        <f>IF(Petals!K28="C","E","")</f>
        <v/>
      </c>
      <c r="Q18" s="165"/>
      <c r="R18" s="164" t="str">
        <f>IF(Petals!L28="C","E","")</f>
        <v/>
      </c>
      <c r="S18" s="165"/>
      <c r="T18" s="164" t="str">
        <f>IF(Petals!M28="C","E","")</f>
        <v/>
      </c>
      <c r="U18" s="165"/>
      <c r="V18" s="164" t="str">
        <f>IF(Petals!N28="C","E","")</f>
        <v/>
      </c>
      <c r="W18" s="165"/>
      <c r="X18" s="164" t="str">
        <f>IF(Petals!O28="C","E","")</f>
        <v/>
      </c>
      <c r="Y18" s="165"/>
      <c r="Z18" s="164" t="str">
        <f>IF(Petals!P28="C","E","")</f>
        <v/>
      </c>
      <c r="AA18" s="165"/>
      <c r="AB18" s="164" t="str">
        <f>IF(Petals!Q28="C","E","")</f>
        <v/>
      </c>
      <c r="AC18" s="165"/>
      <c r="AD18" s="164" t="str">
        <f>IF(Petals!K28="C","E","")</f>
        <v/>
      </c>
      <c r="AE18" s="166"/>
    </row>
    <row r="19" spans="1:31">
      <c r="A19" s="169" t="str">
        <f>Petals!B30</f>
        <v>Count It Up</v>
      </c>
      <c r="B19" s="164" t="str">
        <f>IF(Petals!D33="C","E","")</f>
        <v/>
      </c>
      <c r="C19" s="165"/>
      <c r="D19" s="164" t="str">
        <f>IF(Petals!E33="C","E","")</f>
        <v/>
      </c>
      <c r="E19" s="165"/>
      <c r="F19" s="164" t="str">
        <f>IF(Petals!F33="C","E","")</f>
        <v/>
      </c>
      <c r="G19" s="165"/>
      <c r="H19" s="164" t="str">
        <f>IF(Petals!G33="C","E","")</f>
        <v/>
      </c>
      <c r="I19" s="165"/>
      <c r="J19" s="164" t="str">
        <f>IF(Petals!H33="C","E","")</f>
        <v/>
      </c>
      <c r="K19" s="165"/>
      <c r="L19" s="164" t="str">
        <f>IF(Petals!I33="C","E","")</f>
        <v/>
      </c>
      <c r="M19" s="165"/>
      <c r="N19" s="164" t="str">
        <f>IF(Petals!J33="C","E","")</f>
        <v/>
      </c>
      <c r="O19" s="165"/>
      <c r="P19" s="164" t="str">
        <f>IF(Petals!K33="C","E","")</f>
        <v/>
      </c>
      <c r="Q19" s="165"/>
      <c r="R19" s="164" t="str">
        <f>IF(Petals!L33="C","E","")</f>
        <v/>
      </c>
      <c r="S19" s="165"/>
      <c r="T19" s="164" t="str">
        <f>IF(Petals!M33="C","E","")</f>
        <v/>
      </c>
      <c r="U19" s="165"/>
      <c r="V19" s="164" t="str">
        <f>IF(Petals!N33="C","E","")</f>
        <v/>
      </c>
      <c r="W19" s="165"/>
      <c r="X19" s="164" t="str">
        <f>IF(Petals!O33="C","E","")</f>
        <v/>
      </c>
      <c r="Y19" s="165"/>
      <c r="Z19" s="164" t="str">
        <f>IF(Petals!P33="C","E","")</f>
        <v/>
      </c>
      <c r="AA19" s="165"/>
      <c r="AB19" s="164" t="str">
        <f>IF(Petals!Q33="C","E","")</f>
        <v/>
      </c>
      <c r="AC19" s="165"/>
      <c r="AD19" s="164" t="str">
        <f>IF(Petals!K33="C","E","")</f>
        <v/>
      </c>
      <c r="AE19" s="166"/>
    </row>
    <row r="20" spans="1:31">
      <c r="A20" s="169" t="str">
        <f>Petals!B35</f>
        <v>Talk It Up</v>
      </c>
      <c r="B20" s="164" t="str">
        <f>IF(Petals!D38="C","E","")</f>
        <v>E</v>
      </c>
      <c r="C20" s="165"/>
      <c r="D20" s="164" t="str">
        <f>IF(Petals!E38="C","E","")</f>
        <v/>
      </c>
      <c r="E20" s="165"/>
      <c r="F20" s="164" t="str">
        <f>IF(Petals!F38="C","E","")</f>
        <v/>
      </c>
      <c r="G20" s="165"/>
      <c r="H20" s="164" t="str">
        <f>IF(Petals!G38="C","E","")</f>
        <v/>
      </c>
      <c r="I20" s="165"/>
      <c r="J20" s="164" t="str">
        <f>IF(Petals!H38="C","E","")</f>
        <v/>
      </c>
      <c r="K20" s="165"/>
      <c r="L20" s="164" t="str">
        <f>IF(Petals!I38="C","E","")</f>
        <v/>
      </c>
      <c r="M20" s="165"/>
      <c r="N20" s="164" t="str">
        <f>IF(Petals!J38="C","E","")</f>
        <v>E</v>
      </c>
      <c r="O20" s="165"/>
      <c r="P20" s="164" t="str">
        <f>IF(Petals!K38="C","E","")</f>
        <v/>
      </c>
      <c r="Q20" s="165"/>
      <c r="R20" s="164" t="str">
        <f>IF(Petals!L38="C","E","")</f>
        <v/>
      </c>
      <c r="S20" s="165"/>
      <c r="T20" s="164" t="str">
        <f>IF(Petals!M38="C","E","")</f>
        <v/>
      </c>
      <c r="U20" s="165"/>
      <c r="V20" s="164" t="str">
        <f>IF(Petals!N38="C","E","")</f>
        <v/>
      </c>
      <c r="W20" s="165"/>
      <c r="X20" s="164" t="str">
        <f>IF(Petals!O38="C","E","")</f>
        <v/>
      </c>
      <c r="Y20" s="165"/>
      <c r="Z20" s="164" t="str">
        <f>IF(Petals!P38="C","E","")</f>
        <v/>
      </c>
      <c r="AA20" s="165"/>
      <c r="AB20" s="164" t="str">
        <f>IF(Petals!Q38="C","E","")</f>
        <v/>
      </c>
      <c r="AC20" s="165"/>
      <c r="AD20" s="164" t="str">
        <f>IF(Petals!K38="C","E","")</f>
        <v/>
      </c>
      <c r="AE20" s="166"/>
    </row>
    <row r="21" spans="1:31">
      <c r="A21" s="170" t="s">
        <v>62</v>
      </c>
      <c r="B21" s="171"/>
      <c r="C21" s="172"/>
      <c r="D21" s="171"/>
      <c r="E21" s="172"/>
      <c r="F21" s="171"/>
      <c r="G21" s="172"/>
      <c r="H21" s="171"/>
      <c r="I21" s="172"/>
      <c r="J21" s="171"/>
      <c r="K21" s="172"/>
      <c r="L21" s="171"/>
      <c r="M21" s="172"/>
      <c r="N21" s="171"/>
      <c r="O21" s="172"/>
      <c r="P21" s="171"/>
      <c r="Q21" s="172"/>
      <c r="R21" s="171"/>
      <c r="S21" s="172"/>
      <c r="T21" s="171"/>
      <c r="U21" s="172"/>
      <c r="V21" s="171"/>
      <c r="W21" s="172"/>
      <c r="X21" s="171"/>
      <c r="Y21" s="172"/>
      <c r="Z21" s="171"/>
      <c r="AA21" s="172"/>
      <c r="AB21" s="171"/>
      <c r="AC21" s="172"/>
      <c r="AD21" s="171"/>
      <c r="AE21" s="173"/>
    </row>
    <row r="22" spans="1:31">
      <c r="A22" s="174" t="str">
        <f>'Journey Awards'!A6</f>
        <v>Welcome to the Daisy Flower Garden</v>
      </c>
      <c r="B22" s="175"/>
      <c r="C22" s="176"/>
      <c r="D22" s="175"/>
      <c r="E22" s="176"/>
      <c r="F22" s="175"/>
      <c r="G22" s="176"/>
      <c r="H22" s="175"/>
      <c r="I22" s="176"/>
      <c r="J22" s="175"/>
      <c r="K22" s="176"/>
      <c r="L22" s="175"/>
      <c r="M22" s="176"/>
      <c r="N22" s="175"/>
      <c r="O22" s="176"/>
      <c r="P22" s="175"/>
      <c r="Q22" s="176"/>
      <c r="R22" s="175"/>
      <c r="S22" s="176"/>
      <c r="T22" s="175"/>
      <c r="U22" s="176"/>
      <c r="V22" s="175"/>
      <c r="W22" s="176"/>
      <c r="X22" s="175"/>
      <c r="Y22" s="176"/>
      <c r="Z22" s="175"/>
      <c r="AA22" s="176"/>
      <c r="AB22" s="175"/>
      <c r="AC22" s="176"/>
      <c r="AD22" s="175"/>
      <c r="AE22" s="177"/>
    </row>
    <row r="23" spans="1:31">
      <c r="A23" s="178" t="str">
        <f>'Journey Awards'!C8</f>
        <v>The Watering Can Award</v>
      </c>
      <c r="B23" s="164" t="str">
        <f>IF('Journey Awards'!D8="A","E","")</f>
        <v/>
      </c>
      <c r="C23" s="165"/>
      <c r="D23" s="164" t="str">
        <f>IF('Journey Awards'!E8="A","E","")</f>
        <v/>
      </c>
      <c r="E23" s="165"/>
      <c r="F23" s="164" t="str">
        <f>IF('Journey Awards'!F8="A","E","")</f>
        <v/>
      </c>
      <c r="G23" s="165"/>
      <c r="H23" s="164" t="str">
        <f>IF('Journey Awards'!G8="A","E","")</f>
        <v/>
      </c>
      <c r="I23" s="165"/>
      <c r="J23" s="164" t="str">
        <f>IF('Journey Awards'!H8="A","E","")</f>
        <v/>
      </c>
      <c r="K23" s="165"/>
      <c r="L23" s="164" t="str">
        <f>IF('Journey Awards'!I8="A","E","")</f>
        <v/>
      </c>
      <c r="M23" s="165"/>
      <c r="N23" s="164" t="str">
        <f>IF('Journey Awards'!J8="A","E","")</f>
        <v/>
      </c>
      <c r="O23" s="165"/>
      <c r="P23" s="164" t="str">
        <f>IF('Journey Awards'!K8="A","E","")</f>
        <v/>
      </c>
      <c r="Q23" s="165"/>
      <c r="R23" s="164" t="str">
        <f>IF('Journey Awards'!L8="A","E","")</f>
        <v/>
      </c>
      <c r="S23" s="165"/>
      <c r="T23" s="164" t="str">
        <f>IF('Journey Awards'!M8="A","E","")</f>
        <v/>
      </c>
      <c r="U23" s="165"/>
      <c r="V23" s="164" t="str">
        <f>IF('Journey Awards'!N8="A","E","")</f>
        <v/>
      </c>
      <c r="W23" s="165"/>
      <c r="X23" s="164" t="str">
        <f>IF('Journey Awards'!O8="A","E","")</f>
        <v/>
      </c>
      <c r="Y23" s="165"/>
      <c r="Z23" s="164" t="str">
        <f>IF('Journey Awards'!P8="A","E","")</f>
        <v/>
      </c>
      <c r="AA23" s="165"/>
      <c r="AB23" s="164" t="str">
        <f>IF('Journey Awards'!Q8="A","E","")</f>
        <v/>
      </c>
      <c r="AC23" s="165"/>
      <c r="AD23" s="164" t="str">
        <f>IF('Journey Awards'!K8="A","E","")</f>
        <v/>
      </c>
      <c r="AE23" s="166"/>
    </row>
    <row r="24" spans="1:31">
      <c r="A24" s="178" t="str">
        <f>'Journey Awards'!C9</f>
        <v>The Golden Honey Bee</v>
      </c>
      <c r="B24" s="164" t="str">
        <f>IF('Journey Awards'!D9="A","E","")</f>
        <v/>
      </c>
      <c r="C24" s="165"/>
      <c r="D24" s="164" t="str">
        <f>IF('Journey Awards'!E9="A","E","")</f>
        <v/>
      </c>
      <c r="E24" s="165"/>
      <c r="F24" s="164" t="str">
        <f>IF('Journey Awards'!F9="A","E","")</f>
        <v/>
      </c>
      <c r="G24" s="165"/>
      <c r="H24" s="164" t="str">
        <f>IF('Journey Awards'!G9="A","E","")</f>
        <v/>
      </c>
      <c r="I24" s="165"/>
      <c r="J24" s="164" t="str">
        <f>IF('Journey Awards'!H9="A","E","")</f>
        <v/>
      </c>
      <c r="K24" s="165"/>
      <c r="L24" s="164" t="str">
        <f>IF('Journey Awards'!I9="A","E","")</f>
        <v/>
      </c>
      <c r="M24" s="165"/>
      <c r="N24" s="164" t="str">
        <f>IF('Journey Awards'!J9="A","E","")</f>
        <v/>
      </c>
      <c r="O24" s="165"/>
      <c r="P24" s="164" t="str">
        <f>IF('Journey Awards'!K9="A","E","")</f>
        <v/>
      </c>
      <c r="Q24" s="165"/>
      <c r="R24" s="164" t="str">
        <f>IF('Journey Awards'!L9="A","E","")</f>
        <v/>
      </c>
      <c r="S24" s="165"/>
      <c r="T24" s="164" t="str">
        <f>IF('Journey Awards'!M9="A","E","")</f>
        <v/>
      </c>
      <c r="U24" s="165"/>
      <c r="V24" s="164" t="str">
        <f>IF('Journey Awards'!N9="A","E","")</f>
        <v/>
      </c>
      <c r="W24" s="165"/>
      <c r="X24" s="164" t="str">
        <f>IF('Journey Awards'!O9="A","E","")</f>
        <v/>
      </c>
      <c r="Y24" s="165"/>
      <c r="Z24" s="164" t="str">
        <f>IF('Journey Awards'!P9="A","E","")</f>
        <v/>
      </c>
      <c r="AA24" s="165"/>
      <c r="AB24" s="164" t="str">
        <f>IF('Journey Awards'!Q9="A","E","")</f>
        <v/>
      </c>
      <c r="AC24" s="165"/>
      <c r="AD24" s="164" t="str">
        <f>IF('Journey Awards'!K9="A","E","")</f>
        <v/>
      </c>
      <c r="AE24" s="166"/>
    </row>
    <row r="25" spans="1:31">
      <c r="A25" s="178" t="str">
        <f>'Journey Awards'!C10</f>
        <v>The Amazing Daisy Award</v>
      </c>
      <c r="B25" s="164" t="str">
        <f>IF('Journey Awards'!D10="A","E","")</f>
        <v/>
      </c>
      <c r="C25" s="165"/>
      <c r="D25" s="164" t="str">
        <f>IF('Journey Awards'!E10="A","E","")</f>
        <v/>
      </c>
      <c r="E25" s="165"/>
      <c r="F25" s="164" t="str">
        <f>IF('Journey Awards'!F10="A","E","")</f>
        <v/>
      </c>
      <c r="G25" s="165"/>
      <c r="H25" s="164" t="str">
        <f>IF('Journey Awards'!G10="A","E","")</f>
        <v/>
      </c>
      <c r="I25" s="165"/>
      <c r="J25" s="164" t="str">
        <f>IF('Journey Awards'!H10="A","E","")</f>
        <v/>
      </c>
      <c r="K25" s="165"/>
      <c r="L25" s="164" t="str">
        <f>IF('Journey Awards'!I10="A","E","")</f>
        <v/>
      </c>
      <c r="M25" s="165"/>
      <c r="N25" s="164" t="str">
        <f>IF('Journey Awards'!J10="A","E","")</f>
        <v/>
      </c>
      <c r="O25" s="165"/>
      <c r="P25" s="164" t="str">
        <f>IF('Journey Awards'!K10="A","E","")</f>
        <v/>
      </c>
      <c r="Q25" s="165"/>
      <c r="R25" s="164" t="str">
        <f>IF('Journey Awards'!L10="A","E","")</f>
        <v/>
      </c>
      <c r="S25" s="165"/>
      <c r="T25" s="164" t="str">
        <f>IF('Journey Awards'!M10="A","E","")</f>
        <v/>
      </c>
      <c r="U25" s="165"/>
      <c r="V25" s="164" t="str">
        <f>IF('Journey Awards'!N10="A","E","")</f>
        <v/>
      </c>
      <c r="W25" s="165"/>
      <c r="X25" s="164" t="str">
        <f>IF('Journey Awards'!O10="A","E","")</f>
        <v/>
      </c>
      <c r="Y25" s="165"/>
      <c r="Z25" s="164" t="str">
        <f>IF('Journey Awards'!P10="A","E","")</f>
        <v/>
      </c>
      <c r="AA25" s="165"/>
      <c r="AB25" s="164" t="str">
        <f>IF('Journey Awards'!Q10="A","E","")</f>
        <v/>
      </c>
      <c r="AC25" s="165"/>
      <c r="AD25" s="164" t="str">
        <f>IF('Journey Awards'!K10="A","E","")</f>
        <v/>
      </c>
      <c r="AE25" s="166"/>
    </row>
    <row r="26" spans="1:31">
      <c r="A26" s="179" t="str">
        <f>'Journey Awards'!A14</f>
        <v>Between Earth and Sky</v>
      </c>
      <c r="B26" s="168"/>
      <c r="C26" s="180"/>
      <c r="D26" s="168"/>
      <c r="E26" s="180"/>
      <c r="F26" s="168"/>
      <c r="G26" s="180"/>
      <c r="H26" s="168"/>
      <c r="I26" s="180"/>
      <c r="J26" s="168"/>
      <c r="K26" s="180"/>
      <c r="L26" s="168"/>
      <c r="M26" s="180"/>
      <c r="N26" s="168"/>
      <c r="O26" s="180"/>
      <c r="P26" s="168"/>
      <c r="Q26" s="180"/>
      <c r="R26" s="168"/>
      <c r="S26" s="180"/>
      <c r="T26" s="168"/>
      <c r="U26" s="180"/>
      <c r="V26" s="168"/>
      <c r="W26" s="180"/>
      <c r="X26" s="168"/>
      <c r="Y26" s="180"/>
      <c r="Z26" s="168"/>
      <c r="AA26" s="180"/>
      <c r="AB26" s="168"/>
      <c r="AC26" s="180"/>
      <c r="AD26" s="168"/>
      <c r="AE26" s="181"/>
    </row>
    <row r="27" spans="1:31">
      <c r="A27" s="178" t="str">
        <f>'Journey Awards'!C16</f>
        <v>The Blue Bucket Award</v>
      </c>
      <c r="B27" s="164" t="str">
        <f>IF('Journey Awards'!D16="A","E","")</f>
        <v/>
      </c>
      <c r="C27" s="165"/>
      <c r="D27" s="164" t="str">
        <f>IF('Journey Awards'!E16="A","E","")</f>
        <v/>
      </c>
      <c r="E27" s="165"/>
      <c r="F27" s="164" t="str">
        <f>IF('Journey Awards'!F16="A","E","")</f>
        <v/>
      </c>
      <c r="G27" s="165"/>
      <c r="H27" s="164" t="str">
        <f>IF('Journey Awards'!G16="A","E","")</f>
        <v/>
      </c>
      <c r="I27" s="165"/>
      <c r="J27" s="164" t="str">
        <f>IF('Journey Awards'!H16="A","E","")</f>
        <v/>
      </c>
      <c r="K27" s="165"/>
      <c r="L27" s="164" t="str">
        <f>IF('Journey Awards'!I16="A","E","")</f>
        <v/>
      </c>
      <c r="M27" s="165"/>
      <c r="N27" s="164" t="str">
        <f>IF('Journey Awards'!J16="A","E","")</f>
        <v/>
      </c>
      <c r="O27" s="165"/>
      <c r="P27" s="164" t="str">
        <f>IF('Journey Awards'!K16="A","E","")</f>
        <v/>
      </c>
      <c r="Q27" s="165"/>
      <c r="R27" s="164" t="str">
        <f>IF('Journey Awards'!L16="A","E","")</f>
        <v/>
      </c>
      <c r="S27" s="165"/>
      <c r="T27" s="164" t="str">
        <f>IF('Journey Awards'!M16="A","E","")</f>
        <v/>
      </c>
      <c r="U27" s="165"/>
      <c r="V27" s="164" t="str">
        <f>IF('Journey Awards'!N16="A","E","")</f>
        <v/>
      </c>
      <c r="W27" s="165"/>
      <c r="X27" s="164" t="str">
        <f>IF('Journey Awards'!O16="A","E","")</f>
        <v/>
      </c>
      <c r="Y27" s="165"/>
      <c r="Z27" s="164" t="str">
        <f>IF('Journey Awards'!P16="A","E","")</f>
        <v/>
      </c>
      <c r="AA27" s="165"/>
      <c r="AB27" s="164" t="str">
        <f>IF('Journey Awards'!Q16="A","E","")</f>
        <v/>
      </c>
      <c r="AC27" s="165"/>
      <c r="AD27" s="164" t="str">
        <f>IF('Journey Awards'!K16="A","E","")</f>
        <v/>
      </c>
      <c r="AE27" s="166"/>
    </row>
    <row r="28" spans="1:31">
      <c r="A28" s="178" t="str">
        <f>'Journey Awards'!C17</f>
        <v>The Firefly Award</v>
      </c>
      <c r="B28" s="164" t="str">
        <f>IF('Journey Awards'!D17="A","E","")</f>
        <v/>
      </c>
      <c r="C28" s="165"/>
      <c r="D28" s="164" t="str">
        <f>IF('Journey Awards'!E17="A","E","")</f>
        <v/>
      </c>
      <c r="E28" s="165"/>
      <c r="F28" s="164" t="str">
        <f>IF('Journey Awards'!F17="A","E","")</f>
        <v/>
      </c>
      <c r="G28" s="165"/>
      <c r="H28" s="164" t="str">
        <f>IF('Journey Awards'!G17="A","E","")</f>
        <v/>
      </c>
      <c r="I28" s="165"/>
      <c r="J28" s="164" t="str">
        <f>IF('Journey Awards'!H17="A","E","")</f>
        <v/>
      </c>
      <c r="K28" s="165"/>
      <c r="L28" s="164" t="str">
        <f>IF('Journey Awards'!I17="A","E","")</f>
        <v/>
      </c>
      <c r="M28" s="165"/>
      <c r="N28" s="164" t="str">
        <f>IF('Journey Awards'!J17="A","E","")</f>
        <v/>
      </c>
      <c r="O28" s="165"/>
      <c r="P28" s="164" t="str">
        <f>IF('Journey Awards'!K17="A","E","")</f>
        <v/>
      </c>
      <c r="Q28" s="165"/>
      <c r="R28" s="164" t="str">
        <f>IF('Journey Awards'!L17="A","E","")</f>
        <v/>
      </c>
      <c r="S28" s="165"/>
      <c r="T28" s="164" t="str">
        <f>IF('Journey Awards'!M17="A","E","")</f>
        <v/>
      </c>
      <c r="U28" s="165"/>
      <c r="V28" s="164" t="str">
        <f>IF('Journey Awards'!N17="A","E","")</f>
        <v/>
      </c>
      <c r="W28" s="165"/>
      <c r="X28" s="164" t="str">
        <f>IF('Journey Awards'!O17="A","E","")</f>
        <v/>
      </c>
      <c r="Y28" s="165"/>
      <c r="Z28" s="164" t="str">
        <f>IF('Journey Awards'!P17="A","E","")</f>
        <v/>
      </c>
      <c r="AA28" s="165"/>
      <c r="AB28" s="164" t="str">
        <f>IF('Journey Awards'!Q17="A","E","")</f>
        <v/>
      </c>
      <c r="AC28" s="165"/>
      <c r="AD28" s="164" t="str">
        <f>IF('Journey Awards'!K17="A","E","")</f>
        <v/>
      </c>
      <c r="AE28" s="166"/>
    </row>
    <row r="29" spans="1:31">
      <c r="A29" s="178" t="str">
        <f>'Journey Awards'!C18</f>
        <v>The Clover Award</v>
      </c>
      <c r="B29" s="164" t="str">
        <f>IF('Journey Awards'!D18="A","E","")</f>
        <v/>
      </c>
      <c r="C29" s="165"/>
      <c r="D29" s="164" t="str">
        <f>IF('Journey Awards'!E18="A","E","")</f>
        <v/>
      </c>
      <c r="E29" s="165"/>
      <c r="F29" s="164" t="str">
        <f>IF('Journey Awards'!F18="A","E","")</f>
        <v/>
      </c>
      <c r="G29" s="165"/>
      <c r="H29" s="164" t="str">
        <f>IF('Journey Awards'!G18="A","E","")</f>
        <v/>
      </c>
      <c r="I29" s="165"/>
      <c r="J29" s="164" t="str">
        <f>IF('Journey Awards'!H18="A","E","")</f>
        <v/>
      </c>
      <c r="K29" s="165"/>
      <c r="L29" s="164" t="str">
        <f>IF('Journey Awards'!I18="A","E","")</f>
        <v/>
      </c>
      <c r="M29" s="165"/>
      <c r="N29" s="164" t="str">
        <f>IF('Journey Awards'!J18="A","E","")</f>
        <v/>
      </c>
      <c r="O29" s="165"/>
      <c r="P29" s="164" t="str">
        <f>IF('Journey Awards'!K18="A","E","")</f>
        <v/>
      </c>
      <c r="Q29" s="165"/>
      <c r="R29" s="164" t="str">
        <f>IF('Journey Awards'!L18="A","E","")</f>
        <v/>
      </c>
      <c r="S29" s="165"/>
      <c r="T29" s="164" t="str">
        <f>IF('Journey Awards'!M18="A","E","")</f>
        <v/>
      </c>
      <c r="U29" s="165"/>
      <c r="V29" s="164" t="str">
        <f>IF('Journey Awards'!N18="A","E","")</f>
        <v/>
      </c>
      <c r="W29" s="165"/>
      <c r="X29" s="164" t="str">
        <f>IF('Journey Awards'!O18="A","E","")</f>
        <v/>
      </c>
      <c r="Y29" s="165"/>
      <c r="Z29" s="164" t="str">
        <f>IF('Journey Awards'!P18="A","E","")</f>
        <v/>
      </c>
      <c r="AA29" s="165"/>
      <c r="AB29" s="164" t="str">
        <f>IF('Journey Awards'!Q18="A","E","")</f>
        <v/>
      </c>
      <c r="AC29" s="165"/>
      <c r="AD29" s="164" t="str">
        <f>IF('Journey Awards'!K18="A","E","")</f>
        <v/>
      </c>
      <c r="AE29" s="166"/>
    </row>
    <row r="30" spans="1:31">
      <c r="A30" s="179" t="str">
        <f>'Journey Awards'!A22</f>
        <v>5 Flowers, 4 Stories, 3 Cheers for Animals!</v>
      </c>
      <c r="B30" s="168"/>
      <c r="C30" s="180"/>
      <c r="D30" s="168"/>
      <c r="E30" s="180"/>
      <c r="F30" s="168"/>
      <c r="G30" s="180"/>
      <c r="H30" s="168"/>
      <c r="I30" s="180"/>
      <c r="J30" s="168"/>
      <c r="K30" s="180"/>
      <c r="L30" s="168"/>
      <c r="M30" s="180"/>
      <c r="N30" s="168"/>
      <c r="O30" s="180"/>
      <c r="P30" s="168"/>
      <c r="Q30" s="180"/>
      <c r="R30" s="168"/>
      <c r="S30" s="180"/>
      <c r="T30" s="168"/>
      <c r="U30" s="180"/>
      <c r="V30" s="168"/>
      <c r="W30" s="180"/>
      <c r="X30" s="168"/>
      <c r="Y30" s="180"/>
      <c r="Z30" s="168"/>
      <c r="AA30" s="180"/>
      <c r="AB30" s="168"/>
      <c r="AC30" s="180"/>
      <c r="AD30" s="168"/>
      <c r="AE30" s="181"/>
    </row>
    <row r="31" spans="1:31">
      <c r="A31" s="178" t="str">
        <f>'Journey Awards'!C24</f>
        <v>Birdbath Award</v>
      </c>
      <c r="B31" s="164" t="str">
        <f>IF('Journey Awards'!D24="A","E","")</f>
        <v/>
      </c>
      <c r="C31" s="165"/>
      <c r="D31" s="164" t="str">
        <f>IF('Journey Awards'!E24="A","E","")</f>
        <v/>
      </c>
      <c r="E31" s="165"/>
      <c r="F31" s="164" t="str">
        <f>IF('Journey Awards'!F24="A","E","")</f>
        <v/>
      </c>
      <c r="G31" s="165"/>
      <c r="H31" s="164" t="str">
        <f>IF('Journey Awards'!G24="A","E","")</f>
        <v/>
      </c>
      <c r="I31" s="165"/>
      <c r="J31" s="164" t="str">
        <f>IF('Journey Awards'!H24="A","E","")</f>
        <v/>
      </c>
      <c r="K31" s="165"/>
      <c r="L31" s="164" t="str">
        <f>IF('Journey Awards'!I24="A","E","")</f>
        <v/>
      </c>
      <c r="M31" s="165"/>
      <c r="N31" s="164" t="str">
        <f>IF('Journey Awards'!J24="A","E","")</f>
        <v/>
      </c>
      <c r="O31" s="165"/>
      <c r="P31" s="164" t="str">
        <f>IF('Journey Awards'!K24="A","E","")</f>
        <v/>
      </c>
      <c r="Q31" s="165"/>
      <c r="R31" s="164" t="str">
        <f>IF('Journey Awards'!L24="A","E","")</f>
        <v/>
      </c>
      <c r="S31" s="165"/>
      <c r="T31" s="164" t="str">
        <f>IF('Journey Awards'!M24="A","E","")</f>
        <v/>
      </c>
      <c r="U31" s="165"/>
      <c r="V31" s="164" t="str">
        <f>IF('Journey Awards'!N24="A","E","")</f>
        <v/>
      </c>
      <c r="W31" s="165"/>
      <c r="X31" s="164" t="str">
        <f>IF('Journey Awards'!O24="A","E","")</f>
        <v/>
      </c>
      <c r="Y31" s="165"/>
      <c r="Z31" s="164" t="str">
        <f>IF('Journey Awards'!P24="A","E","")</f>
        <v/>
      </c>
      <c r="AA31" s="165"/>
      <c r="AB31" s="164" t="str">
        <f>IF('Journey Awards'!Q24="A","E","")</f>
        <v/>
      </c>
      <c r="AC31" s="165"/>
      <c r="AD31" s="164" t="str">
        <f>IF('Journey Awards'!K24="A","E","")</f>
        <v/>
      </c>
      <c r="AE31" s="166"/>
    </row>
    <row r="32" spans="1:31">
      <c r="A32" s="178" t="str">
        <f>'Journey Awards'!C25</f>
        <v>Red Robin Award</v>
      </c>
      <c r="B32" s="164" t="str">
        <f>IF('Journey Awards'!D25="A","E","")</f>
        <v/>
      </c>
      <c r="C32" s="165"/>
      <c r="D32" s="164" t="str">
        <f>IF('Journey Awards'!E25="A","E","")</f>
        <v/>
      </c>
      <c r="E32" s="165"/>
      <c r="F32" s="164" t="str">
        <f>IF('Journey Awards'!F25="A","E","")</f>
        <v/>
      </c>
      <c r="G32" s="165"/>
      <c r="H32" s="164" t="str">
        <f>IF('Journey Awards'!G25="A","E","")</f>
        <v/>
      </c>
      <c r="I32" s="165"/>
      <c r="J32" s="164" t="str">
        <f>IF('Journey Awards'!H25="A","E","")</f>
        <v/>
      </c>
      <c r="K32" s="165"/>
      <c r="L32" s="164" t="str">
        <f>IF('Journey Awards'!I25="A","E","")</f>
        <v/>
      </c>
      <c r="M32" s="165"/>
      <c r="N32" s="164" t="str">
        <f>IF('Journey Awards'!J25="A","E","")</f>
        <v/>
      </c>
      <c r="O32" s="165"/>
      <c r="P32" s="164" t="str">
        <f>IF('Journey Awards'!K25="A","E","")</f>
        <v/>
      </c>
      <c r="Q32" s="165"/>
      <c r="R32" s="164" t="str">
        <f>IF('Journey Awards'!L25="A","E","")</f>
        <v/>
      </c>
      <c r="S32" s="165"/>
      <c r="T32" s="164" t="str">
        <f>IF('Journey Awards'!M25="A","E","")</f>
        <v/>
      </c>
      <c r="U32" s="165"/>
      <c r="V32" s="164" t="str">
        <f>IF('Journey Awards'!N25="A","E","")</f>
        <v/>
      </c>
      <c r="W32" s="165"/>
      <c r="X32" s="164" t="str">
        <f>IF('Journey Awards'!O25="A","E","")</f>
        <v/>
      </c>
      <c r="Y32" s="165"/>
      <c r="Z32" s="164" t="str">
        <f>IF('Journey Awards'!P25="A","E","")</f>
        <v/>
      </c>
      <c r="AA32" s="165"/>
      <c r="AB32" s="164" t="str">
        <f>IF('Journey Awards'!Q25="A","E","")</f>
        <v/>
      </c>
      <c r="AC32" s="165"/>
      <c r="AD32" s="164" t="str">
        <f>IF('Journey Awards'!K25="A","E","")</f>
        <v/>
      </c>
      <c r="AE32" s="166"/>
    </row>
    <row r="33" spans="1:31">
      <c r="A33" s="178" t="str">
        <f>'Journey Awards'!C26</f>
        <v>Tula Award</v>
      </c>
      <c r="B33" s="164" t="str">
        <f>IF('Journey Awards'!D26="A","E","")</f>
        <v/>
      </c>
      <c r="C33" s="165"/>
      <c r="D33" s="164" t="str">
        <f>IF('Journey Awards'!E26="A","E","")</f>
        <v/>
      </c>
      <c r="E33" s="165"/>
      <c r="F33" s="164" t="str">
        <f>IF('Journey Awards'!F26="A","E","")</f>
        <v/>
      </c>
      <c r="G33" s="165"/>
      <c r="H33" s="164" t="str">
        <f>IF('Journey Awards'!G26="A","E","")</f>
        <v/>
      </c>
      <c r="I33" s="165"/>
      <c r="J33" s="164" t="str">
        <f>IF('Journey Awards'!H26="A","E","")</f>
        <v/>
      </c>
      <c r="K33" s="165"/>
      <c r="L33" s="164" t="str">
        <f>IF('Journey Awards'!I26="A","E","")</f>
        <v/>
      </c>
      <c r="M33" s="165"/>
      <c r="N33" s="164" t="str">
        <f>IF('Journey Awards'!J26="A","E","")</f>
        <v/>
      </c>
      <c r="O33" s="165"/>
      <c r="P33" s="164" t="str">
        <f>IF('Journey Awards'!K26="A","E","")</f>
        <v/>
      </c>
      <c r="Q33" s="165"/>
      <c r="R33" s="164" t="str">
        <f>IF('Journey Awards'!L26="A","E","")</f>
        <v/>
      </c>
      <c r="S33" s="165"/>
      <c r="T33" s="164" t="str">
        <f>IF('Journey Awards'!M26="A","E","")</f>
        <v/>
      </c>
      <c r="U33" s="165"/>
      <c r="V33" s="164" t="str">
        <f>IF('Journey Awards'!N26="A","E","")</f>
        <v/>
      </c>
      <c r="W33" s="165"/>
      <c r="X33" s="164" t="str">
        <f>IF('Journey Awards'!O26="A","E","")</f>
        <v/>
      </c>
      <c r="Y33" s="165"/>
      <c r="Z33" s="164" t="str">
        <f>IF('Journey Awards'!P26="A","E","")</f>
        <v/>
      </c>
      <c r="AA33" s="165"/>
      <c r="AB33" s="164" t="str">
        <f>IF('Journey Awards'!Q26="A","E","")</f>
        <v/>
      </c>
      <c r="AC33" s="165"/>
      <c r="AD33" s="164" t="str">
        <f>IF('Journey Awards'!K26="A","E","")</f>
        <v/>
      </c>
      <c r="AE33" s="166"/>
    </row>
    <row r="34" spans="1:31">
      <c r="A34" s="182" t="s">
        <v>61</v>
      </c>
      <c r="B34" s="183" t="str">
        <f>IF(Bridging!D18="C","E","")</f>
        <v/>
      </c>
      <c r="C34" s="165"/>
      <c r="D34" s="183" t="str">
        <f>IF(Bridging!E18="C","E","")</f>
        <v/>
      </c>
      <c r="E34" s="165"/>
      <c r="F34" s="183" t="str">
        <f>IF(Bridging!F18="C","E","")</f>
        <v/>
      </c>
      <c r="G34" s="165"/>
      <c r="H34" s="183" t="str">
        <f>IF(Bridging!G18="C","E","")</f>
        <v/>
      </c>
      <c r="I34" s="165"/>
      <c r="J34" s="183" t="str">
        <f>IF(Bridging!H18="C","E","")</f>
        <v/>
      </c>
      <c r="K34" s="165"/>
      <c r="L34" s="183" t="str">
        <f>IF(Bridging!I18="C","E","")</f>
        <v/>
      </c>
      <c r="M34" s="165"/>
      <c r="N34" s="183" t="str">
        <f>IF(Bridging!J18="C","E","")</f>
        <v/>
      </c>
      <c r="O34" s="165"/>
      <c r="P34" s="183" t="str">
        <f>IF(Bridging!K18="C","E","")</f>
        <v/>
      </c>
      <c r="Q34" s="165"/>
      <c r="R34" s="183" t="str">
        <f>IF(Bridging!L18="C","E","")</f>
        <v/>
      </c>
      <c r="S34" s="165"/>
      <c r="T34" s="183" t="str">
        <f>IF(Bridging!M18="C","E","")</f>
        <v/>
      </c>
      <c r="U34" s="165"/>
      <c r="V34" s="183" t="str">
        <f>IF(Bridging!N18="C","E","")</f>
        <v/>
      </c>
      <c r="W34" s="165"/>
      <c r="X34" s="183" t="str">
        <f>IF(Bridging!O18="C","E","")</f>
        <v/>
      </c>
      <c r="Y34" s="165"/>
      <c r="Z34" s="183" t="str">
        <f>IF(Bridging!P18="C","E","")</f>
        <v/>
      </c>
      <c r="AA34" s="165"/>
      <c r="AB34" s="183" t="str">
        <f>IF(Bridging!Q18="C","E","")</f>
        <v/>
      </c>
      <c r="AC34" s="165"/>
      <c r="AD34" s="183" t="str">
        <f>IF(Bridging!K18="C","E","")</f>
        <v/>
      </c>
      <c r="AE34" s="166"/>
    </row>
    <row r="35" spans="1:31">
      <c r="A35" s="170" t="s">
        <v>98</v>
      </c>
      <c r="B35" s="171"/>
      <c r="C35" s="172"/>
      <c r="D35" s="171"/>
      <c r="E35" s="172"/>
      <c r="F35" s="171"/>
      <c r="G35" s="172"/>
      <c r="H35" s="171"/>
      <c r="I35" s="172"/>
      <c r="J35" s="171"/>
      <c r="K35" s="172"/>
      <c r="L35" s="171"/>
      <c r="M35" s="172"/>
      <c r="N35" s="171"/>
      <c r="O35" s="172"/>
      <c r="P35" s="171"/>
      <c r="Q35" s="172"/>
      <c r="R35" s="171"/>
      <c r="S35" s="172"/>
      <c r="T35" s="171"/>
      <c r="U35" s="172"/>
      <c r="V35" s="171"/>
      <c r="W35" s="172"/>
      <c r="X35" s="171"/>
      <c r="Y35" s="172"/>
      <c r="Z35" s="171"/>
      <c r="AA35" s="172"/>
      <c r="AB35" s="171"/>
      <c r="AC35" s="172"/>
      <c r="AD35" s="171"/>
      <c r="AE35" s="173"/>
    </row>
    <row r="36" spans="1:31">
      <c r="A36" s="184" t="str">
        <f>'Age-Level'!C6</f>
        <v>Cookie Rally (Year 1)</v>
      </c>
      <c r="B36" s="164" t="str">
        <f>IF('Age-Level'!D6="A","E","")</f>
        <v/>
      </c>
      <c r="C36" s="165"/>
      <c r="D36" s="164" t="str">
        <f>IF('Age-Level'!E6="A","E","")</f>
        <v/>
      </c>
      <c r="E36" s="165"/>
      <c r="F36" s="164" t="str">
        <f>IF('Age-Level'!F6="A","E","")</f>
        <v/>
      </c>
      <c r="G36" s="165"/>
      <c r="H36" s="164" t="str">
        <f>IF('Age-Level'!G6="A","E","")</f>
        <v/>
      </c>
      <c r="I36" s="165"/>
      <c r="J36" s="164" t="str">
        <f>IF('Age-Level'!H6="A","E","")</f>
        <v/>
      </c>
      <c r="K36" s="165"/>
      <c r="L36" s="164" t="str">
        <f>IF('Age-Level'!I6="A","E","")</f>
        <v/>
      </c>
      <c r="M36" s="165"/>
      <c r="N36" s="164" t="str">
        <f>IF('Age-Level'!J6="A","E","")</f>
        <v/>
      </c>
      <c r="O36" s="165"/>
      <c r="P36" s="164" t="str">
        <f>IF('Age-Level'!K6="A","E","")</f>
        <v/>
      </c>
      <c r="Q36" s="165"/>
      <c r="R36" s="164" t="str">
        <f>IF('Age-Level'!L6="A","E","")</f>
        <v/>
      </c>
      <c r="S36" s="165"/>
      <c r="T36" s="164" t="str">
        <f>IF('Age-Level'!M6="A","E","")</f>
        <v/>
      </c>
      <c r="U36" s="165"/>
      <c r="V36" s="164" t="str">
        <f>IF('Age-Level'!N6="A","E","")</f>
        <v/>
      </c>
      <c r="W36" s="165"/>
      <c r="X36" s="164" t="str">
        <f>IF('Age-Level'!O6="A","E","")</f>
        <v/>
      </c>
      <c r="Y36" s="165"/>
      <c r="Z36" s="164" t="str">
        <f>IF('Age-Level'!P6="A","E","")</f>
        <v/>
      </c>
      <c r="AA36" s="165"/>
      <c r="AB36" s="164" t="str">
        <f>IF('Age-Level'!Q6="A","E","")</f>
        <v/>
      </c>
      <c r="AC36" s="165"/>
      <c r="AD36" s="164" t="str">
        <f>IF('Age-Level'!K6="A","E","")</f>
        <v/>
      </c>
      <c r="AE36" s="166"/>
    </row>
    <row r="37" spans="1:31">
      <c r="A37" s="184" t="str">
        <f>'Age-Level'!C7</f>
        <v>Cookie Sales (Year 1)</v>
      </c>
      <c r="B37" s="164" t="str">
        <f>IF('Age-Level'!D7="A","E","")</f>
        <v/>
      </c>
      <c r="C37" s="165"/>
      <c r="D37" s="164" t="str">
        <f>IF('Age-Level'!E7="A","E","")</f>
        <v/>
      </c>
      <c r="E37" s="165"/>
      <c r="F37" s="164" t="str">
        <f>IF('Age-Level'!F7="A","E","")</f>
        <v/>
      </c>
      <c r="G37" s="165"/>
      <c r="H37" s="164" t="str">
        <f>IF('Age-Level'!G7="A","E","")</f>
        <v/>
      </c>
      <c r="I37" s="165"/>
      <c r="J37" s="164" t="str">
        <f>IF('Age-Level'!H7="A","E","")</f>
        <v/>
      </c>
      <c r="K37" s="165"/>
      <c r="L37" s="164" t="str">
        <f>IF('Age-Level'!I7="A","E","")</f>
        <v/>
      </c>
      <c r="M37" s="165"/>
      <c r="N37" s="164" t="str">
        <f>IF('Age-Level'!J7="A","E","")</f>
        <v/>
      </c>
      <c r="O37" s="165"/>
      <c r="P37" s="164" t="str">
        <f>IF('Age-Level'!K7="A","E","")</f>
        <v/>
      </c>
      <c r="Q37" s="165"/>
      <c r="R37" s="164" t="str">
        <f>IF('Age-Level'!L7="A","E","")</f>
        <v/>
      </c>
      <c r="S37" s="165"/>
      <c r="T37" s="164" t="str">
        <f>IF('Age-Level'!M7="A","E","")</f>
        <v/>
      </c>
      <c r="U37" s="165"/>
      <c r="V37" s="164" t="str">
        <f>IF('Age-Level'!N7="A","E","")</f>
        <v/>
      </c>
      <c r="W37" s="165"/>
      <c r="X37" s="164" t="str">
        <f>IF('Age-Level'!O7="A","E","")</f>
        <v/>
      </c>
      <c r="Y37" s="165"/>
      <c r="Z37" s="164" t="str">
        <f>IF('Age-Level'!P7="A","E","")</f>
        <v/>
      </c>
      <c r="AA37" s="165"/>
      <c r="AB37" s="164" t="str">
        <f>IF('Age-Level'!Q7="A","E","")</f>
        <v/>
      </c>
      <c r="AC37" s="165"/>
      <c r="AD37" s="164" t="str">
        <f>IF('Age-Level'!K7="A","E","")</f>
        <v/>
      </c>
      <c r="AE37" s="166"/>
    </row>
    <row r="38" spans="1:31">
      <c r="A38" s="184" t="str">
        <f>'Age-Level'!C8</f>
        <v>Cookie Pin (Year 1)</v>
      </c>
      <c r="B38" s="183" t="str">
        <f>IF('Age-Level'!D8="A","E","")</f>
        <v/>
      </c>
      <c r="C38" s="165"/>
      <c r="D38" s="183" t="str">
        <f>IF('Age-Level'!E8="A","E","")</f>
        <v/>
      </c>
      <c r="E38" s="165"/>
      <c r="F38" s="183" t="str">
        <f>IF('Age-Level'!F8="A","E","")</f>
        <v/>
      </c>
      <c r="G38" s="165"/>
      <c r="H38" s="183" t="str">
        <f>IF('Age-Level'!G8="A","E","")</f>
        <v/>
      </c>
      <c r="I38" s="165"/>
      <c r="J38" s="183" t="str">
        <f>IF('Age-Level'!H8="A","E","")</f>
        <v/>
      </c>
      <c r="K38" s="165"/>
      <c r="L38" s="183" t="str">
        <f>IF('Age-Level'!I8="A","E","")</f>
        <v/>
      </c>
      <c r="M38" s="165"/>
      <c r="N38" s="183" t="str">
        <f>IF('Age-Level'!J8="A","E","")</f>
        <v/>
      </c>
      <c r="O38" s="165"/>
      <c r="P38" s="183" t="str">
        <f>IF('Age-Level'!K8="A","E","")</f>
        <v/>
      </c>
      <c r="Q38" s="165"/>
      <c r="R38" s="183" t="str">
        <f>IF('Age-Level'!L8="A","E","")</f>
        <v/>
      </c>
      <c r="S38" s="165"/>
      <c r="T38" s="183" t="str">
        <f>IF('Age-Level'!M8="A","E","")</f>
        <v/>
      </c>
      <c r="U38" s="165"/>
      <c r="V38" s="183" t="str">
        <f>IF('Age-Level'!N8="A","E","")</f>
        <v/>
      </c>
      <c r="W38" s="165"/>
      <c r="X38" s="183" t="str">
        <f>IF('Age-Level'!O8="A","E","")</f>
        <v/>
      </c>
      <c r="Y38" s="165"/>
      <c r="Z38" s="183" t="str">
        <f>IF('Age-Level'!P8="A","E","")</f>
        <v/>
      </c>
      <c r="AA38" s="165"/>
      <c r="AB38" s="183" t="str">
        <f>IF('Age-Level'!Q8="A","E","")</f>
        <v/>
      </c>
      <c r="AC38" s="165"/>
      <c r="AD38" s="183" t="str">
        <f>IF('Age-Level'!K8="A","E","")</f>
        <v/>
      </c>
      <c r="AE38" s="166"/>
    </row>
    <row r="39" spans="1:31">
      <c r="A39" s="184" t="str">
        <f>'Age-Level'!C9</f>
        <v>Cookie Rally (Year 2)</v>
      </c>
      <c r="B39" s="164" t="str">
        <f>IF('Age-Level'!D9="A","E","")</f>
        <v/>
      </c>
      <c r="C39" s="165"/>
      <c r="D39" s="164" t="str">
        <f>IF('Age-Level'!E9="A","E","")</f>
        <v/>
      </c>
      <c r="E39" s="165"/>
      <c r="F39" s="164" t="str">
        <f>IF('Age-Level'!F9="A","E","")</f>
        <v/>
      </c>
      <c r="G39" s="165"/>
      <c r="H39" s="164" t="str">
        <f>IF('Age-Level'!G9="A","E","")</f>
        <v/>
      </c>
      <c r="I39" s="165"/>
      <c r="J39" s="164" t="str">
        <f>IF('Age-Level'!H9="A","E","")</f>
        <v/>
      </c>
      <c r="K39" s="165"/>
      <c r="L39" s="164" t="str">
        <f>IF('Age-Level'!I9="A","E","")</f>
        <v/>
      </c>
      <c r="M39" s="165"/>
      <c r="N39" s="164" t="str">
        <f>IF('Age-Level'!J9="A","E","")</f>
        <v/>
      </c>
      <c r="O39" s="165"/>
      <c r="P39" s="164" t="str">
        <f>IF('Age-Level'!K9="A","E","")</f>
        <v/>
      </c>
      <c r="Q39" s="165"/>
      <c r="R39" s="164" t="str">
        <f>IF('Age-Level'!L9="A","E","")</f>
        <v/>
      </c>
      <c r="S39" s="165"/>
      <c r="T39" s="164" t="str">
        <f>IF('Age-Level'!M9="A","E","")</f>
        <v/>
      </c>
      <c r="U39" s="165"/>
      <c r="V39" s="164" t="str">
        <f>IF('Age-Level'!N9="A","E","")</f>
        <v/>
      </c>
      <c r="W39" s="165"/>
      <c r="X39" s="164" t="str">
        <f>IF('Age-Level'!O9="A","E","")</f>
        <v/>
      </c>
      <c r="Y39" s="165"/>
      <c r="Z39" s="164" t="str">
        <f>IF('Age-Level'!P9="A","E","")</f>
        <v/>
      </c>
      <c r="AA39" s="165"/>
      <c r="AB39" s="164" t="str">
        <f>IF('Age-Level'!Q9="A","E","")</f>
        <v/>
      </c>
      <c r="AC39" s="165"/>
      <c r="AD39" s="164" t="str">
        <f>IF('Age-Level'!K9="A","E","")</f>
        <v/>
      </c>
      <c r="AE39" s="166"/>
    </row>
    <row r="40" spans="1:31">
      <c r="A40" s="184" t="str">
        <f>'Age-Level'!C10</f>
        <v>Cookie Sales (Year 2)</v>
      </c>
      <c r="B40" s="164" t="str">
        <f>IF('Age-Level'!D10="A","E","")</f>
        <v/>
      </c>
      <c r="C40" s="165"/>
      <c r="D40" s="164" t="str">
        <f>IF('Age-Level'!E10="A","E","")</f>
        <v/>
      </c>
      <c r="E40" s="165"/>
      <c r="F40" s="164" t="str">
        <f>IF('Age-Level'!F10="A","E","")</f>
        <v/>
      </c>
      <c r="G40" s="165"/>
      <c r="H40" s="164" t="str">
        <f>IF('Age-Level'!G10="A","E","")</f>
        <v/>
      </c>
      <c r="I40" s="165"/>
      <c r="J40" s="164" t="str">
        <f>IF('Age-Level'!H10="A","E","")</f>
        <v/>
      </c>
      <c r="K40" s="165"/>
      <c r="L40" s="164" t="str">
        <f>IF('Age-Level'!I10="A","E","")</f>
        <v/>
      </c>
      <c r="M40" s="165"/>
      <c r="N40" s="164" t="str">
        <f>IF('Age-Level'!J10="A","E","")</f>
        <v/>
      </c>
      <c r="O40" s="165"/>
      <c r="P40" s="164" t="str">
        <f>IF('Age-Level'!K10="A","E","")</f>
        <v/>
      </c>
      <c r="Q40" s="165"/>
      <c r="R40" s="164" t="str">
        <f>IF('Age-Level'!L10="A","E","")</f>
        <v/>
      </c>
      <c r="S40" s="165"/>
      <c r="T40" s="164" t="str">
        <f>IF('Age-Level'!M10="A","E","")</f>
        <v/>
      </c>
      <c r="U40" s="165"/>
      <c r="V40" s="164" t="str">
        <f>IF('Age-Level'!N10="A","E","")</f>
        <v/>
      </c>
      <c r="W40" s="165"/>
      <c r="X40" s="164" t="str">
        <f>IF('Age-Level'!O10="A","E","")</f>
        <v/>
      </c>
      <c r="Y40" s="165"/>
      <c r="Z40" s="164" t="str">
        <f>IF('Age-Level'!P10="A","E","")</f>
        <v/>
      </c>
      <c r="AA40" s="165"/>
      <c r="AB40" s="164" t="str">
        <f>IF('Age-Level'!Q10="A","E","")</f>
        <v/>
      </c>
      <c r="AC40" s="165"/>
      <c r="AD40" s="164" t="str">
        <f>IF('Age-Level'!K10="A","E","")</f>
        <v/>
      </c>
      <c r="AE40" s="166"/>
    </row>
    <row r="41" spans="1:31">
      <c r="A41" s="184" t="str">
        <f>'Age-Level'!C11</f>
        <v>Cookie Pin (Year 2)</v>
      </c>
      <c r="B41" s="183" t="str">
        <f>IF('Age-Level'!D11="A","E","")</f>
        <v/>
      </c>
      <c r="C41" s="165"/>
      <c r="D41" s="183" t="str">
        <f>IF('Age-Level'!E11="A","E","")</f>
        <v/>
      </c>
      <c r="E41" s="165"/>
      <c r="F41" s="183" t="str">
        <f>IF('Age-Level'!F11="A","E","")</f>
        <v/>
      </c>
      <c r="G41" s="165"/>
      <c r="H41" s="183" t="str">
        <f>IF('Age-Level'!G11="A","E","")</f>
        <v/>
      </c>
      <c r="I41" s="165"/>
      <c r="J41" s="183" t="str">
        <f>IF('Age-Level'!H11="A","E","")</f>
        <v/>
      </c>
      <c r="K41" s="165"/>
      <c r="L41" s="183" t="str">
        <f>IF('Age-Level'!I11="A","E","")</f>
        <v/>
      </c>
      <c r="M41" s="165"/>
      <c r="N41" s="183" t="str">
        <f>IF('Age-Level'!J11="A","E","")</f>
        <v/>
      </c>
      <c r="O41" s="165"/>
      <c r="P41" s="183" t="str">
        <f>IF('Age-Level'!K11="A","E","")</f>
        <v/>
      </c>
      <c r="Q41" s="165"/>
      <c r="R41" s="183" t="str">
        <f>IF('Age-Level'!L11="A","E","")</f>
        <v/>
      </c>
      <c r="S41" s="165"/>
      <c r="T41" s="183" t="str">
        <f>IF('Age-Level'!M11="A","E","")</f>
        <v/>
      </c>
      <c r="U41" s="165"/>
      <c r="V41" s="183" t="str">
        <f>IF('Age-Level'!N11="A","E","")</f>
        <v/>
      </c>
      <c r="W41" s="165"/>
      <c r="X41" s="183" t="str">
        <f>IF('Age-Level'!O11="A","E","")</f>
        <v/>
      </c>
      <c r="Y41" s="165"/>
      <c r="Z41" s="183" t="str">
        <f>IF('Age-Level'!P11="A","E","")</f>
        <v/>
      </c>
      <c r="AA41" s="165"/>
      <c r="AB41" s="183" t="str">
        <f>IF('Age-Level'!Q11="A","E","")</f>
        <v/>
      </c>
      <c r="AC41" s="165"/>
      <c r="AD41" s="183" t="str">
        <f>IF('Age-Level'!K11="A","E","")</f>
        <v/>
      </c>
      <c r="AE41" s="166"/>
    </row>
    <row r="42" spans="1:31">
      <c r="A42" s="184" t="str">
        <f>'Age-Level'!C13</f>
        <v>Fall Sales (Year 1)</v>
      </c>
      <c r="B42" s="164" t="str">
        <f>IF('Age-Level'!D13="A","E","")</f>
        <v/>
      </c>
      <c r="C42" s="165"/>
      <c r="D42" s="164" t="str">
        <f>IF('Age-Level'!E13="A","E","")</f>
        <v/>
      </c>
      <c r="E42" s="165"/>
      <c r="F42" s="164" t="str">
        <f>IF('Age-Level'!F13="A","E","")</f>
        <v/>
      </c>
      <c r="G42" s="165"/>
      <c r="H42" s="164" t="str">
        <f>IF('Age-Level'!G13="A","E","")</f>
        <v/>
      </c>
      <c r="I42" s="165"/>
      <c r="J42" s="164" t="str">
        <f>IF('Age-Level'!H13="A","E","")</f>
        <v/>
      </c>
      <c r="K42" s="165"/>
      <c r="L42" s="164" t="str">
        <f>IF('Age-Level'!I13="A","E","")</f>
        <v/>
      </c>
      <c r="M42" s="165"/>
      <c r="N42" s="164" t="str">
        <f>IF('Age-Level'!J13="A","E","")</f>
        <v/>
      </c>
      <c r="O42" s="165"/>
      <c r="P42" s="164" t="str">
        <f>IF('Age-Level'!K13="A","E","")</f>
        <v/>
      </c>
      <c r="Q42" s="165"/>
      <c r="R42" s="164" t="str">
        <f>IF('Age-Level'!L13="A","E","")</f>
        <v/>
      </c>
      <c r="S42" s="165"/>
      <c r="T42" s="164" t="str">
        <f>IF('Age-Level'!M13="A","E","")</f>
        <v/>
      </c>
      <c r="U42" s="165"/>
      <c r="V42" s="164" t="str">
        <f>IF('Age-Level'!N13="A","E","")</f>
        <v/>
      </c>
      <c r="W42" s="165"/>
      <c r="X42" s="164" t="str">
        <f>IF('Age-Level'!O13="A","E","")</f>
        <v/>
      </c>
      <c r="Y42" s="165"/>
      <c r="Z42" s="164" t="str">
        <f>IF('Age-Level'!P13="A","E","")</f>
        <v/>
      </c>
      <c r="AA42" s="165"/>
      <c r="AB42" s="164" t="str">
        <f>IF('Age-Level'!Q13="A","E","")</f>
        <v/>
      </c>
      <c r="AC42" s="165"/>
      <c r="AD42" s="164" t="str">
        <f>IF('Age-Level'!K13="A","E","")</f>
        <v/>
      </c>
      <c r="AE42" s="166"/>
    </row>
    <row r="43" spans="1:31">
      <c r="A43" s="184" t="str">
        <f>'Age-Level'!C14</f>
        <v>Fall Sales (Year 2)</v>
      </c>
      <c r="B43" s="183" t="str">
        <f>IF('Age-Level'!D14="A","E","")</f>
        <v/>
      </c>
      <c r="C43" s="165"/>
      <c r="D43" s="183" t="str">
        <f>IF('Age-Level'!E14="A","E","")</f>
        <v/>
      </c>
      <c r="E43" s="165"/>
      <c r="F43" s="183" t="str">
        <f>IF('Age-Level'!F14="A","E","")</f>
        <v/>
      </c>
      <c r="G43" s="165"/>
      <c r="H43" s="183" t="str">
        <f>IF('Age-Level'!G14="A","E","")</f>
        <v/>
      </c>
      <c r="I43" s="165"/>
      <c r="J43" s="183" t="str">
        <f>IF('Age-Level'!H14="A","E","")</f>
        <v/>
      </c>
      <c r="K43" s="165"/>
      <c r="L43" s="183" t="str">
        <f>IF('Age-Level'!I14="A","E","")</f>
        <v/>
      </c>
      <c r="M43" s="165"/>
      <c r="N43" s="183" t="str">
        <f>IF('Age-Level'!J14="A","E","")</f>
        <v/>
      </c>
      <c r="O43" s="165"/>
      <c r="P43" s="183" t="str">
        <f>IF('Age-Level'!K14="A","E","")</f>
        <v/>
      </c>
      <c r="Q43" s="165"/>
      <c r="R43" s="183" t="str">
        <f>IF('Age-Level'!L14="A","E","")</f>
        <v/>
      </c>
      <c r="S43" s="165"/>
      <c r="T43" s="183" t="str">
        <f>IF('Age-Level'!M14="A","E","")</f>
        <v/>
      </c>
      <c r="U43" s="165"/>
      <c r="V43" s="183" t="str">
        <f>IF('Age-Level'!N14="A","E","")</f>
        <v/>
      </c>
      <c r="W43" s="165"/>
      <c r="X43" s="183" t="str">
        <f>IF('Age-Level'!O14="A","E","")</f>
        <v/>
      </c>
      <c r="Y43" s="165"/>
      <c r="Z43" s="183" t="str">
        <f>IF('Age-Level'!P14="A","E","")</f>
        <v/>
      </c>
      <c r="AA43" s="165"/>
      <c r="AB43" s="183" t="str">
        <f>IF('Age-Level'!Q14="A","E","")</f>
        <v/>
      </c>
      <c r="AC43" s="165"/>
      <c r="AD43" s="183" t="str">
        <f>IF('Age-Level'!K14="A","E","")</f>
        <v/>
      </c>
      <c r="AE43" s="166"/>
    </row>
    <row r="44" spans="1:31">
      <c r="A44" s="184" t="str">
        <f>'Age-Level'!C16</f>
        <v>Thinking Day (Year 1)</v>
      </c>
      <c r="B44" s="164" t="str">
        <f>IF('Age-Level'!D16="A","E","")</f>
        <v/>
      </c>
      <c r="C44" s="165"/>
      <c r="D44" s="164" t="str">
        <f>IF('Age-Level'!E16="A","E","")</f>
        <v/>
      </c>
      <c r="E44" s="165"/>
      <c r="F44" s="164" t="str">
        <f>IF('Age-Level'!F16="A","E","")</f>
        <v/>
      </c>
      <c r="G44" s="165"/>
      <c r="H44" s="164" t="str">
        <f>IF('Age-Level'!G16="A","E","")</f>
        <v/>
      </c>
      <c r="I44" s="165"/>
      <c r="J44" s="164" t="str">
        <f>IF('Age-Level'!H16="A","E","")</f>
        <v/>
      </c>
      <c r="K44" s="165"/>
      <c r="L44" s="164" t="str">
        <f>IF('Age-Level'!I16="A","E","")</f>
        <v/>
      </c>
      <c r="M44" s="165"/>
      <c r="N44" s="164" t="str">
        <f>IF('Age-Level'!J16="A","E","")</f>
        <v/>
      </c>
      <c r="O44" s="165"/>
      <c r="P44" s="164" t="str">
        <f>IF('Age-Level'!K16="A","E","")</f>
        <v/>
      </c>
      <c r="Q44" s="165"/>
      <c r="R44" s="164" t="str">
        <f>IF('Age-Level'!L16="A","E","")</f>
        <v/>
      </c>
      <c r="S44" s="165"/>
      <c r="T44" s="164" t="str">
        <f>IF('Age-Level'!M16="A","E","")</f>
        <v/>
      </c>
      <c r="U44" s="165"/>
      <c r="V44" s="164" t="str">
        <f>IF('Age-Level'!N16="A","E","")</f>
        <v/>
      </c>
      <c r="W44" s="165"/>
      <c r="X44" s="164" t="str">
        <f>IF('Age-Level'!O16="A","E","")</f>
        <v/>
      </c>
      <c r="Y44" s="165"/>
      <c r="Z44" s="164" t="str">
        <f>IF('Age-Level'!P16="A","E","")</f>
        <v/>
      </c>
      <c r="AA44" s="165"/>
      <c r="AB44" s="164" t="str">
        <f>IF('Age-Level'!Q16="A","E","")</f>
        <v/>
      </c>
      <c r="AC44" s="165"/>
      <c r="AD44" s="164" t="str">
        <f>IF('Age-Level'!K16="A","E","")</f>
        <v/>
      </c>
      <c r="AE44" s="166"/>
    </row>
    <row r="45" spans="1:31">
      <c r="A45" s="184" t="str">
        <f>'Age-Level'!C17</f>
        <v>Thinking Day (Year 2)</v>
      </c>
      <c r="B45" s="183" t="str">
        <f>IF('Age-Level'!D17="A","E","")</f>
        <v/>
      </c>
      <c r="C45" s="165"/>
      <c r="D45" s="183" t="str">
        <f>IF('Age-Level'!E17="A","E","")</f>
        <v/>
      </c>
      <c r="E45" s="165"/>
      <c r="F45" s="183" t="str">
        <f>IF('Age-Level'!F17="A","E","")</f>
        <v/>
      </c>
      <c r="G45" s="165"/>
      <c r="H45" s="183" t="str">
        <f>IF('Age-Level'!G17="A","E","")</f>
        <v/>
      </c>
      <c r="I45" s="165"/>
      <c r="J45" s="183" t="str">
        <f>IF('Age-Level'!H17="A","E","")</f>
        <v/>
      </c>
      <c r="K45" s="165"/>
      <c r="L45" s="183" t="str">
        <f>IF('Age-Level'!I17="A","E","")</f>
        <v/>
      </c>
      <c r="M45" s="165"/>
      <c r="N45" s="183" t="str">
        <f>IF('Age-Level'!J17="A","E","")</f>
        <v/>
      </c>
      <c r="O45" s="165"/>
      <c r="P45" s="183" t="str">
        <f>IF('Age-Level'!K17="A","E","")</f>
        <v/>
      </c>
      <c r="Q45" s="165"/>
      <c r="R45" s="183" t="str">
        <f>IF('Age-Level'!L17="A","E","")</f>
        <v/>
      </c>
      <c r="S45" s="165"/>
      <c r="T45" s="183" t="str">
        <f>IF('Age-Level'!M17="A","E","")</f>
        <v/>
      </c>
      <c r="U45" s="165"/>
      <c r="V45" s="183" t="str">
        <f>IF('Age-Level'!N17="A","E","")</f>
        <v/>
      </c>
      <c r="W45" s="165"/>
      <c r="X45" s="183" t="str">
        <f>IF('Age-Level'!O17="A","E","")</f>
        <v/>
      </c>
      <c r="Y45" s="165"/>
      <c r="Z45" s="183" t="str">
        <f>IF('Age-Level'!P17="A","E","")</f>
        <v/>
      </c>
      <c r="AA45" s="165"/>
      <c r="AB45" s="183" t="str">
        <f>IF('Age-Level'!Q17="A","E","")</f>
        <v/>
      </c>
      <c r="AC45" s="165"/>
      <c r="AD45" s="183" t="str">
        <f>IF('Age-Level'!K17="A","E","")</f>
        <v/>
      </c>
      <c r="AE45" s="166"/>
    </row>
    <row r="46" spans="1:31">
      <c r="A46" s="184" t="str">
        <f>'Age-Level'!C19</f>
        <v>Investiture</v>
      </c>
      <c r="B46" s="164" t="str">
        <f>IF('Age-Level'!D19="A","E","")</f>
        <v/>
      </c>
      <c r="C46" s="165"/>
      <c r="D46" s="164" t="str">
        <f>IF('Age-Level'!E19="A","E","")</f>
        <v/>
      </c>
      <c r="E46" s="165"/>
      <c r="F46" s="164" t="str">
        <f>IF('Age-Level'!F19="A","E","")</f>
        <v/>
      </c>
      <c r="G46" s="165"/>
      <c r="H46" s="164" t="str">
        <f>IF('Age-Level'!G19="A","E","")</f>
        <v/>
      </c>
      <c r="I46" s="165"/>
      <c r="J46" s="164" t="str">
        <f>IF('Age-Level'!H19="A","E","")</f>
        <v/>
      </c>
      <c r="K46" s="165"/>
      <c r="L46" s="164" t="str">
        <f>IF('Age-Level'!I19="A","E","")</f>
        <v/>
      </c>
      <c r="M46" s="165"/>
      <c r="N46" s="164" t="str">
        <f>IF('Age-Level'!J19="A","E","")</f>
        <v/>
      </c>
      <c r="O46" s="165"/>
      <c r="P46" s="164" t="str">
        <f>IF('Age-Level'!K19="A","E","")</f>
        <v/>
      </c>
      <c r="Q46" s="165"/>
      <c r="R46" s="164" t="str">
        <f>IF('Age-Level'!L19="A","E","")</f>
        <v/>
      </c>
      <c r="S46" s="165"/>
      <c r="T46" s="164" t="str">
        <f>IF('Age-Level'!M19="A","E","")</f>
        <v/>
      </c>
      <c r="U46" s="165"/>
      <c r="V46" s="164" t="str">
        <f>IF('Age-Level'!N19="A","E","")</f>
        <v/>
      </c>
      <c r="W46" s="165"/>
      <c r="X46" s="164" t="str">
        <f>IF('Age-Level'!O19="A","E","")</f>
        <v/>
      </c>
      <c r="Y46" s="165"/>
      <c r="Z46" s="164" t="str">
        <f>IF('Age-Level'!P19="A","E","")</f>
        <v/>
      </c>
      <c r="AA46" s="165"/>
      <c r="AB46" s="164" t="str">
        <f>IF('Age-Level'!Q19="A","E","")</f>
        <v/>
      </c>
      <c r="AC46" s="165"/>
      <c r="AD46" s="164" t="str">
        <f>IF('Age-Level'!K19="A","E","")</f>
        <v/>
      </c>
      <c r="AE46" s="166"/>
    </row>
    <row r="47" spans="1:31">
      <c r="A47" s="184" t="str">
        <f>'Age-Level'!C20</f>
        <v>Rededication (1st year)</v>
      </c>
      <c r="B47" s="183" t="str">
        <f>IF('Age-Level'!D20="A","E","")</f>
        <v/>
      </c>
      <c r="C47" s="165"/>
      <c r="D47" s="183" t="str">
        <f>IF('Age-Level'!E20="A","E","")</f>
        <v/>
      </c>
      <c r="E47" s="165"/>
      <c r="F47" s="183" t="str">
        <f>IF('Age-Level'!F20="A","E","")</f>
        <v/>
      </c>
      <c r="G47" s="165"/>
      <c r="H47" s="183" t="str">
        <f>IF('Age-Level'!G20="A","E","")</f>
        <v/>
      </c>
      <c r="I47" s="165"/>
      <c r="J47" s="183" t="str">
        <f>IF('Age-Level'!H20="A","E","")</f>
        <v/>
      </c>
      <c r="K47" s="165"/>
      <c r="L47" s="183" t="str">
        <f>IF('Age-Level'!I20="A","E","")</f>
        <v/>
      </c>
      <c r="M47" s="165"/>
      <c r="N47" s="183" t="str">
        <f>IF('Age-Level'!J20="A","E","")</f>
        <v/>
      </c>
      <c r="O47" s="165"/>
      <c r="P47" s="183" t="str">
        <f>IF('Age-Level'!K20="A","E","")</f>
        <v/>
      </c>
      <c r="Q47" s="165"/>
      <c r="R47" s="183" t="str">
        <f>IF('Age-Level'!L20="A","E","")</f>
        <v/>
      </c>
      <c r="S47" s="165"/>
      <c r="T47" s="183" t="str">
        <f>IF('Age-Level'!M20="A","E","")</f>
        <v/>
      </c>
      <c r="U47" s="165"/>
      <c r="V47" s="183" t="str">
        <f>IF('Age-Level'!N20="A","E","")</f>
        <v/>
      </c>
      <c r="W47" s="165"/>
      <c r="X47" s="183" t="str">
        <f>IF('Age-Level'!O20="A","E","")</f>
        <v/>
      </c>
      <c r="Y47" s="165"/>
      <c r="Z47" s="183" t="str">
        <f>IF('Age-Level'!P20="A","E","")</f>
        <v/>
      </c>
      <c r="AA47" s="165"/>
      <c r="AB47" s="183" t="str">
        <f>IF('Age-Level'!Q20="A","E","")</f>
        <v/>
      </c>
      <c r="AC47" s="165"/>
      <c r="AD47" s="183" t="str">
        <f>IF('Age-Level'!K20="A","E","")</f>
        <v/>
      </c>
      <c r="AE47" s="166"/>
    </row>
    <row r="48" spans="1:31">
      <c r="A48" s="184" t="str">
        <f>'Age-Level'!B21</f>
        <v>My Promise, My Faith (Year 1)</v>
      </c>
      <c r="B48" s="164" t="str">
        <f>IF('Age-Level'!D27="C","E","")</f>
        <v/>
      </c>
      <c r="C48" s="165"/>
      <c r="D48" s="164" t="str">
        <f>IF('Age-Level'!E27="C","E","")</f>
        <v/>
      </c>
      <c r="E48" s="165"/>
      <c r="F48" s="164" t="str">
        <f>IF('Age-Level'!F27="C","E","")</f>
        <v/>
      </c>
      <c r="G48" s="165"/>
      <c r="H48" s="164" t="str">
        <f>IF('Age-Level'!G27="C","E","")</f>
        <v/>
      </c>
      <c r="I48" s="165"/>
      <c r="J48" s="164" t="str">
        <f>IF('Age-Level'!H27="C","E","")</f>
        <v/>
      </c>
      <c r="K48" s="165"/>
      <c r="L48" s="164" t="str">
        <f>IF('Age-Level'!I27="C","E","")</f>
        <v/>
      </c>
      <c r="M48" s="165"/>
      <c r="N48" s="164" t="str">
        <f>IF('Age-Level'!J27="C","E","")</f>
        <v/>
      </c>
      <c r="O48" s="165"/>
      <c r="P48" s="164" t="str">
        <f>IF('Age-Level'!K27="C","E","")</f>
        <v/>
      </c>
      <c r="Q48" s="165"/>
      <c r="R48" s="164" t="str">
        <f>IF('Age-Level'!L27="C","E","")</f>
        <v/>
      </c>
      <c r="S48" s="165"/>
      <c r="T48" s="164" t="str">
        <f>IF('Age-Level'!M27="C","E","")</f>
        <v/>
      </c>
      <c r="U48" s="165"/>
      <c r="V48" s="164" t="str">
        <f>IF('Age-Level'!N27="C","E","")</f>
        <v/>
      </c>
      <c r="W48" s="165"/>
      <c r="X48" s="164" t="str">
        <f>IF('Age-Level'!O27="C","E","")</f>
        <v/>
      </c>
      <c r="Y48" s="165"/>
      <c r="Z48" s="164" t="str">
        <f>IF('Age-Level'!P27="C","E","")</f>
        <v/>
      </c>
      <c r="AA48" s="165"/>
      <c r="AB48" s="164" t="str">
        <f>IF('Age-Level'!Q27="C","E","")</f>
        <v/>
      </c>
      <c r="AC48" s="165"/>
      <c r="AD48" s="164" t="str">
        <f>IF('Age-Level'!K27="C","E","")</f>
        <v/>
      </c>
      <c r="AE48" s="166"/>
    </row>
    <row r="49" spans="1:31">
      <c r="A49" s="184" t="str">
        <f>'Age-Level'!B28</f>
        <v>My Promise, My Faith (Year 2)</v>
      </c>
      <c r="B49" s="164" t="str">
        <f>IF('Age-Level'!D34="C","E","")</f>
        <v/>
      </c>
      <c r="C49" s="165"/>
      <c r="D49" s="164" t="str">
        <f>IF('Age-Level'!E34="C","E","")</f>
        <v/>
      </c>
      <c r="E49" s="165"/>
      <c r="F49" s="164" t="str">
        <f>IF('Age-Level'!F34="C","E","")</f>
        <v/>
      </c>
      <c r="G49" s="165"/>
      <c r="H49" s="164" t="str">
        <f>IF('Age-Level'!G34="C","E","")</f>
        <v/>
      </c>
      <c r="I49" s="165"/>
      <c r="J49" s="164" t="str">
        <f>IF('Age-Level'!H34="C","E","")</f>
        <v/>
      </c>
      <c r="K49" s="165"/>
      <c r="L49" s="164" t="str">
        <f>IF('Age-Level'!I34="C","E","")</f>
        <v/>
      </c>
      <c r="M49" s="165"/>
      <c r="N49" s="164" t="str">
        <f>IF('Age-Level'!J34="C","E","")</f>
        <v/>
      </c>
      <c r="O49" s="165"/>
      <c r="P49" s="164" t="str">
        <f>IF('Age-Level'!K34="C","E","")</f>
        <v/>
      </c>
      <c r="Q49" s="165"/>
      <c r="R49" s="164" t="str">
        <f>IF('Age-Level'!L34="C","E","")</f>
        <v/>
      </c>
      <c r="S49" s="165"/>
      <c r="T49" s="164" t="str">
        <f>IF('Age-Level'!M34="C","E","")</f>
        <v/>
      </c>
      <c r="U49" s="165"/>
      <c r="V49" s="164" t="str">
        <f>IF('Age-Level'!N34="C","E","")</f>
        <v/>
      </c>
      <c r="W49" s="165"/>
      <c r="X49" s="164" t="str">
        <f>IF('Age-Level'!O34="C","E","")</f>
        <v/>
      </c>
      <c r="Y49" s="165"/>
      <c r="Z49" s="164" t="str">
        <f>IF('Age-Level'!P34="C","E","")</f>
        <v/>
      </c>
      <c r="AA49" s="165"/>
      <c r="AB49" s="164" t="str">
        <f>IF('Age-Level'!Q34="C","E","")</f>
        <v/>
      </c>
      <c r="AC49" s="165"/>
      <c r="AD49" s="164" t="str">
        <f>IF('Age-Level'!K34="C","E","")</f>
        <v/>
      </c>
      <c r="AE49" s="166"/>
    </row>
    <row r="50" spans="1:31">
      <c r="A50" s="184" t="str">
        <f>'Age-Level'!C36</f>
        <v>Global Action Award</v>
      </c>
      <c r="B50" s="164" t="str">
        <f>IF('Age-Level'!D36="A","E","")</f>
        <v/>
      </c>
      <c r="C50" s="165"/>
      <c r="D50" s="164" t="str">
        <f>IF('Age-Level'!E36="A","E","")</f>
        <v/>
      </c>
      <c r="E50" s="165"/>
      <c r="F50" s="164" t="str">
        <f>IF('Age-Level'!F36="A","E","")</f>
        <v/>
      </c>
      <c r="G50" s="165"/>
      <c r="H50" s="164" t="str">
        <f>IF('Age-Level'!G36="A","E","")</f>
        <v/>
      </c>
      <c r="I50" s="165"/>
      <c r="J50" s="164" t="str">
        <f>IF('Age-Level'!H36="A","E","")</f>
        <v/>
      </c>
      <c r="K50" s="165"/>
      <c r="L50" s="164" t="str">
        <f>IF('Age-Level'!I36="A","E","")</f>
        <v/>
      </c>
      <c r="M50" s="165"/>
      <c r="N50" s="164" t="str">
        <f>IF('Age-Level'!J36="A","E","")</f>
        <v/>
      </c>
      <c r="O50" s="165"/>
      <c r="P50" s="164" t="str">
        <f>IF('Age-Level'!K36="A","E","")</f>
        <v/>
      </c>
      <c r="Q50" s="165"/>
      <c r="R50" s="164" t="str">
        <f>IF('Age-Level'!L36="A","E","")</f>
        <v/>
      </c>
      <c r="S50" s="165"/>
      <c r="T50" s="164" t="str">
        <f>IF('Age-Level'!M36="A","E","")</f>
        <v/>
      </c>
      <c r="U50" s="165"/>
      <c r="V50" s="164" t="str">
        <f>IF('Age-Level'!N36="A","E","")</f>
        <v/>
      </c>
      <c r="W50" s="165"/>
      <c r="X50" s="164" t="str">
        <f>IF('Age-Level'!O36="A","E","")</f>
        <v/>
      </c>
      <c r="Y50" s="165"/>
      <c r="Z50" s="164" t="str">
        <f>IF('Age-Level'!P36="A","E","")</f>
        <v/>
      </c>
      <c r="AA50" s="165"/>
      <c r="AB50" s="164" t="str">
        <f>IF('Age-Level'!Q36="A","E","")</f>
        <v/>
      </c>
      <c r="AC50" s="165"/>
      <c r="AD50" s="164" t="str">
        <f>IF('Age-Level'!K36="A","E","")</f>
        <v/>
      </c>
      <c r="AE50" s="166"/>
    </row>
    <row r="51" spans="1:31">
      <c r="A51" s="184" t="str">
        <f>'Age-Level'!C38</f>
        <v>Journey Summit Pin</v>
      </c>
      <c r="B51" s="164" t="str">
        <f>IF('Age-Level'!D38="C","E","")</f>
        <v/>
      </c>
      <c r="C51" s="165"/>
      <c r="D51" s="164" t="str">
        <f>IF('Age-Level'!E38="C","E","")</f>
        <v/>
      </c>
      <c r="E51" s="165"/>
      <c r="F51" s="164" t="str">
        <f>IF('Age-Level'!F38="C","E","")</f>
        <v/>
      </c>
      <c r="G51" s="165"/>
      <c r="H51" s="164" t="str">
        <f>IF('Age-Level'!G38="C","E","")</f>
        <v/>
      </c>
      <c r="I51" s="165"/>
      <c r="J51" s="164" t="str">
        <f>IF('Age-Level'!H38="C","E","")</f>
        <v/>
      </c>
      <c r="K51" s="165"/>
      <c r="L51" s="164" t="str">
        <f>IF('Age-Level'!I38="C","E","")</f>
        <v/>
      </c>
      <c r="M51" s="165"/>
      <c r="N51" s="164" t="str">
        <f>IF('Age-Level'!J38="C","E","")</f>
        <v/>
      </c>
      <c r="O51" s="165"/>
      <c r="P51" s="164" t="str">
        <f>IF('Age-Level'!K38="C","E","")</f>
        <v/>
      </c>
      <c r="Q51" s="165"/>
      <c r="R51" s="164" t="str">
        <f>IF('Age-Level'!L38="C","E","")</f>
        <v/>
      </c>
      <c r="S51" s="165"/>
      <c r="T51" s="164" t="str">
        <f>IF('Age-Level'!M38="C","E","")</f>
        <v/>
      </c>
      <c r="U51" s="165"/>
      <c r="V51" s="164" t="str">
        <f>IF('Age-Level'!N38="C","E","")</f>
        <v/>
      </c>
      <c r="W51" s="165"/>
      <c r="X51" s="164" t="str">
        <f>IF('Age-Level'!O38="C","E","")</f>
        <v/>
      </c>
      <c r="Y51" s="165"/>
      <c r="Z51" s="164" t="str">
        <f>IF('Age-Level'!P38="C","E","")</f>
        <v/>
      </c>
      <c r="AA51" s="165"/>
      <c r="AB51" s="164" t="str">
        <f>IF('Age-Level'!Q38="C","E","")</f>
        <v/>
      </c>
      <c r="AC51" s="165"/>
      <c r="AD51" s="164" t="str">
        <f>IF('Age-Level'!K38="C","E","")</f>
        <v/>
      </c>
      <c r="AE51" s="166"/>
    </row>
    <row r="52" spans="1:31">
      <c r="A52" s="184" t="str">
        <f>'Age-Level'!B39</f>
        <v>Safety Award</v>
      </c>
      <c r="B52" s="183" t="str">
        <f>IF('Age-Level'!D43="C","E","")</f>
        <v/>
      </c>
      <c r="C52" s="165"/>
      <c r="D52" s="183" t="str">
        <f>IF('Age-Level'!E43="C","E","")</f>
        <v/>
      </c>
      <c r="E52" s="165"/>
      <c r="F52" s="183" t="str">
        <f>IF('Age-Level'!F43="C","E","")</f>
        <v/>
      </c>
      <c r="G52" s="165"/>
      <c r="H52" s="183" t="str">
        <f>IF('Age-Level'!G43="C","E","")</f>
        <v/>
      </c>
      <c r="I52" s="165"/>
      <c r="J52" s="183" t="str">
        <f>IF('Age-Level'!H43="C","E","")</f>
        <v/>
      </c>
      <c r="K52" s="165"/>
      <c r="L52" s="183" t="str">
        <f>IF('Age-Level'!I43="C","E","")</f>
        <v/>
      </c>
      <c r="M52" s="165"/>
      <c r="N52" s="183" t="str">
        <f>IF('Age-Level'!J43="C","E","")</f>
        <v/>
      </c>
      <c r="O52" s="165"/>
      <c r="P52" s="183" t="str">
        <f>IF('Age-Level'!K43="C","E","")</f>
        <v/>
      </c>
      <c r="Q52" s="165"/>
      <c r="R52" s="183" t="str">
        <f>IF('Age-Level'!L43="C","E","")</f>
        <v/>
      </c>
      <c r="S52" s="165"/>
      <c r="T52" s="183" t="str">
        <f>IF('Age-Level'!M43="C","E","")</f>
        <v/>
      </c>
      <c r="U52" s="165"/>
      <c r="V52" s="183" t="str">
        <f>IF('Age-Level'!N43="C","E","")</f>
        <v/>
      </c>
      <c r="W52" s="165"/>
      <c r="X52" s="183" t="str">
        <f>IF('Age-Level'!O43="C","E","")</f>
        <v/>
      </c>
      <c r="Y52" s="165"/>
      <c r="Z52" s="183" t="str">
        <f>IF('Age-Level'!P43="C","E","")</f>
        <v/>
      </c>
      <c r="AA52" s="165"/>
      <c r="AB52" s="183" t="str">
        <f>IF('Age-Level'!Q43="C","E","")</f>
        <v/>
      </c>
      <c r="AC52" s="165"/>
      <c r="AD52" s="183" t="str">
        <f>IF('Age-Level'!K43="C","E","")</f>
        <v/>
      </c>
      <c r="AE52" s="166"/>
    </row>
    <row r="53" spans="1:31">
      <c r="A53" s="185" t="s">
        <v>100</v>
      </c>
      <c r="B53" s="168"/>
      <c r="C53" s="180"/>
      <c r="D53" s="168"/>
      <c r="E53" s="180"/>
      <c r="F53" s="168"/>
      <c r="G53" s="180"/>
      <c r="H53" s="168"/>
      <c r="I53" s="180"/>
      <c r="J53" s="168"/>
      <c r="K53" s="180"/>
      <c r="L53" s="168"/>
      <c r="M53" s="180"/>
      <c r="N53" s="168"/>
      <c r="O53" s="180"/>
      <c r="P53" s="168"/>
      <c r="Q53" s="180"/>
      <c r="R53" s="168"/>
      <c r="S53" s="180"/>
      <c r="T53" s="168"/>
      <c r="U53" s="180"/>
      <c r="V53" s="168"/>
      <c r="W53" s="180"/>
      <c r="X53" s="168"/>
      <c r="Y53" s="180"/>
      <c r="Z53" s="168"/>
      <c r="AA53" s="180"/>
      <c r="AB53" s="168"/>
      <c r="AC53" s="180"/>
      <c r="AD53" s="168"/>
      <c r="AE53" s="181"/>
    </row>
    <row r="54" spans="1:31">
      <c r="A54" s="184" t="str">
        <f>'Fun Patches'!C5</f>
        <v>&lt;List Patch Here&gt;</v>
      </c>
      <c r="B54" s="164" t="str">
        <f>IF('Fun Patches'!D5="A","E","")</f>
        <v/>
      </c>
      <c r="C54" s="165"/>
      <c r="D54" s="164" t="str">
        <f>IF('Fun Patches'!E5="A","E","")</f>
        <v/>
      </c>
      <c r="E54" s="165"/>
      <c r="F54" s="164" t="str">
        <f>IF('Fun Patches'!F5="A","E","")</f>
        <v/>
      </c>
      <c r="G54" s="165"/>
      <c r="H54" s="164" t="str">
        <f>IF('Fun Patches'!G5="A","E","")</f>
        <v/>
      </c>
      <c r="I54" s="165"/>
      <c r="J54" s="164" t="str">
        <f>IF('Fun Patches'!H5="A","E","")</f>
        <v/>
      </c>
      <c r="K54" s="165"/>
      <c r="L54" s="164" t="str">
        <f>IF('Fun Patches'!I5="A","E","")</f>
        <v/>
      </c>
      <c r="M54" s="165"/>
      <c r="N54" s="164" t="str">
        <f>IF('Fun Patches'!J5="A","E","")</f>
        <v/>
      </c>
      <c r="O54" s="165"/>
      <c r="P54" s="164" t="str">
        <f>IF('Fun Patches'!K5="A","E","")</f>
        <v/>
      </c>
      <c r="Q54" s="165"/>
      <c r="R54" s="164" t="str">
        <f>IF('Fun Patches'!L5="A","E","")</f>
        <v/>
      </c>
      <c r="S54" s="165"/>
      <c r="T54" s="164" t="str">
        <f>IF('Fun Patches'!M5="A","E","")</f>
        <v/>
      </c>
      <c r="U54" s="165"/>
      <c r="V54" s="164" t="str">
        <f>IF('Fun Patches'!N5="A","E","")</f>
        <v/>
      </c>
      <c r="W54" s="165"/>
      <c r="X54" s="164" t="str">
        <f>IF('Fun Patches'!O5="A","E","")</f>
        <v/>
      </c>
      <c r="Y54" s="165"/>
      <c r="Z54" s="164" t="str">
        <f>IF('Fun Patches'!P5="A","E","")</f>
        <v/>
      </c>
      <c r="AA54" s="165"/>
      <c r="AB54" s="164" t="str">
        <f>IF('Fun Patches'!Q5="A","E","")</f>
        <v/>
      </c>
      <c r="AC54" s="165"/>
      <c r="AD54" s="164" t="str">
        <f>IF('Fun Patches'!K5="A","E","")</f>
        <v/>
      </c>
      <c r="AE54" s="166"/>
    </row>
    <row r="55" spans="1:31">
      <c r="A55" s="184" t="str">
        <f>'Fun Patches'!C6</f>
        <v>&lt;List Patch Here&gt;</v>
      </c>
      <c r="B55" s="164" t="str">
        <f>IF('Fun Patches'!D6="A","E","")</f>
        <v/>
      </c>
      <c r="C55" s="165"/>
      <c r="D55" s="164" t="str">
        <f>IF('Fun Patches'!E6="A","E","")</f>
        <v/>
      </c>
      <c r="E55" s="165"/>
      <c r="F55" s="164" t="str">
        <f>IF('Fun Patches'!F6="A","E","")</f>
        <v/>
      </c>
      <c r="G55" s="165"/>
      <c r="H55" s="164" t="str">
        <f>IF('Fun Patches'!G6="A","E","")</f>
        <v/>
      </c>
      <c r="I55" s="165"/>
      <c r="J55" s="164" t="str">
        <f>IF('Fun Patches'!H6="A","E","")</f>
        <v/>
      </c>
      <c r="K55" s="165"/>
      <c r="L55" s="164" t="str">
        <f>IF('Fun Patches'!I6="A","E","")</f>
        <v/>
      </c>
      <c r="M55" s="165"/>
      <c r="N55" s="164" t="str">
        <f>IF('Fun Patches'!J6="A","E","")</f>
        <v/>
      </c>
      <c r="O55" s="165"/>
      <c r="P55" s="164" t="str">
        <f>IF('Fun Patches'!K6="A","E","")</f>
        <v/>
      </c>
      <c r="Q55" s="165"/>
      <c r="R55" s="164" t="str">
        <f>IF('Fun Patches'!L6="A","E","")</f>
        <v/>
      </c>
      <c r="S55" s="165"/>
      <c r="T55" s="164" t="str">
        <f>IF('Fun Patches'!M6="A","E","")</f>
        <v/>
      </c>
      <c r="U55" s="165"/>
      <c r="V55" s="164" t="str">
        <f>IF('Fun Patches'!N6="A","E","")</f>
        <v/>
      </c>
      <c r="W55" s="165"/>
      <c r="X55" s="164" t="str">
        <f>IF('Fun Patches'!O6="A","E","")</f>
        <v/>
      </c>
      <c r="Y55" s="165"/>
      <c r="Z55" s="164" t="str">
        <f>IF('Fun Patches'!P6="A","E","")</f>
        <v/>
      </c>
      <c r="AA55" s="165"/>
      <c r="AB55" s="164" t="str">
        <f>IF('Fun Patches'!Q6="A","E","")</f>
        <v/>
      </c>
      <c r="AC55" s="165"/>
      <c r="AD55" s="164" t="str">
        <f>IF('Fun Patches'!K6="A","E","")</f>
        <v/>
      </c>
      <c r="AE55" s="166"/>
    </row>
    <row r="56" spans="1:31">
      <c r="A56" s="184" t="str">
        <f>'Fun Patches'!C7</f>
        <v>&lt;List Patch Here&gt;</v>
      </c>
      <c r="B56" s="164" t="str">
        <f>IF('Fun Patches'!D7="A","E","")</f>
        <v/>
      </c>
      <c r="C56" s="165"/>
      <c r="D56" s="164" t="str">
        <f>IF('Fun Patches'!E7="A","E","")</f>
        <v/>
      </c>
      <c r="E56" s="165"/>
      <c r="F56" s="164" t="str">
        <f>IF('Fun Patches'!F7="A","E","")</f>
        <v/>
      </c>
      <c r="G56" s="165"/>
      <c r="H56" s="164" t="str">
        <f>IF('Fun Patches'!G7="A","E","")</f>
        <v/>
      </c>
      <c r="I56" s="165"/>
      <c r="J56" s="164" t="str">
        <f>IF('Fun Patches'!H7="A","E","")</f>
        <v/>
      </c>
      <c r="K56" s="165"/>
      <c r="L56" s="164" t="str">
        <f>IF('Fun Patches'!I7="A","E","")</f>
        <v/>
      </c>
      <c r="M56" s="165"/>
      <c r="N56" s="164" t="str">
        <f>IF('Fun Patches'!J7="A","E","")</f>
        <v/>
      </c>
      <c r="O56" s="165"/>
      <c r="P56" s="164" t="str">
        <f>IF('Fun Patches'!K7="A","E","")</f>
        <v/>
      </c>
      <c r="Q56" s="165"/>
      <c r="R56" s="164" t="str">
        <f>IF('Fun Patches'!L7="A","E","")</f>
        <v/>
      </c>
      <c r="S56" s="165"/>
      <c r="T56" s="164" t="str">
        <f>IF('Fun Patches'!M7="A","E","")</f>
        <v/>
      </c>
      <c r="U56" s="165"/>
      <c r="V56" s="164" t="str">
        <f>IF('Fun Patches'!N7="A","E","")</f>
        <v/>
      </c>
      <c r="W56" s="165"/>
      <c r="X56" s="164" t="str">
        <f>IF('Fun Patches'!O7="A","E","")</f>
        <v/>
      </c>
      <c r="Y56" s="165"/>
      <c r="Z56" s="164" t="str">
        <f>IF('Fun Patches'!P7="A","E","")</f>
        <v/>
      </c>
      <c r="AA56" s="165"/>
      <c r="AB56" s="164" t="str">
        <f>IF('Fun Patches'!Q7="A","E","")</f>
        <v/>
      </c>
      <c r="AC56" s="165"/>
      <c r="AD56" s="164" t="str">
        <f>IF('Fun Patches'!K7="A","E","")</f>
        <v/>
      </c>
      <c r="AE56" s="166"/>
    </row>
    <row r="57" spans="1:31">
      <c r="A57" s="184" t="str">
        <f>'Fun Patches'!C8</f>
        <v>&lt;List Patch Here&gt;</v>
      </c>
      <c r="B57" s="164" t="str">
        <f>IF('Fun Patches'!D8="A","E","")</f>
        <v/>
      </c>
      <c r="C57" s="165"/>
      <c r="D57" s="164" t="str">
        <f>IF('Fun Patches'!E8="A","E","")</f>
        <v/>
      </c>
      <c r="E57" s="165"/>
      <c r="F57" s="164" t="str">
        <f>IF('Fun Patches'!F8="A","E","")</f>
        <v/>
      </c>
      <c r="G57" s="165"/>
      <c r="H57" s="164" t="str">
        <f>IF('Fun Patches'!G8="A","E","")</f>
        <v/>
      </c>
      <c r="I57" s="165"/>
      <c r="J57" s="164" t="str">
        <f>IF('Fun Patches'!H8="A","E","")</f>
        <v/>
      </c>
      <c r="K57" s="165"/>
      <c r="L57" s="164" t="str">
        <f>IF('Fun Patches'!I8="A","E","")</f>
        <v/>
      </c>
      <c r="M57" s="165"/>
      <c r="N57" s="164" t="str">
        <f>IF('Fun Patches'!J8="A","E","")</f>
        <v/>
      </c>
      <c r="O57" s="165"/>
      <c r="P57" s="164" t="str">
        <f>IF('Fun Patches'!K8="A","E","")</f>
        <v/>
      </c>
      <c r="Q57" s="165"/>
      <c r="R57" s="164" t="str">
        <f>IF('Fun Patches'!L8="A","E","")</f>
        <v/>
      </c>
      <c r="S57" s="165"/>
      <c r="T57" s="164" t="str">
        <f>IF('Fun Patches'!M8="A","E","")</f>
        <v/>
      </c>
      <c r="U57" s="165"/>
      <c r="V57" s="164" t="str">
        <f>IF('Fun Patches'!N8="A","E","")</f>
        <v/>
      </c>
      <c r="W57" s="165"/>
      <c r="X57" s="164" t="str">
        <f>IF('Fun Patches'!O8="A","E","")</f>
        <v/>
      </c>
      <c r="Y57" s="165"/>
      <c r="Z57" s="164" t="str">
        <f>IF('Fun Patches'!P8="A","E","")</f>
        <v/>
      </c>
      <c r="AA57" s="165"/>
      <c r="AB57" s="164" t="str">
        <f>IF('Fun Patches'!Q8="A","E","")</f>
        <v/>
      </c>
      <c r="AC57" s="165"/>
      <c r="AD57" s="164" t="str">
        <f>IF('Fun Patches'!K8="A","E","")</f>
        <v/>
      </c>
      <c r="AE57" s="166"/>
    </row>
    <row r="58" spans="1:31">
      <c r="A58" s="184" t="str">
        <f>'Fun Patches'!C9</f>
        <v>&lt;List Patch Here&gt;</v>
      </c>
      <c r="B58" s="164" t="str">
        <f>IF('Fun Patches'!D9="A","E","")</f>
        <v/>
      </c>
      <c r="C58" s="165"/>
      <c r="D58" s="164" t="str">
        <f>IF('Fun Patches'!E9="A","E","")</f>
        <v/>
      </c>
      <c r="E58" s="165"/>
      <c r="F58" s="164" t="str">
        <f>IF('Fun Patches'!F9="A","E","")</f>
        <v/>
      </c>
      <c r="G58" s="165"/>
      <c r="H58" s="164" t="str">
        <f>IF('Fun Patches'!G9="A","E","")</f>
        <v/>
      </c>
      <c r="I58" s="165"/>
      <c r="J58" s="164" t="str">
        <f>IF('Fun Patches'!H9="A","E","")</f>
        <v/>
      </c>
      <c r="K58" s="165"/>
      <c r="L58" s="164" t="str">
        <f>IF('Fun Patches'!I9="A","E","")</f>
        <v/>
      </c>
      <c r="M58" s="165"/>
      <c r="N58" s="164" t="str">
        <f>IF('Fun Patches'!J9="A","E","")</f>
        <v/>
      </c>
      <c r="O58" s="165"/>
      <c r="P58" s="164" t="str">
        <f>IF('Fun Patches'!K9="A","E","")</f>
        <v/>
      </c>
      <c r="Q58" s="165"/>
      <c r="R58" s="164" t="str">
        <f>IF('Fun Patches'!L9="A","E","")</f>
        <v/>
      </c>
      <c r="S58" s="165"/>
      <c r="T58" s="164" t="str">
        <f>IF('Fun Patches'!M9="A","E","")</f>
        <v/>
      </c>
      <c r="U58" s="165"/>
      <c r="V58" s="164" t="str">
        <f>IF('Fun Patches'!N9="A","E","")</f>
        <v/>
      </c>
      <c r="W58" s="165"/>
      <c r="X58" s="164" t="str">
        <f>IF('Fun Patches'!O9="A","E","")</f>
        <v/>
      </c>
      <c r="Y58" s="165"/>
      <c r="Z58" s="164" t="str">
        <f>IF('Fun Patches'!P9="A","E","")</f>
        <v/>
      </c>
      <c r="AA58" s="165"/>
      <c r="AB58" s="164" t="str">
        <f>IF('Fun Patches'!Q9="A","E","")</f>
        <v/>
      </c>
      <c r="AC58" s="165"/>
      <c r="AD58" s="164" t="str">
        <f>IF('Fun Patches'!K9="A","E","")</f>
        <v/>
      </c>
      <c r="AE58" s="166"/>
    </row>
    <row r="59" spans="1:31">
      <c r="A59" s="184" t="str">
        <f>'Fun Patches'!C10</f>
        <v>&lt;List Patch Here&gt;</v>
      </c>
      <c r="B59" s="164" t="str">
        <f>IF('Fun Patches'!D10="A","E","")</f>
        <v/>
      </c>
      <c r="C59" s="165"/>
      <c r="D59" s="164" t="str">
        <f>IF('Fun Patches'!E10="A","E","")</f>
        <v/>
      </c>
      <c r="E59" s="165"/>
      <c r="F59" s="164" t="str">
        <f>IF('Fun Patches'!F10="A","E","")</f>
        <v/>
      </c>
      <c r="G59" s="165"/>
      <c r="H59" s="164" t="str">
        <f>IF('Fun Patches'!G10="A","E","")</f>
        <v/>
      </c>
      <c r="I59" s="165"/>
      <c r="J59" s="164" t="str">
        <f>IF('Fun Patches'!H10="A","E","")</f>
        <v/>
      </c>
      <c r="K59" s="165"/>
      <c r="L59" s="164" t="str">
        <f>IF('Fun Patches'!I10="A","E","")</f>
        <v/>
      </c>
      <c r="M59" s="165"/>
      <c r="N59" s="164" t="str">
        <f>IF('Fun Patches'!J10="A","E","")</f>
        <v/>
      </c>
      <c r="O59" s="165"/>
      <c r="P59" s="164" t="str">
        <f>IF('Fun Patches'!K10="A","E","")</f>
        <v/>
      </c>
      <c r="Q59" s="165"/>
      <c r="R59" s="164" t="str">
        <f>IF('Fun Patches'!L10="A","E","")</f>
        <v/>
      </c>
      <c r="S59" s="165"/>
      <c r="T59" s="164" t="str">
        <f>IF('Fun Patches'!M10="A","E","")</f>
        <v/>
      </c>
      <c r="U59" s="165"/>
      <c r="V59" s="164" t="str">
        <f>IF('Fun Patches'!N10="A","E","")</f>
        <v/>
      </c>
      <c r="W59" s="165"/>
      <c r="X59" s="164" t="str">
        <f>IF('Fun Patches'!O10="A","E","")</f>
        <v/>
      </c>
      <c r="Y59" s="165"/>
      <c r="Z59" s="164" t="str">
        <f>IF('Fun Patches'!P10="A","E","")</f>
        <v/>
      </c>
      <c r="AA59" s="165"/>
      <c r="AB59" s="164" t="str">
        <f>IF('Fun Patches'!Q10="A","E","")</f>
        <v/>
      </c>
      <c r="AC59" s="165"/>
      <c r="AD59" s="164" t="str">
        <f>IF('Fun Patches'!K10="A","E","")</f>
        <v/>
      </c>
      <c r="AE59" s="166"/>
    </row>
    <row r="60" spans="1:31">
      <c r="A60" s="184" t="str">
        <f>'Fun Patches'!C11</f>
        <v>&lt;List Patch Here&gt;</v>
      </c>
      <c r="B60" s="164" t="str">
        <f>IF('Fun Patches'!D11="A","E","")</f>
        <v/>
      </c>
      <c r="C60" s="165"/>
      <c r="D60" s="164" t="str">
        <f>IF('Fun Patches'!E11="A","E","")</f>
        <v/>
      </c>
      <c r="E60" s="165"/>
      <c r="F60" s="164" t="str">
        <f>IF('Fun Patches'!F11="A","E","")</f>
        <v/>
      </c>
      <c r="G60" s="165"/>
      <c r="H60" s="164" t="str">
        <f>IF('Fun Patches'!G11="A","E","")</f>
        <v/>
      </c>
      <c r="I60" s="165"/>
      <c r="J60" s="164" t="str">
        <f>IF('Fun Patches'!H11="A","E","")</f>
        <v/>
      </c>
      <c r="K60" s="165"/>
      <c r="L60" s="164" t="str">
        <f>IF('Fun Patches'!I11="A","E","")</f>
        <v/>
      </c>
      <c r="M60" s="165"/>
      <c r="N60" s="164" t="str">
        <f>IF('Fun Patches'!J11="A","E","")</f>
        <v/>
      </c>
      <c r="O60" s="165"/>
      <c r="P60" s="164" t="str">
        <f>IF('Fun Patches'!K11="A","E","")</f>
        <v/>
      </c>
      <c r="Q60" s="165"/>
      <c r="R60" s="164" t="str">
        <f>IF('Fun Patches'!L11="A","E","")</f>
        <v/>
      </c>
      <c r="S60" s="165"/>
      <c r="T60" s="164" t="str">
        <f>IF('Fun Patches'!M11="A","E","")</f>
        <v/>
      </c>
      <c r="U60" s="165"/>
      <c r="V60" s="164" t="str">
        <f>IF('Fun Patches'!N11="A","E","")</f>
        <v/>
      </c>
      <c r="W60" s="165"/>
      <c r="X60" s="164" t="str">
        <f>IF('Fun Patches'!O11="A","E","")</f>
        <v/>
      </c>
      <c r="Y60" s="165"/>
      <c r="Z60" s="164" t="str">
        <f>IF('Fun Patches'!P11="A","E","")</f>
        <v/>
      </c>
      <c r="AA60" s="165"/>
      <c r="AB60" s="164" t="str">
        <f>IF('Fun Patches'!Q11="A","E","")</f>
        <v/>
      </c>
      <c r="AC60" s="165"/>
      <c r="AD60" s="164" t="str">
        <f>IF('Fun Patches'!K11="A","E","")</f>
        <v/>
      </c>
      <c r="AE60" s="166"/>
    </row>
    <row r="61" spans="1:31">
      <c r="A61" s="184" t="str">
        <f>'Fun Patches'!C12</f>
        <v>&lt;List Patch Here&gt;</v>
      </c>
      <c r="B61" s="164" t="str">
        <f>IF('Fun Patches'!D12="A","E","")</f>
        <v/>
      </c>
      <c r="C61" s="165"/>
      <c r="D61" s="164" t="str">
        <f>IF('Fun Patches'!E12="A","E","")</f>
        <v/>
      </c>
      <c r="E61" s="165"/>
      <c r="F61" s="164" t="str">
        <f>IF('Fun Patches'!F12="A","E","")</f>
        <v/>
      </c>
      <c r="G61" s="165"/>
      <c r="H61" s="164" t="str">
        <f>IF('Fun Patches'!G12="A","E","")</f>
        <v/>
      </c>
      <c r="I61" s="165"/>
      <c r="J61" s="164" t="str">
        <f>IF('Fun Patches'!H12="A","E","")</f>
        <v/>
      </c>
      <c r="K61" s="165"/>
      <c r="L61" s="164" t="str">
        <f>IF('Fun Patches'!I12="A","E","")</f>
        <v/>
      </c>
      <c r="M61" s="165"/>
      <c r="N61" s="164" t="str">
        <f>IF('Fun Patches'!J12="A","E","")</f>
        <v/>
      </c>
      <c r="O61" s="165"/>
      <c r="P61" s="164" t="str">
        <f>IF('Fun Patches'!K12="A","E","")</f>
        <v/>
      </c>
      <c r="Q61" s="165"/>
      <c r="R61" s="164" t="str">
        <f>IF('Fun Patches'!L12="A","E","")</f>
        <v/>
      </c>
      <c r="S61" s="165"/>
      <c r="T61" s="164" t="str">
        <f>IF('Fun Patches'!M12="A","E","")</f>
        <v/>
      </c>
      <c r="U61" s="165"/>
      <c r="V61" s="164" t="str">
        <f>IF('Fun Patches'!N12="A","E","")</f>
        <v/>
      </c>
      <c r="W61" s="165"/>
      <c r="X61" s="164" t="str">
        <f>IF('Fun Patches'!O12="A","E","")</f>
        <v/>
      </c>
      <c r="Y61" s="165"/>
      <c r="Z61" s="164" t="str">
        <f>IF('Fun Patches'!P12="A","E","")</f>
        <v/>
      </c>
      <c r="AA61" s="165"/>
      <c r="AB61" s="164" t="str">
        <f>IF('Fun Patches'!Q12="A","E","")</f>
        <v/>
      </c>
      <c r="AC61" s="165"/>
      <c r="AD61" s="164" t="str">
        <f>IF('Fun Patches'!K12="A","E","")</f>
        <v/>
      </c>
      <c r="AE61" s="166"/>
    </row>
    <row r="62" spans="1:31">
      <c r="A62" s="184" t="str">
        <f>'Fun Patches'!C13</f>
        <v>&lt;List Patch Here&gt;</v>
      </c>
      <c r="B62" s="164" t="str">
        <f>IF('Fun Patches'!D13="A","E","")</f>
        <v/>
      </c>
      <c r="C62" s="165"/>
      <c r="D62" s="164" t="str">
        <f>IF('Fun Patches'!E13="A","E","")</f>
        <v/>
      </c>
      <c r="E62" s="165"/>
      <c r="F62" s="164" t="str">
        <f>IF('Fun Patches'!F13="A","E","")</f>
        <v/>
      </c>
      <c r="G62" s="165"/>
      <c r="H62" s="164" t="str">
        <f>IF('Fun Patches'!G13="A","E","")</f>
        <v/>
      </c>
      <c r="I62" s="165"/>
      <c r="J62" s="164" t="str">
        <f>IF('Fun Patches'!H13="A","E","")</f>
        <v/>
      </c>
      <c r="K62" s="165"/>
      <c r="L62" s="164" t="str">
        <f>IF('Fun Patches'!I13="A","E","")</f>
        <v/>
      </c>
      <c r="M62" s="165"/>
      <c r="N62" s="164" t="str">
        <f>IF('Fun Patches'!J13="A","E","")</f>
        <v/>
      </c>
      <c r="O62" s="165"/>
      <c r="P62" s="164" t="str">
        <f>IF('Fun Patches'!K13="A","E","")</f>
        <v/>
      </c>
      <c r="Q62" s="165"/>
      <c r="R62" s="164" t="str">
        <f>IF('Fun Patches'!L13="A","E","")</f>
        <v/>
      </c>
      <c r="S62" s="165"/>
      <c r="T62" s="164" t="str">
        <f>IF('Fun Patches'!M13="A","E","")</f>
        <v/>
      </c>
      <c r="U62" s="165"/>
      <c r="V62" s="164" t="str">
        <f>IF('Fun Patches'!N13="A","E","")</f>
        <v/>
      </c>
      <c r="W62" s="165"/>
      <c r="X62" s="164" t="str">
        <f>IF('Fun Patches'!O13="A","E","")</f>
        <v/>
      </c>
      <c r="Y62" s="165"/>
      <c r="Z62" s="164" t="str">
        <f>IF('Fun Patches'!P13="A","E","")</f>
        <v/>
      </c>
      <c r="AA62" s="165"/>
      <c r="AB62" s="164" t="str">
        <f>IF('Fun Patches'!Q13="A","E","")</f>
        <v/>
      </c>
      <c r="AC62" s="165"/>
      <c r="AD62" s="164" t="str">
        <f>IF('Fun Patches'!K13="A","E","")</f>
        <v/>
      </c>
      <c r="AE62" s="166"/>
    </row>
    <row r="63" spans="1:31">
      <c r="A63" s="184" t="str">
        <f>'Fun Patches'!C14</f>
        <v>&lt;List Patch Here&gt;</v>
      </c>
      <c r="B63" s="164" t="str">
        <f>IF('Fun Patches'!D14="A","E","")</f>
        <v/>
      </c>
      <c r="C63" s="165"/>
      <c r="D63" s="164" t="str">
        <f>IF('Fun Patches'!E14="A","E","")</f>
        <v/>
      </c>
      <c r="E63" s="165"/>
      <c r="F63" s="164" t="str">
        <f>IF('Fun Patches'!F14="A","E","")</f>
        <v/>
      </c>
      <c r="G63" s="165"/>
      <c r="H63" s="164" t="str">
        <f>IF('Fun Patches'!G14="A","E","")</f>
        <v/>
      </c>
      <c r="I63" s="165"/>
      <c r="J63" s="164" t="str">
        <f>IF('Fun Patches'!H14="A","E","")</f>
        <v/>
      </c>
      <c r="K63" s="165"/>
      <c r="L63" s="164" t="str">
        <f>IF('Fun Patches'!I14="A","E","")</f>
        <v/>
      </c>
      <c r="M63" s="165"/>
      <c r="N63" s="164" t="str">
        <f>IF('Fun Patches'!J14="A","E","")</f>
        <v/>
      </c>
      <c r="O63" s="165"/>
      <c r="P63" s="164" t="str">
        <f>IF('Fun Patches'!K14="A","E","")</f>
        <v/>
      </c>
      <c r="Q63" s="165"/>
      <c r="R63" s="164" t="str">
        <f>IF('Fun Patches'!L14="A","E","")</f>
        <v/>
      </c>
      <c r="S63" s="165"/>
      <c r="T63" s="164" t="str">
        <f>IF('Fun Patches'!M14="A","E","")</f>
        <v/>
      </c>
      <c r="U63" s="165"/>
      <c r="V63" s="164" t="str">
        <f>IF('Fun Patches'!N14="A","E","")</f>
        <v/>
      </c>
      <c r="W63" s="165"/>
      <c r="X63" s="164" t="str">
        <f>IF('Fun Patches'!O14="A","E","")</f>
        <v/>
      </c>
      <c r="Y63" s="165"/>
      <c r="Z63" s="164" t="str">
        <f>IF('Fun Patches'!P14="A","E","")</f>
        <v/>
      </c>
      <c r="AA63" s="165"/>
      <c r="AB63" s="164" t="str">
        <f>IF('Fun Patches'!Q14="A","E","")</f>
        <v/>
      </c>
      <c r="AC63" s="165"/>
      <c r="AD63" s="164" t="str">
        <f>IF('Fun Patches'!K14="A","E","")</f>
        <v/>
      </c>
      <c r="AE63" s="166"/>
    </row>
    <row r="64" spans="1:31">
      <c r="A64" s="184" t="str">
        <f>'Fun Patches'!C15</f>
        <v>&lt;List Patch Here&gt;</v>
      </c>
      <c r="B64" s="164" t="str">
        <f>IF('Fun Patches'!D15="A","E","")</f>
        <v/>
      </c>
      <c r="C64" s="165"/>
      <c r="D64" s="164" t="str">
        <f>IF('Fun Patches'!E15="A","E","")</f>
        <v/>
      </c>
      <c r="E64" s="165"/>
      <c r="F64" s="164" t="str">
        <f>IF('Fun Patches'!F15="A","E","")</f>
        <v/>
      </c>
      <c r="G64" s="165"/>
      <c r="H64" s="164" t="str">
        <f>IF('Fun Patches'!G15="A","E","")</f>
        <v/>
      </c>
      <c r="I64" s="165"/>
      <c r="J64" s="164" t="str">
        <f>IF('Fun Patches'!H15="A","E","")</f>
        <v/>
      </c>
      <c r="K64" s="165"/>
      <c r="L64" s="164" t="str">
        <f>IF('Fun Patches'!I15="A","E","")</f>
        <v/>
      </c>
      <c r="M64" s="165"/>
      <c r="N64" s="164" t="str">
        <f>IF('Fun Patches'!J15="A","E","")</f>
        <v/>
      </c>
      <c r="O64" s="165"/>
      <c r="P64" s="164" t="str">
        <f>IF('Fun Patches'!K15="A","E","")</f>
        <v/>
      </c>
      <c r="Q64" s="165"/>
      <c r="R64" s="164" t="str">
        <f>IF('Fun Patches'!L15="A","E","")</f>
        <v/>
      </c>
      <c r="S64" s="165"/>
      <c r="T64" s="164" t="str">
        <f>IF('Fun Patches'!M15="A","E","")</f>
        <v/>
      </c>
      <c r="U64" s="165"/>
      <c r="V64" s="164" t="str">
        <f>IF('Fun Patches'!N15="A","E","")</f>
        <v/>
      </c>
      <c r="W64" s="165"/>
      <c r="X64" s="164" t="str">
        <f>IF('Fun Patches'!O15="A","E","")</f>
        <v/>
      </c>
      <c r="Y64" s="165"/>
      <c r="Z64" s="164" t="str">
        <f>IF('Fun Patches'!P15="A","E","")</f>
        <v/>
      </c>
      <c r="AA64" s="165"/>
      <c r="AB64" s="164" t="str">
        <f>IF('Fun Patches'!Q15="A","E","")</f>
        <v/>
      </c>
      <c r="AC64" s="165"/>
      <c r="AD64" s="164" t="str">
        <f>IF('Fun Patches'!K15="A","E","")</f>
        <v/>
      </c>
      <c r="AE64" s="166"/>
    </row>
    <row r="65" spans="1:31">
      <c r="A65" s="184" t="str">
        <f>'Fun Patches'!C16</f>
        <v>&lt;List Patch Here&gt;</v>
      </c>
      <c r="B65" s="164" t="str">
        <f>IF('Fun Patches'!D16="A","E","")</f>
        <v/>
      </c>
      <c r="C65" s="165"/>
      <c r="D65" s="164" t="str">
        <f>IF('Fun Patches'!E16="A","E","")</f>
        <v/>
      </c>
      <c r="E65" s="165"/>
      <c r="F65" s="164" t="str">
        <f>IF('Fun Patches'!F16="A","E","")</f>
        <v/>
      </c>
      <c r="G65" s="165"/>
      <c r="H65" s="164" t="str">
        <f>IF('Fun Patches'!G16="A","E","")</f>
        <v/>
      </c>
      <c r="I65" s="165"/>
      <c r="J65" s="164" t="str">
        <f>IF('Fun Patches'!H16="A","E","")</f>
        <v/>
      </c>
      <c r="K65" s="165"/>
      <c r="L65" s="164" t="str">
        <f>IF('Fun Patches'!I16="A","E","")</f>
        <v/>
      </c>
      <c r="M65" s="165"/>
      <c r="N65" s="164" t="str">
        <f>IF('Fun Patches'!J16="A","E","")</f>
        <v/>
      </c>
      <c r="O65" s="165"/>
      <c r="P65" s="164" t="str">
        <f>IF('Fun Patches'!K16="A","E","")</f>
        <v/>
      </c>
      <c r="Q65" s="165"/>
      <c r="R65" s="164" t="str">
        <f>IF('Fun Patches'!L16="A","E","")</f>
        <v/>
      </c>
      <c r="S65" s="165"/>
      <c r="T65" s="164" t="str">
        <f>IF('Fun Patches'!M16="A","E","")</f>
        <v/>
      </c>
      <c r="U65" s="165"/>
      <c r="V65" s="164" t="str">
        <f>IF('Fun Patches'!N16="A","E","")</f>
        <v/>
      </c>
      <c r="W65" s="165"/>
      <c r="X65" s="164" t="str">
        <f>IF('Fun Patches'!O16="A","E","")</f>
        <v/>
      </c>
      <c r="Y65" s="165"/>
      <c r="Z65" s="164" t="str">
        <f>IF('Fun Patches'!P16="A","E","")</f>
        <v/>
      </c>
      <c r="AA65" s="165"/>
      <c r="AB65" s="164" t="str">
        <f>IF('Fun Patches'!Q16="A","E","")</f>
        <v/>
      </c>
      <c r="AC65" s="165"/>
      <c r="AD65" s="164" t="str">
        <f>IF('Fun Patches'!K16="A","E","")</f>
        <v/>
      </c>
      <c r="AE65" s="166"/>
    </row>
    <row r="66" spans="1:31">
      <c r="A66" s="184" t="str">
        <f>'Fun Patches'!C17</f>
        <v>&lt;List Patch Here&gt;</v>
      </c>
      <c r="B66" s="164" t="str">
        <f>IF('Fun Patches'!D17="A","E","")</f>
        <v/>
      </c>
      <c r="C66" s="165"/>
      <c r="D66" s="164" t="str">
        <f>IF('Fun Patches'!E17="A","E","")</f>
        <v/>
      </c>
      <c r="E66" s="165"/>
      <c r="F66" s="164" t="str">
        <f>IF('Fun Patches'!F17="A","E","")</f>
        <v/>
      </c>
      <c r="G66" s="165"/>
      <c r="H66" s="164" t="str">
        <f>IF('Fun Patches'!G17="A","E","")</f>
        <v/>
      </c>
      <c r="I66" s="165"/>
      <c r="J66" s="164" t="str">
        <f>IF('Fun Patches'!H17="A","E","")</f>
        <v/>
      </c>
      <c r="K66" s="165"/>
      <c r="L66" s="164" t="str">
        <f>IF('Fun Patches'!I17="A","E","")</f>
        <v/>
      </c>
      <c r="M66" s="165"/>
      <c r="N66" s="164" t="str">
        <f>IF('Fun Patches'!J17="A","E","")</f>
        <v/>
      </c>
      <c r="O66" s="165"/>
      <c r="P66" s="164" t="str">
        <f>IF('Fun Patches'!K17="A","E","")</f>
        <v/>
      </c>
      <c r="Q66" s="165"/>
      <c r="R66" s="164" t="str">
        <f>IF('Fun Patches'!L17="A","E","")</f>
        <v/>
      </c>
      <c r="S66" s="165"/>
      <c r="T66" s="164" t="str">
        <f>IF('Fun Patches'!M17="A","E","")</f>
        <v/>
      </c>
      <c r="U66" s="165"/>
      <c r="V66" s="164" t="str">
        <f>IF('Fun Patches'!N17="A","E","")</f>
        <v/>
      </c>
      <c r="W66" s="165"/>
      <c r="X66" s="164" t="str">
        <f>IF('Fun Patches'!O17="A","E","")</f>
        <v/>
      </c>
      <c r="Y66" s="165"/>
      <c r="Z66" s="164" t="str">
        <f>IF('Fun Patches'!P17="A","E","")</f>
        <v/>
      </c>
      <c r="AA66" s="165"/>
      <c r="AB66" s="164" t="str">
        <f>IF('Fun Patches'!Q17="A","E","")</f>
        <v/>
      </c>
      <c r="AC66" s="165"/>
      <c r="AD66" s="164" t="str">
        <f>IF('Fun Patches'!K17="A","E","")</f>
        <v/>
      </c>
      <c r="AE66" s="166"/>
    </row>
    <row r="67" spans="1:31">
      <c r="A67" s="184" t="str">
        <f>'Fun Patches'!C18</f>
        <v>&lt;List Patch Here&gt;</v>
      </c>
      <c r="B67" s="164" t="str">
        <f>IF('Fun Patches'!D18="A","E","")</f>
        <v/>
      </c>
      <c r="C67" s="165"/>
      <c r="D67" s="164" t="str">
        <f>IF('Fun Patches'!E18="A","E","")</f>
        <v/>
      </c>
      <c r="E67" s="165"/>
      <c r="F67" s="164" t="str">
        <f>IF('Fun Patches'!F18="A","E","")</f>
        <v/>
      </c>
      <c r="G67" s="165"/>
      <c r="H67" s="164" t="str">
        <f>IF('Fun Patches'!G18="A","E","")</f>
        <v/>
      </c>
      <c r="I67" s="165"/>
      <c r="J67" s="164" t="str">
        <f>IF('Fun Patches'!H18="A","E","")</f>
        <v/>
      </c>
      <c r="K67" s="165"/>
      <c r="L67" s="164" t="str">
        <f>IF('Fun Patches'!I18="A","E","")</f>
        <v/>
      </c>
      <c r="M67" s="165"/>
      <c r="N67" s="164" t="str">
        <f>IF('Fun Patches'!J18="A","E","")</f>
        <v/>
      </c>
      <c r="O67" s="165"/>
      <c r="P67" s="164" t="str">
        <f>IF('Fun Patches'!K18="A","E","")</f>
        <v/>
      </c>
      <c r="Q67" s="165"/>
      <c r="R67" s="164" t="str">
        <f>IF('Fun Patches'!L18="A","E","")</f>
        <v/>
      </c>
      <c r="S67" s="165"/>
      <c r="T67" s="164" t="str">
        <f>IF('Fun Patches'!M18="A","E","")</f>
        <v/>
      </c>
      <c r="U67" s="165"/>
      <c r="V67" s="164" t="str">
        <f>IF('Fun Patches'!N18="A","E","")</f>
        <v/>
      </c>
      <c r="W67" s="165"/>
      <c r="X67" s="164" t="str">
        <f>IF('Fun Patches'!O18="A","E","")</f>
        <v/>
      </c>
      <c r="Y67" s="165"/>
      <c r="Z67" s="164" t="str">
        <f>IF('Fun Patches'!P18="A","E","")</f>
        <v/>
      </c>
      <c r="AA67" s="165"/>
      <c r="AB67" s="164" t="str">
        <f>IF('Fun Patches'!Q18="A","E","")</f>
        <v/>
      </c>
      <c r="AC67" s="165"/>
      <c r="AD67" s="164" t="str">
        <f>IF('Fun Patches'!K18="A","E","")</f>
        <v/>
      </c>
      <c r="AE67" s="166"/>
    </row>
    <row r="68" spans="1:31">
      <c r="A68" s="184" t="str">
        <f>'Fun Patches'!C19</f>
        <v>&lt;List Patch Here&gt;</v>
      </c>
      <c r="B68" s="164" t="str">
        <f>IF('Fun Patches'!D19="A","E","")</f>
        <v/>
      </c>
      <c r="C68" s="165"/>
      <c r="D68" s="164" t="str">
        <f>IF('Fun Patches'!E19="A","E","")</f>
        <v/>
      </c>
      <c r="E68" s="165"/>
      <c r="F68" s="164" t="str">
        <f>IF('Fun Patches'!F19="A","E","")</f>
        <v/>
      </c>
      <c r="G68" s="165"/>
      <c r="H68" s="164" t="str">
        <f>IF('Fun Patches'!G19="A","E","")</f>
        <v/>
      </c>
      <c r="I68" s="165"/>
      <c r="J68" s="164" t="str">
        <f>IF('Fun Patches'!H19="A","E","")</f>
        <v/>
      </c>
      <c r="K68" s="165"/>
      <c r="L68" s="164" t="str">
        <f>IF('Fun Patches'!I19="A","E","")</f>
        <v/>
      </c>
      <c r="M68" s="165"/>
      <c r="N68" s="164" t="str">
        <f>IF('Fun Patches'!J19="A","E","")</f>
        <v/>
      </c>
      <c r="O68" s="165"/>
      <c r="P68" s="164" t="str">
        <f>IF('Fun Patches'!K19="A","E","")</f>
        <v/>
      </c>
      <c r="Q68" s="165"/>
      <c r="R68" s="164" t="str">
        <f>IF('Fun Patches'!L19="A","E","")</f>
        <v/>
      </c>
      <c r="S68" s="165"/>
      <c r="T68" s="164" t="str">
        <f>IF('Fun Patches'!M19="A","E","")</f>
        <v/>
      </c>
      <c r="U68" s="165"/>
      <c r="V68" s="164" t="str">
        <f>IF('Fun Patches'!N19="A","E","")</f>
        <v/>
      </c>
      <c r="W68" s="165"/>
      <c r="X68" s="164" t="str">
        <f>IF('Fun Patches'!O19="A","E","")</f>
        <v/>
      </c>
      <c r="Y68" s="165"/>
      <c r="Z68" s="164" t="str">
        <f>IF('Fun Patches'!P19="A","E","")</f>
        <v/>
      </c>
      <c r="AA68" s="165"/>
      <c r="AB68" s="164" t="str">
        <f>IF('Fun Patches'!Q19="A","E","")</f>
        <v/>
      </c>
      <c r="AC68" s="165"/>
      <c r="AD68" s="164" t="str">
        <f>IF('Fun Patches'!K19="A","E","")</f>
        <v/>
      </c>
      <c r="AE68" s="166"/>
    </row>
    <row r="69" spans="1:31">
      <c r="A69" s="184" t="str">
        <f>'Fun Patches'!C20</f>
        <v>&lt;List Patch Here&gt;</v>
      </c>
      <c r="B69" s="164" t="str">
        <f>IF('Fun Patches'!D20="A","E","")</f>
        <v/>
      </c>
      <c r="C69" s="165"/>
      <c r="D69" s="164" t="str">
        <f>IF('Fun Patches'!E20="A","E","")</f>
        <v/>
      </c>
      <c r="E69" s="165"/>
      <c r="F69" s="164" t="str">
        <f>IF('Fun Patches'!F20="A","E","")</f>
        <v/>
      </c>
      <c r="G69" s="165"/>
      <c r="H69" s="164" t="str">
        <f>IF('Fun Patches'!G20="A","E","")</f>
        <v/>
      </c>
      <c r="I69" s="165"/>
      <c r="J69" s="164" t="str">
        <f>IF('Fun Patches'!H20="A","E","")</f>
        <v/>
      </c>
      <c r="K69" s="165"/>
      <c r="L69" s="164" t="str">
        <f>IF('Fun Patches'!I20="A","E","")</f>
        <v/>
      </c>
      <c r="M69" s="165"/>
      <c r="N69" s="164" t="str">
        <f>IF('Fun Patches'!J20="A","E","")</f>
        <v/>
      </c>
      <c r="O69" s="165"/>
      <c r="P69" s="164" t="str">
        <f>IF('Fun Patches'!K20="A","E","")</f>
        <v/>
      </c>
      <c r="Q69" s="165"/>
      <c r="R69" s="164" t="str">
        <f>IF('Fun Patches'!L20="A","E","")</f>
        <v/>
      </c>
      <c r="S69" s="165"/>
      <c r="T69" s="164" t="str">
        <f>IF('Fun Patches'!M20="A","E","")</f>
        <v/>
      </c>
      <c r="U69" s="165"/>
      <c r="V69" s="164" t="str">
        <f>IF('Fun Patches'!N20="A","E","")</f>
        <v/>
      </c>
      <c r="W69" s="165"/>
      <c r="X69" s="164" t="str">
        <f>IF('Fun Patches'!O20="A","E","")</f>
        <v/>
      </c>
      <c r="Y69" s="165"/>
      <c r="Z69" s="164" t="str">
        <f>IF('Fun Patches'!P20="A","E","")</f>
        <v/>
      </c>
      <c r="AA69" s="165"/>
      <c r="AB69" s="164" t="str">
        <f>IF('Fun Patches'!Q20="A","E","")</f>
        <v/>
      </c>
      <c r="AC69" s="165"/>
      <c r="AD69" s="164" t="str">
        <f>IF('Fun Patches'!K20="A","E","")</f>
        <v/>
      </c>
      <c r="AE69" s="166"/>
    </row>
    <row r="70" spans="1:31">
      <c r="A70" s="184" t="str">
        <f>'Fun Patches'!C21</f>
        <v>&lt;List Patch Here&gt;</v>
      </c>
      <c r="B70" s="164" t="str">
        <f>IF('Fun Patches'!D21="A","E","")</f>
        <v/>
      </c>
      <c r="C70" s="165"/>
      <c r="D70" s="164" t="str">
        <f>IF('Fun Patches'!E21="A","E","")</f>
        <v/>
      </c>
      <c r="E70" s="165"/>
      <c r="F70" s="164" t="str">
        <f>IF('Fun Patches'!F21="A","E","")</f>
        <v/>
      </c>
      <c r="G70" s="165"/>
      <c r="H70" s="164" t="str">
        <f>IF('Fun Patches'!G21="A","E","")</f>
        <v/>
      </c>
      <c r="I70" s="165"/>
      <c r="J70" s="164" t="str">
        <f>IF('Fun Patches'!H21="A","E","")</f>
        <v/>
      </c>
      <c r="K70" s="165"/>
      <c r="L70" s="164" t="str">
        <f>IF('Fun Patches'!I21="A","E","")</f>
        <v/>
      </c>
      <c r="M70" s="165"/>
      <c r="N70" s="164" t="str">
        <f>IF('Fun Patches'!J21="A","E","")</f>
        <v/>
      </c>
      <c r="O70" s="165"/>
      <c r="P70" s="164" t="str">
        <f>IF('Fun Patches'!K21="A","E","")</f>
        <v/>
      </c>
      <c r="Q70" s="165"/>
      <c r="R70" s="164" t="str">
        <f>IF('Fun Patches'!L21="A","E","")</f>
        <v/>
      </c>
      <c r="S70" s="165"/>
      <c r="T70" s="164" t="str">
        <f>IF('Fun Patches'!M21="A","E","")</f>
        <v/>
      </c>
      <c r="U70" s="165"/>
      <c r="V70" s="164" t="str">
        <f>IF('Fun Patches'!N21="A","E","")</f>
        <v/>
      </c>
      <c r="W70" s="165"/>
      <c r="X70" s="164" t="str">
        <f>IF('Fun Patches'!O21="A","E","")</f>
        <v/>
      </c>
      <c r="Y70" s="165"/>
      <c r="Z70" s="164" t="str">
        <f>IF('Fun Patches'!P21="A","E","")</f>
        <v/>
      </c>
      <c r="AA70" s="165"/>
      <c r="AB70" s="164" t="str">
        <f>IF('Fun Patches'!Q21="A","E","")</f>
        <v/>
      </c>
      <c r="AC70" s="165"/>
      <c r="AD70" s="164" t="str">
        <f>IF('Fun Patches'!K21="A","E","")</f>
        <v/>
      </c>
      <c r="AE70" s="166"/>
    </row>
    <row r="71" spans="1:31">
      <c r="A71" s="184" t="str">
        <f>'Fun Patches'!C22</f>
        <v>&lt;List Patch Here&gt;</v>
      </c>
      <c r="B71" s="164" t="str">
        <f>IF('Fun Patches'!D22="A","E","")</f>
        <v/>
      </c>
      <c r="C71" s="165"/>
      <c r="D71" s="164" t="str">
        <f>IF('Fun Patches'!E22="A","E","")</f>
        <v/>
      </c>
      <c r="E71" s="165"/>
      <c r="F71" s="164" t="str">
        <f>IF('Fun Patches'!F22="A","E","")</f>
        <v/>
      </c>
      <c r="G71" s="165"/>
      <c r="H71" s="164" t="str">
        <f>IF('Fun Patches'!G22="A","E","")</f>
        <v/>
      </c>
      <c r="I71" s="165"/>
      <c r="J71" s="164" t="str">
        <f>IF('Fun Patches'!H22="A","E","")</f>
        <v/>
      </c>
      <c r="K71" s="165"/>
      <c r="L71" s="164" t="str">
        <f>IF('Fun Patches'!I22="A","E","")</f>
        <v/>
      </c>
      <c r="M71" s="165"/>
      <c r="N71" s="164" t="str">
        <f>IF('Fun Patches'!J22="A","E","")</f>
        <v/>
      </c>
      <c r="O71" s="165"/>
      <c r="P71" s="164" t="str">
        <f>IF('Fun Patches'!K22="A","E","")</f>
        <v/>
      </c>
      <c r="Q71" s="165"/>
      <c r="R71" s="164" t="str">
        <f>IF('Fun Patches'!L22="A","E","")</f>
        <v/>
      </c>
      <c r="S71" s="165"/>
      <c r="T71" s="164" t="str">
        <f>IF('Fun Patches'!M22="A","E","")</f>
        <v/>
      </c>
      <c r="U71" s="165"/>
      <c r="V71" s="164" t="str">
        <f>IF('Fun Patches'!N22="A","E","")</f>
        <v/>
      </c>
      <c r="W71" s="165"/>
      <c r="X71" s="164" t="str">
        <f>IF('Fun Patches'!O22="A","E","")</f>
        <v/>
      </c>
      <c r="Y71" s="165"/>
      <c r="Z71" s="164" t="str">
        <f>IF('Fun Patches'!P22="A","E","")</f>
        <v/>
      </c>
      <c r="AA71" s="165"/>
      <c r="AB71" s="164" t="str">
        <f>IF('Fun Patches'!Q22="A","E","")</f>
        <v/>
      </c>
      <c r="AC71" s="165"/>
      <c r="AD71" s="164" t="str">
        <f>IF('Fun Patches'!K22="A","E","")</f>
        <v/>
      </c>
      <c r="AE71" s="166"/>
    </row>
    <row r="72" spans="1:31">
      <c r="A72" s="184" t="str">
        <f>'Fun Patches'!C23</f>
        <v>&lt;List Patch Here&gt;</v>
      </c>
      <c r="B72" s="164" t="str">
        <f>IF('Fun Patches'!D23="A","E","")</f>
        <v/>
      </c>
      <c r="C72" s="165"/>
      <c r="D72" s="164" t="str">
        <f>IF('Fun Patches'!E23="A","E","")</f>
        <v/>
      </c>
      <c r="E72" s="165"/>
      <c r="F72" s="164" t="str">
        <f>IF('Fun Patches'!F23="A","E","")</f>
        <v/>
      </c>
      <c r="G72" s="165"/>
      <c r="H72" s="164" t="str">
        <f>IF('Fun Patches'!G23="A","E","")</f>
        <v/>
      </c>
      <c r="I72" s="165"/>
      <c r="J72" s="164" t="str">
        <f>IF('Fun Patches'!H23="A","E","")</f>
        <v/>
      </c>
      <c r="K72" s="165"/>
      <c r="L72" s="164" t="str">
        <f>IF('Fun Patches'!I23="A","E","")</f>
        <v/>
      </c>
      <c r="M72" s="165"/>
      <c r="N72" s="164" t="str">
        <f>IF('Fun Patches'!J23="A","E","")</f>
        <v/>
      </c>
      <c r="O72" s="165"/>
      <c r="P72" s="164" t="str">
        <f>IF('Fun Patches'!K23="A","E","")</f>
        <v/>
      </c>
      <c r="Q72" s="165"/>
      <c r="R72" s="164" t="str">
        <f>IF('Fun Patches'!L23="A","E","")</f>
        <v/>
      </c>
      <c r="S72" s="165"/>
      <c r="T72" s="164" t="str">
        <f>IF('Fun Patches'!M23="A","E","")</f>
        <v/>
      </c>
      <c r="U72" s="165"/>
      <c r="V72" s="164" t="str">
        <f>IF('Fun Patches'!N23="A","E","")</f>
        <v/>
      </c>
      <c r="W72" s="165"/>
      <c r="X72" s="164" t="str">
        <f>IF('Fun Patches'!O23="A","E","")</f>
        <v/>
      </c>
      <c r="Y72" s="165"/>
      <c r="Z72" s="164" t="str">
        <f>IF('Fun Patches'!P23="A","E","")</f>
        <v/>
      </c>
      <c r="AA72" s="165"/>
      <c r="AB72" s="164" t="str">
        <f>IF('Fun Patches'!Q23="A","E","")</f>
        <v/>
      </c>
      <c r="AC72" s="165"/>
      <c r="AD72" s="164" t="str">
        <f>IF('Fun Patches'!K23="A","E","")</f>
        <v/>
      </c>
      <c r="AE72" s="166"/>
    </row>
    <row r="73" spans="1:31">
      <c r="A73" s="184" t="str">
        <f>'Fun Patches'!C24</f>
        <v>&lt;List Patch Here&gt;</v>
      </c>
      <c r="B73" s="164" t="str">
        <f>IF('Fun Patches'!D24="A","E","")</f>
        <v/>
      </c>
      <c r="C73" s="165"/>
      <c r="D73" s="164" t="str">
        <f>IF('Fun Patches'!E24="A","E","")</f>
        <v/>
      </c>
      <c r="E73" s="165"/>
      <c r="F73" s="164" t="str">
        <f>IF('Fun Patches'!F24="A","E","")</f>
        <v/>
      </c>
      <c r="G73" s="165"/>
      <c r="H73" s="164" t="str">
        <f>IF('Fun Patches'!G24="A","E","")</f>
        <v/>
      </c>
      <c r="I73" s="165"/>
      <c r="J73" s="164" t="str">
        <f>IF('Fun Patches'!H24="A","E","")</f>
        <v/>
      </c>
      <c r="K73" s="165"/>
      <c r="L73" s="164" t="str">
        <f>IF('Fun Patches'!I24="A","E","")</f>
        <v/>
      </c>
      <c r="M73" s="165"/>
      <c r="N73" s="164" t="str">
        <f>IF('Fun Patches'!J24="A","E","")</f>
        <v/>
      </c>
      <c r="O73" s="165"/>
      <c r="P73" s="164" t="str">
        <f>IF('Fun Patches'!K24="A","E","")</f>
        <v/>
      </c>
      <c r="Q73" s="165"/>
      <c r="R73" s="164" t="str">
        <f>IF('Fun Patches'!L24="A","E","")</f>
        <v/>
      </c>
      <c r="S73" s="165"/>
      <c r="T73" s="164" t="str">
        <f>IF('Fun Patches'!M24="A","E","")</f>
        <v/>
      </c>
      <c r="U73" s="165"/>
      <c r="V73" s="164" t="str">
        <f>IF('Fun Patches'!N24="A","E","")</f>
        <v/>
      </c>
      <c r="W73" s="165"/>
      <c r="X73" s="164" t="str">
        <f>IF('Fun Patches'!O24="A","E","")</f>
        <v/>
      </c>
      <c r="Y73" s="165"/>
      <c r="Z73" s="164" t="str">
        <f>IF('Fun Patches'!P24="A","E","")</f>
        <v/>
      </c>
      <c r="AA73" s="165"/>
      <c r="AB73" s="164" t="str">
        <f>IF('Fun Patches'!Q24="A","E","")</f>
        <v/>
      </c>
      <c r="AC73" s="165"/>
      <c r="AD73" s="164" t="str">
        <f>IF('Fun Patches'!K24="A","E","")</f>
        <v/>
      </c>
      <c r="AE73" s="166"/>
    </row>
    <row r="74" spans="1:31">
      <c r="A74" s="184" t="str">
        <f>'Fun Patches'!C25</f>
        <v>&lt;List Patch Here&gt;</v>
      </c>
      <c r="B74" s="164" t="str">
        <f>IF('Fun Patches'!D25="A","E","")</f>
        <v/>
      </c>
      <c r="C74" s="165"/>
      <c r="D74" s="164" t="str">
        <f>IF('Fun Patches'!E25="A","E","")</f>
        <v/>
      </c>
      <c r="E74" s="165"/>
      <c r="F74" s="164" t="str">
        <f>IF('Fun Patches'!F25="A","E","")</f>
        <v/>
      </c>
      <c r="G74" s="165"/>
      <c r="H74" s="164" t="str">
        <f>IF('Fun Patches'!G25="A","E","")</f>
        <v/>
      </c>
      <c r="I74" s="165"/>
      <c r="J74" s="164" t="str">
        <f>IF('Fun Patches'!H25="A","E","")</f>
        <v/>
      </c>
      <c r="K74" s="165"/>
      <c r="L74" s="164" t="str">
        <f>IF('Fun Patches'!I25="A","E","")</f>
        <v/>
      </c>
      <c r="M74" s="165"/>
      <c r="N74" s="164" t="str">
        <f>IF('Fun Patches'!J25="A","E","")</f>
        <v/>
      </c>
      <c r="O74" s="165"/>
      <c r="P74" s="164" t="str">
        <f>IF('Fun Patches'!K25="A","E","")</f>
        <v/>
      </c>
      <c r="Q74" s="165"/>
      <c r="R74" s="164" t="str">
        <f>IF('Fun Patches'!L25="A","E","")</f>
        <v/>
      </c>
      <c r="S74" s="165"/>
      <c r="T74" s="164" t="str">
        <f>IF('Fun Patches'!M25="A","E","")</f>
        <v/>
      </c>
      <c r="U74" s="165"/>
      <c r="V74" s="164" t="str">
        <f>IF('Fun Patches'!N25="A","E","")</f>
        <v/>
      </c>
      <c r="W74" s="165"/>
      <c r="X74" s="164" t="str">
        <f>IF('Fun Patches'!O25="A","E","")</f>
        <v/>
      </c>
      <c r="Y74" s="165"/>
      <c r="Z74" s="164" t="str">
        <f>IF('Fun Patches'!P25="A","E","")</f>
        <v/>
      </c>
      <c r="AA74" s="165"/>
      <c r="AB74" s="164" t="str">
        <f>IF('Fun Patches'!Q25="A","E","")</f>
        <v/>
      </c>
      <c r="AC74" s="165"/>
      <c r="AD74" s="164" t="str">
        <f>IF('Fun Patches'!K25="A","E","")</f>
        <v/>
      </c>
      <c r="AE74" s="166"/>
    </row>
    <row r="75" spans="1:31">
      <c r="A75" s="184" t="str">
        <f>'Fun Patches'!C26</f>
        <v>&lt;List Patch Here&gt;</v>
      </c>
      <c r="B75" s="164" t="str">
        <f>IF('Fun Patches'!D26="A","E","")</f>
        <v/>
      </c>
      <c r="C75" s="165"/>
      <c r="D75" s="164" t="str">
        <f>IF('Fun Patches'!E26="A","E","")</f>
        <v/>
      </c>
      <c r="E75" s="165"/>
      <c r="F75" s="164" t="str">
        <f>IF('Fun Patches'!F26="A","E","")</f>
        <v/>
      </c>
      <c r="G75" s="165"/>
      <c r="H75" s="164" t="str">
        <f>IF('Fun Patches'!G26="A","E","")</f>
        <v/>
      </c>
      <c r="I75" s="165"/>
      <c r="J75" s="164" t="str">
        <f>IF('Fun Patches'!H26="A","E","")</f>
        <v/>
      </c>
      <c r="K75" s="165"/>
      <c r="L75" s="164" t="str">
        <f>IF('Fun Patches'!I26="A","E","")</f>
        <v/>
      </c>
      <c r="M75" s="165"/>
      <c r="N75" s="164" t="str">
        <f>IF('Fun Patches'!J26="A","E","")</f>
        <v/>
      </c>
      <c r="O75" s="165"/>
      <c r="P75" s="164" t="str">
        <f>IF('Fun Patches'!K26="A","E","")</f>
        <v/>
      </c>
      <c r="Q75" s="165"/>
      <c r="R75" s="164" t="str">
        <f>IF('Fun Patches'!L26="A","E","")</f>
        <v/>
      </c>
      <c r="S75" s="165"/>
      <c r="T75" s="164" t="str">
        <f>IF('Fun Patches'!M26="A","E","")</f>
        <v/>
      </c>
      <c r="U75" s="165"/>
      <c r="V75" s="164" t="str">
        <f>IF('Fun Patches'!N26="A","E","")</f>
        <v/>
      </c>
      <c r="W75" s="165"/>
      <c r="X75" s="164" t="str">
        <f>IF('Fun Patches'!O26="A","E","")</f>
        <v/>
      </c>
      <c r="Y75" s="165"/>
      <c r="Z75" s="164" t="str">
        <f>IF('Fun Patches'!P26="A","E","")</f>
        <v/>
      </c>
      <c r="AA75" s="165"/>
      <c r="AB75" s="164" t="str">
        <f>IF('Fun Patches'!Q26="A","E","")</f>
        <v/>
      </c>
      <c r="AC75" s="165"/>
      <c r="AD75" s="164" t="str">
        <f>IF('Fun Patches'!K26="A","E","")</f>
        <v/>
      </c>
      <c r="AE75" s="166"/>
    </row>
    <row r="76" spans="1:31">
      <c r="A76" s="184" t="str">
        <f>'Fun Patches'!C27</f>
        <v>&lt;List Patch Here&gt;</v>
      </c>
      <c r="B76" s="164" t="str">
        <f>IF('Fun Patches'!D27="A","E","")</f>
        <v/>
      </c>
      <c r="C76" s="165"/>
      <c r="D76" s="164" t="str">
        <f>IF('Fun Patches'!E27="A","E","")</f>
        <v/>
      </c>
      <c r="E76" s="165"/>
      <c r="F76" s="164" t="str">
        <f>IF('Fun Patches'!F27="A","E","")</f>
        <v/>
      </c>
      <c r="G76" s="165"/>
      <c r="H76" s="164" t="str">
        <f>IF('Fun Patches'!G27="A","E","")</f>
        <v/>
      </c>
      <c r="I76" s="165"/>
      <c r="J76" s="164" t="str">
        <f>IF('Fun Patches'!H27="A","E","")</f>
        <v/>
      </c>
      <c r="K76" s="165"/>
      <c r="L76" s="164" t="str">
        <f>IF('Fun Patches'!I27="A","E","")</f>
        <v/>
      </c>
      <c r="M76" s="165"/>
      <c r="N76" s="164" t="str">
        <f>IF('Fun Patches'!J27="A","E","")</f>
        <v/>
      </c>
      <c r="O76" s="165"/>
      <c r="P76" s="164" t="str">
        <f>IF('Fun Patches'!K27="A","E","")</f>
        <v/>
      </c>
      <c r="Q76" s="165"/>
      <c r="R76" s="164" t="str">
        <f>IF('Fun Patches'!L27="A","E","")</f>
        <v/>
      </c>
      <c r="S76" s="165"/>
      <c r="T76" s="164" t="str">
        <f>IF('Fun Patches'!M27="A","E","")</f>
        <v/>
      </c>
      <c r="U76" s="165"/>
      <c r="V76" s="164" t="str">
        <f>IF('Fun Patches'!N27="A","E","")</f>
        <v/>
      </c>
      <c r="W76" s="165"/>
      <c r="X76" s="164" t="str">
        <f>IF('Fun Patches'!O27="A","E","")</f>
        <v/>
      </c>
      <c r="Y76" s="165"/>
      <c r="Z76" s="164" t="str">
        <f>IF('Fun Patches'!P27="A","E","")</f>
        <v/>
      </c>
      <c r="AA76" s="165"/>
      <c r="AB76" s="164" t="str">
        <f>IF('Fun Patches'!Q27="A","E","")</f>
        <v/>
      </c>
      <c r="AC76" s="165"/>
      <c r="AD76" s="164" t="str">
        <f>IF('Fun Patches'!K27="A","E","")</f>
        <v/>
      </c>
      <c r="AE76" s="166"/>
    </row>
    <row r="77" spans="1:31">
      <c r="A77" s="184" t="str">
        <f>'Fun Patches'!C28</f>
        <v>&lt;List Patch Here&gt;</v>
      </c>
      <c r="B77" s="164" t="str">
        <f>IF('Fun Patches'!D28="A","E","")</f>
        <v/>
      </c>
      <c r="C77" s="165"/>
      <c r="D77" s="164" t="str">
        <f>IF('Fun Patches'!E28="A","E","")</f>
        <v/>
      </c>
      <c r="E77" s="165"/>
      <c r="F77" s="164" t="str">
        <f>IF('Fun Patches'!F28="A","E","")</f>
        <v/>
      </c>
      <c r="G77" s="165"/>
      <c r="H77" s="164" t="str">
        <f>IF('Fun Patches'!G28="A","E","")</f>
        <v/>
      </c>
      <c r="I77" s="165"/>
      <c r="J77" s="164" t="str">
        <f>IF('Fun Patches'!H28="A","E","")</f>
        <v/>
      </c>
      <c r="K77" s="165"/>
      <c r="L77" s="164" t="str">
        <f>IF('Fun Patches'!I28="A","E","")</f>
        <v/>
      </c>
      <c r="M77" s="165"/>
      <c r="N77" s="164" t="str">
        <f>IF('Fun Patches'!J28="A","E","")</f>
        <v/>
      </c>
      <c r="O77" s="165"/>
      <c r="P77" s="164" t="str">
        <f>IF('Fun Patches'!K28="A","E","")</f>
        <v/>
      </c>
      <c r="Q77" s="165"/>
      <c r="R77" s="164" t="str">
        <f>IF('Fun Patches'!L28="A","E","")</f>
        <v/>
      </c>
      <c r="S77" s="165"/>
      <c r="T77" s="164" t="str">
        <f>IF('Fun Patches'!M28="A","E","")</f>
        <v/>
      </c>
      <c r="U77" s="165"/>
      <c r="V77" s="164" t="str">
        <f>IF('Fun Patches'!N28="A","E","")</f>
        <v/>
      </c>
      <c r="W77" s="165"/>
      <c r="X77" s="164" t="str">
        <f>IF('Fun Patches'!O28="A","E","")</f>
        <v/>
      </c>
      <c r="Y77" s="165"/>
      <c r="Z77" s="164" t="str">
        <f>IF('Fun Patches'!P28="A","E","")</f>
        <v/>
      </c>
      <c r="AA77" s="165"/>
      <c r="AB77" s="164" t="str">
        <f>IF('Fun Patches'!Q28="A","E","")</f>
        <v/>
      </c>
      <c r="AC77" s="165"/>
      <c r="AD77" s="164" t="str">
        <f>IF('Fun Patches'!K28="A","E","")</f>
        <v/>
      </c>
      <c r="AE77" s="166"/>
    </row>
    <row r="78" spans="1:31">
      <c r="A78" s="184" t="str">
        <f>'Fun Patches'!C29</f>
        <v>&lt;List Patch Here&gt;</v>
      </c>
      <c r="B78" s="164" t="str">
        <f>IF('Fun Patches'!D29="A","E","")</f>
        <v/>
      </c>
      <c r="C78" s="165"/>
      <c r="D78" s="164" t="str">
        <f>IF('Fun Patches'!E29="A","E","")</f>
        <v/>
      </c>
      <c r="E78" s="165"/>
      <c r="F78" s="164" t="str">
        <f>IF('Fun Patches'!F29="A","E","")</f>
        <v/>
      </c>
      <c r="G78" s="165"/>
      <c r="H78" s="164" t="str">
        <f>IF('Fun Patches'!G29="A","E","")</f>
        <v/>
      </c>
      <c r="I78" s="165"/>
      <c r="J78" s="164" t="str">
        <f>IF('Fun Patches'!H29="A","E","")</f>
        <v/>
      </c>
      <c r="K78" s="165"/>
      <c r="L78" s="164" t="str">
        <f>IF('Fun Patches'!I29="A","E","")</f>
        <v/>
      </c>
      <c r="M78" s="165"/>
      <c r="N78" s="164" t="str">
        <f>IF('Fun Patches'!J29="A","E","")</f>
        <v/>
      </c>
      <c r="O78" s="165"/>
      <c r="P78" s="164" t="str">
        <f>IF('Fun Patches'!K29="A","E","")</f>
        <v/>
      </c>
      <c r="Q78" s="165"/>
      <c r="R78" s="164" t="str">
        <f>IF('Fun Patches'!L29="A","E","")</f>
        <v/>
      </c>
      <c r="S78" s="165"/>
      <c r="T78" s="164" t="str">
        <f>IF('Fun Patches'!M29="A","E","")</f>
        <v/>
      </c>
      <c r="U78" s="165"/>
      <c r="V78" s="164" t="str">
        <f>IF('Fun Patches'!N29="A","E","")</f>
        <v/>
      </c>
      <c r="W78" s="165"/>
      <c r="X78" s="164" t="str">
        <f>IF('Fun Patches'!O29="A","E","")</f>
        <v/>
      </c>
      <c r="Y78" s="165"/>
      <c r="Z78" s="164" t="str">
        <f>IF('Fun Patches'!P29="A","E","")</f>
        <v/>
      </c>
      <c r="AA78" s="165"/>
      <c r="AB78" s="164" t="str">
        <f>IF('Fun Patches'!Q29="A","E","")</f>
        <v/>
      </c>
      <c r="AC78" s="165"/>
      <c r="AD78" s="164" t="str">
        <f>IF('Fun Patches'!K29="A","E","")</f>
        <v/>
      </c>
      <c r="AE78" s="166"/>
    </row>
    <row r="79" spans="1:31">
      <c r="A79" s="184" t="str">
        <f>'Fun Patches'!C30</f>
        <v>&lt;List Patch Here&gt;</v>
      </c>
      <c r="B79" s="164" t="str">
        <f>IF('Fun Patches'!D30="A","E","")</f>
        <v/>
      </c>
      <c r="C79" s="165"/>
      <c r="D79" s="164" t="str">
        <f>IF('Fun Patches'!E30="A","E","")</f>
        <v/>
      </c>
      <c r="E79" s="165"/>
      <c r="F79" s="164" t="str">
        <f>IF('Fun Patches'!F30="A","E","")</f>
        <v/>
      </c>
      <c r="G79" s="165"/>
      <c r="H79" s="164" t="str">
        <f>IF('Fun Patches'!G30="A","E","")</f>
        <v/>
      </c>
      <c r="I79" s="165"/>
      <c r="J79" s="164" t="str">
        <f>IF('Fun Patches'!H30="A","E","")</f>
        <v/>
      </c>
      <c r="K79" s="165"/>
      <c r="L79" s="164" t="str">
        <f>IF('Fun Patches'!I30="A","E","")</f>
        <v/>
      </c>
      <c r="M79" s="165"/>
      <c r="N79" s="164" t="str">
        <f>IF('Fun Patches'!J30="A","E","")</f>
        <v/>
      </c>
      <c r="O79" s="165"/>
      <c r="P79" s="164" t="str">
        <f>IF('Fun Patches'!K30="A","E","")</f>
        <v/>
      </c>
      <c r="Q79" s="165"/>
      <c r="R79" s="164" t="str">
        <f>IF('Fun Patches'!L30="A","E","")</f>
        <v/>
      </c>
      <c r="S79" s="165"/>
      <c r="T79" s="164" t="str">
        <f>IF('Fun Patches'!M30="A","E","")</f>
        <v/>
      </c>
      <c r="U79" s="165"/>
      <c r="V79" s="164" t="str">
        <f>IF('Fun Patches'!N30="A","E","")</f>
        <v/>
      </c>
      <c r="W79" s="165"/>
      <c r="X79" s="164" t="str">
        <f>IF('Fun Patches'!O30="A","E","")</f>
        <v/>
      </c>
      <c r="Y79" s="165"/>
      <c r="Z79" s="164" t="str">
        <f>IF('Fun Patches'!P30="A","E","")</f>
        <v/>
      </c>
      <c r="AA79" s="165"/>
      <c r="AB79" s="164" t="str">
        <f>IF('Fun Patches'!Q30="A","E","")</f>
        <v/>
      </c>
      <c r="AC79" s="165"/>
      <c r="AD79" s="164" t="str">
        <f>IF('Fun Patches'!K30="A","E","")</f>
        <v/>
      </c>
      <c r="AE79" s="166"/>
    </row>
    <row r="80" spans="1:31">
      <c r="A80" s="184" t="str">
        <f>'Fun Patches'!C31</f>
        <v>&lt;List Patch Here&gt;</v>
      </c>
      <c r="B80" s="164" t="str">
        <f>IF('Fun Patches'!D31="A","E","")</f>
        <v/>
      </c>
      <c r="C80" s="165"/>
      <c r="D80" s="164" t="str">
        <f>IF('Fun Patches'!E31="A","E","")</f>
        <v/>
      </c>
      <c r="E80" s="165"/>
      <c r="F80" s="164" t="str">
        <f>IF('Fun Patches'!F31="A","E","")</f>
        <v/>
      </c>
      <c r="G80" s="165"/>
      <c r="H80" s="164" t="str">
        <f>IF('Fun Patches'!G31="A","E","")</f>
        <v/>
      </c>
      <c r="I80" s="165"/>
      <c r="J80" s="164" t="str">
        <f>IF('Fun Patches'!H31="A","E","")</f>
        <v/>
      </c>
      <c r="K80" s="165"/>
      <c r="L80" s="164" t="str">
        <f>IF('Fun Patches'!I31="A","E","")</f>
        <v/>
      </c>
      <c r="M80" s="165"/>
      <c r="N80" s="164" t="str">
        <f>IF('Fun Patches'!J31="A","E","")</f>
        <v/>
      </c>
      <c r="O80" s="165"/>
      <c r="P80" s="164" t="str">
        <f>IF('Fun Patches'!K31="A","E","")</f>
        <v/>
      </c>
      <c r="Q80" s="165"/>
      <c r="R80" s="164" t="str">
        <f>IF('Fun Patches'!L31="A","E","")</f>
        <v/>
      </c>
      <c r="S80" s="165"/>
      <c r="T80" s="164" t="str">
        <f>IF('Fun Patches'!M31="A","E","")</f>
        <v/>
      </c>
      <c r="U80" s="165"/>
      <c r="V80" s="164" t="str">
        <f>IF('Fun Patches'!N31="A","E","")</f>
        <v/>
      </c>
      <c r="W80" s="165"/>
      <c r="X80" s="164" t="str">
        <f>IF('Fun Patches'!O31="A","E","")</f>
        <v/>
      </c>
      <c r="Y80" s="165"/>
      <c r="Z80" s="164" t="str">
        <f>IF('Fun Patches'!P31="A","E","")</f>
        <v/>
      </c>
      <c r="AA80" s="165"/>
      <c r="AB80" s="164" t="str">
        <f>IF('Fun Patches'!Q31="A","E","")</f>
        <v/>
      </c>
      <c r="AC80" s="165"/>
      <c r="AD80" s="164" t="str">
        <f>IF('Fun Patches'!K31="A","E","")</f>
        <v/>
      </c>
      <c r="AE80" s="166"/>
    </row>
    <row r="81" spans="1:31">
      <c r="A81" s="184" t="str">
        <f>'Fun Patches'!C32</f>
        <v>&lt;List Patch Here&gt;</v>
      </c>
      <c r="B81" s="164" t="str">
        <f>IF('Fun Patches'!D32="A","E","")</f>
        <v/>
      </c>
      <c r="C81" s="165"/>
      <c r="D81" s="164" t="str">
        <f>IF('Fun Patches'!E32="A","E","")</f>
        <v/>
      </c>
      <c r="E81" s="165"/>
      <c r="F81" s="164" t="str">
        <f>IF('Fun Patches'!F32="A","E","")</f>
        <v/>
      </c>
      <c r="G81" s="165"/>
      <c r="H81" s="164" t="str">
        <f>IF('Fun Patches'!G32="A","E","")</f>
        <v/>
      </c>
      <c r="I81" s="165"/>
      <c r="J81" s="164" t="str">
        <f>IF('Fun Patches'!H32="A","E","")</f>
        <v/>
      </c>
      <c r="K81" s="165"/>
      <c r="L81" s="164" t="str">
        <f>IF('Fun Patches'!I32="A","E","")</f>
        <v/>
      </c>
      <c r="M81" s="165"/>
      <c r="N81" s="164" t="str">
        <f>IF('Fun Patches'!J32="A","E","")</f>
        <v/>
      </c>
      <c r="O81" s="165"/>
      <c r="P81" s="164" t="str">
        <f>IF('Fun Patches'!K32="A","E","")</f>
        <v/>
      </c>
      <c r="Q81" s="165"/>
      <c r="R81" s="164" t="str">
        <f>IF('Fun Patches'!L32="A","E","")</f>
        <v/>
      </c>
      <c r="S81" s="165"/>
      <c r="T81" s="164" t="str">
        <f>IF('Fun Patches'!M32="A","E","")</f>
        <v/>
      </c>
      <c r="U81" s="165"/>
      <c r="V81" s="164" t="str">
        <f>IF('Fun Patches'!N32="A","E","")</f>
        <v/>
      </c>
      <c r="W81" s="165"/>
      <c r="X81" s="164" t="str">
        <f>IF('Fun Patches'!O32="A","E","")</f>
        <v/>
      </c>
      <c r="Y81" s="165"/>
      <c r="Z81" s="164" t="str">
        <f>IF('Fun Patches'!P32="A","E","")</f>
        <v/>
      </c>
      <c r="AA81" s="165"/>
      <c r="AB81" s="164" t="str">
        <f>IF('Fun Patches'!Q32="A","E","")</f>
        <v/>
      </c>
      <c r="AC81" s="165"/>
      <c r="AD81" s="164" t="str">
        <f>IF('Fun Patches'!K32="A","E","")</f>
        <v/>
      </c>
      <c r="AE81" s="166"/>
    </row>
    <row r="82" spans="1:31">
      <c r="A82" s="184" t="str">
        <f>'Fun Patches'!C33</f>
        <v>&lt;List Patch Here&gt;</v>
      </c>
      <c r="B82" s="164" t="str">
        <f>IF('Fun Patches'!D33="A","E","")</f>
        <v/>
      </c>
      <c r="C82" s="165"/>
      <c r="D82" s="164" t="str">
        <f>IF('Fun Patches'!E33="A","E","")</f>
        <v/>
      </c>
      <c r="E82" s="165"/>
      <c r="F82" s="164" t="str">
        <f>IF('Fun Patches'!F33="A","E","")</f>
        <v/>
      </c>
      <c r="G82" s="165"/>
      <c r="H82" s="164" t="str">
        <f>IF('Fun Patches'!G33="A","E","")</f>
        <v/>
      </c>
      <c r="I82" s="165"/>
      <c r="J82" s="164" t="str">
        <f>IF('Fun Patches'!H33="A","E","")</f>
        <v/>
      </c>
      <c r="K82" s="165"/>
      <c r="L82" s="164" t="str">
        <f>IF('Fun Patches'!I33="A","E","")</f>
        <v/>
      </c>
      <c r="M82" s="165"/>
      <c r="N82" s="164" t="str">
        <f>IF('Fun Patches'!J33="A","E","")</f>
        <v/>
      </c>
      <c r="O82" s="165"/>
      <c r="P82" s="164" t="str">
        <f>IF('Fun Patches'!K33="A","E","")</f>
        <v/>
      </c>
      <c r="Q82" s="165"/>
      <c r="R82" s="164" t="str">
        <f>IF('Fun Patches'!L33="A","E","")</f>
        <v/>
      </c>
      <c r="S82" s="165"/>
      <c r="T82" s="164" t="str">
        <f>IF('Fun Patches'!M33="A","E","")</f>
        <v/>
      </c>
      <c r="U82" s="165"/>
      <c r="V82" s="164" t="str">
        <f>IF('Fun Patches'!N33="A","E","")</f>
        <v/>
      </c>
      <c r="W82" s="165"/>
      <c r="X82" s="164" t="str">
        <f>IF('Fun Patches'!O33="A","E","")</f>
        <v/>
      </c>
      <c r="Y82" s="165"/>
      <c r="Z82" s="164" t="str">
        <f>IF('Fun Patches'!P33="A","E","")</f>
        <v/>
      </c>
      <c r="AA82" s="165"/>
      <c r="AB82" s="164" t="str">
        <f>IF('Fun Patches'!Q33="A","E","")</f>
        <v/>
      </c>
      <c r="AC82" s="165"/>
      <c r="AD82" s="164" t="str">
        <f>IF('Fun Patches'!K33="A","E","")</f>
        <v/>
      </c>
      <c r="AE82" s="166"/>
    </row>
    <row r="83" spans="1:31">
      <c r="A83" s="184" t="str">
        <f>'Fun Patches'!C34</f>
        <v>&lt;List Patch Here&gt;</v>
      </c>
      <c r="B83" s="164" t="str">
        <f>IF('Fun Patches'!D34="A","E","")</f>
        <v/>
      </c>
      <c r="C83" s="165"/>
      <c r="D83" s="164" t="str">
        <f>IF('Fun Patches'!E34="A","E","")</f>
        <v/>
      </c>
      <c r="E83" s="165"/>
      <c r="F83" s="164" t="str">
        <f>IF('Fun Patches'!F34="A","E","")</f>
        <v/>
      </c>
      <c r="G83" s="165"/>
      <c r="H83" s="164" t="str">
        <f>IF('Fun Patches'!G34="A","E","")</f>
        <v/>
      </c>
      <c r="I83" s="165"/>
      <c r="J83" s="164" t="str">
        <f>IF('Fun Patches'!H34="A","E","")</f>
        <v/>
      </c>
      <c r="K83" s="165"/>
      <c r="L83" s="164" t="str">
        <f>IF('Fun Patches'!I34="A","E","")</f>
        <v/>
      </c>
      <c r="M83" s="165"/>
      <c r="N83" s="164" t="str">
        <f>IF('Fun Patches'!J34="A","E","")</f>
        <v/>
      </c>
      <c r="O83" s="165"/>
      <c r="P83" s="164" t="str">
        <f>IF('Fun Patches'!K34="A","E","")</f>
        <v/>
      </c>
      <c r="Q83" s="165"/>
      <c r="R83" s="164" t="str">
        <f>IF('Fun Patches'!L34="A","E","")</f>
        <v/>
      </c>
      <c r="S83" s="165"/>
      <c r="T83" s="164" t="str">
        <f>IF('Fun Patches'!M34="A","E","")</f>
        <v/>
      </c>
      <c r="U83" s="165"/>
      <c r="V83" s="164" t="str">
        <f>IF('Fun Patches'!N34="A","E","")</f>
        <v/>
      </c>
      <c r="W83" s="165"/>
      <c r="X83" s="164" t="str">
        <f>IF('Fun Patches'!O34="A","E","")</f>
        <v/>
      </c>
      <c r="Y83" s="165"/>
      <c r="Z83" s="164" t="str">
        <f>IF('Fun Patches'!P34="A","E","")</f>
        <v/>
      </c>
      <c r="AA83" s="165"/>
      <c r="AB83" s="164" t="str">
        <f>IF('Fun Patches'!Q34="A","E","")</f>
        <v/>
      </c>
      <c r="AC83" s="165"/>
      <c r="AD83" s="164" t="str">
        <f>IF('Fun Patches'!K34="A","E","")</f>
        <v/>
      </c>
      <c r="AE83" s="166"/>
    </row>
    <row r="84" spans="1:31">
      <c r="A84" s="184" t="str">
        <f>'Fun Patches'!C35</f>
        <v>&lt;List Patch Here&gt;</v>
      </c>
      <c r="B84" s="164" t="str">
        <f>IF('Fun Patches'!D35="A","E","")</f>
        <v/>
      </c>
      <c r="C84" s="165"/>
      <c r="D84" s="164" t="str">
        <f>IF('Fun Patches'!E35="A","E","")</f>
        <v/>
      </c>
      <c r="E84" s="165"/>
      <c r="F84" s="164" t="str">
        <f>IF('Fun Patches'!F35="A","E","")</f>
        <v/>
      </c>
      <c r="G84" s="165"/>
      <c r="H84" s="164" t="str">
        <f>IF('Fun Patches'!G35="A","E","")</f>
        <v/>
      </c>
      <c r="I84" s="165"/>
      <c r="J84" s="164" t="str">
        <f>IF('Fun Patches'!H35="A","E","")</f>
        <v/>
      </c>
      <c r="K84" s="165"/>
      <c r="L84" s="164" t="str">
        <f>IF('Fun Patches'!I35="A","E","")</f>
        <v/>
      </c>
      <c r="M84" s="165"/>
      <c r="N84" s="164" t="str">
        <f>IF('Fun Patches'!J35="A","E","")</f>
        <v/>
      </c>
      <c r="O84" s="165"/>
      <c r="P84" s="164" t="str">
        <f>IF('Fun Patches'!K35="A","E","")</f>
        <v/>
      </c>
      <c r="Q84" s="165"/>
      <c r="R84" s="164" t="str">
        <f>IF('Fun Patches'!L35="A","E","")</f>
        <v/>
      </c>
      <c r="S84" s="165"/>
      <c r="T84" s="164" t="str">
        <f>IF('Fun Patches'!M35="A","E","")</f>
        <v/>
      </c>
      <c r="U84" s="165"/>
      <c r="V84" s="164" t="str">
        <f>IF('Fun Patches'!N35="A","E","")</f>
        <v/>
      </c>
      <c r="W84" s="165"/>
      <c r="X84" s="164" t="str">
        <f>IF('Fun Patches'!O35="A","E","")</f>
        <v/>
      </c>
      <c r="Y84" s="165"/>
      <c r="Z84" s="164" t="str">
        <f>IF('Fun Patches'!P35="A","E","")</f>
        <v/>
      </c>
      <c r="AA84" s="165"/>
      <c r="AB84" s="164" t="str">
        <f>IF('Fun Patches'!Q35="A","E","")</f>
        <v/>
      </c>
      <c r="AC84" s="165"/>
      <c r="AD84" s="164" t="str">
        <f>IF('Fun Patches'!K35="A","E","")</f>
        <v/>
      </c>
      <c r="AE84" s="166"/>
    </row>
    <row r="85" spans="1:31">
      <c r="A85" s="184" t="str">
        <f>'Fun Patches'!C36</f>
        <v>&lt;List Patch Here&gt;</v>
      </c>
      <c r="B85" s="164" t="str">
        <f>IF('Fun Patches'!D36="A","E","")</f>
        <v/>
      </c>
      <c r="C85" s="165"/>
      <c r="D85" s="164" t="str">
        <f>IF('Fun Patches'!E36="A","E","")</f>
        <v/>
      </c>
      <c r="E85" s="165"/>
      <c r="F85" s="164" t="str">
        <f>IF('Fun Patches'!F36="A","E","")</f>
        <v/>
      </c>
      <c r="G85" s="165"/>
      <c r="H85" s="164" t="str">
        <f>IF('Fun Patches'!G36="A","E","")</f>
        <v/>
      </c>
      <c r="I85" s="165"/>
      <c r="J85" s="164" t="str">
        <f>IF('Fun Patches'!H36="A","E","")</f>
        <v/>
      </c>
      <c r="K85" s="165"/>
      <c r="L85" s="164" t="str">
        <f>IF('Fun Patches'!I36="A","E","")</f>
        <v/>
      </c>
      <c r="M85" s="165"/>
      <c r="N85" s="164" t="str">
        <f>IF('Fun Patches'!J36="A","E","")</f>
        <v/>
      </c>
      <c r="O85" s="165"/>
      <c r="P85" s="164" t="str">
        <f>IF('Fun Patches'!K36="A","E","")</f>
        <v/>
      </c>
      <c r="Q85" s="165"/>
      <c r="R85" s="164" t="str">
        <f>IF('Fun Patches'!L36="A","E","")</f>
        <v/>
      </c>
      <c r="S85" s="165"/>
      <c r="T85" s="164" t="str">
        <f>IF('Fun Patches'!M36="A","E","")</f>
        <v/>
      </c>
      <c r="U85" s="165"/>
      <c r="V85" s="164" t="str">
        <f>IF('Fun Patches'!N36="A","E","")</f>
        <v/>
      </c>
      <c r="W85" s="165"/>
      <c r="X85" s="164" t="str">
        <f>IF('Fun Patches'!O36="A","E","")</f>
        <v/>
      </c>
      <c r="Y85" s="165"/>
      <c r="Z85" s="164" t="str">
        <f>IF('Fun Patches'!P36="A","E","")</f>
        <v/>
      </c>
      <c r="AA85" s="165"/>
      <c r="AB85" s="164" t="str">
        <f>IF('Fun Patches'!Q36="A","E","")</f>
        <v/>
      </c>
      <c r="AC85" s="165"/>
      <c r="AD85" s="164" t="str">
        <f>IF('Fun Patches'!K36="A","E","")</f>
        <v/>
      </c>
      <c r="AE85" s="166"/>
    </row>
    <row r="86" spans="1:31">
      <c r="A86" s="184" t="str">
        <f>'Fun Patches'!C37</f>
        <v>&lt;List Patch Here&gt;</v>
      </c>
      <c r="B86" s="164" t="str">
        <f>IF('Fun Patches'!D37="A","E","")</f>
        <v/>
      </c>
      <c r="C86" s="165"/>
      <c r="D86" s="164" t="str">
        <f>IF('Fun Patches'!E37="A","E","")</f>
        <v/>
      </c>
      <c r="E86" s="165"/>
      <c r="F86" s="164" t="str">
        <f>IF('Fun Patches'!F37="A","E","")</f>
        <v/>
      </c>
      <c r="G86" s="165"/>
      <c r="H86" s="164" t="str">
        <f>IF('Fun Patches'!G37="A","E","")</f>
        <v/>
      </c>
      <c r="I86" s="165"/>
      <c r="J86" s="164" t="str">
        <f>IF('Fun Patches'!H37="A","E","")</f>
        <v/>
      </c>
      <c r="K86" s="165"/>
      <c r="L86" s="164" t="str">
        <f>IF('Fun Patches'!I37="A","E","")</f>
        <v/>
      </c>
      <c r="M86" s="165"/>
      <c r="N86" s="164" t="str">
        <f>IF('Fun Patches'!J37="A","E","")</f>
        <v/>
      </c>
      <c r="O86" s="165"/>
      <c r="P86" s="164" t="str">
        <f>IF('Fun Patches'!K37="A","E","")</f>
        <v/>
      </c>
      <c r="Q86" s="165"/>
      <c r="R86" s="164" t="str">
        <f>IF('Fun Patches'!L37="A","E","")</f>
        <v/>
      </c>
      <c r="S86" s="165"/>
      <c r="T86" s="164" t="str">
        <f>IF('Fun Patches'!M37="A","E","")</f>
        <v/>
      </c>
      <c r="U86" s="165"/>
      <c r="V86" s="164" t="str">
        <f>IF('Fun Patches'!N37="A","E","")</f>
        <v/>
      </c>
      <c r="W86" s="165"/>
      <c r="X86" s="164" t="str">
        <f>IF('Fun Patches'!O37="A","E","")</f>
        <v/>
      </c>
      <c r="Y86" s="165"/>
      <c r="Z86" s="164" t="str">
        <f>IF('Fun Patches'!P37="A","E","")</f>
        <v/>
      </c>
      <c r="AA86" s="165"/>
      <c r="AB86" s="164" t="str">
        <f>IF('Fun Patches'!Q37="A","E","")</f>
        <v/>
      </c>
      <c r="AC86" s="165"/>
      <c r="AD86" s="164" t="str">
        <f>IF('Fun Patches'!K37="A","E","")</f>
        <v/>
      </c>
      <c r="AE86" s="166"/>
    </row>
    <row r="87" spans="1:31">
      <c r="A87" s="184" t="str">
        <f>'Fun Patches'!C38</f>
        <v>&lt;List Patch Here&gt;</v>
      </c>
      <c r="B87" s="164" t="str">
        <f>IF('Fun Patches'!D38="A","E","")</f>
        <v/>
      </c>
      <c r="C87" s="165"/>
      <c r="D87" s="164" t="str">
        <f>IF('Fun Patches'!E38="A","E","")</f>
        <v/>
      </c>
      <c r="E87" s="165"/>
      <c r="F87" s="164" t="str">
        <f>IF('Fun Patches'!F38="A","E","")</f>
        <v/>
      </c>
      <c r="G87" s="165"/>
      <c r="H87" s="164" t="str">
        <f>IF('Fun Patches'!G38="A","E","")</f>
        <v/>
      </c>
      <c r="I87" s="165"/>
      <c r="J87" s="164" t="str">
        <f>IF('Fun Patches'!H38="A","E","")</f>
        <v/>
      </c>
      <c r="K87" s="165"/>
      <c r="L87" s="164" t="str">
        <f>IF('Fun Patches'!I38="A","E","")</f>
        <v/>
      </c>
      <c r="M87" s="165"/>
      <c r="N87" s="164" t="str">
        <f>IF('Fun Patches'!J38="A","E","")</f>
        <v/>
      </c>
      <c r="O87" s="165"/>
      <c r="P87" s="164" t="str">
        <f>IF('Fun Patches'!K38="A","E","")</f>
        <v/>
      </c>
      <c r="Q87" s="165"/>
      <c r="R87" s="164" t="str">
        <f>IF('Fun Patches'!L38="A","E","")</f>
        <v/>
      </c>
      <c r="S87" s="165"/>
      <c r="T87" s="164" t="str">
        <f>IF('Fun Patches'!M38="A","E","")</f>
        <v/>
      </c>
      <c r="U87" s="165"/>
      <c r="V87" s="164" t="str">
        <f>IF('Fun Patches'!N38="A","E","")</f>
        <v/>
      </c>
      <c r="W87" s="165"/>
      <c r="X87" s="164" t="str">
        <f>IF('Fun Patches'!O38="A","E","")</f>
        <v/>
      </c>
      <c r="Y87" s="165"/>
      <c r="Z87" s="164" t="str">
        <f>IF('Fun Patches'!P38="A","E","")</f>
        <v/>
      </c>
      <c r="AA87" s="165"/>
      <c r="AB87" s="164" t="str">
        <f>IF('Fun Patches'!Q38="A","E","")</f>
        <v/>
      </c>
      <c r="AC87" s="165"/>
      <c r="AD87" s="164" t="str">
        <f>IF('Fun Patches'!K38="A","E","")</f>
        <v/>
      </c>
      <c r="AE87" s="166"/>
    </row>
    <row r="88" spans="1:31">
      <c r="A88" s="184" t="str">
        <f>'Fun Patches'!C39</f>
        <v>&lt;List Patch Here&gt;</v>
      </c>
      <c r="B88" s="164" t="str">
        <f>IF('Fun Patches'!D39="A","E","")</f>
        <v/>
      </c>
      <c r="C88" s="165"/>
      <c r="D88" s="164" t="str">
        <f>IF('Fun Patches'!E39="A","E","")</f>
        <v/>
      </c>
      <c r="E88" s="165"/>
      <c r="F88" s="164" t="str">
        <f>IF('Fun Patches'!F39="A","E","")</f>
        <v/>
      </c>
      <c r="G88" s="165"/>
      <c r="H88" s="164" t="str">
        <f>IF('Fun Patches'!G39="A","E","")</f>
        <v/>
      </c>
      <c r="I88" s="165"/>
      <c r="J88" s="164" t="str">
        <f>IF('Fun Patches'!H39="A","E","")</f>
        <v/>
      </c>
      <c r="K88" s="165"/>
      <c r="L88" s="164" t="str">
        <f>IF('Fun Patches'!I39="A","E","")</f>
        <v/>
      </c>
      <c r="M88" s="165"/>
      <c r="N88" s="164" t="str">
        <f>IF('Fun Patches'!J39="A","E","")</f>
        <v/>
      </c>
      <c r="O88" s="165"/>
      <c r="P88" s="164" t="str">
        <f>IF('Fun Patches'!K39="A","E","")</f>
        <v/>
      </c>
      <c r="Q88" s="165"/>
      <c r="R88" s="164" t="str">
        <f>IF('Fun Patches'!L39="A","E","")</f>
        <v/>
      </c>
      <c r="S88" s="165"/>
      <c r="T88" s="164" t="str">
        <f>IF('Fun Patches'!M39="A","E","")</f>
        <v/>
      </c>
      <c r="U88" s="165"/>
      <c r="V88" s="164" t="str">
        <f>IF('Fun Patches'!N39="A","E","")</f>
        <v/>
      </c>
      <c r="W88" s="165"/>
      <c r="X88" s="164" t="str">
        <f>IF('Fun Patches'!O39="A","E","")</f>
        <v/>
      </c>
      <c r="Y88" s="165"/>
      <c r="Z88" s="164" t="str">
        <f>IF('Fun Patches'!P39="A","E","")</f>
        <v/>
      </c>
      <c r="AA88" s="165"/>
      <c r="AB88" s="164" t="str">
        <f>IF('Fun Patches'!Q39="A","E","")</f>
        <v/>
      </c>
      <c r="AC88" s="165"/>
      <c r="AD88" s="164" t="str">
        <f>IF('Fun Patches'!K39="A","E","")</f>
        <v/>
      </c>
      <c r="AE88" s="166"/>
    </row>
    <row r="89" spans="1:31">
      <c r="A89" s="184" t="str">
        <f>'Fun Patches'!C40</f>
        <v>&lt;List Patch Here&gt;</v>
      </c>
      <c r="B89" s="164" t="str">
        <f>IF('Fun Patches'!D40="A","E","")</f>
        <v/>
      </c>
      <c r="C89" s="165"/>
      <c r="D89" s="164" t="str">
        <f>IF('Fun Patches'!E40="A","E","")</f>
        <v/>
      </c>
      <c r="E89" s="165"/>
      <c r="F89" s="164" t="str">
        <f>IF('Fun Patches'!F40="A","E","")</f>
        <v/>
      </c>
      <c r="G89" s="165"/>
      <c r="H89" s="164" t="str">
        <f>IF('Fun Patches'!G40="A","E","")</f>
        <v/>
      </c>
      <c r="I89" s="165"/>
      <c r="J89" s="164" t="str">
        <f>IF('Fun Patches'!H40="A","E","")</f>
        <v/>
      </c>
      <c r="K89" s="165"/>
      <c r="L89" s="164" t="str">
        <f>IF('Fun Patches'!I40="A","E","")</f>
        <v/>
      </c>
      <c r="M89" s="165"/>
      <c r="N89" s="164" t="str">
        <f>IF('Fun Patches'!J40="A","E","")</f>
        <v/>
      </c>
      <c r="O89" s="165"/>
      <c r="P89" s="164" t="str">
        <f>IF('Fun Patches'!K40="A","E","")</f>
        <v/>
      </c>
      <c r="Q89" s="165"/>
      <c r="R89" s="164" t="str">
        <f>IF('Fun Patches'!L40="A","E","")</f>
        <v/>
      </c>
      <c r="S89" s="165"/>
      <c r="T89" s="164" t="str">
        <f>IF('Fun Patches'!M40="A","E","")</f>
        <v/>
      </c>
      <c r="U89" s="165"/>
      <c r="V89" s="164" t="str">
        <f>IF('Fun Patches'!N40="A","E","")</f>
        <v/>
      </c>
      <c r="W89" s="165"/>
      <c r="X89" s="164" t="str">
        <f>IF('Fun Patches'!O40="A","E","")</f>
        <v/>
      </c>
      <c r="Y89" s="165"/>
      <c r="Z89" s="164" t="str">
        <f>IF('Fun Patches'!P40="A","E","")</f>
        <v/>
      </c>
      <c r="AA89" s="165"/>
      <c r="AB89" s="164" t="str">
        <f>IF('Fun Patches'!Q40="A","E","")</f>
        <v/>
      </c>
      <c r="AC89" s="165"/>
      <c r="AD89" s="164" t="str">
        <f>IF('Fun Patches'!K40="A","E","")</f>
        <v/>
      </c>
      <c r="AE89" s="166"/>
    </row>
    <row r="90" spans="1:31">
      <c r="A90" s="184" t="str">
        <f>'Fun Patches'!C41</f>
        <v>&lt;List Patch Here&gt;</v>
      </c>
      <c r="B90" s="164" t="str">
        <f>IF('Fun Patches'!D41="A","E","")</f>
        <v/>
      </c>
      <c r="C90" s="165"/>
      <c r="D90" s="164" t="str">
        <f>IF('Fun Patches'!E41="A","E","")</f>
        <v/>
      </c>
      <c r="E90" s="165"/>
      <c r="F90" s="164" t="str">
        <f>IF('Fun Patches'!F41="A","E","")</f>
        <v/>
      </c>
      <c r="G90" s="165"/>
      <c r="H90" s="164" t="str">
        <f>IF('Fun Patches'!G41="A","E","")</f>
        <v/>
      </c>
      <c r="I90" s="165"/>
      <c r="J90" s="164" t="str">
        <f>IF('Fun Patches'!H41="A","E","")</f>
        <v/>
      </c>
      <c r="K90" s="165"/>
      <c r="L90" s="164" t="str">
        <f>IF('Fun Patches'!I41="A","E","")</f>
        <v/>
      </c>
      <c r="M90" s="165"/>
      <c r="N90" s="164" t="str">
        <f>IF('Fun Patches'!J41="A","E","")</f>
        <v/>
      </c>
      <c r="O90" s="165"/>
      <c r="P90" s="164" t="str">
        <f>IF('Fun Patches'!K41="A","E","")</f>
        <v/>
      </c>
      <c r="Q90" s="165"/>
      <c r="R90" s="164" t="str">
        <f>IF('Fun Patches'!L41="A","E","")</f>
        <v/>
      </c>
      <c r="S90" s="165"/>
      <c r="T90" s="164" t="str">
        <f>IF('Fun Patches'!M41="A","E","")</f>
        <v/>
      </c>
      <c r="U90" s="165"/>
      <c r="V90" s="164" t="str">
        <f>IF('Fun Patches'!N41="A","E","")</f>
        <v/>
      </c>
      <c r="W90" s="165"/>
      <c r="X90" s="164" t="str">
        <f>IF('Fun Patches'!O41="A","E","")</f>
        <v/>
      </c>
      <c r="Y90" s="165"/>
      <c r="Z90" s="164" t="str">
        <f>IF('Fun Patches'!P41="A","E","")</f>
        <v/>
      </c>
      <c r="AA90" s="165"/>
      <c r="AB90" s="164" t="str">
        <f>IF('Fun Patches'!Q41="A","E","")</f>
        <v/>
      </c>
      <c r="AC90" s="165"/>
      <c r="AD90" s="164" t="str">
        <f>IF('Fun Patches'!K41="A","E","")</f>
        <v/>
      </c>
      <c r="AE90" s="166"/>
    </row>
    <row r="91" spans="1:31">
      <c r="A91" s="184" t="str">
        <f>'Fun Patches'!C42</f>
        <v>&lt;List Patch Here&gt;</v>
      </c>
      <c r="B91" s="164" t="str">
        <f>IF('Fun Patches'!D42="A","E","")</f>
        <v/>
      </c>
      <c r="C91" s="165"/>
      <c r="D91" s="164" t="str">
        <f>IF('Fun Patches'!E42="A","E","")</f>
        <v/>
      </c>
      <c r="E91" s="165"/>
      <c r="F91" s="164" t="str">
        <f>IF('Fun Patches'!F42="A","E","")</f>
        <v/>
      </c>
      <c r="G91" s="165"/>
      <c r="H91" s="164" t="str">
        <f>IF('Fun Patches'!G42="A","E","")</f>
        <v/>
      </c>
      <c r="I91" s="165"/>
      <c r="J91" s="164" t="str">
        <f>IF('Fun Patches'!H42="A","E","")</f>
        <v/>
      </c>
      <c r="K91" s="165"/>
      <c r="L91" s="164" t="str">
        <f>IF('Fun Patches'!I42="A","E","")</f>
        <v/>
      </c>
      <c r="M91" s="165"/>
      <c r="N91" s="164" t="str">
        <f>IF('Fun Patches'!J42="A","E","")</f>
        <v/>
      </c>
      <c r="O91" s="165"/>
      <c r="P91" s="164" t="str">
        <f>IF('Fun Patches'!K42="A","E","")</f>
        <v/>
      </c>
      <c r="Q91" s="165"/>
      <c r="R91" s="164" t="str">
        <f>IF('Fun Patches'!L42="A","E","")</f>
        <v/>
      </c>
      <c r="S91" s="165"/>
      <c r="T91" s="164" t="str">
        <f>IF('Fun Patches'!M42="A","E","")</f>
        <v/>
      </c>
      <c r="U91" s="165"/>
      <c r="V91" s="164" t="str">
        <f>IF('Fun Patches'!N42="A","E","")</f>
        <v/>
      </c>
      <c r="W91" s="165"/>
      <c r="X91" s="164" t="str">
        <f>IF('Fun Patches'!O42="A","E","")</f>
        <v/>
      </c>
      <c r="Y91" s="165"/>
      <c r="Z91" s="164" t="str">
        <f>IF('Fun Patches'!P42="A","E","")</f>
        <v/>
      </c>
      <c r="AA91" s="165"/>
      <c r="AB91" s="164" t="str">
        <f>IF('Fun Patches'!Q42="A","E","")</f>
        <v/>
      </c>
      <c r="AC91" s="165"/>
      <c r="AD91" s="164" t="str">
        <f>IF('Fun Patches'!K42="A","E","")</f>
        <v/>
      </c>
      <c r="AE91" s="166"/>
    </row>
    <row r="92" spans="1:31">
      <c r="A92" s="184" t="str">
        <f>'Fun Patches'!C43</f>
        <v>&lt;List Patch Here&gt;</v>
      </c>
      <c r="B92" s="164" t="str">
        <f>IF('Fun Patches'!D43="A","E","")</f>
        <v/>
      </c>
      <c r="C92" s="165"/>
      <c r="D92" s="164" t="str">
        <f>IF('Fun Patches'!E43="A","E","")</f>
        <v/>
      </c>
      <c r="E92" s="165"/>
      <c r="F92" s="164" t="str">
        <f>IF('Fun Patches'!F43="A","E","")</f>
        <v/>
      </c>
      <c r="G92" s="165"/>
      <c r="H92" s="164" t="str">
        <f>IF('Fun Patches'!G43="A","E","")</f>
        <v/>
      </c>
      <c r="I92" s="165"/>
      <c r="J92" s="164" t="str">
        <f>IF('Fun Patches'!H43="A","E","")</f>
        <v/>
      </c>
      <c r="K92" s="165"/>
      <c r="L92" s="164" t="str">
        <f>IF('Fun Patches'!I43="A","E","")</f>
        <v/>
      </c>
      <c r="M92" s="165"/>
      <c r="N92" s="164" t="str">
        <f>IF('Fun Patches'!J43="A","E","")</f>
        <v/>
      </c>
      <c r="O92" s="165"/>
      <c r="P92" s="164" t="str">
        <f>IF('Fun Patches'!K43="A","E","")</f>
        <v/>
      </c>
      <c r="Q92" s="165"/>
      <c r="R92" s="164" t="str">
        <f>IF('Fun Patches'!L43="A","E","")</f>
        <v/>
      </c>
      <c r="S92" s="165"/>
      <c r="T92" s="164" t="str">
        <f>IF('Fun Patches'!M43="A","E","")</f>
        <v/>
      </c>
      <c r="U92" s="165"/>
      <c r="V92" s="164" t="str">
        <f>IF('Fun Patches'!N43="A","E","")</f>
        <v/>
      </c>
      <c r="W92" s="165"/>
      <c r="X92" s="164" t="str">
        <f>IF('Fun Patches'!O43="A","E","")</f>
        <v/>
      </c>
      <c r="Y92" s="165"/>
      <c r="Z92" s="164" t="str">
        <f>IF('Fun Patches'!P43="A","E","")</f>
        <v/>
      </c>
      <c r="AA92" s="165"/>
      <c r="AB92" s="164" t="str">
        <f>IF('Fun Patches'!Q43="A","E","")</f>
        <v/>
      </c>
      <c r="AC92" s="165"/>
      <c r="AD92" s="164" t="str">
        <f>IF('Fun Patches'!K43="A","E","")</f>
        <v/>
      </c>
      <c r="AE92" s="166"/>
    </row>
    <row r="93" spans="1:31" ht="13.5" thickBot="1">
      <c r="A93" s="186" t="str">
        <f>'Fun Patches'!C44</f>
        <v>&lt;List Patch Here&gt;</v>
      </c>
      <c r="B93" s="187" t="str">
        <f>IF('Fun Patches'!D44="A","E","")</f>
        <v/>
      </c>
      <c r="C93" s="188"/>
      <c r="D93" s="187" t="str">
        <f>IF('Fun Patches'!E44="A","E","")</f>
        <v/>
      </c>
      <c r="E93" s="188"/>
      <c r="F93" s="187" t="str">
        <f>IF('Fun Patches'!F44="A","E","")</f>
        <v/>
      </c>
      <c r="G93" s="188"/>
      <c r="H93" s="187" t="str">
        <f>IF('Fun Patches'!G44="A","E","")</f>
        <v/>
      </c>
      <c r="I93" s="188"/>
      <c r="J93" s="187" t="str">
        <f>IF('Fun Patches'!H44="A","E","")</f>
        <v/>
      </c>
      <c r="K93" s="188"/>
      <c r="L93" s="187" t="str">
        <f>IF('Fun Patches'!I44="A","E","")</f>
        <v/>
      </c>
      <c r="M93" s="188"/>
      <c r="N93" s="187" t="str">
        <f>IF('Fun Patches'!J44="A","E","")</f>
        <v/>
      </c>
      <c r="O93" s="188"/>
      <c r="P93" s="187" t="str">
        <f>IF('Fun Patches'!K44="A","E","")</f>
        <v/>
      </c>
      <c r="Q93" s="188"/>
      <c r="R93" s="187" t="str">
        <f>IF('Fun Patches'!L44="A","E","")</f>
        <v/>
      </c>
      <c r="S93" s="188"/>
      <c r="T93" s="187" t="str">
        <f>IF('Fun Patches'!M44="A","E","")</f>
        <v/>
      </c>
      <c r="U93" s="188"/>
      <c r="V93" s="187" t="str">
        <f>IF('Fun Patches'!N44="A","E","")</f>
        <v/>
      </c>
      <c r="W93" s="188"/>
      <c r="X93" s="187" t="str">
        <f>IF('Fun Patches'!O44="A","E","")</f>
        <v/>
      </c>
      <c r="Y93" s="188"/>
      <c r="Z93" s="187" t="str">
        <f>IF('Fun Patches'!P44="A","E","")</f>
        <v/>
      </c>
      <c r="AA93" s="188"/>
      <c r="AB93" s="187" t="str">
        <f>IF('Fun Patches'!Q44="A","E","")</f>
        <v/>
      </c>
      <c r="AC93" s="188"/>
      <c r="AD93" s="187" t="str">
        <f>IF('Fun Patches'!K44="A","E","")</f>
        <v/>
      </c>
      <c r="AE93" s="189"/>
    </row>
    <row r="94" spans="1:31" ht="13.5" thickTop="1"/>
  </sheetData>
  <sheetProtection password="C45A" sheet="1" objects="1" scenarios="1" selectLockedCells="1"/>
  <mergeCells count="15">
    <mergeCell ref="AD1:AE1"/>
    <mergeCell ref="B1:C1"/>
    <mergeCell ref="D1:E1"/>
    <mergeCell ref="F1:G1"/>
    <mergeCell ref="H1:I1"/>
    <mergeCell ref="J1:K1"/>
    <mergeCell ref="P1:Q1"/>
    <mergeCell ref="Z1:AA1"/>
    <mergeCell ref="AB1:AC1"/>
    <mergeCell ref="L1:M1"/>
    <mergeCell ref="R1:S1"/>
    <mergeCell ref="T1:U1"/>
    <mergeCell ref="V1:W1"/>
    <mergeCell ref="X1:Y1"/>
    <mergeCell ref="N1:O1"/>
  </mergeCells>
  <phoneticPr fontId="7" type="noConversion"/>
  <conditionalFormatting sqref="V3 P3 J3 X3 R3 L3 Z3 T3 N3 H3 D3 F3 AB3 B3">
    <cfRule type="expression" dxfId="6" priority="11" stopIfTrue="1">
      <formula>IF(B3="C",IF(C3="",1,0),0)</formula>
    </cfRule>
  </conditionalFormatting>
  <conditionalFormatting sqref="B4:B15 D4:D15 F4:F15 H4:H15 J4:J15 L4:L15 N4:N15 P4:P15 R4:R15 T4:T15 V4:V15 X4:X15 Z4:Z15 AD53:AD93 B53:B93 D53:D93 F53:F93 H53:H93 J53:J93 L53:L93 N53:N93 P53:P93 R53:R93 T53:T93 V53:V93 X53:X93 Z53:Z93 AB53:AB93 AB4:AB15 B21:B47 D21:D47 F21:F47 H21:H47 J21:J47 L21:L47 N21:N47 P21:P47 R21:R47 T21:T47 V21:V47 X21:X47 Z21:Z47 AB21:AB47 AD21:AD47">
    <cfRule type="expression" dxfId="5" priority="12" stopIfTrue="1">
      <formula>IF(B4="E",IF(C4="",1,0),0)</formula>
    </cfRule>
  </conditionalFormatting>
  <conditionalFormatting sqref="AD3">
    <cfRule type="expression" dxfId="4" priority="9" stopIfTrue="1">
      <formula>IF(AD3="C",IF(AE3="",1,0),0)</formula>
    </cfRule>
  </conditionalFormatting>
  <conditionalFormatting sqref="AD4:AD15">
    <cfRule type="expression" dxfId="3" priority="10" stopIfTrue="1">
      <formula>IF(AD4="E",IF(AE4="",1,0),0)</formula>
    </cfRule>
  </conditionalFormatting>
  <conditionalFormatting sqref="B16:B20 F16:F20 H16:H20 J16:J20 L16:L20 N16:N20 P16:P20 R16:R20 T16:T20 D16:D20 V16:V20 X16:X20 Z16:Z20 AB16:AB20 AD17:AD20">
    <cfRule type="expression" dxfId="2" priority="8" stopIfTrue="1">
      <formula>IF(B16="E",IF(C16="",1,0),0)</formula>
    </cfRule>
  </conditionalFormatting>
  <conditionalFormatting sqref="AD16">
    <cfRule type="expression" dxfId="1" priority="7" stopIfTrue="1">
      <formula>IF(AD16="E",IF(AE16="Y",1,0),0)</formula>
    </cfRule>
  </conditionalFormatting>
  <conditionalFormatting sqref="B48:B52 D48:D52 F48:F52 H48:H52 J48:J52 L48:L52 N48:N52 P48:P52 R48:R52 T48:T52 V48:V52 X48:X52 Z48:Z52 AB48:AB52 AD48:AD52">
    <cfRule type="expression" dxfId="0" priority="6" stopIfTrue="1">
      <formula>IF(B48="E",IF(C48="",1,0),0)</formula>
    </cfRule>
  </conditionalFormatting>
  <pageMargins left="0.75" right="0.75" top="1" bottom="0.5" header="0.25" footer="0.25"/>
  <pageSetup scale="71" fitToHeight="0" orientation="portrait" horizontalDpi="300" verticalDpi="300" r:id="rId1"/>
  <headerFooter alignWithMargins="0">
    <oddHeader>&amp;C&amp;"Arial,Bold"&amp;14DaisyTrax
&amp;12Summary Page - &amp;D</oddHeader>
  </headerFooter>
  <rowBreaks count="1" manualBreakCount="1">
    <brk id="52"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20"/>
  </sheetPr>
  <dimension ref="A1:G37"/>
  <sheetViews>
    <sheetView showGridLines="0" workbookViewId="0">
      <selection activeCell="C3" sqref="C3"/>
    </sheetView>
  </sheetViews>
  <sheetFormatPr defaultRowHeight="12.75"/>
  <cols>
    <col min="1" max="1" width="2.7109375" style="247" customWidth="1"/>
    <col min="2" max="2" width="33.5703125" customWidth="1"/>
    <col min="3" max="3" width="8.42578125" bestFit="1" customWidth="1"/>
    <col min="4" max="4" width="3.7109375" customWidth="1"/>
    <col min="5" max="5" width="30.7109375" customWidth="1"/>
    <col min="6" max="6" width="8" bestFit="1" customWidth="1"/>
    <col min="7" max="7" width="2.7109375" style="247" customWidth="1"/>
  </cols>
  <sheetData>
    <row r="1" spans="1:7" s="55" customFormat="1" ht="15.75" customHeight="1">
      <c r="A1" s="360" t="s">
        <v>101</v>
      </c>
      <c r="B1" s="55" t="s">
        <v>74</v>
      </c>
      <c r="C1" s="69" t="s">
        <v>75</v>
      </c>
      <c r="E1" s="55" t="s">
        <v>74</v>
      </c>
      <c r="F1" s="69" t="s">
        <v>75</v>
      </c>
      <c r="G1" s="360" t="s">
        <v>101</v>
      </c>
    </row>
    <row r="2" spans="1:7">
      <c r="A2" s="300"/>
      <c r="B2" s="65" t="str">
        <f>Summary!A5</f>
        <v>Petals</v>
      </c>
      <c r="C2" s="76" t="str">
        <f>IF((COUNTIF(Summary!B4:AE4,"E")-COUNTIF(Summary!B4:AE4,"Y")&gt;0),(COUNTIF(Summary!B4:AE4,"E")-COUNTIF(Summary!B4:AE4,"Y")),"")</f>
        <v/>
      </c>
      <c r="E2" s="49" t="s">
        <v>102</v>
      </c>
      <c r="F2" s="71"/>
      <c r="G2" s="300"/>
    </row>
    <row r="3" spans="1:7">
      <c r="A3" s="300"/>
      <c r="B3" s="65" t="str">
        <f>Summary!A16</f>
        <v>Leaves</v>
      </c>
      <c r="C3" s="82"/>
      <c r="E3" s="98" t="str">
        <f>Summary!A60</f>
        <v>&lt;List Patch Here&gt;</v>
      </c>
      <c r="F3" s="76" t="str">
        <f>IF((COUNTIF(Summary!B60:AE60,"E")-COUNTIF(Summary!B60:AE60,"Y")&gt;0),(COUNTIF(Summary!B60:AE60,"E")-COUNTIF(Summary!B60:AE60,"Y")),"")</f>
        <v/>
      </c>
      <c r="G3" s="300"/>
    </row>
    <row r="4" spans="1:7">
      <c r="A4" s="300"/>
      <c r="B4" s="204" t="str">
        <f>Summary!A17</f>
        <v>Money Counts</v>
      </c>
      <c r="C4" s="76"/>
      <c r="E4" s="98" t="str">
        <f>Summary!A61</f>
        <v>&lt;List Patch Here&gt;</v>
      </c>
      <c r="F4" s="76" t="str">
        <f>IF((COUNTIF(Summary!B61:AE61,"E")-COUNTIF(Summary!B61:AE61,"Y")&gt;0),(COUNTIF(Summary!B61:AE61,"E")-COUNTIF(Summary!B61:AE61,"Y")),"")</f>
        <v/>
      </c>
      <c r="G4" s="300"/>
    </row>
    <row r="5" spans="1:7">
      <c r="A5" s="300"/>
      <c r="B5" s="204" t="str">
        <f>Summary!A18</f>
        <v>Making Choices</v>
      </c>
      <c r="C5" s="76"/>
      <c r="E5" s="98" t="str">
        <f>Summary!A62</f>
        <v>&lt;List Patch Here&gt;</v>
      </c>
      <c r="F5" s="76" t="str">
        <f>IF((COUNTIF(Summary!B62:AE62,"E")-COUNTIF(Summary!B62:AE62,"Y")&gt;0),(COUNTIF(Summary!B62:AE62,"E")-COUNTIF(Summary!B62:AE62,"Y")),"")</f>
        <v/>
      </c>
      <c r="G5" s="300"/>
    </row>
    <row r="6" spans="1:7">
      <c r="A6" s="300"/>
      <c r="B6" s="204" t="str">
        <f>Summary!A19</f>
        <v>Count It Up</v>
      </c>
      <c r="C6" s="76"/>
      <c r="E6" s="98" t="str">
        <f>Summary!A63</f>
        <v>&lt;List Patch Here&gt;</v>
      </c>
      <c r="F6" s="76" t="str">
        <f>IF((COUNTIF(Summary!B63:AE63,"E")-COUNTIF(Summary!B63:AE63,"Y")&gt;0),(COUNTIF(Summary!B63:AE63,"E")-COUNTIF(Summary!B63:AE63,"Y")),"")</f>
        <v/>
      </c>
      <c r="G6" s="300"/>
    </row>
    <row r="7" spans="1:7">
      <c r="A7" s="300"/>
      <c r="B7" s="204" t="str">
        <f>Summary!A20</f>
        <v>Talk It Up</v>
      </c>
      <c r="C7" s="76"/>
      <c r="E7" s="98" t="str">
        <f>Summary!A64</f>
        <v>&lt;List Patch Here&gt;</v>
      </c>
      <c r="F7" s="76" t="str">
        <f>IF((COUNTIF(Summary!B64:AE64,"E")-COUNTIF(Summary!B64:AE64,"Y")&gt;0),(COUNTIF(Summary!B64:AE64,"E")-COUNTIF(Summary!B64:AE64,"Y")),"")</f>
        <v/>
      </c>
      <c r="G7" s="300"/>
    </row>
    <row r="8" spans="1:7">
      <c r="A8" s="300"/>
      <c r="B8" s="65" t="s">
        <v>62</v>
      </c>
      <c r="C8" s="82"/>
      <c r="E8" s="31" t="str">
        <f>Summary!A65</f>
        <v>&lt;List Patch Here&gt;</v>
      </c>
      <c r="F8" s="76" t="str">
        <f>IF((COUNTIF(Summary!B65:AE65,"E")-COUNTIF(Summary!B65:AE65,"Y")&gt;0),(COUNTIF(Summary!B65:AE65,"E")-COUNTIF(Summary!B65:AE65,"Y")),"")</f>
        <v/>
      </c>
      <c r="G8" s="300"/>
    </row>
    <row r="9" spans="1:7">
      <c r="A9" s="300"/>
      <c r="B9" s="203" t="str">
        <f>Summary!A22</f>
        <v>Welcome to the Daisy Flower Garden</v>
      </c>
      <c r="C9" s="76" t="str">
        <f>IF((COUNTIF(Summary!B23:AE23,"E")-COUNTIF(Summary!B23:AE23,"Y")&gt;0),(COUNTIF(Summary!B23:AE23,"E")-COUNTIF(Summary!B23:AE23,"Y")),"")</f>
        <v/>
      </c>
      <c r="E9" s="31" t="str">
        <f>Summary!A66</f>
        <v>&lt;List Patch Here&gt;</v>
      </c>
      <c r="F9" s="76" t="str">
        <f>IF((COUNTIF(Summary!B66:AE66,"E")-COUNTIF(Summary!B66:AE66,"Y")&gt;0),(COUNTIF(Summary!B66:AE66,"E")-COUNTIF(Summary!B66:AE66,"Y")),"")</f>
        <v/>
      </c>
      <c r="G9" s="300"/>
    </row>
    <row r="10" spans="1:7">
      <c r="A10" s="300"/>
      <c r="B10" s="203" t="str">
        <f>Summary!A26</f>
        <v>Between Earth and Sky</v>
      </c>
      <c r="C10" s="76" t="str">
        <f>IF((COUNTIF(Summary!B27:AE27,"E")-COUNTIF(Summary!B27:AE27,"Y")&gt;0),(COUNTIF(Summary!B27:AE27,"E")-COUNTIF(Summary!B27:AE27,"Y")),"")</f>
        <v/>
      </c>
      <c r="E10" s="31" t="str">
        <f>Summary!A67</f>
        <v>&lt;List Patch Here&gt;</v>
      </c>
      <c r="F10" s="76" t="str">
        <f>IF((COUNTIF(Summary!B67:AE67,"E")-COUNTIF(Summary!B67:AE67,"Y")&gt;0),(COUNTIF(Summary!B67:AE67,"E")-COUNTIF(Summary!B67:AE67,"Y")),"")</f>
        <v/>
      </c>
      <c r="G10" s="300"/>
    </row>
    <row r="11" spans="1:7">
      <c r="A11" s="300"/>
      <c r="B11" s="203" t="str">
        <f>Summary!A30</f>
        <v>5 Flowers, 4 Stories, 3 Cheers for Animals!</v>
      </c>
      <c r="C11" s="76" t="str">
        <f>IF((COUNTIF(Summary!B31:AE31,"E")-COUNTIF(Summary!B31:AE31,"Y")&gt;0),(COUNTIF(Summary!B31:AE31,"E")-COUNTIF(Summary!B31:AE31,"Y")),"")</f>
        <v/>
      </c>
      <c r="E11" s="31" t="str">
        <f>Summary!A68</f>
        <v>&lt;List Patch Here&gt;</v>
      </c>
      <c r="F11" s="76" t="str">
        <f>IF((COUNTIF(Summary!B68:AE68,"E")-COUNTIF(Summary!B68:AE68,"Y")&gt;0),(COUNTIF(Summary!B68:AE68,"E")-COUNTIF(Summary!B68:AE68,"Y")),"")</f>
        <v/>
      </c>
      <c r="G11" s="300"/>
    </row>
    <row r="12" spans="1:7">
      <c r="A12" s="300"/>
      <c r="B12" s="65" t="s">
        <v>61</v>
      </c>
      <c r="C12" s="76" t="str">
        <f>IF((COUNTIF(Summary!B34:AE34,"E")-COUNTIF(Summary!B34:AE34,"Y")&gt;0),(COUNTIF(Summary!B34:AE34,"E")-COUNTIF(Summary!B34:AE34,"Y")),"")</f>
        <v/>
      </c>
      <c r="E12" s="31" t="str">
        <f>Summary!A69</f>
        <v>&lt;List Patch Here&gt;</v>
      </c>
      <c r="F12" s="76" t="str">
        <f>IF((COUNTIF(Summary!B69:AE69,"E")-COUNTIF(Summary!B69:AE69,"Y")&gt;0),(COUNTIF(Summary!B69:AE69,"E")-COUNTIF(Summary!B69:AE69,"Y")),"")</f>
        <v/>
      </c>
      <c r="G12" s="300"/>
    </row>
    <row r="13" spans="1:7">
      <c r="A13" s="300"/>
      <c r="B13" s="65" t="s">
        <v>98</v>
      </c>
      <c r="C13" s="75"/>
      <c r="E13" s="31" t="str">
        <f>Summary!A70</f>
        <v>&lt;List Patch Here&gt;</v>
      </c>
      <c r="F13" s="76" t="str">
        <f>IF((COUNTIF(Summary!B70:AE70,"E")-COUNTIF(Summary!B70:AE70,"Y")&gt;0),(COUNTIF(Summary!B70:AE70,"E")-COUNTIF(Summary!B70:AE70,"Y")),"")</f>
        <v/>
      </c>
      <c r="G13" s="300"/>
    </row>
    <row r="14" spans="1:7">
      <c r="A14" s="300"/>
      <c r="B14" s="204" t="str">
        <f>Summary!A36</f>
        <v>Cookie Rally (Year 1)</v>
      </c>
      <c r="C14" s="76" t="str">
        <f>IF((COUNTIF(Summary!B36:AE36,"E")-COUNTIF(Summary!B36:AE36,"Y")&gt;0),(COUNTIF(Summary!B36:AE36,"E")-COUNTIF(Summary!B36:AE36,"Y")),"")</f>
        <v/>
      </c>
      <c r="E14" s="31" t="str">
        <f>Summary!A71</f>
        <v>&lt;List Patch Here&gt;</v>
      </c>
      <c r="F14" s="76" t="str">
        <f>IF((COUNTIF(Summary!B71:AE71,"E")-COUNTIF(Summary!B71:AE71,"Y")&gt;0),(COUNTIF(Summary!B71:AE71,"E")-COUNTIF(Summary!B71:AE71,"Y")),"")</f>
        <v/>
      </c>
      <c r="G14" s="300"/>
    </row>
    <row r="15" spans="1:7">
      <c r="A15" s="300"/>
      <c r="B15" s="204" t="str">
        <f>Summary!A37</f>
        <v>Cookie Sales (Year 1)</v>
      </c>
      <c r="C15" s="76" t="str">
        <f>IF((COUNTIF(Summary!B37:AE37,"E")-COUNTIF(Summary!B37:AE37,"Y")&gt;0),(COUNTIF(Summary!B37:AE37,"E")-COUNTIF(Summary!B37:AE37,"Y")),"")</f>
        <v/>
      </c>
      <c r="E15" s="31" t="str">
        <f>Summary!A72</f>
        <v>&lt;List Patch Here&gt;</v>
      </c>
      <c r="F15" s="76" t="str">
        <f>IF((COUNTIF(Summary!B72:AE72,"E")-COUNTIF(Summary!B72:AE72,"Y")&gt;0),(COUNTIF(Summary!B72:AE72,"E")-COUNTIF(Summary!B72:AE72,"Y")),"")</f>
        <v/>
      </c>
      <c r="G15" s="300"/>
    </row>
    <row r="16" spans="1:7">
      <c r="A16" s="300"/>
      <c r="B16" s="204" t="str">
        <f>Summary!A38</f>
        <v>Cookie Pin (Year 1)</v>
      </c>
      <c r="C16" s="76" t="str">
        <f>IF((COUNTIF(Summary!B38:AE38,"E")-COUNTIF(Summary!B38:AE38,"Y")&gt;0),(COUNTIF(Summary!B38:AE38,"E")-COUNTIF(Summary!B38:AE38,"Y")),"")</f>
        <v/>
      </c>
      <c r="E16" s="31" t="str">
        <f>Summary!A73</f>
        <v>&lt;List Patch Here&gt;</v>
      </c>
      <c r="F16" s="76" t="str">
        <f>IF((COUNTIF(Summary!B73:AE73,"E")-COUNTIF(Summary!B73:AE73,"Y")&gt;0),(COUNTIF(Summary!B73:AE73,"E")-COUNTIF(Summary!B73:AE73,"Y")),"")</f>
        <v/>
      </c>
      <c r="G16" s="300"/>
    </row>
    <row r="17" spans="1:7">
      <c r="A17" s="300"/>
      <c r="B17" s="204" t="str">
        <f>Summary!A39</f>
        <v>Cookie Rally (Year 2)</v>
      </c>
      <c r="C17" s="76" t="str">
        <f>IF((COUNTIF(Summary!B39:AE39,"E")-COUNTIF(Summary!B39:AE39,"Y")&gt;0),(COUNTIF(Summary!B39:AE39,"E")-COUNTIF(Summary!B39:AE39,"Y")),"")</f>
        <v/>
      </c>
      <c r="E17" s="31" t="str">
        <f>Summary!A74</f>
        <v>&lt;List Patch Here&gt;</v>
      </c>
      <c r="F17" s="76" t="str">
        <f>IF((COUNTIF(Summary!B74:AE74,"E")-COUNTIF(Summary!B74:AE74,"Y")&gt;0),(COUNTIF(Summary!B74:AE74,"E")-COUNTIF(Summary!B74:AE74,"Y")),"")</f>
        <v/>
      </c>
      <c r="G17" s="300"/>
    </row>
    <row r="18" spans="1:7">
      <c r="A18" s="300"/>
      <c r="B18" s="204" t="str">
        <f>Summary!A40</f>
        <v>Cookie Sales (Year 2)</v>
      </c>
      <c r="C18" s="76" t="str">
        <f>IF((COUNTIF(Summary!B40:AE40,"E")-COUNTIF(Summary!B40:AE40,"Y")&gt;0),(COUNTIF(Summary!B40:AE40,"E")-COUNTIF(Summary!B40:AE40,"Y")),"")</f>
        <v/>
      </c>
      <c r="E18" s="31" t="str">
        <f>Summary!A75</f>
        <v>&lt;List Patch Here&gt;</v>
      </c>
      <c r="F18" s="76" t="str">
        <f>IF((COUNTIF(Summary!B75:AE75,"E")-COUNTIF(Summary!B75:AE75,"Y")&gt;0),(COUNTIF(Summary!B75:AE75,"E")-COUNTIF(Summary!B75:AE75,"Y")),"")</f>
        <v/>
      </c>
      <c r="G18" s="300"/>
    </row>
    <row r="19" spans="1:7">
      <c r="A19" s="300"/>
      <c r="B19" s="204" t="str">
        <f>Summary!A41</f>
        <v>Cookie Pin (Year 2)</v>
      </c>
      <c r="C19" s="76" t="str">
        <f>IF((COUNTIF(Summary!B41:AE41,"E")-COUNTIF(Summary!B41:AE41,"Y")&gt;0),(COUNTIF(Summary!B41:AE41,"E")-COUNTIF(Summary!B41:AE41,"Y")),"")</f>
        <v/>
      </c>
      <c r="E19" s="31" t="str">
        <f>Summary!A76</f>
        <v>&lt;List Patch Here&gt;</v>
      </c>
      <c r="F19" s="76" t="str">
        <f>IF((COUNTIF(Summary!B76:AE76,"E")-COUNTIF(Summary!B76:AE76,"Y")&gt;0),(COUNTIF(Summary!B76:AE76,"E")-COUNTIF(Summary!B76:AE76,"Y")),"")</f>
        <v/>
      </c>
      <c r="G19" s="300"/>
    </row>
    <row r="20" spans="1:7">
      <c r="A20" s="300"/>
      <c r="B20" s="204" t="str">
        <f>Summary!A42</f>
        <v>Fall Sales (Year 1)</v>
      </c>
      <c r="C20" s="76" t="str">
        <f>IF((COUNTIF(Summary!B42:AE42,"E")-COUNTIF(Summary!B42:AE42,"Y")&gt;0),(COUNTIF(Summary!B42:AE42,"E")-COUNTIF(Summary!B42:AE42,"Y")),"")</f>
        <v/>
      </c>
      <c r="E20" s="31" t="str">
        <f>Summary!A77</f>
        <v>&lt;List Patch Here&gt;</v>
      </c>
      <c r="F20" s="76" t="str">
        <f>IF((COUNTIF(Summary!B77:AE77,"E")-COUNTIF(Summary!B77:AE77,"Y")&gt;0),(COUNTIF(Summary!B77:AE77,"E")-COUNTIF(Summary!B77:AE77,"Y")),"")</f>
        <v/>
      </c>
      <c r="G20" s="300"/>
    </row>
    <row r="21" spans="1:7">
      <c r="A21" s="300"/>
      <c r="B21" s="204" t="str">
        <f>Summary!A43</f>
        <v>Fall Sales (Year 2)</v>
      </c>
      <c r="C21" s="76" t="str">
        <f>IF((COUNTIF(Summary!B43:AE43,"E")-COUNTIF(Summary!B43:AE43,"Y")&gt;0),(COUNTIF(Summary!B43:AE43,"E")-COUNTIF(Summary!B43:AE43,"Y")),"")</f>
        <v/>
      </c>
      <c r="E21" s="31" t="str">
        <f>Summary!A78</f>
        <v>&lt;List Patch Here&gt;</v>
      </c>
      <c r="F21" s="76" t="str">
        <f>IF((COUNTIF(Summary!B78:AE78,"E")-COUNTIF(Summary!B78:AE78,"Y")&gt;0),(COUNTIF(Summary!B78:AE78,"E")-COUNTIF(Summary!B78:AE78,"Y")),"")</f>
        <v/>
      </c>
      <c r="G21" s="300"/>
    </row>
    <row r="22" spans="1:7">
      <c r="A22" s="300"/>
      <c r="B22" s="204" t="str">
        <f>Summary!A44</f>
        <v>Thinking Day (Year 1)</v>
      </c>
      <c r="C22" s="76" t="str">
        <f>IF((COUNTIF(Summary!B44:AE44,"E")-COUNTIF(Summary!B44:AE44,"Y")&gt;0),(COUNTIF(Summary!B44:AE44,"E")-COUNTIF(Summary!B44:AE44,"Y")),"")</f>
        <v/>
      </c>
      <c r="E22" s="31" t="str">
        <f>Summary!A79</f>
        <v>&lt;List Patch Here&gt;</v>
      </c>
      <c r="F22" s="76" t="str">
        <f>IF((COUNTIF(Summary!B79:AE79,"E")-COUNTIF(Summary!B79:AE79,"Y")&gt;0),(COUNTIF(Summary!B79:AE79,"E")-COUNTIF(Summary!B79:AE79,"Y")),"")</f>
        <v/>
      </c>
      <c r="G22" s="300"/>
    </row>
    <row r="23" spans="1:7">
      <c r="A23" s="300"/>
      <c r="B23" s="204" t="str">
        <f>Summary!A45</f>
        <v>Thinking Day (Year 2)</v>
      </c>
      <c r="C23" s="76" t="str">
        <f>IF((COUNTIF(Summary!B45:AE45,"E")-COUNTIF(Summary!B45:AE45,"Y")&gt;0),(COUNTIF(Summary!B45:AE45,"E")-COUNTIF(Summary!B45:AE45,"Y")),"")</f>
        <v/>
      </c>
      <c r="E23" s="31" t="str">
        <f>Summary!A80</f>
        <v>&lt;List Patch Here&gt;</v>
      </c>
      <c r="F23" s="76" t="str">
        <f>IF((COUNTIF(Summary!B80:AE80,"E")-COUNTIF(Summary!B80:AE80,"Y")&gt;0),(COUNTIF(Summary!B80:AE80,"E")-COUNTIF(Summary!B80:AE80,"Y")),"")</f>
        <v/>
      </c>
      <c r="G23" s="300"/>
    </row>
    <row r="24" spans="1:7">
      <c r="A24" s="300"/>
      <c r="B24" s="204" t="str">
        <f>Summary!A46</f>
        <v>Investiture</v>
      </c>
      <c r="C24" s="76" t="str">
        <f>IF((COUNTIF(Summary!B46:AE46,"E")-COUNTIF(Summary!B46:AE46,"Y")&gt;0),(COUNTIF(Summary!B46:AE46,"E")-COUNTIF(Summary!B46:AE46,"Y")),"")</f>
        <v/>
      </c>
      <c r="E24" s="31" t="str">
        <f>Summary!A81</f>
        <v>&lt;List Patch Here&gt;</v>
      </c>
      <c r="F24" s="76" t="str">
        <f>IF((COUNTIF(Summary!B81:AE81,"E")-COUNTIF(Summary!B81:AE81,"Y")&gt;0),(COUNTIF(Summary!B81:AE81,"E")-COUNTIF(Summary!B81:AE81,"Y")),"")</f>
        <v/>
      </c>
      <c r="G24" s="300"/>
    </row>
    <row r="25" spans="1:7">
      <c r="A25" s="300"/>
      <c r="B25" s="204" t="str">
        <f>Summary!A47</f>
        <v>Rededication (1st year)</v>
      </c>
      <c r="C25" s="76" t="str">
        <f>IF((COUNTIF(Summary!B47:AE47,"E")-COUNTIF(Summary!B47:AE47,"Y")&gt;0),(COUNTIF(Summary!B47:AE47,"E")-COUNTIF(Summary!B47:AE47,"Y")),"")</f>
        <v/>
      </c>
      <c r="E25" s="31" t="str">
        <f>Summary!A82</f>
        <v>&lt;List Patch Here&gt;</v>
      </c>
      <c r="F25" s="76" t="str">
        <f>IF((COUNTIF(Summary!B82:AE82,"E")-COUNTIF(Summary!B82:AE82,"Y")&gt;0),(COUNTIF(Summary!B82:AE82,"E")-COUNTIF(Summary!B82:AE82,"Y")),"")</f>
        <v/>
      </c>
      <c r="G25" s="300"/>
    </row>
    <row r="26" spans="1:7">
      <c r="A26" s="300"/>
      <c r="B26" s="204" t="str">
        <f>Summary!A48</f>
        <v>My Promise, My Faith (Year 1)</v>
      </c>
      <c r="C26" s="76" t="str">
        <f>IF((COUNTIF(Summary!B48:AE48,"E")-COUNTIF(Summary!B48:AE48,"Y")&gt;0),(COUNTIF(Summary!B48:AE48,"E")-COUNTIF(Summary!B48:AE48,"Y")),"")</f>
        <v/>
      </c>
      <c r="E26" s="31" t="str">
        <f>Summary!A83</f>
        <v>&lt;List Patch Here&gt;</v>
      </c>
      <c r="F26" s="76" t="str">
        <f>IF((COUNTIF(Summary!B83:AE83,"E")-COUNTIF(Summary!B83:AE83,"Y")&gt;0),(COUNTIF(Summary!B83:AE83,"E")-COUNTIF(Summary!B83:AE83,"Y")),"")</f>
        <v/>
      </c>
      <c r="G26" s="300"/>
    </row>
    <row r="27" spans="1:7">
      <c r="A27" s="300"/>
      <c r="B27" s="204" t="str">
        <f>Summary!A49</f>
        <v>My Promise, My Faith (Year 2)</v>
      </c>
      <c r="C27" s="76" t="str">
        <f>IF((COUNTIF(Summary!B49:AE49,"E")-COUNTIF(Summary!B49:AE49,"Y")&gt;0),(COUNTIF(Summary!B49:AE49,"E")-COUNTIF(Summary!B49:AE49,"Y")),"")</f>
        <v/>
      </c>
      <c r="E27" s="31" t="str">
        <f>Summary!A84</f>
        <v>&lt;List Patch Here&gt;</v>
      </c>
      <c r="F27" s="76" t="str">
        <f>IF((COUNTIF(Summary!B84:AE84,"E")-COUNTIF(Summary!B84:AE84,"Y")&gt;0),(COUNTIF(Summary!B84:AE84,"E")-COUNTIF(Summary!B84:AE84,"Y")),"")</f>
        <v/>
      </c>
      <c r="G27" s="300"/>
    </row>
    <row r="28" spans="1:7">
      <c r="A28" s="300"/>
      <c r="B28" s="204" t="str">
        <f>Summary!A50</f>
        <v>Global Action Award</v>
      </c>
      <c r="C28" s="76" t="str">
        <f>IF((COUNTIF(Summary!B50:AE50,"E")-COUNTIF(Summary!B50:AE50,"Y")&gt;0),(COUNTIF(Summary!B50:AE50,"E")-COUNTIF(Summary!B50:AE50,"Y")),"")</f>
        <v/>
      </c>
      <c r="E28" s="31" t="str">
        <f>Summary!A85</f>
        <v>&lt;List Patch Here&gt;</v>
      </c>
      <c r="F28" s="76" t="str">
        <f>IF((COUNTIF(Summary!B85:AE85,"E")-COUNTIF(Summary!B85:AE85,"Y")&gt;0),(COUNTIF(Summary!B85:AE85,"E")-COUNTIF(Summary!B85:AE85,"Y")),"")</f>
        <v/>
      </c>
      <c r="G28" s="300"/>
    </row>
    <row r="29" spans="1:7">
      <c r="A29" s="300"/>
      <c r="B29" s="204" t="str">
        <f>Summary!A51</f>
        <v>Journey Summit Pin</v>
      </c>
      <c r="C29" s="76" t="str">
        <f>IF((COUNTIF(Summary!B51:AE51,"E")-COUNTIF(Summary!B51:AE51,"Y")&gt;0),(COUNTIF(Summary!B51:AE51,"E")-COUNTIF(Summary!B51:AE51,"Y")),"")</f>
        <v/>
      </c>
      <c r="E29" s="31" t="str">
        <f>Summary!A86</f>
        <v>&lt;List Patch Here&gt;</v>
      </c>
      <c r="F29" s="76" t="str">
        <f>IF((COUNTIF(Summary!B86:AE86,"E")-COUNTIF(Summary!B86:AE86,"Y")&gt;0),(COUNTIF(Summary!B86:AE86,"E")-COUNTIF(Summary!B86:AE86,"Y")),"")</f>
        <v/>
      </c>
      <c r="G29" s="300"/>
    </row>
    <row r="30" spans="1:7">
      <c r="A30" s="300"/>
      <c r="B30" s="204" t="str">
        <f>Summary!A52</f>
        <v>Safety Award</v>
      </c>
      <c r="C30" s="76" t="str">
        <f>IF((COUNTIF(Summary!B52:AE52,"E")-COUNTIF(Summary!B52:AE52,"Y")&gt;0),(COUNTIF(Summary!B52:AE52,"E")-COUNTIF(Summary!B52:AE52,"Y")),"")</f>
        <v/>
      </c>
      <c r="E30" s="31" t="str">
        <f>Summary!A87</f>
        <v>&lt;List Patch Here&gt;</v>
      </c>
      <c r="F30" s="76" t="str">
        <f>IF((COUNTIF(Summary!B87:AE87,"E")-COUNTIF(Summary!B87:AE87,"Y")&gt;0),(COUNTIF(Summary!B87:AE87,"E")-COUNTIF(Summary!B87:AE87,"Y")),"")</f>
        <v/>
      </c>
      <c r="G30" s="300"/>
    </row>
    <row r="31" spans="1:7">
      <c r="A31" s="300"/>
      <c r="B31" s="61" t="s">
        <v>100</v>
      </c>
      <c r="E31" s="31" t="str">
        <f>Summary!A88</f>
        <v>&lt;List Patch Here&gt;</v>
      </c>
      <c r="F31" s="76" t="str">
        <f>IF((COUNTIF(Summary!B88:AE88,"E")-COUNTIF(Summary!B88:AE88,"Y")&gt;0),(COUNTIF(Summary!B88:AE88,"E")-COUNTIF(Summary!B88:AE88,"Y")),"")</f>
        <v/>
      </c>
      <c r="G31" s="300"/>
    </row>
    <row r="32" spans="1:7">
      <c r="A32" s="300"/>
      <c r="B32" s="98" t="str">
        <f>Summary!A54</f>
        <v>&lt;List Patch Here&gt;</v>
      </c>
      <c r="C32" s="76" t="str">
        <f>IF((COUNTIF(Summary!B54:AE54,"E")-COUNTIF(Summary!B54:AE54,"Y")&gt;0),(COUNTIF(Summary!B54:AE54,"E")-COUNTIF(Summary!B54:AE54,"Y")),"")</f>
        <v/>
      </c>
      <c r="E32" s="31" t="str">
        <f>Summary!A89</f>
        <v>&lt;List Patch Here&gt;</v>
      </c>
      <c r="F32" s="76" t="str">
        <f>IF((COUNTIF(Summary!B89:AE89,"E")-COUNTIF(Summary!B89:AE89,"Y")&gt;0),(COUNTIF(Summary!B89:AE89,"E")-COUNTIF(Summary!B89:AE89,"Y")),"")</f>
        <v/>
      </c>
      <c r="G32" s="300"/>
    </row>
    <row r="33" spans="1:7">
      <c r="A33" s="300"/>
      <c r="B33" s="98" t="str">
        <f>Summary!A55</f>
        <v>&lt;List Patch Here&gt;</v>
      </c>
      <c r="C33" s="76" t="str">
        <f>IF((COUNTIF(Summary!B55:AE55,"E")-COUNTIF(Summary!B55:AE55,"Y")&gt;0),(COUNTIF(Summary!B55:AE55,"E")-COUNTIF(Summary!B55:AE55,"Y")),"")</f>
        <v/>
      </c>
      <c r="E33" s="31" t="str">
        <f>Summary!A90</f>
        <v>&lt;List Patch Here&gt;</v>
      </c>
      <c r="F33" s="76" t="str">
        <f>IF((COUNTIF(Summary!B90:AE90,"E")-COUNTIF(Summary!B90:AE90,"Y")&gt;0),(COUNTIF(Summary!B90:AE90,"E")-COUNTIF(Summary!B90:AE90,"Y")),"")</f>
        <v/>
      </c>
      <c r="G33" s="300"/>
    </row>
    <row r="34" spans="1:7">
      <c r="A34" s="300"/>
      <c r="B34" s="98" t="str">
        <f>Summary!A56</f>
        <v>&lt;List Patch Here&gt;</v>
      </c>
      <c r="C34" s="76" t="str">
        <f>IF((COUNTIF(Summary!B56:AE56,"E")-COUNTIF(Summary!B56:AE56,"Y")&gt;0),(COUNTIF(Summary!B56:AE56,"E")-COUNTIF(Summary!B56:AE56,"Y")),"")</f>
        <v/>
      </c>
      <c r="E34" s="31" t="str">
        <f>Summary!A91</f>
        <v>&lt;List Patch Here&gt;</v>
      </c>
      <c r="F34" s="76" t="str">
        <f>IF((COUNTIF(Summary!B91:AE91,"E")-COUNTIF(Summary!B91:AE91,"Y")&gt;0),(COUNTIF(Summary!B91:AE91,"E")-COUNTIF(Summary!B91:AE91,"Y")),"")</f>
        <v/>
      </c>
      <c r="G34" s="300"/>
    </row>
    <row r="35" spans="1:7">
      <c r="A35" s="300"/>
      <c r="B35" s="98" t="str">
        <f>Summary!A57</f>
        <v>&lt;List Patch Here&gt;</v>
      </c>
      <c r="C35" s="76" t="str">
        <f>IF((COUNTIF(Summary!B57:AE57,"E")-COUNTIF(Summary!B57:AE57,"Y")&gt;0),(COUNTIF(Summary!B57:AE57,"E")-COUNTIF(Summary!B57:AE57,"Y")),"")</f>
        <v/>
      </c>
      <c r="E35" s="31" t="str">
        <f>Summary!A92</f>
        <v>&lt;List Patch Here&gt;</v>
      </c>
      <c r="F35" s="76" t="str">
        <f>IF((COUNTIF(Summary!B92:AE92,"E")-COUNTIF(Summary!B92:AE92,"Y")&gt;0),(COUNTIF(Summary!B92:AE92,"E")-COUNTIF(Summary!B92:AE92,"Y")),"")</f>
        <v/>
      </c>
      <c r="G35" s="300"/>
    </row>
    <row r="36" spans="1:7">
      <c r="A36" s="300"/>
      <c r="B36" s="98" t="str">
        <f>Summary!A58</f>
        <v>&lt;List Patch Here&gt;</v>
      </c>
      <c r="C36" s="76" t="str">
        <f>IF((COUNTIF(Summary!B58:AE58,"E")-COUNTIF(Summary!B58:AE58,"Y")&gt;0),(COUNTIF(Summary!B58:AE58,"E")-COUNTIF(Summary!B58:AE58,"Y")),"")</f>
        <v/>
      </c>
      <c r="E36" s="31" t="str">
        <f>Summary!A93</f>
        <v>&lt;List Patch Here&gt;</v>
      </c>
      <c r="F36" s="76" t="str">
        <f>IF((COUNTIF(Summary!B93:AE93,"E")-COUNTIF(Summary!B93:AE93,"Y")&gt;0),(COUNTIF(Summary!B93:AE93,"E")-COUNTIF(Summary!B93:AE93,"Y")),"")</f>
        <v/>
      </c>
      <c r="G36" s="300"/>
    </row>
    <row r="37" spans="1:7">
      <c r="A37" s="300"/>
      <c r="B37" s="98" t="str">
        <f>Summary!A59</f>
        <v>&lt;List Patch Here&gt;</v>
      </c>
      <c r="C37" s="76" t="str">
        <f>IF((COUNTIF(Summary!B59:AE59,"E")-COUNTIF(Summary!B59:AE59,"Y")&gt;0),(COUNTIF(Summary!B59:AE59,"E")-COUNTIF(Summary!B59:AE59,"Y")),"")</f>
        <v/>
      </c>
      <c r="G37" s="300"/>
    </row>
  </sheetData>
  <sheetProtection password="C45A" sheet="1" objects="1" scenarios="1" selectLockedCells="1" selectUnlockedCells="1"/>
  <mergeCells count="2">
    <mergeCell ref="A1:A37"/>
    <mergeCell ref="G1:G37"/>
  </mergeCells>
  <phoneticPr fontId="7" type="noConversion"/>
  <pageMargins left="0.75" right="0.75" top="1" bottom="0.5" header="0.25" footer="0.25"/>
  <pageSetup orientation="portrait" horizontalDpi="300" verticalDpi="300" r:id="rId1"/>
  <headerFooter alignWithMargins="0">
    <oddHeader>&amp;C&amp;"Arial,Bold"&amp;14DaisyTrax
&amp;12Order Page - &amp;D</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IF(Petals!D6="A","A","")</f>
        <v/>
      </c>
      <c r="I3" s="211" t="str">
        <f>Bridging!B6</f>
        <v>Pass It On</v>
      </c>
      <c r="J3" s="211"/>
      <c r="K3" s="211"/>
    </row>
    <row r="4" spans="1:11">
      <c r="A4" s="66" t="s">
        <v>44</v>
      </c>
      <c r="B4" s="48" t="str">
        <f>IF(Petals!D18="C","C",IF(Petals!D18="P","P",""))</f>
        <v/>
      </c>
      <c r="D4" s="61" t="s">
        <v>44</v>
      </c>
      <c r="G4" s="34"/>
      <c r="I4" s="43">
        <v>1</v>
      </c>
      <c r="J4" s="47" t="str">
        <f>Bridging!C7</f>
        <v>Teach younger girls the GS Promise</v>
      </c>
      <c r="K4" s="50" t="str">
        <f>IF(Bridging!D7="A","A","")</f>
        <v/>
      </c>
    </row>
    <row r="5" spans="1:11">
      <c r="A5" s="207" t="s">
        <v>141</v>
      </c>
      <c r="B5" s="209">
        <f>INT(COUNTIF(G18:G21,"A"))</f>
        <v>1</v>
      </c>
      <c r="E5" s="31" t="str">
        <f>Petals!B8</f>
        <v>Lupe</v>
      </c>
      <c r="F5" s="31" t="str">
        <f>Petals!C8</f>
        <v>Honest and fair</v>
      </c>
      <c r="G5" s="50" t="str">
        <f>IF(Petals!D8="A","A","")</f>
        <v/>
      </c>
      <c r="I5" s="43">
        <v>2</v>
      </c>
      <c r="J5" s="197" t="str">
        <f>Bridging!C8</f>
        <v>Tell younger girls about the Flower</v>
      </c>
      <c r="K5" s="50" t="str">
        <f>IF(Bridging!D8="A","A","")</f>
        <v/>
      </c>
    </row>
    <row r="6" spans="1:11">
      <c r="A6" s="67" t="s">
        <v>62</v>
      </c>
      <c r="B6" s="54"/>
      <c r="E6" s="31" t="str">
        <f>Petals!B9</f>
        <v>Sunny</v>
      </c>
      <c r="F6" s="31" t="str">
        <f>Petals!C9</f>
        <v>Friendly and helpful</v>
      </c>
      <c r="G6" s="50" t="str">
        <f>IF(Petals!D9="A","A","")</f>
        <v/>
      </c>
      <c r="I6" s="195">
        <v>3</v>
      </c>
      <c r="J6" s="197" t="str">
        <f>Bridging!C9</f>
        <v>Play a game together!</v>
      </c>
      <c r="K6" s="50" t="str">
        <f>IF(Bridging!D9="A","A","")</f>
        <v/>
      </c>
    </row>
    <row r="7" spans="1:11">
      <c r="A7" s="206" t="str">
        <f>'Journey Awards'!A6</f>
        <v>Welcome to the Daisy Flower Garden</v>
      </c>
      <c r="B7" s="48" t="str">
        <f>IF('Journey Awards'!D11="C","C",IF('Journey Awards'!D11="P","P",""))</f>
        <v/>
      </c>
      <c r="E7" s="31" t="str">
        <f>Petals!B10</f>
        <v>Zinni</v>
      </c>
      <c r="F7" s="31" t="str">
        <f>Petals!C10</f>
        <v>Considerate and caring</v>
      </c>
      <c r="G7" s="50" t="str">
        <f>IF(Petals!D10="A","A","")</f>
        <v/>
      </c>
      <c r="I7" s="196" t="str">
        <f>Bridging!B11</f>
        <v>Look Ahead</v>
      </c>
      <c r="J7" s="59"/>
      <c r="K7" s="34"/>
    </row>
    <row r="8" spans="1:11">
      <c r="A8" s="206" t="str">
        <f>'Journey Awards'!A14</f>
        <v>Between Earth and Sky</v>
      </c>
      <c r="B8" s="48" t="str">
        <f>IF('Journey Awards'!D19="C","C",IF('Journey Awards'!D19="P","P",""))</f>
        <v/>
      </c>
      <c r="E8" s="31" t="str">
        <f>Petals!B11</f>
        <v>Tula</v>
      </c>
      <c r="F8" s="31" t="str">
        <f>Petals!C11</f>
        <v>Courageous and strong</v>
      </c>
      <c r="G8" s="50" t="str">
        <f>IF(Petals!D11="A","A","")</f>
        <v/>
      </c>
      <c r="I8" s="195">
        <v>1</v>
      </c>
      <c r="J8" s="197" t="str">
        <f>Bridging!C12</f>
        <v>Say the Girl Scout Promise together.</v>
      </c>
      <c r="K8" s="50" t="str">
        <f>IF(Bridging!D12="A","A","")</f>
        <v/>
      </c>
    </row>
    <row r="9" spans="1:11">
      <c r="A9" s="206" t="str">
        <f>'Journey Awards'!A22</f>
        <v>5 Flowers, 4 Stories, 3 Cheers for Animals!</v>
      </c>
      <c r="B9" s="48" t="str">
        <f>IF('Journey Awards'!D27="C","C",IF('Journey Awards'!D27="P","P",""))</f>
        <v/>
      </c>
      <c r="E9" s="31" t="str">
        <f>Petals!B12</f>
        <v>Mari</v>
      </c>
      <c r="F9" s="31" t="str">
        <f>Petals!C12</f>
        <v>Responsible for what I say and do</v>
      </c>
      <c r="G9" s="50" t="str">
        <f>IF(Petals!D12="A","A","")</f>
        <v/>
      </c>
      <c r="I9" s="195">
        <v>2</v>
      </c>
      <c r="J9" s="197" t="str">
        <f>Bridging!C13</f>
        <v>Ask the Brownies to teach you</v>
      </c>
      <c r="K9" s="50" t="str">
        <f>IF(Bridging!D13="A","A","")</f>
        <v/>
      </c>
    </row>
    <row r="10" spans="1:11">
      <c r="A10" s="90" t="s">
        <v>61</v>
      </c>
      <c r="B10" s="48" t="str">
        <f>IF(Bridging!D18="C","C",IF(Bridging!D18="P","P",""))</f>
        <v/>
      </c>
      <c r="E10" s="31" t="str">
        <f>Petals!B13</f>
        <v>Gloria</v>
      </c>
      <c r="F10" s="31" t="str">
        <f>Petals!C13</f>
        <v>Respect for myself &amp; others</v>
      </c>
      <c r="G10" s="50" t="str">
        <f>IF(Petals!D13="A","A","")</f>
        <v/>
      </c>
      <c r="I10" s="195">
        <v>4</v>
      </c>
      <c r="J10" s="197" t="str">
        <f>Bridging!C14</f>
        <v>Ask the Brownies to show you</v>
      </c>
      <c r="K10" s="50" t="str">
        <f>IF(Bridging!D14="A","A","")</f>
        <v/>
      </c>
    </row>
    <row r="11" spans="1:11">
      <c r="A11" s="91"/>
      <c r="B11" s="99"/>
      <c r="E11" s="31" t="str">
        <f>Petals!B14</f>
        <v>Gerri</v>
      </c>
      <c r="F11" s="31" t="str">
        <f>Petals!C14</f>
        <v>Respect authority</v>
      </c>
      <c r="G11" s="50" t="str">
        <f>IF(Petals!D14="A","A","")</f>
        <v/>
      </c>
      <c r="I11" s="232" t="str">
        <f>Bridging!C16</f>
        <v>Plan a Ceremony</v>
      </c>
      <c r="J11" s="59"/>
      <c r="K11" s="50" t="str">
        <f>IF(Bridging!D16="A","A","")</f>
        <v/>
      </c>
    </row>
    <row r="12" spans="1:11">
      <c r="A12" s="61" t="s">
        <v>100</v>
      </c>
      <c r="E12" s="31" t="str">
        <f>Petals!B15</f>
        <v>Clover</v>
      </c>
      <c r="F12" s="31" t="str">
        <f>Petals!C15</f>
        <v>Use resources wisely</v>
      </c>
      <c r="G12" s="50" t="str">
        <f>IF(Petals!D15="A","A","")</f>
        <v/>
      </c>
    </row>
    <row r="13" spans="1:11">
      <c r="A13" s="31" t="str">
        <f>'Fun Patches'!C5</f>
        <v>&lt;List Patch Here&gt;</v>
      </c>
      <c r="B13" s="50" t="str">
        <f>IF('Fun Patches'!D5="A","C","")</f>
        <v/>
      </c>
      <c r="E13" s="31" t="str">
        <f>Petals!B16</f>
        <v>Rosie</v>
      </c>
      <c r="F13" s="31" t="str">
        <f>Petals!C16</f>
        <v>Make the world a better place</v>
      </c>
      <c r="G13" s="50" t="str">
        <f>IF(Petals!D16="A","A","")</f>
        <v/>
      </c>
      <c r="I13" s="362" t="s">
        <v>71</v>
      </c>
      <c r="J13" s="362"/>
      <c r="K13" s="362"/>
    </row>
    <row r="14" spans="1:11">
      <c r="A14" s="31" t="str">
        <f>'Fun Patches'!C6</f>
        <v>&lt;List Patch Here&gt;</v>
      </c>
      <c r="B14" s="50" t="str">
        <f>IF('Fun Patches'!D6="A","C","")</f>
        <v/>
      </c>
      <c r="E14" s="31" t="str">
        <f>Petals!B17</f>
        <v>Vi</v>
      </c>
      <c r="F14" s="31" t="str">
        <f>Petals!C17</f>
        <v>Be a sister to every Girl Scout</v>
      </c>
      <c r="G14" s="50" t="str">
        <f>IF(Petals!D17="A","A","")</f>
        <v/>
      </c>
      <c r="I14" s="362"/>
      <c r="J14" s="362"/>
      <c r="K14" s="362"/>
    </row>
    <row r="15" spans="1:11">
      <c r="A15" s="31" t="str">
        <f>'Fun Patches'!C7</f>
        <v>&lt;List Patch Here&gt;</v>
      </c>
      <c r="B15" s="50" t="str">
        <f>IF('Fun Patches'!D7="A","C","")</f>
        <v/>
      </c>
      <c r="E15" s="73"/>
      <c r="F15" s="73"/>
      <c r="G15" s="208"/>
      <c r="I15" s="43"/>
      <c r="J15" s="47" t="str">
        <f>'Age-Level'!C6</f>
        <v>Cookie Rally (Year 1)</v>
      </c>
      <c r="K15" s="50" t="str">
        <f>IF('Age-Level'!D6="A","C","")</f>
        <v/>
      </c>
    </row>
    <row r="16" spans="1:11">
      <c r="A16" s="31" t="str">
        <f>'Fun Patches'!C8</f>
        <v>&lt;List Patch Here&gt;</v>
      </c>
      <c r="B16" s="50" t="str">
        <f>IF('Fun Patches'!D8="A","C","")</f>
        <v/>
      </c>
      <c r="D16" s="362" t="s">
        <v>141</v>
      </c>
      <c r="E16" s="300"/>
      <c r="F16" s="300"/>
      <c r="G16" s="300"/>
      <c r="I16" s="43"/>
      <c r="J16" s="252" t="str">
        <f>'Age-Level'!C7</f>
        <v>Cookie Sales (Year 1)</v>
      </c>
      <c r="K16" s="50" t="str">
        <f>IF('Age-Level'!D7="A","C","")</f>
        <v/>
      </c>
    </row>
    <row r="17" spans="1:11">
      <c r="A17" s="31" t="str">
        <f>'Fun Patches'!C9</f>
        <v>&lt;List Patch Here&gt;</v>
      </c>
      <c r="B17" s="50" t="str">
        <f>IF('Fun Patches'!D9="A","C","")</f>
        <v/>
      </c>
      <c r="D17" s="300"/>
      <c r="E17" s="300"/>
      <c r="F17" s="300"/>
      <c r="G17" s="300"/>
      <c r="I17" s="51"/>
      <c r="J17" s="252" t="str">
        <f>'Age-Level'!C8</f>
        <v>Cookie Pin (Year 1)</v>
      </c>
      <c r="K17" s="50" t="str">
        <f>IF('Age-Level'!D8="A","C","")</f>
        <v/>
      </c>
    </row>
    <row r="18" spans="1:11">
      <c r="A18" s="31" t="str">
        <f>'Fun Patches'!C10</f>
        <v>&lt;List Patch Here&gt;</v>
      </c>
      <c r="B18" s="50" t="str">
        <f>IF('Fun Patches'!D10="A","C","")</f>
        <v/>
      </c>
      <c r="D18" s="366" t="str">
        <f>Petals!B22</f>
        <v>Finance</v>
      </c>
      <c r="E18" s="367"/>
      <c r="F18" s="200" t="str">
        <f>Petals!B20</f>
        <v>Money Counts</v>
      </c>
      <c r="G18" s="50" t="str">
        <f>IF(Petals!D23="C","A","")</f>
        <v/>
      </c>
      <c r="I18" s="51"/>
      <c r="J18" s="252" t="str">
        <f>'Age-Level'!C9</f>
        <v>Cookie Rally (Year 2)</v>
      </c>
      <c r="K18" s="50" t="str">
        <f>IF('Age-Level'!D9="A","C","")</f>
        <v/>
      </c>
    </row>
    <row r="19" spans="1:11">
      <c r="A19" s="31" t="str">
        <f>'Fun Patches'!C11</f>
        <v>&lt;List Patch Here&gt;</v>
      </c>
      <c r="B19" s="50" t="str">
        <f>IF('Fun Patches'!D11="A","C","")</f>
        <v/>
      </c>
      <c r="D19" s="366" t="str">
        <f>Petals!B27</f>
        <v>Finance</v>
      </c>
      <c r="E19" s="367"/>
      <c r="F19" s="200" t="str">
        <f>Petals!B25</f>
        <v>Making Choices</v>
      </c>
      <c r="G19" s="50" t="str">
        <f>IF(Petals!D28="C","A","")</f>
        <v/>
      </c>
      <c r="I19" s="51"/>
      <c r="J19" s="252" t="str">
        <f>'Age-Level'!C10</f>
        <v>Cookie Sales (Year 2)</v>
      </c>
      <c r="K19" s="50" t="str">
        <f>IF('Age-Level'!D10="A","C","")</f>
        <v/>
      </c>
    </row>
    <row r="20" spans="1:11">
      <c r="A20" s="31" t="str">
        <f>'Fun Patches'!C12</f>
        <v>&lt;List Patch Here&gt;</v>
      </c>
      <c r="B20" s="50" t="str">
        <f>IF('Fun Patches'!D12="A","C","")</f>
        <v/>
      </c>
      <c r="D20" s="366" t="str">
        <f>Petals!B32</f>
        <v>Cookie</v>
      </c>
      <c r="E20" s="367"/>
      <c r="F20" s="200" t="str">
        <f>Petals!B30</f>
        <v>Count It Up</v>
      </c>
      <c r="G20" s="50" t="str">
        <f>IF(Petals!D33="C","A","")</f>
        <v/>
      </c>
      <c r="I20" s="52"/>
      <c r="J20" s="252" t="str">
        <f>'Age-Level'!C11</f>
        <v>Cookie Pin (Year 2)</v>
      </c>
      <c r="K20" s="50" t="str">
        <f>IF('Age-Level'!D11="A","C","")</f>
        <v/>
      </c>
    </row>
    <row r="21" spans="1:11">
      <c r="A21" s="31" t="str">
        <f>'Fun Patches'!C13</f>
        <v>&lt;List Patch Here&gt;</v>
      </c>
      <c r="B21" s="50" t="str">
        <f>IF('Fun Patches'!D13="A","C","")</f>
        <v/>
      </c>
      <c r="D21" s="366" t="str">
        <f>Petals!B37</f>
        <v>Cookie</v>
      </c>
      <c r="E21" s="367"/>
      <c r="F21" s="200" t="str">
        <f>Petals!B35</f>
        <v>Talk It Up</v>
      </c>
      <c r="G21" s="50" t="str">
        <f>IF(Petals!D38="C","A","")</f>
        <v>A</v>
      </c>
      <c r="I21" s="53"/>
      <c r="J21" s="252" t="str">
        <f>'Age-Level'!C13</f>
        <v>Fall Sales (Year 1)</v>
      </c>
      <c r="K21" s="50" t="str">
        <f>IF('Age-Level'!D13="A","C","")</f>
        <v/>
      </c>
    </row>
    <row r="22" spans="1:11">
      <c r="A22" s="31" t="str">
        <f>'Fun Patches'!C14</f>
        <v>&lt;List Patch Here&gt;</v>
      </c>
      <c r="B22" s="50" t="str">
        <f>IF('Fun Patches'!D14="A","C","")</f>
        <v/>
      </c>
      <c r="I22" s="26"/>
      <c r="J22" s="252" t="str">
        <f>'Age-Level'!C14</f>
        <v>Fall Sales (Year 2)</v>
      </c>
      <c r="K22" s="50" t="str">
        <f>IF('Age-Level'!D14="A","C","")</f>
        <v/>
      </c>
    </row>
    <row r="23" spans="1:11">
      <c r="A23" s="31" t="str">
        <f>'Fun Patches'!C15</f>
        <v>&lt;List Patch Here&gt;</v>
      </c>
      <c r="B23" s="50" t="str">
        <f>IF('Fun Patches'!D15="A","C","")</f>
        <v/>
      </c>
      <c r="D23" s="362" t="s">
        <v>62</v>
      </c>
      <c r="E23" s="362"/>
      <c r="F23" s="362"/>
      <c r="G23" s="362"/>
      <c r="J23" s="252" t="str">
        <f>'Age-Level'!C16</f>
        <v>Thinking Day (Year 1)</v>
      </c>
      <c r="K23" s="50" t="str">
        <f>IF('Age-Level'!D16="A","C","")</f>
        <v/>
      </c>
    </row>
    <row r="24" spans="1:11">
      <c r="A24" s="31" t="str">
        <f>'Fun Patches'!C16</f>
        <v>&lt;List Patch Here&gt;</v>
      </c>
      <c r="B24" s="50" t="str">
        <f>IF('Fun Patches'!D16="A","C","")</f>
        <v/>
      </c>
      <c r="D24" s="362"/>
      <c r="E24" s="362"/>
      <c r="F24" s="362"/>
      <c r="G24" s="362"/>
      <c r="J24" s="252" t="str">
        <f>'Age-Level'!C17</f>
        <v>Thinking Day (Year 2)</v>
      </c>
      <c r="K24" s="50" t="str">
        <f>IF('Age-Level'!D17="A","C","")</f>
        <v/>
      </c>
    </row>
    <row r="25" spans="1:11">
      <c r="A25" s="31" t="str">
        <f>'Fun Patches'!C17</f>
        <v>&lt;List Patch Here&gt;</v>
      </c>
      <c r="B25" s="50" t="str">
        <f>IF('Fun Patches'!D17="A","C","")</f>
        <v/>
      </c>
      <c r="D25" s="91" t="str">
        <f>'Journey Awards'!A6</f>
        <v>Welcome to the Daisy Flower Garden</v>
      </c>
      <c r="F25" s="57"/>
      <c r="G25" s="58"/>
      <c r="J25" s="252" t="str">
        <f>'Age-Level'!C19</f>
        <v>Investiture</v>
      </c>
      <c r="K25" s="50" t="str">
        <f>IF('Age-Level'!D19="A","C","")</f>
        <v/>
      </c>
    </row>
    <row r="26" spans="1:11">
      <c r="A26" s="31" t="str">
        <f>'Fun Patches'!C18</f>
        <v>&lt;List Patch Here&gt;</v>
      </c>
      <c r="B26" s="50" t="str">
        <f>IF('Fun Patches'!D18="A","C","")</f>
        <v/>
      </c>
      <c r="D26" s="43"/>
      <c r="E26" s="363" t="s">
        <v>66</v>
      </c>
      <c r="F26" s="364"/>
      <c r="G26" s="50" t="str">
        <f>IF('Journey Awards'!D8="A","A","")</f>
        <v/>
      </c>
      <c r="J26" s="252" t="str">
        <f>'Age-Level'!C20</f>
        <v>Rededication (1st year)</v>
      </c>
      <c r="K26" s="50" t="str">
        <f>IF('Age-Level'!D20="A","C","")</f>
        <v/>
      </c>
    </row>
    <row r="27" spans="1:11">
      <c r="A27" s="31" t="str">
        <f>'Fun Patches'!C19</f>
        <v>&lt;List Patch Here&gt;</v>
      </c>
      <c r="B27" s="50" t="str">
        <f>IF('Fun Patches'!D19="A","C","")</f>
        <v/>
      </c>
      <c r="D27" s="43"/>
      <c r="E27" s="363" t="s">
        <v>67</v>
      </c>
      <c r="F27" s="364"/>
      <c r="G27" s="50" t="str">
        <f>IF('Journey Awards'!D9="A","A","")</f>
        <v/>
      </c>
      <c r="J27" s="252" t="str">
        <f>'Age-Level'!B21</f>
        <v>My Promise, My Faith (Year 1)</v>
      </c>
      <c r="K27" s="50" t="str">
        <f>IF('Age-Level'!D27="C","C","")</f>
        <v/>
      </c>
    </row>
    <row r="28" spans="1:11">
      <c r="A28" s="31" t="str">
        <f>'Fun Patches'!C20</f>
        <v>&lt;List Patch Here&gt;</v>
      </c>
      <c r="B28" s="50" t="str">
        <f>IF('Fun Patches'!D20="A","C","")</f>
        <v/>
      </c>
      <c r="D28" s="43"/>
      <c r="E28" s="363" t="s">
        <v>68</v>
      </c>
      <c r="F28" s="364"/>
      <c r="G28" s="50" t="str">
        <f>IF('Journey Awards'!D10="A","A","")</f>
        <v/>
      </c>
      <c r="J28" s="252" t="str">
        <f>'Age-Level'!B28</f>
        <v>My Promise, My Faith (Year 2)</v>
      </c>
      <c r="K28" s="50" t="str">
        <f>IF('Age-Level'!D34="c","C","")</f>
        <v/>
      </c>
    </row>
    <row r="29" spans="1:11">
      <c r="A29" s="31" t="str">
        <f>'Fun Patches'!C21</f>
        <v>&lt;List Patch Here&gt;</v>
      </c>
      <c r="B29" s="50" t="str">
        <f>IF('Fun Patches'!D21="A","C","")</f>
        <v/>
      </c>
      <c r="D29" s="102" t="str">
        <f>'Journey Awards'!A14</f>
        <v>Between Earth and Sky</v>
      </c>
      <c r="F29" s="59"/>
      <c r="G29" s="34"/>
      <c r="J29" s="252" t="str">
        <f>'Age-Level'!C36</f>
        <v>Global Action Award</v>
      </c>
      <c r="K29" s="50" t="str">
        <f>IF('Age-Level'!D36="A","C","")</f>
        <v/>
      </c>
    </row>
    <row r="30" spans="1:11">
      <c r="A30" s="31" t="str">
        <f>'Fun Patches'!C22</f>
        <v>&lt;List Patch Here&gt;</v>
      </c>
      <c r="B30" s="50" t="str">
        <f>IF('Fun Patches'!D22="A","C","")</f>
        <v/>
      </c>
      <c r="D30" s="43"/>
      <c r="E30" s="363" t="str">
        <f>'Journey Awards'!C16</f>
        <v>The Blue Bucket Award</v>
      </c>
      <c r="F30" s="364"/>
      <c r="G30" s="50" t="str">
        <f>IF('Journey Awards'!D16="A","A","")</f>
        <v/>
      </c>
      <c r="J30" s="252" t="str">
        <f>'Age-Level'!C38</f>
        <v>Journey Summit Pin</v>
      </c>
      <c r="K30" s="50" t="str">
        <f>IF('Age-Level'!D38="C","C","")</f>
        <v/>
      </c>
    </row>
    <row r="31" spans="1:11">
      <c r="A31" s="31" t="str">
        <f>'Fun Patches'!C23</f>
        <v>&lt;List Patch Here&gt;</v>
      </c>
      <c r="B31" s="50" t="str">
        <f>IF('Fun Patches'!D23="A","C","")</f>
        <v/>
      </c>
      <c r="D31" s="43"/>
      <c r="E31" s="363" t="str">
        <f>'Journey Awards'!C17</f>
        <v>The Firefly Award</v>
      </c>
      <c r="F31" s="364"/>
      <c r="G31" s="50" t="str">
        <f>IF('Journey Awards'!D17="A","A","")</f>
        <v/>
      </c>
      <c r="J31" s="252" t="str">
        <f>'Age-Level'!B39</f>
        <v>Safety Award</v>
      </c>
      <c r="K31" s="50" t="str">
        <f>IF('Age-Level'!D43="C","C","")</f>
        <v/>
      </c>
    </row>
    <row r="32" spans="1:11">
      <c r="A32" s="31" t="str">
        <f>'Fun Patches'!C24</f>
        <v>&lt;List Patch Here&gt;</v>
      </c>
      <c r="B32" s="50" t="str">
        <f>IF('Fun Patches'!D24="A","C","")</f>
        <v/>
      </c>
      <c r="D32" s="43"/>
      <c r="E32" s="363" t="str">
        <f>'Journey Awards'!C18</f>
        <v>The Clover Award</v>
      </c>
      <c r="F32" s="364"/>
      <c r="G32" s="50" t="str">
        <f>IF('Journey Awards'!D18="A","A","")</f>
        <v/>
      </c>
    </row>
    <row r="33" spans="1:11">
      <c r="A33" s="31" t="str">
        <f>'Fun Patches'!C25</f>
        <v>&lt;List Patch Here&gt;</v>
      </c>
      <c r="B33" s="50" t="str">
        <f>IF('Fun Patches'!D25="A","C","")</f>
        <v/>
      </c>
      <c r="D33" s="102" t="str">
        <f>'Journey Awards'!A22</f>
        <v>5 Flowers, 4 Stories, 3 Cheers for Animals!</v>
      </c>
      <c r="F33" s="59"/>
      <c r="G33" s="34" t="str">
        <f>IF('Journey Awards'!D15="A","A","")</f>
        <v/>
      </c>
      <c r="J33" s="61" t="s">
        <v>102</v>
      </c>
    </row>
    <row r="34" spans="1:11">
      <c r="A34" s="31" t="str">
        <f>'Fun Patches'!C26</f>
        <v>&lt;List Patch Here&gt;</v>
      </c>
      <c r="B34" s="50" t="str">
        <f>IF('Fun Patches'!D26="A","C","")</f>
        <v/>
      </c>
      <c r="D34" s="43"/>
      <c r="E34" s="363" t="str">
        <f>'Journey Awards'!C24</f>
        <v>Birdbath Award</v>
      </c>
      <c r="F34" s="364"/>
      <c r="G34" s="50" t="str">
        <f>IF('Journey Awards'!D24="A","A","")</f>
        <v/>
      </c>
      <c r="J34" s="31" t="str">
        <f>'Fun Patches'!C35</f>
        <v>&lt;List Patch Here&gt;</v>
      </c>
      <c r="K34" s="50" t="str">
        <f>IF('Fun Patches'!D35="A","C","")</f>
        <v/>
      </c>
    </row>
    <row r="35" spans="1:11">
      <c r="A35" s="31" t="str">
        <f>'Fun Patches'!C27</f>
        <v>&lt;List Patch Here&gt;</v>
      </c>
      <c r="B35" s="50" t="str">
        <f>IF('Fun Patches'!D27="A","C","")</f>
        <v/>
      </c>
      <c r="D35" s="43"/>
      <c r="E35" s="363" t="str">
        <f>'Journey Awards'!C25</f>
        <v>Red Robin Award</v>
      </c>
      <c r="F35" s="364"/>
      <c r="G35" s="50" t="str">
        <f>IF('Journey Awards'!D25="A","A","")</f>
        <v/>
      </c>
      <c r="J35" s="31" t="str">
        <f>'Fun Patches'!C36</f>
        <v>&lt;List Patch Here&gt;</v>
      </c>
      <c r="K35" s="50" t="str">
        <f>IF('Fun Patches'!D36="A","C","")</f>
        <v/>
      </c>
    </row>
    <row r="36" spans="1:11">
      <c r="A36" s="199" t="str">
        <f>'Fun Patches'!C28</f>
        <v>&lt;List Patch Here&gt;</v>
      </c>
      <c r="B36" s="50" t="str">
        <f>IF('Fun Patches'!D28="A","C","")</f>
        <v/>
      </c>
      <c r="D36" s="43"/>
      <c r="E36" s="363" t="str">
        <f>'Journey Awards'!C26</f>
        <v>Tula Award</v>
      </c>
      <c r="F36" s="364"/>
      <c r="G36" s="50" t="str">
        <f>IF('Journey Awards'!D26="A","A","")</f>
        <v/>
      </c>
      <c r="J36" s="31" t="str">
        <f>'Fun Patches'!C37</f>
        <v>&lt;List Patch Here&gt;</v>
      </c>
      <c r="K36" s="50" t="str">
        <f>IF('Fun Patches'!D37="A","C","")</f>
        <v/>
      </c>
    </row>
    <row r="37" spans="1:11">
      <c r="A37" s="198" t="str">
        <f>'Fun Patches'!C29</f>
        <v>&lt;List Patch Here&gt;</v>
      </c>
      <c r="B37" s="50" t="str">
        <f>IF('Fun Patches'!D29="A","C","")</f>
        <v/>
      </c>
      <c r="J37" s="31" t="str">
        <f>'Fun Patches'!C38</f>
        <v>&lt;List Patch Here&gt;</v>
      </c>
      <c r="K37" s="50" t="str">
        <f>IF('Fun Patches'!D38="A","C","")</f>
        <v/>
      </c>
    </row>
    <row r="38" spans="1:11" ht="12.75" customHeight="1">
      <c r="A38" s="282"/>
      <c r="B38" s="208"/>
      <c r="C38" s="142"/>
      <c r="D38" s="361" t="s">
        <v>102</v>
      </c>
      <c r="E38" s="300"/>
      <c r="F38" s="300"/>
      <c r="J38" s="31" t="str">
        <f>'Fun Patches'!C39</f>
        <v>&lt;List Patch Here&gt;</v>
      </c>
      <c r="K38" s="50" t="str">
        <f>IF('Fun Patches'!D39="A","C","")</f>
        <v/>
      </c>
    </row>
    <row r="39" spans="1:11" ht="13.5" customHeight="1">
      <c r="A39" s="103"/>
      <c r="B39" s="142"/>
      <c r="C39" s="142"/>
      <c r="E39" s="368" t="str">
        <f>'Fun Patches'!C30</f>
        <v>&lt;List Patch Here&gt;</v>
      </c>
      <c r="F39" s="369"/>
      <c r="G39" s="50" t="str">
        <f>IF('Fun Patches'!D30="A","C","")</f>
        <v/>
      </c>
      <c r="J39" s="31" t="str">
        <f>'Fun Patches'!C40</f>
        <v>&lt;List Patch Here&gt;</v>
      </c>
      <c r="K39" s="50" t="str">
        <f>IF('Fun Patches'!D40="A","C","")</f>
        <v/>
      </c>
    </row>
    <row r="40" spans="1:11" ht="13.5" customHeight="1">
      <c r="A40" s="143" t="s">
        <v>115</v>
      </c>
      <c r="B40" s="141"/>
      <c r="C40" s="142"/>
      <c r="E40" s="368" t="str">
        <f>'Fun Patches'!C31</f>
        <v>&lt;List Patch Here&gt;</v>
      </c>
      <c r="F40" s="369"/>
      <c r="G40" s="50" t="str">
        <f>IF('Fun Patches'!D31="A","C","")</f>
        <v/>
      </c>
      <c r="J40" s="31" t="str">
        <f>'Fun Patches'!C41</f>
        <v>&lt;List Patch Here&gt;</v>
      </c>
      <c r="K40" s="50" t="str">
        <f>IF('Fun Patches'!D41="A","C","")</f>
        <v/>
      </c>
    </row>
    <row r="41" spans="1:11" ht="13.5" customHeight="1">
      <c r="A41" s="145" t="s">
        <v>116</v>
      </c>
      <c r="B41" s="139"/>
      <c r="C41" s="140"/>
      <c r="E41" s="368" t="str">
        <f>'Fun Patches'!C32</f>
        <v>&lt;List Patch Here&gt;</v>
      </c>
      <c r="F41" s="369"/>
      <c r="G41" s="50" t="str">
        <f>IF('Fun Patches'!D32="A","C","")</f>
        <v/>
      </c>
      <c r="J41" s="31" t="str">
        <f>'Fun Patches'!C42</f>
        <v>&lt;List Patch Here&gt;</v>
      </c>
      <c r="K41" s="50" t="str">
        <f>IF('Fun Patches'!D42="A","C","")</f>
        <v/>
      </c>
    </row>
    <row r="42" spans="1:11">
      <c r="A42" s="146" t="s">
        <v>118</v>
      </c>
      <c r="B42" s="140"/>
      <c r="C42" s="140"/>
      <c r="E42" s="368" t="str">
        <f>'Fun Patches'!C33</f>
        <v>&lt;List Patch Here&gt;</v>
      </c>
      <c r="F42" s="369"/>
      <c r="G42" s="50" t="str">
        <f>IF('Fun Patches'!D33="A","C","")</f>
        <v/>
      </c>
      <c r="J42" s="31" t="str">
        <f>'Fun Patches'!C43</f>
        <v>&lt;List Patch Here&gt;</v>
      </c>
      <c r="K42" s="50" t="str">
        <f>IF('Fun Patches'!D43="A","C","")</f>
        <v/>
      </c>
    </row>
    <row r="43" spans="1:11">
      <c r="A43" s="147" t="s">
        <v>117</v>
      </c>
      <c r="B43" s="140"/>
      <c r="C43" s="140"/>
      <c r="E43" s="368" t="str">
        <f>'Fun Patches'!C34</f>
        <v>&lt;List Patch Here&gt;</v>
      </c>
      <c r="F43" s="369"/>
      <c r="G43" s="50" t="str">
        <f>IF('Fun Patches'!D34="A","C","")</f>
        <v/>
      </c>
      <c r="J43" s="31" t="str">
        <f>'Fun Patches'!C44</f>
        <v>&lt;List Patch Here&gt;</v>
      </c>
      <c r="K43" s="50" t="str">
        <f>IF('Fun Patches'!D44="A","C","")</f>
        <v/>
      </c>
    </row>
    <row r="44" spans="1:11">
      <c r="A44" s="144"/>
    </row>
  </sheetData>
  <sheetProtection password="C45A" sheet="1" objects="1" scenarios="1" selectLockedCells="1" selectUnlockedCells="1"/>
  <mergeCells count="25">
    <mergeCell ref="E39:F39"/>
    <mergeCell ref="E40:F40"/>
    <mergeCell ref="E41:F41"/>
    <mergeCell ref="E42:F42"/>
    <mergeCell ref="E43:F43"/>
    <mergeCell ref="A1:B1"/>
    <mergeCell ref="D1:G1"/>
    <mergeCell ref="D23:G24"/>
    <mergeCell ref="E26:F26"/>
    <mergeCell ref="D16:G17"/>
    <mergeCell ref="D18:E18"/>
    <mergeCell ref="D19:E19"/>
    <mergeCell ref="D20:E20"/>
    <mergeCell ref="D21:E21"/>
    <mergeCell ref="D38:F38"/>
    <mergeCell ref="I13:K14"/>
    <mergeCell ref="I1:K2"/>
    <mergeCell ref="E32:F32"/>
    <mergeCell ref="E34:F34"/>
    <mergeCell ref="E35:F35"/>
    <mergeCell ref="E36:F36"/>
    <mergeCell ref="E27:F27"/>
    <mergeCell ref="E28:F28"/>
    <mergeCell ref="E30:F30"/>
    <mergeCell ref="E31:F31"/>
  </mergeCells>
  <phoneticPr fontId="7" type="noConversion"/>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2</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IF(Petals!E6="A","A","")</f>
        <v/>
      </c>
      <c r="I3" s="211" t="str">
        <f>Bridging!B6</f>
        <v>Pass It On</v>
      </c>
      <c r="J3" s="211"/>
      <c r="K3" s="211"/>
    </row>
    <row r="4" spans="1:11">
      <c r="A4" s="66" t="s">
        <v>44</v>
      </c>
      <c r="B4" s="48" t="str">
        <f>IF(Petals!E18="C","C",IF(Petals!E18="P","P",""))</f>
        <v/>
      </c>
      <c r="D4" s="61" t="s">
        <v>44</v>
      </c>
      <c r="G4" s="34"/>
      <c r="I4" s="249">
        <v>1</v>
      </c>
      <c r="J4" s="252" t="str">
        <f>Bridging!C7</f>
        <v>Teach younger girls the GS Promise</v>
      </c>
      <c r="K4" s="50" t="str">
        <f>IF(Bridging!E7="A","A","")</f>
        <v/>
      </c>
    </row>
    <row r="5" spans="1:11">
      <c r="A5" s="207" t="s">
        <v>141</v>
      </c>
      <c r="B5" s="209">
        <f>INT(COUNTIF(G18:G21,"A"))</f>
        <v>0</v>
      </c>
      <c r="E5" s="31" t="str">
        <f>Petals!B8</f>
        <v>Lupe</v>
      </c>
      <c r="F5" s="31" t="str">
        <f>Petals!C8</f>
        <v>Honest and fair</v>
      </c>
      <c r="G5" s="50" t="str">
        <f>IF(Petals!E8="A","A","")</f>
        <v/>
      </c>
      <c r="I5" s="249">
        <v>2</v>
      </c>
      <c r="J5" s="252" t="str">
        <f>Bridging!C8</f>
        <v>Tell younger girls about the Flower</v>
      </c>
      <c r="K5" s="50" t="str">
        <f>IF(Bridging!E8="A","A","")</f>
        <v/>
      </c>
    </row>
    <row r="6" spans="1:11">
      <c r="A6" s="67" t="s">
        <v>62</v>
      </c>
      <c r="B6" s="54"/>
      <c r="E6" s="31" t="str">
        <f>Petals!B9</f>
        <v>Sunny</v>
      </c>
      <c r="F6" s="31" t="str">
        <f>Petals!C9</f>
        <v>Friendly and helpful</v>
      </c>
      <c r="G6" s="50" t="str">
        <f>IF(Petals!E9="A","A","")</f>
        <v/>
      </c>
      <c r="I6" s="249">
        <v>3</v>
      </c>
      <c r="J6" s="252" t="str">
        <f>Bridging!C9</f>
        <v>Play a game together!</v>
      </c>
      <c r="K6" s="50" t="str">
        <f>IF(Bridging!E9="A","A","")</f>
        <v/>
      </c>
    </row>
    <row r="7" spans="1:11">
      <c r="A7" s="206" t="str">
        <f>'Journey Awards'!A6</f>
        <v>Welcome to the Daisy Flower Garden</v>
      </c>
      <c r="B7" s="48" t="str">
        <f>IF('Journey Awards'!E11="C","C",IF('Journey Awards'!E11="P","P",""))</f>
        <v/>
      </c>
      <c r="E7" s="31" t="str">
        <f>Petals!B10</f>
        <v>Zinni</v>
      </c>
      <c r="F7" s="31" t="str">
        <f>Petals!C10</f>
        <v>Considerate and caring</v>
      </c>
      <c r="G7" s="50" t="str">
        <f>IF(Petals!E10="A","A","")</f>
        <v/>
      </c>
      <c r="I7" s="250" t="str">
        <f>Bridging!B11</f>
        <v>Look Ahead</v>
      </c>
      <c r="J7" s="59"/>
      <c r="K7" s="34"/>
    </row>
    <row r="8" spans="1:11">
      <c r="A8" s="206" t="str">
        <f>'Journey Awards'!A14</f>
        <v>Between Earth and Sky</v>
      </c>
      <c r="B8" s="48" t="str">
        <f>IF('Journey Awards'!E19="C","C",IF('Journey Awards'!E19="P","P",""))</f>
        <v/>
      </c>
      <c r="E8" s="31" t="str">
        <f>Petals!B11</f>
        <v>Tula</v>
      </c>
      <c r="F8" s="31" t="str">
        <f>Petals!C11</f>
        <v>Courageous and strong</v>
      </c>
      <c r="G8" s="50" t="str">
        <f>IF(Petals!E11="A","A","")</f>
        <v/>
      </c>
      <c r="I8" s="249">
        <v>1</v>
      </c>
      <c r="J8" s="252" t="str">
        <f>Bridging!C12</f>
        <v>Say the Girl Scout Promise together.</v>
      </c>
      <c r="K8" s="50" t="str">
        <f>IF(Bridging!E12="A","A","")</f>
        <v/>
      </c>
    </row>
    <row r="9" spans="1:11">
      <c r="A9" s="206" t="str">
        <f>'Journey Awards'!A22</f>
        <v>5 Flowers, 4 Stories, 3 Cheers for Animals!</v>
      </c>
      <c r="B9" s="48" t="str">
        <f>IF('Journey Awards'!E27="C","C",IF('Journey Awards'!E27="P","P",""))</f>
        <v/>
      </c>
      <c r="E9" s="31" t="str">
        <f>Petals!B12</f>
        <v>Mari</v>
      </c>
      <c r="F9" s="31" t="str">
        <f>Petals!C12</f>
        <v>Responsible for what I say and do</v>
      </c>
      <c r="G9" s="50" t="str">
        <f>IF(Petals!E12="A","A","")</f>
        <v/>
      </c>
      <c r="I9" s="249">
        <v>2</v>
      </c>
      <c r="J9" s="252" t="str">
        <f>Bridging!C13</f>
        <v>Ask the Brownies to teach you</v>
      </c>
      <c r="K9" s="50" t="str">
        <f>IF(Bridging!E13="A","A","")</f>
        <v/>
      </c>
    </row>
    <row r="10" spans="1:11">
      <c r="A10" s="90" t="s">
        <v>61</v>
      </c>
      <c r="B10" s="48" t="str">
        <f>IF(Bridging!E18="C","C",IF(Bridging!E18="P","P",""))</f>
        <v/>
      </c>
      <c r="E10" s="31" t="str">
        <f>Petals!B13</f>
        <v>Gloria</v>
      </c>
      <c r="F10" s="31" t="str">
        <f>Petals!C13</f>
        <v>Respect for myself &amp; others</v>
      </c>
      <c r="G10" s="50" t="str">
        <f>IF(Petals!E13="A","A","")</f>
        <v/>
      </c>
      <c r="I10" s="249">
        <v>4</v>
      </c>
      <c r="J10" s="252" t="str">
        <f>Bridging!C14</f>
        <v>Ask the Brownies to show you</v>
      </c>
      <c r="K10" s="50" t="str">
        <f>IF(Bridging!E14="A","A","")</f>
        <v/>
      </c>
    </row>
    <row r="11" spans="1:11">
      <c r="A11" s="250"/>
      <c r="B11" s="99"/>
      <c r="E11" s="31" t="str">
        <f>Petals!B14</f>
        <v>Gerri</v>
      </c>
      <c r="F11" s="31" t="str">
        <f>Petals!C14</f>
        <v>Respect authority</v>
      </c>
      <c r="G11" s="50" t="str">
        <f>IF(Petals!E14="A","A","")</f>
        <v/>
      </c>
      <c r="I11" s="232" t="str">
        <f>Bridging!C16</f>
        <v>Plan a Ceremony</v>
      </c>
      <c r="J11" s="59"/>
      <c r="K11" s="50" t="str">
        <f>IF(Bridging!E16="A","A","")</f>
        <v/>
      </c>
    </row>
    <row r="12" spans="1:11">
      <c r="A12" s="61" t="s">
        <v>100</v>
      </c>
      <c r="E12" s="31" t="str">
        <f>Petals!B15</f>
        <v>Clover</v>
      </c>
      <c r="F12" s="31" t="str">
        <f>Petals!C15</f>
        <v>Use resources wisely</v>
      </c>
      <c r="G12" s="50" t="str">
        <f>IF(Petals!E15="A","A","")</f>
        <v/>
      </c>
    </row>
    <row r="13" spans="1:11">
      <c r="A13" s="31" t="str">
        <f>'Fun Patches'!C5</f>
        <v>&lt;List Patch Here&gt;</v>
      </c>
      <c r="B13" s="50" t="str">
        <f>IF('Fun Patches'!E5="A","C","")</f>
        <v/>
      </c>
      <c r="E13" s="31" t="str">
        <f>Petals!B16</f>
        <v>Rosie</v>
      </c>
      <c r="F13" s="31" t="str">
        <f>Petals!C16</f>
        <v>Make the world a better place</v>
      </c>
      <c r="G13" s="50" t="str">
        <f>IF(Petals!E16="A","A","")</f>
        <v/>
      </c>
      <c r="I13" s="362" t="s">
        <v>71</v>
      </c>
      <c r="J13" s="362"/>
      <c r="K13" s="362"/>
    </row>
    <row r="14" spans="1:11">
      <c r="A14" s="31" t="str">
        <f>'Fun Patches'!C6</f>
        <v>&lt;List Patch Here&gt;</v>
      </c>
      <c r="B14" s="50" t="str">
        <f>IF('Fun Patches'!E6="A","C","")</f>
        <v/>
      </c>
      <c r="E14" s="31" t="str">
        <f>Petals!B17</f>
        <v>Vi</v>
      </c>
      <c r="F14" s="31" t="str">
        <f>Petals!C17</f>
        <v>Be a sister to every Girl Scout</v>
      </c>
      <c r="G14" s="50" t="str">
        <f>IF(Petals!E17="A","A","")</f>
        <v/>
      </c>
      <c r="I14" s="362"/>
      <c r="J14" s="362"/>
      <c r="K14" s="362"/>
    </row>
    <row r="15" spans="1:11">
      <c r="A15" s="31" t="str">
        <f>'Fun Patches'!C7</f>
        <v>&lt;List Patch Here&gt;</v>
      </c>
      <c r="B15" s="50" t="str">
        <f>IF('Fun Patches'!E7="A","C","")</f>
        <v/>
      </c>
      <c r="E15" s="73"/>
      <c r="F15" s="73"/>
      <c r="G15" s="208"/>
      <c r="I15" s="249"/>
      <c r="J15" s="252" t="str">
        <f>'Age-Level'!C6</f>
        <v>Cookie Rally (Year 1)</v>
      </c>
      <c r="K15" s="50" t="str">
        <f>IF('Age-Level'!E6="A","C","")</f>
        <v/>
      </c>
    </row>
    <row r="16" spans="1:11">
      <c r="A16" s="31" t="str">
        <f>'Fun Patches'!C8</f>
        <v>&lt;List Patch Here&gt;</v>
      </c>
      <c r="B16" s="50" t="str">
        <f>IF('Fun Patches'!E8="A","C","")</f>
        <v/>
      </c>
      <c r="D16" s="362" t="s">
        <v>141</v>
      </c>
      <c r="E16" s="300"/>
      <c r="F16" s="300"/>
      <c r="G16" s="300"/>
      <c r="I16" s="249"/>
      <c r="J16" s="252" t="str">
        <f>'Age-Level'!C7</f>
        <v>Cookie Sales (Year 1)</v>
      </c>
      <c r="K16" s="50" t="str">
        <f>IF('Age-Level'!E7="A","C","")</f>
        <v/>
      </c>
    </row>
    <row r="17" spans="1:11">
      <c r="A17" s="31" t="str">
        <f>'Fun Patches'!C9</f>
        <v>&lt;List Patch Here&gt;</v>
      </c>
      <c r="B17" s="50" t="str">
        <f>IF('Fun Patches'!E9="A","C","")</f>
        <v/>
      </c>
      <c r="D17" s="300"/>
      <c r="E17" s="300"/>
      <c r="F17" s="300"/>
      <c r="G17" s="300"/>
      <c r="I17" s="51"/>
      <c r="J17" s="252" t="str">
        <f>'Age-Level'!C8</f>
        <v>Cookie Pin (Year 1)</v>
      </c>
      <c r="K17" s="50" t="str">
        <f>IF('Age-Level'!E8="A","C","")</f>
        <v/>
      </c>
    </row>
    <row r="18" spans="1:11">
      <c r="A18" s="31" t="str">
        <f>'Fun Patches'!C10</f>
        <v>&lt;List Patch Here&gt;</v>
      </c>
      <c r="B18" s="50" t="str">
        <f>IF('Fun Patches'!E10="A","C","")</f>
        <v/>
      </c>
      <c r="D18" s="366" t="str">
        <f>Petals!B22</f>
        <v>Finance</v>
      </c>
      <c r="E18" s="367"/>
      <c r="F18" s="200" t="str">
        <f>Petals!B20</f>
        <v>Money Counts</v>
      </c>
      <c r="G18" s="50" t="str">
        <f>IF(Petals!E23="C","A","")</f>
        <v/>
      </c>
      <c r="I18" s="51"/>
      <c r="J18" s="252" t="str">
        <f>'Age-Level'!C9</f>
        <v>Cookie Rally (Year 2)</v>
      </c>
      <c r="K18" s="50" t="str">
        <f>IF('Age-Level'!E9="A","C","")</f>
        <v/>
      </c>
    </row>
    <row r="19" spans="1:11">
      <c r="A19" s="31" t="str">
        <f>'Fun Patches'!C11</f>
        <v>&lt;List Patch Here&gt;</v>
      </c>
      <c r="B19" s="50" t="str">
        <f>IF('Fun Patches'!E11="A","C","")</f>
        <v/>
      </c>
      <c r="D19" s="366" t="str">
        <f>Petals!B27</f>
        <v>Finance</v>
      </c>
      <c r="E19" s="367"/>
      <c r="F19" s="200" t="str">
        <f>Petals!B25</f>
        <v>Making Choices</v>
      </c>
      <c r="G19" s="50" t="str">
        <f>IF(Petals!E28="C","A","")</f>
        <v/>
      </c>
      <c r="I19" s="51"/>
      <c r="J19" s="252" t="str">
        <f>'Age-Level'!C10</f>
        <v>Cookie Sales (Year 2)</v>
      </c>
      <c r="K19" s="50" t="str">
        <f>IF('Age-Level'!E10="A","C","")</f>
        <v/>
      </c>
    </row>
    <row r="20" spans="1:11">
      <c r="A20" s="31" t="str">
        <f>'Fun Patches'!C12</f>
        <v>&lt;List Patch Here&gt;</v>
      </c>
      <c r="B20" s="50" t="str">
        <f>IF('Fun Patches'!E12="A","C","")</f>
        <v/>
      </c>
      <c r="D20" s="366" t="str">
        <f>Petals!B32</f>
        <v>Cookie</v>
      </c>
      <c r="E20" s="367"/>
      <c r="F20" s="200" t="str">
        <f>Petals!B30</f>
        <v>Count It Up</v>
      </c>
      <c r="G20" s="50" t="str">
        <f>IF(Petals!E33="C","A","")</f>
        <v/>
      </c>
      <c r="I20" s="52"/>
      <c r="J20" s="252" t="str">
        <f>'Age-Level'!C11</f>
        <v>Cookie Pin (Year 2)</v>
      </c>
      <c r="K20" s="50" t="str">
        <f>IF('Age-Level'!E11="A","C","")</f>
        <v/>
      </c>
    </row>
    <row r="21" spans="1:11">
      <c r="A21" s="31" t="str">
        <f>'Fun Patches'!C13</f>
        <v>&lt;List Patch Here&gt;</v>
      </c>
      <c r="B21" s="50" t="str">
        <f>IF('Fun Patches'!E13="A","C","")</f>
        <v/>
      </c>
      <c r="D21" s="366" t="str">
        <f>Petals!B37</f>
        <v>Cookie</v>
      </c>
      <c r="E21" s="367"/>
      <c r="F21" s="200" t="str">
        <f>Petals!B35</f>
        <v>Talk It Up</v>
      </c>
      <c r="G21" s="50" t="str">
        <f>IF(Petals!E38="C","A","")</f>
        <v/>
      </c>
      <c r="I21" s="53"/>
      <c r="J21" s="252" t="str">
        <f>'Age-Level'!C13</f>
        <v>Fall Sales (Year 1)</v>
      </c>
      <c r="K21" s="50" t="str">
        <f>IF('Age-Level'!E13="A","C","")</f>
        <v/>
      </c>
    </row>
    <row r="22" spans="1:11">
      <c r="A22" s="31" t="str">
        <f>'Fun Patches'!C14</f>
        <v>&lt;List Patch Here&gt;</v>
      </c>
      <c r="B22" s="50" t="str">
        <f>IF('Fun Patches'!E14="A","C","")</f>
        <v/>
      </c>
      <c r="I22" s="26"/>
      <c r="J22" s="252" t="str">
        <f>'Age-Level'!C14</f>
        <v>Fall Sales (Year 2)</v>
      </c>
      <c r="K22" s="50" t="str">
        <f>IF('Age-Level'!E14="A","C","")</f>
        <v/>
      </c>
    </row>
    <row r="23" spans="1:11">
      <c r="A23" s="31" t="str">
        <f>'Fun Patches'!C15</f>
        <v>&lt;List Patch Here&gt;</v>
      </c>
      <c r="B23" s="50" t="str">
        <f>IF('Fun Patches'!E15="A","C","")</f>
        <v/>
      </c>
      <c r="D23" s="362" t="s">
        <v>62</v>
      </c>
      <c r="E23" s="362"/>
      <c r="F23" s="362"/>
      <c r="G23" s="362"/>
      <c r="J23" s="252" t="str">
        <f>'Age-Level'!C16</f>
        <v>Thinking Day (Year 1)</v>
      </c>
      <c r="K23" s="50" t="str">
        <f>IF('Age-Level'!E16="A","C","")</f>
        <v/>
      </c>
    </row>
    <row r="24" spans="1:11">
      <c r="A24" s="31" t="str">
        <f>'Fun Patches'!C16</f>
        <v>&lt;List Patch Here&gt;</v>
      </c>
      <c r="B24" s="50" t="str">
        <f>IF('Fun Patches'!E16="A","C","")</f>
        <v/>
      </c>
      <c r="D24" s="362"/>
      <c r="E24" s="362"/>
      <c r="F24" s="362"/>
      <c r="G24" s="362"/>
      <c r="J24" s="252" t="str">
        <f>'Age-Level'!C17</f>
        <v>Thinking Day (Year 2)</v>
      </c>
      <c r="K24" s="50" t="str">
        <f>IF('Age-Level'!E17="A","C","")</f>
        <v/>
      </c>
    </row>
    <row r="25" spans="1:11">
      <c r="A25" s="31" t="str">
        <f>'Fun Patches'!C17</f>
        <v>&lt;List Patch Here&gt;</v>
      </c>
      <c r="B25" s="50" t="str">
        <f>IF('Fun Patches'!E17="A","C","")</f>
        <v/>
      </c>
      <c r="D25" s="250" t="str">
        <f>'Journey Awards'!A6</f>
        <v>Welcome to the Daisy Flower Garden</v>
      </c>
      <c r="F25" s="57"/>
      <c r="G25" s="248"/>
      <c r="J25" s="252" t="str">
        <f>'Age-Level'!C19</f>
        <v>Investiture</v>
      </c>
      <c r="K25" s="50" t="str">
        <f>IF('Age-Level'!E19="A","C","")</f>
        <v/>
      </c>
    </row>
    <row r="26" spans="1:11">
      <c r="A26" s="31" t="str">
        <f>'Fun Patches'!C18</f>
        <v>&lt;List Patch Here&gt;</v>
      </c>
      <c r="B26" s="50" t="str">
        <f>IF('Fun Patches'!E18="A","C","")</f>
        <v/>
      </c>
      <c r="D26" s="249"/>
      <c r="E26" s="363" t="s">
        <v>66</v>
      </c>
      <c r="F26" s="364"/>
      <c r="G26" s="50" t="str">
        <f>IF('Journey Awards'!E8="A","A","")</f>
        <v/>
      </c>
      <c r="J26" s="252" t="str">
        <f>'Age-Level'!C20</f>
        <v>Rededication (1st year)</v>
      </c>
      <c r="K26" s="50" t="str">
        <f>IF('Age-Level'!E20="A","C","")</f>
        <v/>
      </c>
    </row>
    <row r="27" spans="1:11">
      <c r="A27" s="31" t="str">
        <f>'Fun Patches'!C19</f>
        <v>&lt;List Patch Here&gt;</v>
      </c>
      <c r="B27" s="50" t="str">
        <f>IF('Fun Patches'!E19="A","C","")</f>
        <v/>
      </c>
      <c r="D27" s="249"/>
      <c r="E27" s="363" t="s">
        <v>67</v>
      </c>
      <c r="F27" s="364"/>
      <c r="G27" s="50" t="str">
        <f>IF('Journey Awards'!E9="A","A","")</f>
        <v/>
      </c>
      <c r="J27" s="252" t="str">
        <f>'Age-Level'!B21</f>
        <v>My Promise, My Faith (Year 1)</v>
      </c>
      <c r="K27" s="50" t="str">
        <f>IF('Age-Level'!E27="C","C","")</f>
        <v/>
      </c>
    </row>
    <row r="28" spans="1:11">
      <c r="A28" s="31" t="str">
        <f>'Fun Patches'!C20</f>
        <v>&lt;List Patch Here&gt;</v>
      </c>
      <c r="B28" s="50" t="str">
        <f>IF('Fun Patches'!E20="A","C","")</f>
        <v/>
      </c>
      <c r="D28" s="249"/>
      <c r="E28" s="363" t="s">
        <v>68</v>
      </c>
      <c r="F28" s="364"/>
      <c r="G28" s="50" t="str">
        <f>IF('Journey Awards'!E10="A","A","")</f>
        <v/>
      </c>
      <c r="J28" s="252" t="str">
        <f>'Age-Level'!B28</f>
        <v>My Promise, My Faith (Year 2)</v>
      </c>
      <c r="K28" s="50" t="str">
        <f>IF('Age-Level'!E34="C","C","")</f>
        <v/>
      </c>
    </row>
    <row r="29" spans="1:11">
      <c r="A29" s="31" t="str">
        <f>'Fun Patches'!C21</f>
        <v>&lt;List Patch Here&gt;</v>
      </c>
      <c r="B29" s="50" t="str">
        <f>IF('Fun Patches'!E21="A","C","")</f>
        <v/>
      </c>
      <c r="D29" s="102" t="str">
        <f>'Journey Awards'!A14</f>
        <v>Between Earth and Sky</v>
      </c>
      <c r="F29" s="59"/>
      <c r="G29" s="34"/>
      <c r="J29" s="252" t="str">
        <f>'Age-Level'!C36</f>
        <v>Global Action Award</v>
      </c>
      <c r="K29" s="50" t="str">
        <f>IF('Age-Level'!E36="A","C","")</f>
        <v/>
      </c>
    </row>
    <row r="30" spans="1:11">
      <c r="A30" s="31" t="str">
        <f>'Fun Patches'!C22</f>
        <v>&lt;List Patch Here&gt;</v>
      </c>
      <c r="B30" s="50" t="str">
        <f>IF('Fun Patches'!E22="A","C","")</f>
        <v/>
      </c>
      <c r="D30" s="249"/>
      <c r="E30" s="363" t="str">
        <f>'Journey Awards'!C16</f>
        <v>The Blue Bucket Award</v>
      </c>
      <c r="F30" s="364"/>
      <c r="G30" s="50" t="str">
        <f>IF('Journey Awards'!E16="A","A","")</f>
        <v/>
      </c>
      <c r="J30" s="252" t="str">
        <f>'Age-Level'!C38</f>
        <v>Journey Summit Pin</v>
      </c>
      <c r="K30" s="50" t="str">
        <f>IF('Age-Level'!E38="C","C","")</f>
        <v/>
      </c>
    </row>
    <row r="31" spans="1:11">
      <c r="A31" s="31" t="str">
        <f>'Fun Patches'!C23</f>
        <v>&lt;List Patch Here&gt;</v>
      </c>
      <c r="B31" s="50" t="str">
        <f>IF('Fun Patches'!E23="A","C","")</f>
        <v/>
      </c>
      <c r="D31" s="249"/>
      <c r="E31" s="363" t="str">
        <f>'Journey Awards'!C17</f>
        <v>The Firefly Award</v>
      </c>
      <c r="F31" s="364"/>
      <c r="G31" s="50" t="str">
        <f>IF('Journey Awards'!E17="A","A","")</f>
        <v/>
      </c>
      <c r="J31" s="252" t="str">
        <f>'Age-Level'!B39</f>
        <v>Safety Award</v>
      </c>
      <c r="K31" s="50" t="str">
        <f>IF('Age-Level'!E43="C","C","")</f>
        <v/>
      </c>
    </row>
    <row r="32" spans="1:11">
      <c r="A32" s="31" t="str">
        <f>'Fun Patches'!C24</f>
        <v>&lt;List Patch Here&gt;</v>
      </c>
      <c r="B32" s="50" t="str">
        <f>IF('Fun Patches'!E24="A","C","")</f>
        <v/>
      </c>
      <c r="D32" s="249"/>
      <c r="E32" s="363" t="str">
        <f>'Journey Awards'!C18</f>
        <v>The Clover Award</v>
      </c>
      <c r="F32" s="364"/>
      <c r="G32" s="50" t="str">
        <f>IF('Journey Awards'!E18="A","A","")</f>
        <v/>
      </c>
    </row>
    <row r="33" spans="1:11">
      <c r="A33" s="31" t="str">
        <f>'Fun Patches'!C25</f>
        <v>&lt;List Patch Here&gt;</v>
      </c>
      <c r="B33" s="50" t="str">
        <f>IF('Fun Patches'!E25="A","C","")</f>
        <v/>
      </c>
      <c r="D33" s="102" t="str">
        <f>'Journey Awards'!A22</f>
        <v>5 Flowers, 4 Stories, 3 Cheers for Animals!</v>
      </c>
      <c r="F33" s="59"/>
      <c r="G33" s="34" t="str">
        <f>IF('Journey Awards'!E15="A","A","")</f>
        <v/>
      </c>
      <c r="J33" s="61" t="s">
        <v>102</v>
      </c>
    </row>
    <row r="34" spans="1:11">
      <c r="A34" s="31" t="str">
        <f>'Fun Patches'!C26</f>
        <v>&lt;List Patch Here&gt;</v>
      </c>
      <c r="B34" s="50" t="str">
        <f>IF('Fun Patches'!E26="A","C","")</f>
        <v/>
      </c>
      <c r="D34" s="249"/>
      <c r="E34" s="363" t="str">
        <f>'Journey Awards'!C24</f>
        <v>Birdbath Award</v>
      </c>
      <c r="F34" s="364"/>
      <c r="G34" s="50" t="str">
        <f>IF('Journey Awards'!E24="A","A","")</f>
        <v/>
      </c>
      <c r="J34" s="31" t="str">
        <f>'Fun Patches'!C35</f>
        <v>&lt;List Patch Here&gt;</v>
      </c>
      <c r="K34" s="50" t="str">
        <f>IF('Fun Patches'!E35="A","C","")</f>
        <v/>
      </c>
    </row>
    <row r="35" spans="1:11">
      <c r="A35" s="31" t="str">
        <f>'Fun Patches'!C27</f>
        <v>&lt;List Patch Here&gt;</v>
      </c>
      <c r="B35" s="50" t="str">
        <f>IF('Fun Patches'!E27="A","C","")</f>
        <v/>
      </c>
      <c r="D35" s="249"/>
      <c r="E35" s="363" t="str">
        <f>'Journey Awards'!C25</f>
        <v>Red Robin Award</v>
      </c>
      <c r="F35" s="364"/>
      <c r="G35" s="50" t="str">
        <f>IF('Journey Awards'!E25="A","A","")</f>
        <v/>
      </c>
      <c r="J35" s="31" t="str">
        <f>'Fun Patches'!C36</f>
        <v>&lt;List Patch Here&gt;</v>
      </c>
      <c r="K35" s="50" t="str">
        <f>IF('Fun Patches'!E36="A","C","")</f>
        <v/>
      </c>
    </row>
    <row r="36" spans="1:11">
      <c r="A36" s="251" t="str">
        <f>'Fun Patches'!C28</f>
        <v>&lt;List Patch Here&gt;</v>
      </c>
      <c r="B36" s="50" t="str">
        <f>IF('Fun Patches'!E28="A","C","")</f>
        <v/>
      </c>
      <c r="D36" s="249"/>
      <c r="E36" s="363" t="str">
        <f>'Journey Awards'!C26</f>
        <v>Tula Award</v>
      </c>
      <c r="F36" s="364"/>
      <c r="G36" s="50" t="str">
        <f>IF('Journey Awards'!E26="A","A","")</f>
        <v/>
      </c>
      <c r="J36" s="31" t="str">
        <f>'Fun Patches'!C37</f>
        <v>&lt;List Patch Here&gt;</v>
      </c>
      <c r="K36" s="50" t="str">
        <f>IF('Fun Patches'!E37="A","C","")</f>
        <v/>
      </c>
    </row>
    <row r="37" spans="1:11">
      <c r="A37" s="253" t="str">
        <f>'Fun Patches'!C29</f>
        <v>&lt;List Patch Here&gt;</v>
      </c>
      <c r="B37" s="50" t="str">
        <f>IF('Fun Patches'!E29="A","C","")</f>
        <v/>
      </c>
      <c r="J37" s="31" t="str">
        <f>'Fun Patches'!C38</f>
        <v>&lt;List Patch Here&gt;</v>
      </c>
      <c r="K37" s="50" t="str">
        <f>IF('Fun Patches'!E38="A","C","")</f>
        <v/>
      </c>
    </row>
    <row r="38" spans="1:11" ht="12.75" customHeight="1">
      <c r="A38" s="282"/>
      <c r="B38" s="208"/>
      <c r="C38" s="142"/>
      <c r="D38" s="361" t="s">
        <v>102</v>
      </c>
      <c r="E38" s="300"/>
      <c r="F38" s="300"/>
      <c r="J38" s="31" t="str">
        <f>'Fun Patches'!C39</f>
        <v>&lt;List Patch Here&gt;</v>
      </c>
      <c r="K38" s="50" t="str">
        <f>IF('Fun Patches'!E39="A","C","")</f>
        <v/>
      </c>
    </row>
    <row r="39" spans="1:11" ht="13.5" customHeight="1">
      <c r="A39" s="103"/>
      <c r="B39" s="142"/>
      <c r="C39" s="142"/>
      <c r="E39" s="368" t="str">
        <f>'Fun Patches'!C30</f>
        <v>&lt;List Patch Here&gt;</v>
      </c>
      <c r="F39" s="369"/>
      <c r="G39" s="50" t="str">
        <f>IF('Fun Patches'!E30="A","C","")</f>
        <v/>
      </c>
      <c r="J39" s="31" t="str">
        <f>'Fun Patches'!C40</f>
        <v>&lt;List Patch Here&gt;</v>
      </c>
      <c r="K39" s="50" t="str">
        <f>IF('Fun Patches'!E40="A","C","")</f>
        <v/>
      </c>
    </row>
    <row r="40" spans="1:11" ht="13.5" customHeight="1">
      <c r="A40" s="143" t="s">
        <v>115</v>
      </c>
      <c r="B40" s="141"/>
      <c r="C40" s="142"/>
      <c r="E40" s="368" t="str">
        <f>'Fun Patches'!C31</f>
        <v>&lt;List Patch Here&gt;</v>
      </c>
      <c r="F40" s="369"/>
      <c r="G40" s="50" t="str">
        <f>IF('Fun Patches'!E31="A","C","")</f>
        <v/>
      </c>
      <c r="J40" s="31" t="str">
        <f>'Fun Patches'!C41</f>
        <v>&lt;List Patch Here&gt;</v>
      </c>
      <c r="K40" s="50" t="str">
        <f>IF('Fun Patches'!E41="A","C","")</f>
        <v/>
      </c>
    </row>
    <row r="41" spans="1:11" ht="13.5" customHeight="1">
      <c r="A41" s="145" t="s">
        <v>116</v>
      </c>
      <c r="B41" s="139"/>
      <c r="C41" s="140"/>
      <c r="E41" s="368" t="str">
        <f>'Fun Patches'!C32</f>
        <v>&lt;List Patch Here&gt;</v>
      </c>
      <c r="F41" s="369"/>
      <c r="G41" s="50" t="str">
        <f>IF('Fun Patches'!E32="A","C","")</f>
        <v/>
      </c>
      <c r="J41" s="31" t="str">
        <f>'Fun Patches'!C42</f>
        <v>&lt;List Patch Here&gt;</v>
      </c>
      <c r="K41" s="50" t="str">
        <f>IF('Fun Patches'!E42="A","C","")</f>
        <v/>
      </c>
    </row>
    <row r="42" spans="1:11">
      <c r="A42" s="146" t="s">
        <v>118</v>
      </c>
      <c r="B42" s="140"/>
      <c r="C42" s="140"/>
      <c r="E42" s="368" t="str">
        <f>'Fun Patches'!C33</f>
        <v>&lt;List Patch Here&gt;</v>
      </c>
      <c r="F42" s="369"/>
      <c r="G42" s="50" t="str">
        <f>IF('Fun Patches'!E33="A","C","")</f>
        <v/>
      </c>
      <c r="J42" s="31" t="str">
        <f>'Fun Patches'!C43</f>
        <v>&lt;List Patch Here&gt;</v>
      </c>
      <c r="K42" s="50" t="str">
        <f>IF('Fun Patches'!E43="A","C","")</f>
        <v/>
      </c>
    </row>
    <row r="43" spans="1:11">
      <c r="A43" s="147" t="s">
        <v>117</v>
      </c>
      <c r="B43" s="140"/>
      <c r="C43" s="140"/>
      <c r="E43" s="368" t="str">
        <f>'Fun Patches'!C34</f>
        <v>&lt;List Patch Here&gt;</v>
      </c>
      <c r="F43" s="369"/>
      <c r="G43" s="50" t="str">
        <f>IF('Fun Patches'!E34="A","C","")</f>
        <v/>
      </c>
      <c r="J43" s="31" t="str">
        <f>'Fun Patches'!C44</f>
        <v>&lt;List Patch Here&gt;</v>
      </c>
      <c r="K43" s="50" t="str">
        <f>IF('Fun Patches'!E44="A","C","")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3</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IF(Petals!F6="A","A","")</f>
        <v/>
      </c>
      <c r="I3" s="211" t="str">
        <f>Bridging!B6</f>
        <v>Pass It On</v>
      </c>
      <c r="J3" s="211"/>
      <c r="K3" s="211"/>
    </row>
    <row r="4" spans="1:11">
      <c r="A4" s="66" t="s">
        <v>44</v>
      </c>
      <c r="B4" s="48" t="str">
        <f>IF(Petals!F18="C","C",IF(Petals!F18="P","P",""))</f>
        <v/>
      </c>
      <c r="D4" s="61" t="s">
        <v>44</v>
      </c>
      <c r="G4" s="34"/>
      <c r="I4" s="249">
        <v>1</v>
      </c>
      <c r="J4" s="252" t="str">
        <f>Bridging!C7</f>
        <v>Teach younger girls the GS Promise</v>
      </c>
      <c r="K4" s="50" t="str">
        <f>IF(Bridging!F7="A","A","")</f>
        <v/>
      </c>
    </row>
    <row r="5" spans="1:11">
      <c r="A5" s="207" t="s">
        <v>141</v>
      </c>
      <c r="B5" s="209">
        <f>INT(COUNTIF(G18:G21,"A"))</f>
        <v>0</v>
      </c>
      <c r="E5" s="31" t="str">
        <f>Petals!B8</f>
        <v>Lupe</v>
      </c>
      <c r="F5" s="31" t="str">
        <f>Petals!C8</f>
        <v>Honest and fair</v>
      </c>
      <c r="G5" s="50" t="str">
        <f>IF(Petals!F8="A","A","")</f>
        <v/>
      </c>
      <c r="I5" s="249">
        <v>2</v>
      </c>
      <c r="J5" s="252" t="str">
        <f>Bridging!C8</f>
        <v>Tell younger girls about the Flower</v>
      </c>
      <c r="K5" s="50" t="str">
        <f>IF(Bridging!F8="A","A","")</f>
        <v/>
      </c>
    </row>
    <row r="6" spans="1:11">
      <c r="A6" s="67" t="s">
        <v>62</v>
      </c>
      <c r="B6" s="54"/>
      <c r="E6" s="31" t="str">
        <f>Petals!B9</f>
        <v>Sunny</v>
      </c>
      <c r="F6" s="31" t="str">
        <f>Petals!C9</f>
        <v>Friendly and helpful</v>
      </c>
      <c r="G6" s="50" t="str">
        <f>IF(Petals!F9="A","A","")</f>
        <v/>
      </c>
      <c r="I6" s="249">
        <v>3</v>
      </c>
      <c r="J6" s="252" t="str">
        <f>Bridging!C9</f>
        <v>Play a game together!</v>
      </c>
      <c r="K6" s="50" t="str">
        <f>IF(Bridging!F9="A","A","")</f>
        <v/>
      </c>
    </row>
    <row r="7" spans="1:11">
      <c r="A7" s="206" t="str">
        <f>'Journey Awards'!A6</f>
        <v>Welcome to the Daisy Flower Garden</v>
      </c>
      <c r="B7" s="48" t="str">
        <f>IF('Journey Awards'!F11="C","C",IF('Journey Awards'!F11="P","P",""))</f>
        <v/>
      </c>
      <c r="E7" s="31" t="str">
        <f>Petals!B10</f>
        <v>Zinni</v>
      </c>
      <c r="F7" s="31" t="str">
        <f>Petals!C10</f>
        <v>Considerate and caring</v>
      </c>
      <c r="G7" s="50" t="str">
        <f>IF(Petals!F10="A","A","")</f>
        <v/>
      </c>
      <c r="I7" s="250" t="str">
        <f>Bridging!B11</f>
        <v>Look Ahead</v>
      </c>
      <c r="J7" s="59"/>
      <c r="K7" s="34"/>
    </row>
    <row r="8" spans="1:11">
      <c r="A8" s="206" t="str">
        <f>'Journey Awards'!A14</f>
        <v>Between Earth and Sky</v>
      </c>
      <c r="B8" s="48" t="str">
        <f>IF('Journey Awards'!F19="C","C",IF('Journey Awards'!F19="P","P",""))</f>
        <v/>
      </c>
      <c r="E8" s="31" t="str">
        <f>Petals!B11</f>
        <v>Tula</v>
      </c>
      <c r="F8" s="31" t="str">
        <f>Petals!C11</f>
        <v>Courageous and strong</v>
      </c>
      <c r="G8" s="50" t="str">
        <f>IF(Petals!F11="A","A","")</f>
        <v/>
      </c>
      <c r="I8" s="249">
        <v>1</v>
      </c>
      <c r="J8" s="252" t="str">
        <f>Bridging!C12</f>
        <v>Say the Girl Scout Promise together.</v>
      </c>
      <c r="K8" s="50" t="str">
        <f>IF(Bridging!F12="A","A","")</f>
        <v/>
      </c>
    </row>
    <row r="9" spans="1:11">
      <c r="A9" s="206" t="str">
        <f>'Journey Awards'!A22</f>
        <v>5 Flowers, 4 Stories, 3 Cheers for Animals!</v>
      </c>
      <c r="B9" s="48" t="str">
        <f>IF('Journey Awards'!F27="C","C",IF('Journey Awards'!F27="P","P",""))</f>
        <v/>
      </c>
      <c r="E9" s="31" t="str">
        <f>Petals!B12</f>
        <v>Mari</v>
      </c>
      <c r="F9" s="31" t="str">
        <f>Petals!C12</f>
        <v>Responsible for what I say and do</v>
      </c>
      <c r="G9" s="50" t="str">
        <f>IF(Petals!F12="A","A","")</f>
        <v/>
      </c>
      <c r="I9" s="249">
        <v>2</v>
      </c>
      <c r="J9" s="252" t="str">
        <f>Bridging!C13</f>
        <v>Ask the Brownies to teach you</v>
      </c>
      <c r="K9" s="50" t="str">
        <f>IF(Bridging!F13="A","A","")</f>
        <v/>
      </c>
    </row>
    <row r="10" spans="1:11">
      <c r="A10" s="90" t="s">
        <v>61</v>
      </c>
      <c r="B10" s="48" t="str">
        <f>IF(Bridging!F18="C","C",IF(Bridging!F18="P","P",""))</f>
        <v/>
      </c>
      <c r="E10" s="31" t="str">
        <f>Petals!B13</f>
        <v>Gloria</v>
      </c>
      <c r="F10" s="31" t="str">
        <f>Petals!C13</f>
        <v>Respect for myself &amp; others</v>
      </c>
      <c r="G10" s="50" t="str">
        <f>IF(Petals!F13="A","A","")</f>
        <v/>
      </c>
      <c r="I10" s="249">
        <v>4</v>
      </c>
      <c r="J10" s="252" t="str">
        <f>Bridging!C14</f>
        <v>Ask the Brownies to show you</v>
      </c>
      <c r="K10" s="50" t="str">
        <f>IF(Bridging!F14="A","A","")</f>
        <v/>
      </c>
    </row>
    <row r="11" spans="1:11">
      <c r="A11" s="250"/>
      <c r="B11" s="99"/>
      <c r="E11" s="31" t="str">
        <f>Petals!B14</f>
        <v>Gerri</v>
      </c>
      <c r="F11" s="31" t="str">
        <f>Petals!C14</f>
        <v>Respect authority</v>
      </c>
      <c r="G11" s="50" t="str">
        <f>IF(Petals!F14="A","A","")</f>
        <v/>
      </c>
      <c r="I11" s="232" t="str">
        <f>Bridging!C16</f>
        <v>Plan a Ceremony</v>
      </c>
      <c r="J11" s="59"/>
      <c r="K11" s="50" t="str">
        <f>IF(Bridging!F16="A","A","")</f>
        <v/>
      </c>
    </row>
    <row r="12" spans="1:11">
      <c r="A12" s="61" t="s">
        <v>100</v>
      </c>
      <c r="E12" s="31" t="str">
        <f>Petals!B15</f>
        <v>Clover</v>
      </c>
      <c r="F12" s="31" t="str">
        <f>Petals!C15</f>
        <v>Use resources wisely</v>
      </c>
      <c r="G12" s="50" t="str">
        <f>IF(Petals!F15="A","A","")</f>
        <v/>
      </c>
    </row>
    <row r="13" spans="1:11">
      <c r="A13" s="31" t="str">
        <f>'Fun Patches'!C5</f>
        <v>&lt;List Patch Here&gt;</v>
      </c>
      <c r="B13" s="50" t="str">
        <f>IF('Fun Patches'!F5="A","C","")</f>
        <v/>
      </c>
      <c r="E13" s="31" t="str">
        <f>Petals!B16</f>
        <v>Rosie</v>
      </c>
      <c r="F13" s="31" t="str">
        <f>Petals!C16</f>
        <v>Make the world a better place</v>
      </c>
      <c r="G13" s="50" t="str">
        <f>IF(Petals!F16="A","A","")</f>
        <v/>
      </c>
      <c r="I13" s="362" t="s">
        <v>71</v>
      </c>
      <c r="J13" s="362"/>
      <c r="K13" s="362"/>
    </row>
    <row r="14" spans="1:11">
      <c r="A14" s="31" t="str">
        <f>'Fun Patches'!C6</f>
        <v>&lt;List Patch Here&gt;</v>
      </c>
      <c r="B14" s="50" t="str">
        <f>IF('Fun Patches'!F6="A","C","")</f>
        <v/>
      </c>
      <c r="E14" s="31" t="str">
        <f>Petals!B17</f>
        <v>Vi</v>
      </c>
      <c r="F14" s="31" t="str">
        <f>Petals!C17</f>
        <v>Be a sister to every Girl Scout</v>
      </c>
      <c r="G14" s="50" t="str">
        <f>IF(Petals!F17="A","A","")</f>
        <v/>
      </c>
      <c r="I14" s="362"/>
      <c r="J14" s="362"/>
      <c r="K14" s="362"/>
    </row>
    <row r="15" spans="1:11">
      <c r="A15" s="31" t="str">
        <f>'Fun Patches'!C7</f>
        <v>&lt;List Patch Here&gt;</v>
      </c>
      <c r="B15" s="50" t="str">
        <f>IF('Fun Patches'!F7="A","C","")</f>
        <v/>
      </c>
      <c r="E15" s="73"/>
      <c r="F15" s="73"/>
      <c r="G15" s="208"/>
      <c r="I15" s="249"/>
      <c r="J15" s="252" t="str">
        <f>'Age-Level'!C6</f>
        <v>Cookie Rally (Year 1)</v>
      </c>
      <c r="K15" s="50" t="str">
        <f>IF('Age-Level'!F6="A","C","")</f>
        <v/>
      </c>
    </row>
    <row r="16" spans="1:11">
      <c r="A16" s="31" t="str">
        <f>'Fun Patches'!C8</f>
        <v>&lt;List Patch Here&gt;</v>
      </c>
      <c r="B16" s="50" t="str">
        <f>IF('Fun Patches'!F8="A","C","")</f>
        <v/>
      </c>
      <c r="D16" s="362" t="s">
        <v>141</v>
      </c>
      <c r="E16" s="300"/>
      <c r="F16" s="300"/>
      <c r="G16" s="300"/>
      <c r="I16" s="249"/>
      <c r="J16" s="252" t="str">
        <f>'Age-Level'!C7</f>
        <v>Cookie Sales (Year 1)</v>
      </c>
      <c r="K16" s="50" t="str">
        <f>IF('Age-Level'!F7="A","C","")</f>
        <v/>
      </c>
    </row>
    <row r="17" spans="1:11">
      <c r="A17" s="31" t="str">
        <f>'Fun Patches'!C9</f>
        <v>&lt;List Patch Here&gt;</v>
      </c>
      <c r="B17" s="50" t="str">
        <f>IF('Fun Patches'!F9="A","C","")</f>
        <v/>
      </c>
      <c r="D17" s="300"/>
      <c r="E17" s="300"/>
      <c r="F17" s="300"/>
      <c r="G17" s="300"/>
      <c r="I17" s="51"/>
      <c r="J17" s="252" t="str">
        <f>'Age-Level'!C8</f>
        <v>Cookie Pin (Year 1)</v>
      </c>
      <c r="K17" s="50" t="str">
        <f>IF('Age-Level'!F8="A","C","")</f>
        <v/>
      </c>
    </row>
    <row r="18" spans="1:11">
      <c r="A18" s="31" t="str">
        <f>'Fun Patches'!C10</f>
        <v>&lt;List Patch Here&gt;</v>
      </c>
      <c r="B18" s="50" t="str">
        <f>IF('Fun Patches'!F10="A","C","")</f>
        <v/>
      </c>
      <c r="D18" s="366" t="str">
        <f>Petals!B22</f>
        <v>Finance</v>
      </c>
      <c r="E18" s="367"/>
      <c r="F18" s="200" t="str">
        <f>Petals!B20</f>
        <v>Money Counts</v>
      </c>
      <c r="G18" s="50" t="str">
        <f>IF(Petals!F23="C","A","")</f>
        <v/>
      </c>
      <c r="I18" s="51"/>
      <c r="J18" s="252" t="str">
        <f>'Age-Level'!C9</f>
        <v>Cookie Rally (Year 2)</v>
      </c>
      <c r="K18" s="50" t="str">
        <f>IF('Age-Level'!F9="A","C","")</f>
        <v/>
      </c>
    </row>
    <row r="19" spans="1:11">
      <c r="A19" s="31" t="str">
        <f>'Fun Patches'!C11</f>
        <v>&lt;List Patch Here&gt;</v>
      </c>
      <c r="B19" s="50" t="str">
        <f>IF('Fun Patches'!F11="A","C","")</f>
        <v/>
      </c>
      <c r="D19" s="366" t="str">
        <f>Petals!B27</f>
        <v>Finance</v>
      </c>
      <c r="E19" s="367"/>
      <c r="F19" s="200" t="str">
        <f>Petals!B25</f>
        <v>Making Choices</v>
      </c>
      <c r="G19" s="50" t="str">
        <f>IF(Petals!F28="C","A","")</f>
        <v/>
      </c>
      <c r="I19" s="51"/>
      <c r="J19" s="252" t="str">
        <f>'Age-Level'!C10</f>
        <v>Cookie Sales (Year 2)</v>
      </c>
      <c r="K19" s="50" t="str">
        <f>IF('Age-Level'!F10="A","C","")</f>
        <v/>
      </c>
    </row>
    <row r="20" spans="1:11">
      <c r="A20" s="31" t="str">
        <f>'Fun Patches'!C12</f>
        <v>&lt;List Patch Here&gt;</v>
      </c>
      <c r="B20" s="50" t="str">
        <f>IF('Fun Patches'!F12="A","C","")</f>
        <v/>
      </c>
      <c r="D20" s="366" t="str">
        <f>Petals!B32</f>
        <v>Cookie</v>
      </c>
      <c r="E20" s="367"/>
      <c r="F20" s="200" t="str">
        <f>Petals!B30</f>
        <v>Count It Up</v>
      </c>
      <c r="G20" s="50" t="str">
        <f>IF(Petals!F33="C","A","")</f>
        <v/>
      </c>
      <c r="I20" s="52"/>
      <c r="J20" s="252" t="str">
        <f>'Age-Level'!C11</f>
        <v>Cookie Pin (Year 2)</v>
      </c>
      <c r="K20" s="50" t="str">
        <f>IF('Age-Level'!F11="A","C","")</f>
        <v/>
      </c>
    </row>
    <row r="21" spans="1:11">
      <c r="A21" s="31" t="str">
        <f>'Fun Patches'!C13</f>
        <v>&lt;List Patch Here&gt;</v>
      </c>
      <c r="B21" s="50" t="str">
        <f>IF('Fun Patches'!F13="A","C","")</f>
        <v/>
      </c>
      <c r="D21" s="366" t="str">
        <f>Petals!B37</f>
        <v>Cookie</v>
      </c>
      <c r="E21" s="367"/>
      <c r="F21" s="200" t="str">
        <f>Petals!B35</f>
        <v>Talk It Up</v>
      </c>
      <c r="G21" s="50" t="str">
        <f>IF(Petals!F38="C","A","")</f>
        <v/>
      </c>
      <c r="I21" s="53"/>
      <c r="J21" s="252" t="str">
        <f>'Age-Level'!C13</f>
        <v>Fall Sales (Year 1)</v>
      </c>
      <c r="K21" s="50" t="str">
        <f>IF('Age-Level'!F13="A","C","")</f>
        <v/>
      </c>
    </row>
    <row r="22" spans="1:11">
      <c r="A22" s="31" t="str">
        <f>'Fun Patches'!C14</f>
        <v>&lt;List Patch Here&gt;</v>
      </c>
      <c r="B22" s="50" t="str">
        <f>IF('Fun Patches'!F14="A","C","")</f>
        <v/>
      </c>
      <c r="I22" s="26"/>
      <c r="J22" s="252" t="str">
        <f>'Age-Level'!C14</f>
        <v>Fall Sales (Year 2)</v>
      </c>
      <c r="K22" s="50" t="str">
        <f>IF('Age-Level'!F14="A","C","")</f>
        <v/>
      </c>
    </row>
    <row r="23" spans="1:11">
      <c r="A23" s="31" t="str">
        <f>'Fun Patches'!C15</f>
        <v>&lt;List Patch Here&gt;</v>
      </c>
      <c r="B23" s="50" t="str">
        <f>IF('Fun Patches'!F15="A","C","")</f>
        <v/>
      </c>
      <c r="D23" s="362" t="s">
        <v>62</v>
      </c>
      <c r="E23" s="362"/>
      <c r="F23" s="362"/>
      <c r="G23" s="362"/>
      <c r="J23" s="252" t="str">
        <f>'Age-Level'!C16</f>
        <v>Thinking Day (Year 1)</v>
      </c>
      <c r="K23" s="50" t="str">
        <f>IF('Age-Level'!F16="A","C","")</f>
        <v/>
      </c>
    </row>
    <row r="24" spans="1:11">
      <c r="A24" s="31" t="str">
        <f>'Fun Patches'!C16</f>
        <v>&lt;List Patch Here&gt;</v>
      </c>
      <c r="B24" s="50" t="str">
        <f>IF('Fun Patches'!F16="A","C","")</f>
        <v/>
      </c>
      <c r="D24" s="362"/>
      <c r="E24" s="362"/>
      <c r="F24" s="362"/>
      <c r="G24" s="362"/>
      <c r="J24" s="252" t="str">
        <f>'Age-Level'!C17</f>
        <v>Thinking Day (Year 2)</v>
      </c>
      <c r="K24" s="50" t="str">
        <f>IF('Age-Level'!F17="A","C","")</f>
        <v/>
      </c>
    </row>
    <row r="25" spans="1:11">
      <c r="A25" s="31" t="str">
        <f>'Fun Patches'!C17</f>
        <v>&lt;List Patch Here&gt;</v>
      </c>
      <c r="B25" s="50" t="str">
        <f>IF('Fun Patches'!F17="A","C","")</f>
        <v/>
      </c>
      <c r="D25" s="250" t="str">
        <f>'Journey Awards'!A6</f>
        <v>Welcome to the Daisy Flower Garden</v>
      </c>
      <c r="F25" s="57"/>
      <c r="G25" s="248"/>
      <c r="J25" s="252" t="str">
        <f>'Age-Level'!C19</f>
        <v>Investiture</v>
      </c>
      <c r="K25" s="50" t="str">
        <f>IF('Age-Level'!F19="A","C","")</f>
        <v/>
      </c>
    </row>
    <row r="26" spans="1:11">
      <c r="A26" s="31" t="str">
        <f>'Fun Patches'!C18</f>
        <v>&lt;List Patch Here&gt;</v>
      </c>
      <c r="B26" s="50" t="str">
        <f>IF('Fun Patches'!F18="A","C","")</f>
        <v/>
      </c>
      <c r="D26" s="249"/>
      <c r="E26" s="363" t="s">
        <v>66</v>
      </c>
      <c r="F26" s="364"/>
      <c r="G26" s="50" t="str">
        <f>IF('Journey Awards'!F8="A","A","")</f>
        <v/>
      </c>
      <c r="J26" s="252" t="str">
        <f>'Age-Level'!C20</f>
        <v>Rededication (1st year)</v>
      </c>
      <c r="K26" s="50" t="str">
        <f>IF('Age-Level'!F20="A","C","")</f>
        <v/>
      </c>
    </row>
    <row r="27" spans="1:11">
      <c r="A27" s="31" t="str">
        <f>'Fun Patches'!C19</f>
        <v>&lt;List Patch Here&gt;</v>
      </c>
      <c r="B27" s="50" t="str">
        <f>IF('Fun Patches'!F19="A","C","")</f>
        <v/>
      </c>
      <c r="D27" s="249"/>
      <c r="E27" s="363" t="s">
        <v>67</v>
      </c>
      <c r="F27" s="364"/>
      <c r="G27" s="50" t="str">
        <f>IF('Journey Awards'!F9="A","A","")</f>
        <v/>
      </c>
      <c r="J27" s="252" t="str">
        <f>'Age-Level'!B21</f>
        <v>My Promise, My Faith (Year 1)</v>
      </c>
      <c r="K27" s="50" t="str">
        <f>IF('Age-Level'!F27="C","C","")</f>
        <v/>
      </c>
    </row>
    <row r="28" spans="1:11">
      <c r="A28" s="31" t="str">
        <f>'Fun Patches'!C20</f>
        <v>&lt;List Patch Here&gt;</v>
      </c>
      <c r="B28" s="50" t="str">
        <f>IF('Fun Patches'!F20="A","C","")</f>
        <v/>
      </c>
      <c r="D28" s="249"/>
      <c r="E28" s="363" t="s">
        <v>68</v>
      </c>
      <c r="F28" s="364"/>
      <c r="G28" s="50" t="str">
        <f>IF('Journey Awards'!F10="A","A","")</f>
        <v/>
      </c>
      <c r="J28" s="252" t="str">
        <f>'Age-Level'!B28</f>
        <v>My Promise, My Faith (Year 2)</v>
      </c>
      <c r="K28" s="50" t="str">
        <f>IF('Age-Level'!F34="C","C","")</f>
        <v/>
      </c>
    </row>
    <row r="29" spans="1:11">
      <c r="A29" s="31" t="str">
        <f>'Fun Patches'!C21</f>
        <v>&lt;List Patch Here&gt;</v>
      </c>
      <c r="B29" s="50" t="str">
        <f>IF('Fun Patches'!F21="A","C","")</f>
        <v/>
      </c>
      <c r="D29" s="102" t="str">
        <f>'Journey Awards'!A14</f>
        <v>Between Earth and Sky</v>
      </c>
      <c r="F29" s="59"/>
      <c r="G29" s="34"/>
      <c r="J29" s="252" t="str">
        <f>'Age-Level'!C36</f>
        <v>Global Action Award</v>
      </c>
      <c r="K29" s="50" t="str">
        <f>IF('Age-Level'!F36="A","C","")</f>
        <v/>
      </c>
    </row>
    <row r="30" spans="1:11">
      <c r="A30" s="31" t="str">
        <f>'Fun Patches'!C22</f>
        <v>&lt;List Patch Here&gt;</v>
      </c>
      <c r="B30" s="50" t="str">
        <f>IF('Fun Patches'!F22="A","C","")</f>
        <v/>
      </c>
      <c r="D30" s="249"/>
      <c r="E30" s="363" t="str">
        <f>'Journey Awards'!C16</f>
        <v>The Blue Bucket Award</v>
      </c>
      <c r="F30" s="364"/>
      <c r="G30" s="50" t="str">
        <f>IF('Journey Awards'!F16="A","A","")</f>
        <v/>
      </c>
      <c r="J30" s="252" t="str">
        <f>'Age-Level'!C38</f>
        <v>Journey Summit Pin</v>
      </c>
      <c r="K30" s="50" t="str">
        <f>IF('Age-Level'!F38="C","C","")</f>
        <v/>
      </c>
    </row>
    <row r="31" spans="1:11">
      <c r="A31" s="31" t="str">
        <f>'Fun Patches'!C23</f>
        <v>&lt;List Patch Here&gt;</v>
      </c>
      <c r="B31" s="50" t="str">
        <f>IF('Fun Patches'!F23="A","C","")</f>
        <v/>
      </c>
      <c r="D31" s="249"/>
      <c r="E31" s="363" t="str">
        <f>'Journey Awards'!C17</f>
        <v>The Firefly Award</v>
      </c>
      <c r="F31" s="364"/>
      <c r="G31" s="50" t="str">
        <f>IF('Journey Awards'!F17="A","A","")</f>
        <v/>
      </c>
      <c r="J31" s="252" t="str">
        <f>'Age-Level'!B39</f>
        <v>Safety Award</v>
      </c>
      <c r="K31" s="50" t="str">
        <f>IF('Age-Level'!F43="C","C","")</f>
        <v/>
      </c>
    </row>
    <row r="32" spans="1:11">
      <c r="A32" s="31" t="str">
        <f>'Fun Patches'!C24</f>
        <v>&lt;List Patch Here&gt;</v>
      </c>
      <c r="B32" s="50" t="str">
        <f>IF('Fun Patches'!F24="A","C","")</f>
        <v/>
      </c>
      <c r="D32" s="249"/>
      <c r="E32" s="363" t="str">
        <f>'Journey Awards'!C18</f>
        <v>The Clover Award</v>
      </c>
      <c r="F32" s="364"/>
      <c r="G32" s="50" t="str">
        <f>IF('Journey Awards'!F18="A","A","")</f>
        <v/>
      </c>
    </row>
    <row r="33" spans="1:11">
      <c r="A33" s="31" t="str">
        <f>'Fun Patches'!C25</f>
        <v>&lt;List Patch Here&gt;</v>
      </c>
      <c r="B33" s="50" t="str">
        <f>IF('Fun Patches'!F25="A","C","")</f>
        <v/>
      </c>
      <c r="D33" s="102" t="str">
        <f>'Journey Awards'!A22</f>
        <v>5 Flowers, 4 Stories, 3 Cheers for Animals!</v>
      </c>
      <c r="F33" s="59"/>
      <c r="G33" s="34" t="str">
        <f>IF('Journey Awards'!F15="A","A","")</f>
        <v/>
      </c>
      <c r="J33" s="61" t="s">
        <v>102</v>
      </c>
    </row>
    <row r="34" spans="1:11">
      <c r="A34" s="31" t="str">
        <f>'Fun Patches'!C26</f>
        <v>&lt;List Patch Here&gt;</v>
      </c>
      <c r="B34" s="50" t="str">
        <f>IF('Fun Patches'!F26="A","C","")</f>
        <v/>
      </c>
      <c r="D34" s="249"/>
      <c r="E34" s="363" t="str">
        <f>'Journey Awards'!C24</f>
        <v>Birdbath Award</v>
      </c>
      <c r="F34" s="364"/>
      <c r="G34" s="50" t="str">
        <f>IF('Journey Awards'!F24="A","A","")</f>
        <v/>
      </c>
      <c r="J34" s="31" t="str">
        <f>'Fun Patches'!C35</f>
        <v>&lt;List Patch Here&gt;</v>
      </c>
      <c r="K34" s="50" t="str">
        <f>IF('Fun Patches'!F35="A","C","")</f>
        <v/>
      </c>
    </row>
    <row r="35" spans="1:11">
      <c r="A35" s="31" t="str">
        <f>'Fun Patches'!C27</f>
        <v>&lt;List Patch Here&gt;</v>
      </c>
      <c r="B35" s="50" t="str">
        <f>IF('Fun Patches'!F27="A","C","")</f>
        <v/>
      </c>
      <c r="D35" s="249"/>
      <c r="E35" s="363" t="str">
        <f>'Journey Awards'!C25</f>
        <v>Red Robin Award</v>
      </c>
      <c r="F35" s="364"/>
      <c r="G35" s="50" t="str">
        <f>IF('Journey Awards'!F25="A","A","")</f>
        <v/>
      </c>
      <c r="J35" s="31" t="str">
        <f>'Fun Patches'!C36</f>
        <v>&lt;List Patch Here&gt;</v>
      </c>
      <c r="K35" s="50" t="str">
        <f>IF('Fun Patches'!F36="A","C","")</f>
        <v/>
      </c>
    </row>
    <row r="36" spans="1:11">
      <c r="A36" s="251" t="str">
        <f>'Fun Patches'!C28</f>
        <v>&lt;List Patch Here&gt;</v>
      </c>
      <c r="B36" s="50" t="str">
        <f>IF('Fun Patches'!F28="A","C","")</f>
        <v/>
      </c>
      <c r="D36" s="249"/>
      <c r="E36" s="363" t="str">
        <f>'Journey Awards'!C26</f>
        <v>Tula Award</v>
      </c>
      <c r="F36" s="364"/>
      <c r="G36" s="50" t="str">
        <f>IF('Journey Awards'!F26="A","A","")</f>
        <v/>
      </c>
      <c r="J36" s="31" t="str">
        <f>'Fun Patches'!C37</f>
        <v>&lt;List Patch Here&gt;</v>
      </c>
      <c r="K36" s="50" t="str">
        <f>IF('Fun Patches'!F37="A","C","")</f>
        <v/>
      </c>
    </row>
    <row r="37" spans="1:11">
      <c r="A37" s="253" t="str">
        <f>'Fun Patches'!C29</f>
        <v>&lt;List Patch Here&gt;</v>
      </c>
      <c r="B37" s="50" t="str">
        <f>IF('Fun Patches'!F29="A","C","")</f>
        <v/>
      </c>
      <c r="J37" s="31" t="str">
        <f>'Fun Patches'!C38</f>
        <v>&lt;List Patch Here&gt;</v>
      </c>
      <c r="K37" s="50" t="str">
        <f>IF('Fun Patches'!F38="A","C","")</f>
        <v/>
      </c>
    </row>
    <row r="38" spans="1:11" ht="12.75" customHeight="1">
      <c r="A38" s="282"/>
      <c r="B38" s="208"/>
      <c r="C38" s="142"/>
      <c r="D38" s="361" t="s">
        <v>102</v>
      </c>
      <c r="E38" s="300"/>
      <c r="F38" s="300"/>
      <c r="J38" s="31" t="str">
        <f>'Fun Patches'!C39</f>
        <v>&lt;List Patch Here&gt;</v>
      </c>
      <c r="K38" s="50" t="str">
        <f>IF('Fun Patches'!F39="A","C","")</f>
        <v/>
      </c>
    </row>
    <row r="39" spans="1:11" ht="13.5" customHeight="1">
      <c r="A39" s="103"/>
      <c r="B39" s="142"/>
      <c r="C39" s="142"/>
      <c r="E39" s="368" t="str">
        <f>'Fun Patches'!C30</f>
        <v>&lt;List Patch Here&gt;</v>
      </c>
      <c r="F39" s="369"/>
      <c r="G39" s="50" t="str">
        <f>IF('Fun Patches'!F30="A","C","")</f>
        <v/>
      </c>
      <c r="J39" s="31" t="str">
        <f>'Fun Patches'!C40</f>
        <v>&lt;List Patch Here&gt;</v>
      </c>
      <c r="K39" s="50" t="str">
        <f>IF('Fun Patches'!F40="A","C","")</f>
        <v/>
      </c>
    </row>
    <row r="40" spans="1:11" ht="13.5" customHeight="1">
      <c r="A40" s="143" t="s">
        <v>115</v>
      </c>
      <c r="B40" s="141"/>
      <c r="C40" s="142"/>
      <c r="E40" s="368" t="str">
        <f>'Fun Patches'!C31</f>
        <v>&lt;List Patch Here&gt;</v>
      </c>
      <c r="F40" s="369"/>
      <c r="G40" s="50" t="str">
        <f>IF('Fun Patches'!F31="A","C","")</f>
        <v/>
      </c>
      <c r="J40" s="31" t="str">
        <f>'Fun Patches'!C41</f>
        <v>&lt;List Patch Here&gt;</v>
      </c>
      <c r="K40" s="50" t="str">
        <f>IF('Fun Patches'!F41="A","C","")</f>
        <v/>
      </c>
    </row>
    <row r="41" spans="1:11" ht="13.5" customHeight="1">
      <c r="A41" s="145" t="s">
        <v>116</v>
      </c>
      <c r="B41" s="139"/>
      <c r="C41" s="140"/>
      <c r="E41" s="368" t="str">
        <f>'Fun Patches'!C32</f>
        <v>&lt;List Patch Here&gt;</v>
      </c>
      <c r="F41" s="369"/>
      <c r="G41" s="50" t="str">
        <f>IF('Fun Patches'!F32="A","C","")</f>
        <v/>
      </c>
      <c r="J41" s="31" t="str">
        <f>'Fun Patches'!C42</f>
        <v>&lt;List Patch Here&gt;</v>
      </c>
      <c r="K41" s="50" t="str">
        <f>IF('Fun Patches'!F42="A","C","")</f>
        <v/>
      </c>
    </row>
    <row r="42" spans="1:11">
      <c r="A42" s="146" t="s">
        <v>118</v>
      </c>
      <c r="B42" s="140"/>
      <c r="C42" s="140"/>
      <c r="E42" s="368" t="str">
        <f>'Fun Patches'!C33</f>
        <v>&lt;List Patch Here&gt;</v>
      </c>
      <c r="F42" s="369"/>
      <c r="G42" s="50" t="str">
        <f>IF('Fun Patches'!F33="A","C","")</f>
        <v/>
      </c>
      <c r="J42" s="31" t="str">
        <f>'Fun Patches'!C43</f>
        <v>&lt;List Patch Here&gt;</v>
      </c>
      <c r="K42" s="50" t="str">
        <f>IF('Fun Patches'!F43="A","C","")</f>
        <v/>
      </c>
    </row>
    <row r="43" spans="1:11">
      <c r="A43" s="147" t="s">
        <v>117</v>
      </c>
      <c r="B43" s="140"/>
      <c r="C43" s="140"/>
      <c r="E43" s="368" t="str">
        <f>'Fun Patches'!C34</f>
        <v>&lt;List Patch Here&gt;</v>
      </c>
      <c r="F43" s="369"/>
      <c r="G43" s="50" t="str">
        <f>IF('Fun Patches'!F34="A","C","")</f>
        <v/>
      </c>
      <c r="J43" s="31" t="str">
        <f>'Fun Patches'!C44</f>
        <v>&lt;List Patch Here&gt;</v>
      </c>
      <c r="K43" s="50" t="str">
        <f>IF('Fun Patches'!F44="A","C","")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4</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IF(Petals!G6="A","A","")</f>
        <v/>
      </c>
      <c r="I3" s="211" t="str">
        <f>Bridging!B6</f>
        <v>Pass It On</v>
      </c>
      <c r="J3" s="211"/>
      <c r="K3" s="211"/>
    </row>
    <row r="4" spans="1:11">
      <c r="A4" s="66" t="s">
        <v>44</v>
      </c>
      <c r="B4" s="48" t="str">
        <f>IF(Petals!G18="C","C",IF(Petals!G18="P","P",""))</f>
        <v/>
      </c>
      <c r="D4" s="61" t="s">
        <v>44</v>
      </c>
      <c r="G4" s="34"/>
      <c r="I4" s="249">
        <v>1</v>
      </c>
      <c r="J4" s="252" t="str">
        <f>Bridging!C7</f>
        <v>Teach younger girls the GS Promise</v>
      </c>
      <c r="K4" s="50" t="str">
        <f>IF(Bridging!G7="A","A","")</f>
        <v/>
      </c>
    </row>
    <row r="5" spans="1:11">
      <c r="A5" s="207" t="s">
        <v>141</v>
      </c>
      <c r="B5" s="209">
        <f>INT(COUNTIF(G18:G21,"A"))</f>
        <v>0</v>
      </c>
      <c r="E5" s="31" t="str">
        <f>Petals!B8</f>
        <v>Lupe</v>
      </c>
      <c r="F5" s="31" t="str">
        <f>Petals!C8</f>
        <v>Honest and fair</v>
      </c>
      <c r="G5" s="50" t="str">
        <f>IF(Petals!G8="A","A","")</f>
        <v/>
      </c>
      <c r="I5" s="249">
        <v>2</v>
      </c>
      <c r="J5" s="252" t="str">
        <f>Bridging!C8</f>
        <v>Tell younger girls about the Flower</v>
      </c>
      <c r="K5" s="50" t="str">
        <f>IF(Bridging!G8="A","A","")</f>
        <v/>
      </c>
    </row>
    <row r="6" spans="1:11">
      <c r="A6" s="67" t="s">
        <v>62</v>
      </c>
      <c r="B6" s="54"/>
      <c r="E6" s="31" t="str">
        <f>Petals!B9</f>
        <v>Sunny</v>
      </c>
      <c r="F6" s="31" t="str">
        <f>Petals!C9</f>
        <v>Friendly and helpful</v>
      </c>
      <c r="G6" s="50" t="str">
        <f>IF(Petals!G9="A","A","")</f>
        <v/>
      </c>
      <c r="I6" s="249">
        <v>3</v>
      </c>
      <c r="J6" s="252" t="str">
        <f>Bridging!C9</f>
        <v>Play a game together!</v>
      </c>
      <c r="K6" s="50" t="str">
        <f>IF(Bridging!G9="A","A","")</f>
        <v/>
      </c>
    </row>
    <row r="7" spans="1:11">
      <c r="A7" s="206" t="str">
        <f>'Journey Awards'!A6</f>
        <v>Welcome to the Daisy Flower Garden</v>
      </c>
      <c r="B7" s="48" t="str">
        <f>IF('Journey Awards'!G11="C","C",IF('Journey Awards'!G11="P","P",""))</f>
        <v/>
      </c>
      <c r="E7" s="31" t="str">
        <f>Petals!B10</f>
        <v>Zinni</v>
      </c>
      <c r="F7" s="31" t="str">
        <f>Petals!C10</f>
        <v>Considerate and caring</v>
      </c>
      <c r="G7" s="50" t="str">
        <f>IF(Petals!G10="A","A","")</f>
        <v/>
      </c>
      <c r="I7" s="250" t="str">
        <f>Bridging!B11</f>
        <v>Look Ahead</v>
      </c>
      <c r="J7" s="59"/>
      <c r="K7" s="34"/>
    </row>
    <row r="8" spans="1:11">
      <c r="A8" s="206" t="str">
        <f>'Journey Awards'!A14</f>
        <v>Between Earth and Sky</v>
      </c>
      <c r="B8" s="48" t="str">
        <f>IF('Journey Awards'!G19="C","C",IF('Journey Awards'!G19="P","P",""))</f>
        <v/>
      </c>
      <c r="E8" s="31" t="str">
        <f>Petals!B11</f>
        <v>Tula</v>
      </c>
      <c r="F8" s="31" t="str">
        <f>Petals!C11</f>
        <v>Courageous and strong</v>
      </c>
      <c r="G8" s="50" t="str">
        <f>IF(Petals!G11="A","A","")</f>
        <v/>
      </c>
      <c r="I8" s="249">
        <v>1</v>
      </c>
      <c r="J8" s="252" t="str">
        <f>Bridging!C12</f>
        <v>Say the Girl Scout Promise together.</v>
      </c>
      <c r="K8" s="50" t="str">
        <f>IF(Bridging!G12="A","A","")</f>
        <v/>
      </c>
    </row>
    <row r="9" spans="1:11">
      <c r="A9" s="206" t="str">
        <f>'Journey Awards'!A22</f>
        <v>5 Flowers, 4 Stories, 3 Cheers for Animals!</v>
      </c>
      <c r="B9" s="48" t="str">
        <f>IF('Journey Awards'!G27="C","C",IF('Journey Awards'!G27="P","P",""))</f>
        <v/>
      </c>
      <c r="E9" s="31" t="str">
        <f>Petals!B12</f>
        <v>Mari</v>
      </c>
      <c r="F9" s="31" t="str">
        <f>Petals!C12</f>
        <v>Responsible for what I say and do</v>
      </c>
      <c r="G9" s="50" t="str">
        <f>IF(Petals!G12="A","A","")</f>
        <v/>
      </c>
      <c r="I9" s="249">
        <v>2</v>
      </c>
      <c r="J9" s="252" t="str">
        <f>Bridging!C13</f>
        <v>Ask the Brownies to teach you</v>
      </c>
      <c r="K9" s="50" t="str">
        <f>IF(Bridging!G13="A","A","")</f>
        <v/>
      </c>
    </row>
    <row r="10" spans="1:11">
      <c r="A10" s="90" t="s">
        <v>61</v>
      </c>
      <c r="B10" s="48" t="str">
        <f>IF(Bridging!G18="C","C",IF(Bridging!G18="P","P",""))</f>
        <v/>
      </c>
      <c r="E10" s="31" t="str">
        <f>Petals!B13</f>
        <v>Gloria</v>
      </c>
      <c r="F10" s="31" t="str">
        <f>Petals!C13</f>
        <v>Respect for myself &amp; others</v>
      </c>
      <c r="G10" s="50" t="str">
        <f>IF(Petals!G13="A","A","")</f>
        <v/>
      </c>
      <c r="I10" s="249">
        <v>4</v>
      </c>
      <c r="J10" s="252" t="str">
        <f>Bridging!C14</f>
        <v>Ask the Brownies to show you</v>
      </c>
      <c r="K10" s="50" t="str">
        <f>IF(Bridging!G14="A","A","")</f>
        <v/>
      </c>
    </row>
    <row r="11" spans="1:11">
      <c r="A11" s="250"/>
      <c r="B11" s="99"/>
      <c r="E11" s="31" t="str">
        <f>Petals!B14</f>
        <v>Gerri</v>
      </c>
      <c r="F11" s="31" t="str">
        <f>Petals!C14</f>
        <v>Respect authority</v>
      </c>
      <c r="G11" s="50" t="str">
        <f>IF(Petals!G14="A","A","")</f>
        <v/>
      </c>
      <c r="I11" s="232" t="str">
        <f>Bridging!C16</f>
        <v>Plan a Ceremony</v>
      </c>
      <c r="J11" s="59"/>
      <c r="K11" s="50" t="str">
        <f>IF(Bridging!G16="A","A","")</f>
        <v/>
      </c>
    </row>
    <row r="12" spans="1:11">
      <c r="A12" s="61" t="s">
        <v>100</v>
      </c>
      <c r="E12" s="31" t="str">
        <f>Petals!B15</f>
        <v>Clover</v>
      </c>
      <c r="F12" s="31" t="str">
        <f>Petals!C15</f>
        <v>Use resources wisely</v>
      </c>
      <c r="G12" s="50" t="str">
        <f>IF(Petals!G15="A","A","")</f>
        <v/>
      </c>
    </row>
    <row r="13" spans="1:11">
      <c r="A13" s="31" t="str">
        <f>'Fun Patches'!C5</f>
        <v>&lt;List Patch Here&gt;</v>
      </c>
      <c r="B13" s="50" t="str">
        <f>IF('Fun Patches'!G5="A","C","")</f>
        <v/>
      </c>
      <c r="E13" s="31" t="str">
        <f>Petals!B16</f>
        <v>Rosie</v>
      </c>
      <c r="F13" s="31" t="str">
        <f>Petals!C16</f>
        <v>Make the world a better place</v>
      </c>
      <c r="G13" s="50" t="str">
        <f>IF(Petals!G16="A","A","")</f>
        <v/>
      </c>
      <c r="I13" s="362" t="s">
        <v>71</v>
      </c>
      <c r="J13" s="362"/>
      <c r="K13" s="362"/>
    </row>
    <row r="14" spans="1:11">
      <c r="A14" s="31" t="str">
        <f>'Fun Patches'!C6</f>
        <v>&lt;List Patch Here&gt;</v>
      </c>
      <c r="B14" s="50" t="str">
        <f>IF('Fun Patches'!G6="A","C","")</f>
        <v/>
      </c>
      <c r="E14" s="31" t="str">
        <f>Petals!B17</f>
        <v>Vi</v>
      </c>
      <c r="F14" s="31" t="str">
        <f>Petals!C17</f>
        <v>Be a sister to every Girl Scout</v>
      </c>
      <c r="G14" s="50" t="str">
        <f>IF(Petals!G17="A","A","")</f>
        <v/>
      </c>
      <c r="I14" s="362"/>
      <c r="J14" s="362"/>
      <c r="K14" s="362"/>
    </row>
    <row r="15" spans="1:11">
      <c r="A15" s="31" t="str">
        <f>'Fun Patches'!C7</f>
        <v>&lt;List Patch Here&gt;</v>
      </c>
      <c r="B15" s="50" t="str">
        <f>IF('Fun Patches'!G7="A","C","")</f>
        <v/>
      </c>
      <c r="E15" s="73"/>
      <c r="F15" s="73"/>
      <c r="G15" s="208"/>
      <c r="I15" s="249"/>
      <c r="J15" s="252" t="str">
        <f>'Age-Level'!C6</f>
        <v>Cookie Rally (Year 1)</v>
      </c>
      <c r="K15" s="50" t="str">
        <f>IF('Age-Level'!G6="A","C","")</f>
        <v/>
      </c>
    </row>
    <row r="16" spans="1:11">
      <c r="A16" s="31" t="str">
        <f>'Fun Patches'!C8</f>
        <v>&lt;List Patch Here&gt;</v>
      </c>
      <c r="B16" s="50" t="str">
        <f>IF('Fun Patches'!G8="A","C","")</f>
        <v/>
      </c>
      <c r="D16" s="362" t="s">
        <v>141</v>
      </c>
      <c r="E16" s="300"/>
      <c r="F16" s="300"/>
      <c r="G16" s="300"/>
      <c r="I16" s="249"/>
      <c r="J16" s="252" t="str">
        <f>'Age-Level'!C7</f>
        <v>Cookie Sales (Year 1)</v>
      </c>
      <c r="K16" s="50" t="str">
        <f>IF('Age-Level'!G7="A","C","")</f>
        <v/>
      </c>
    </row>
    <row r="17" spans="1:11">
      <c r="A17" s="31" t="str">
        <f>'Fun Patches'!C9</f>
        <v>&lt;List Patch Here&gt;</v>
      </c>
      <c r="B17" s="50" t="str">
        <f>IF('Fun Patches'!G9="A","C","")</f>
        <v/>
      </c>
      <c r="D17" s="300"/>
      <c r="E17" s="300"/>
      <c r="F17" s="300"/>
      <c r="G17" s="300"/>
      <c r="I17" s="51"/>
      <c r="J17" s="252" t="str">
        <f>'Age-Level'!C8</f>
        <v>Cookie Pin (Year 1)</v>
      </c>
      <c r="K17" s="50" t="str">
        <f>IF('Age-Level'!G8="A","C","")</f>
        <v/>
      </c>
    </row>
    <row r="18" spans="1:11">
      <c r="A18" s="31" t="str">
        <f>'Fun Patches'!C10</f>
        <v>&lt;List Patch Here&gt;</v>
      </c>
      <c r="B18" s="50" t="str">
        <f>IF('Fun Patches'!G10="A","C","")</f>
        <v/>
      </c>
      <c r="D18" s="366" t="str">
        <f>Petals!B22</f>
        <v>Finance</v>
      </c>
      <c r="E18" s="367"/>
      <c r="F18" s="200" t="str">
        <f>Petals!B20</f>
        <v>Money Counts</v>
      </c>
      <c r="G18" s="50" t="str">
        <f>IF(Petals!G23="C","A","")</f>
        <v/>
      </c>
      <c r="I18" s="51"/>
      <c r="J18" s="252" t="str">
        <f>'Age-Level'!C9</f>
        <v>Cookie Rally (Year 2)</v>
      </c>
      <c r="K18" s="50" t="str">
        <f>IF('Age-Level'!G9="A","C","")</f>
        <v/>
      </c>
    </row>
    <row r="19" spans="1:11">
      <c r="A19" s="31" t="str">
        <f>'Fun Patches'!C11</f>
        <v>&lt;List Patch Here&gt;</v>
      </c>
      <c r="B19" s="50" t="str">
        <f>IF('Fun Patches'!G11="A","C","")</f>
        <v/>
      </c>
      <c r="D19" s="366" t="str">
        <f>Petals!B27</f>
        <v>Finance</v>
      </c>
      <c r="E19" s="367"/>
      <c r="F19" s="200" t="str">
        <f>Petals!B25</f>
        <v>Making Choices</v>
      </c>
      <c r="G19" s="50" t="str">
        <f>IF(Petals!G28="C","A","")</f>
        <v/>
      </c>
      <c r="I19" s="51"/>
      <c r="J19" s="252" t="str">
        <f>'Age-Level'!C10</f>
        <v>Cookie Sales (Year 2)</v>
      </c>
      <c r="K19" s="50" t="str">
        <f>IF('Age-Level'!G10="A","C","")</f>
        <v/>
      </c>
    </row>
    <row r="20" spans="1:11">
      <c r="A20" s="31" t="str">
        <f>'Fun Patches'!C12</f>
        <v>&lt;List Patch Here&gt;</v>
      </c>
      <c r="B20" s="50" t="str">
        <f>IF('Fun Patches'!G12="A","C","")</f>
        <v/>
      </c>
      <c r="D20" s="366" t="str">
        <f>Petals!B32</f>
        <v>Cookie</v>
      </c>
      <c r="E20" s="367"/>
      <c r="F20" s="200" t="str">
        <f>Petals!B30</f>
        <v>Count It Up</v>
      </c>
      <c r="G20" s="50" t="str">
        <f>IF(Petals!G33="C","A","")</f>
        <v/>
      </c>
      <c r="I20" s="52"/>
      <c r="J20" s="252" t="str">
        <f>'Age-Level'!C11</f>
        <v>Cookie Pin (Year 2)</v>
      </c>
      <c r="K20" s="50" t="str">
        <f>IF('Age-Level'!G11="A","C","")</f>
        <v/>
      </c>
    </row>
    <row r="21" spans="1:11">
      <c r="A21" s="31" t="str">
        <f>'Fun Patches'!C13</f>
        <v>&lt;List Patch Here&gt;</v>
      </c>
      <c r="B21" s="50" t="str">
        <f>IF('Fun Patches'!G13="A","C","")</f>
        <v/>
      </c>
      <c r="D21" s="366" t="str">
        <f>Petals!B37</f>
        <v>Cookie</v>
      </c>
      <c r="E21" s="367"/>
      <c r="F21" s="200" t="str">
        <f>Petals!B35</f>
        <v>Talk It Up</v>
      </c>
      <c r="G21" s="50" t="str">
        <f>IF(Petals!G38="C","A","")</f>
        <v/>
      </c>
      <c r="I21" s="53"/>
      <c r="J21" s="252" t="str">
        <f>'Age-Level'!C13</f>
        <v>Fall Sales (Year 1)</v>
      </c>
      <c r="K21" s="50" t="str">
        <f>IF('Age-Level'!G13="A","C","")</f>
        <v/>
      </c>
    </row>
    <row r="22" spans="1:11">
      <c r="A22" s="31" t="str">
        <f>'Fun Patches'!C14</f>
        <v>&lt;List Patch Here&gt;</v>
      </c>
      <c r="B22" s="50" t="str">
        <f>IF('Fun Patches'!G14="A","C","")</f>
        <v/>
      </c>
      <c r="I22" s="26"/>
      <c r="J22" s="252" t="str">
        <f>'Age-Level'!C14</f>
        <v>Fall Sales (Year 2)</v>
      </c>
      <c r="K22" s="50" t="str">
        <f>IF('Age-Level'!G14="A","C","")</f>
        <v/>
      </c>
    </row>
    <row r="23" spans="1:11">
      <c r="A23" s="31" t="str">
        <f>'Fun Patches'!C15</f>
        <v>&lt;List Patch Here&gt;</v>
      </c>
      <c r="B23" s="50" t="str">
        <f>IF('Fun Patches'!G15="A","C","")</f>
        <v/>
      </c>
      <c r="D23" s="362" t="s">
        <v>62</v>
      </c>
      <c r="E23" s="362"/>
      <c r="F23" s="362"/>
      <c r="G23" s="362"/>
      <c r="J23" s="252" t="str">
        <f>'Age-Level'!C16</f>
        <v>Thinking Day (Year 1)</v>
      </c>
      <c r="K23" s="50" t="str">
        <f>IF('Age-Level'!G16="A","C","")</f>
        <v/>
      </c>
    </row>
    <row r="24" spans="1:11">
      <c r="A24" s="31" t="str">
        <f>'Fun Patches'!C16</f>
        <v>&lt;List Patch Here&gt;</v>
      </c>
      <c r="B24" s="50" t="str">
        <f>IF('Fun Patches'!G16="A","C","")</f>
        <v/>
      </c>
      <c r="D24" s="362"/>
      <c r="E24" s="362"/>
      <c r="F24" s="362"/>
      <c r="G24" s="362"/>
      <c r="J24" s="252" t="str">
        <f>'Age-Level'!C17</f>
        <v>Thinking Day (Year 2)</v>
      </c>
      <c r="K24" s="50" t="str">
        <f>IF('Age-Level'!G17="A","C","")</f>
        <v/>
      </c>
    </row>
    <row r="25" spans="1:11">
      <c r="A25" s="31" t="str">
        <f>'Fun Patches'!C17</f>
        <v>&lt;List Patch Here&gt;</v>
      </c>
      <c r="B25" s="50" t="str">
        <f>IF('Fun Patches'!G17="A","C","")</f>
        <v/>
      </c>
      <c r="D25" s="250" t="str">
        <f>'Journey Awards'!A6</f>
        <v>Welcome to the Daisy Flower Garden</v>
      </c>
      <c r="F25" s="57"/>
      <c r="G25" s="248"/>
      <c r="J25" s="252" t="str">
        <f>'Age-Level'!C19</f>
        <v>Investiture</v>
      </c>
      <c r="K25" s="50" t="str">
        <f>IF('Age-Level'!G19="A","C","")</f>
        <v/>
      </c>
    </row>
    <row r="26" spans="1:11">
      <c r="A26" s="31" t="str">
        <f>'Fun Patches'!C18</f>
        <v>&lt;List Patch Here&gt;</v>
      </c>
      <c r="B26" s="50" t="str">
        <f>IF('Fun Patches'!G18="A","C","")</f>
        <v/>
      </c>
      <c r="D26" s="249"/>
      <c r="E26" s="363" t="s">
        <v>66</v>
      </c>
      <c r="F26" s="364"/>
      <c r="G26" s="50" t="str">
        <f>IF('Journey Awards'!G8="A","A","")</f>
        <v/>
      </c>
      <c r="J26" s="252" t="str">
        <f>'Age-Level'!C20</f>
        <v>Rededication (1st year)</v>
      </c>
      <c r="K26" s="50" t="str">
        <f>IF('Age-Level'!G20="A","C","")</f>
        <v/>
      </c>
    </row>
    <row r="27" spans="1:11">
      <c r="A27" s="31" t="str">
        <f>'Fun Patches'!C19</f>
        <v>&lt;List Patch Here&gt;</v>
      </c>
      <c r="B27" s="50" t="str">
        <f>IF('Fun Patches'!G19="A","C","")</f>
        <v/>
      </c>
      <c r="D27" s="249"/>
      <c r="E27" s="363" t="s">
        <v>67</v>
      </c>
      <c r="F27" s="364"/>
      <c r="G27" s="50" t="str">
        <f>IF('Journey Awards'!G9="A","A","")</f>
        <v/>
      </c>
      <c r="J27" s="252" t="str">
        <f>'Age-Level'!B21</f>
        <v>My Promise, My Faith (Year 1)</v>
      </c>
      <c r="K27" s="50" t="str">
        <f>IF('Age-Level'!G27="C","C","")</f>
        <v/>
      </c>
    </row>
    <row r="28" spans="1:11">
      <c r="A28" s="31" t="str">
        <f>'Fun Patches'!C20</f>
        <v>&lt;List Patch Here&gt;</v>
      </c>
      <c r="B28" s="50" t="str">
        <f>IF('Fun Patches'!G20="A","C","")</f>
        <v/>
      </c>
      <c r="D28" s="249"/>
      <c r="E28" s="363" t="s">
        <v>68</v>
      </c>
      <c r="F28" s="364"/>
      <c r="G28" s="50" t="str">
        <f>IF('Journey Awards'!G10="A","A","")</f>
        <v/>
      </c>
      <c r="J28" s="252" t="str">
        <f>'Age-Level'!B28</f>
        <v>My Promise, My Faith (Year 2)</v>
      </c>
      <c r="K28" s="50" t="str">
        <f>IF('Age-Level'!G34="C","C","")</f>
        <v/>
      </c>
    </row>
    <row r="29" spans="1:11">
      <c r="A29" s="31" t="str">
        <f>'Fun Patches'!C21</f>
        <v>&lt;List Patch Here&gt;</v>
      </c>
      <c r="B29" s="50" t="str">
        <f>IF('Fun Patches'!G21="A","C","")</f>
        <v/>
      </c>
      <c r="D29" s="102" t="str">
        <f>'Journey Awards'!A14</f>
        <v>Between Earth and Sky</v>
      </c>
      <c r="F29" s="59"/>
      <c r="G29" s="34"/>
      <c r="J29" s="252" t="str">
        <f>'Age-Level'!C36</f>
        <v>Global Action Award</v>
      </c>
      <c r="K29" s="50" t="str">
        <f>IF('Age-Level'!G36="A","C","")</f>
        <v/>
      </c>
    </row>
    <row r="30" spans="1:11">
      <c r="A30" s="31" t="str">
        <f>'Fun Patches'!C22</f>
        <v>&lt;List Patch Here&gt;</v>
      </c>
      <c r="B30" s="50" t="str">
        <f>IF('Fun Patches'!G22="A","C","")</f>
        <v/>
      </c>
      <c r="D30" s="249"/>
      <c r="E30" s="363" t="str">
        <f>'Journey Awards'!C16</f>
        <v>The Blue Bucket Award</v>
      </c>
      <c r="F30" s="364"/>
      <c r="G30" s="50" t="str">
        <f>IF('Journey Awards'!G16="A","A","")</f>
        <v/>
      </c>
      <c r="J30" s="252" t="str">
        <f>'Age-Level'!C38</f>
        <v>Journey Summit Pin</v>
      </c>
      <c r="K30" s="50" t="str">
        <f>IF('Age-Level'!G38="C","C","")</f>
        <v/>
      </c>
    </row>
    <row r="31" spans="1:11">
      <c r="A31" s="31" t="str">
        <f>'Fun Patches'!C23</f>
        <v>&lt;List Patch Here&gt;</v>
      </c>
      <c r="B31" s="50" t="str">
        <f>IF('Fun Patches'!G23="A","C","")</f>
        <v/>
      </c>
      <c r="D31" s="249"/>
      <c r="E31" s="363" t="str">
        <f>'Journey Awards'!C17</f>
        <v>The Firefly Award</v>
      </c>
      <c r="F31" s="364"/>
      <c r="G31" s="50" t="str">
        <f>IF('Journey Awards'!G17="A","A","")</f>
        <v/>
      </c>
      <c r="J31" s="252" t="str">
        <f>'Age-Level'!B39</f>
        <v>Safety Award</v>
      </c>
      <c r="K31" s="50" t="str">
        <f>IF('Age-Level'!G43="C","C","")</f>
        <v/>
      </c>
    </row>
    <row r="32" spans="1:11">
      <c r="A32" s="31" t="str">
        <f>'Fun Patches'!C24</f>
        <v>&lt;List Patch Here&gt;</v>
      </c>
      <c r="B32" s="50" t="str">
        <f>IF('Fun Patches'!G24="A","C","")</f>
        <v/>
      </c>
      <c r="D32" s="249"/>
      <c r="E32" s="363" t="str">
        <f>'Journey Awards'!C18</f>
        <v>The Clover Award</v>
      </c>
      <c r="F32" s="364"/>
      <c r="G32" s="50" t="str">
        <f>IF('Journey Awards'!G18="A","A","")</f>
        <v/>
      </c>
    </row>
    <row r="33" spans="1:11">
      <c r="A33" s="31" t="str">
        <f>'Fun Patches'!C25</f>
        <v>&lt;List Patch Here&gt;</v>
      </c>
      <c r="B33" s="50" t="str">
        <f>IF('Fun Patches'!G25="A","C","")</f>
        <v/>
      </c>
      <c r="D33" s="102" t="str">
        <f>'Journey Awards'!A22</f>
        <v>5 Flowers, 4 Stories, 3 Cheers for Animals!</v>
      </c>
      <c r="F33" s="59"/>
      <c r="G33" s="34" t="str">
        <f>IF('Journey Awards'!G15="A","A","")</f>
        <v/>
      </c>
      <c r="J33" s="61" t="s">
        <v>102</v>
      </c>
    </row>
    <row r="34" spans="1:11">
      <c r="A34" s="31" t="str">
        <f>'Fun Patches'!C26</f>
        <v>&lt;List Patch Here&gt;</v>
      </c>
      <c r="B34" s="50" t="str">
        <f>IF('Fun Patches'!G26="A","C","")</f>
        <v/>
      </c>
      <c r="D34" s="249"/>
      <c r="E34" s="363" t="str">
        <f>'Journey Awards'!C24</f>
        <v>Birdbath Award</v>
      </c>
      <c r="F34" s="364"/>
      <c r="G34" s="50" t="str">
        <f>IF('Journey Awards'!G24="A","A","")</f>
        <v/>
      </c>
      <c r="J34" s="31" t="str">
        <f>'Fun Patches'!C35</f>
        <v>&lt;List Patch Here&gt;</v>
      </c>
      <c r="K34" s="50" t="str">
        <f>IF('Fun Patches'!G35="A","C","")</f>
        <v/>
      </c>
    </row>
    <row r="35" spans="1:11">
      <c r="A35" s="31" t="str">
        <f>'Fun Patches'!C27</f>
        <v>&lt;List Patch Here&gt;</v>
      </c>
      <c r="B35" s="50" t="str">
        <f>IF('Fun Patches'!G27="A","C","")</f>
        <v/>
      </c>
      <c r="D35" s="249"/>
      <c r="E35" s="363" t="str">
        <f>'Journey Awards'!C25</f>
        <v>Red Robin Award</v>
      </c>
      <c r="F35" s="364"/>
      <c r="G35" s="50" t="str">
        <f>IF('Journey Awards'!G25="A","A","")</f>
        <v/>
      </c>
      <c r="J35" s="31" t="str">
        <f>'Fun Patches'!C36</f>
        <v>&lt;List Patch Here&gt;</v>
      </c>
      <c r="K35" s="50" t="str">
        <f>IF('Fun Patches'!G36="A","C","")</f>
        <v/>
      </c>
    </row>
    <row r="36" spans="1:11">
      <c r="A36" s="251" t="str">
        <f>'Fun Patches'!C28</f>
        <v>&lt;List Patch Here&gt;</v>
      </c>
      <c r="B36" s="50" t="str">
        <f>IF('Fun Patches'!G28="A","C","")</f>
        <v/>
      </c>
      <c r="D36" s="249"/>
      <c r="E36" s="363" t="str">
        <f>'Journey Awards'!C26</f>
        <v>Tula Award</v>
      </c>
      <c r="F36" s="364"/>
      <c r="G36" s="50" t="str">
        <f>IF('Journey Awards'!G26="A","A","")</f>
        <v/>
      </c>
      <c r="J36" s="31" t="str">
        <f>'Fun Patches'!C37</f>
        <v>&lt;List Patch Here&gt;</v>
      </c>
      <c r="K36" s="50" t="str">
        <f>IF('Fun Patches'!G37="A","C","")</f>
        <v/>
      </c>
    </row>
    <row r="37" spans="1:11">
      <c r="A37" s="253" t="str">
        <f>'Fun Patches'!C29</f>
        <v>&lt;List Patch Here&gt;</v>
      </c>
      <c r="B37" s="50" t="str">
        <f>IF('Fun Patches'!G29="A","C","")</f>
        <v/>
      </c>
      <c r="J37" s="31" t="str">
        <f>'Fun Patches'!C38</f>
        <v>&lt;List Patch Here&gt;</v>
      </c>
      <c r="K37" s="50" t="str">
        <f>IF('Fun Patches'!G38="A","C","")</f>
        <v/>
      </c>
    </row>
    <row r="38" spans="1:11" ht="12.75" customHeight="1">
      <c r="A38" s="282"/>
      <c r="B38" s="208"/>
      <c r="C38" s="142"/>
      <c r="D38" s="361" t="s">
        <v>102</v>
      </c>
      <c r="E38" s="300"/>
      <c r="F38" s="300"/>
      <c r="J38" s="31" t="str">
        <f>'Fun Patches'!C39</f>
        <v>&lt;List Patch Here&gt;</v>
      </c>
      <c r="K38" s="50" t="str">
        <f>IF('Fun Patches'!G39="A","C","")</f>
        <v/>
      </c>
    </row>
    <row r="39" spans="1:11" ht="13.5" customHeight="1">
      <c r="A39" s="103"/>
      <c r="B39" s="142"/>
      <c r="C39" s="142"/>
      <c r="E39" s="368" t="str">
        <f>'Fun Patches'!C30</f>
        <v>&lt;List Patch Here&gt;</v>
      </c>
      <c r="F39" s="369"/>
      <c r="G39" s="50" t="str">
        <f>IF('Fun Patches'!G30="A","C","")</f>
        <v/>
      </c>
      <c r="J39" s="31" t="str">
        <f>'Fun Patches'!C40</f>
        <v>&lt;List Patch Here&gt;</v>
      </c>
      <c r="K39" s="50" t="str">
        <f>IF('Fun Patches'!G40="A","C","")</f>
        <v/>
      </c>
    </row>
    <row r="40" spans="1:11" ht="13.5" customHeight="1">
      <c r="A40" s="143" t="s">
        <v>115</v>
      </c>
      <c r="B40" s="141"/>
      <c r="C40" s="142"/>
      <c r="E40" s="368" t="str">
        <f>'Fun Patches'!C31</f>
        <v>&lt;List Patch Here&gt;</v>
      </c>
      <c r="F40" s="369"/>
      <c r="G40" s="50" t="str">
        <f>IF('Fun Patches'!G31="A","C","")</f>
        <v/>
      </c>
      <c r="J40" s="31" t="str">
        <f>'Fun Patches'!C41</f>
        <v>&lt;List Patch Here&gt;</v>
      </c>
      <c r="K40" s="50" t="str">
        <f>IF('Fun Patches'!G41="A","C","")</f>
        <v/>
      </c>
    </row>
    <row r="41" spans="1:11" ht="13.5" customHeight="1">
      <c r="A41" s="145" t="s">
        <v>116</v>
      </c>
      <c r="B41" s="139"/>
      <c r="C41" s="140"/>
      <c r="E41" s="368" t="str">
        <f>'Fun Patches'!C32</f>
        <v>&lt;List Patch Here&gt;</v>
      </c>
      <c r="F41" s="369"/>
      <c r="G41" s="50" t="str">
        <f>IF('Fun Patches'!G32="A","C","")</f>
        <v/>
      </c>
      <c r="J41" s="31" t="str">
        <f>'Fun Patches'!C42</f>
        <v>&lt;List Patch Here&gt;</v>
      </c>
      <c r="K41" s="50" t="str">
        <f>IF('Fun Patches'!G42="A","C","")</f>
        <v/>
      </c>
    </row>
    <row r="42" spans="1:11">
      <c r="A42" s="146" t="s">
        <v>118</v>
      </c>
      <c r="B42" s="140"/>
      <c r="C42" s="140"/>
      <c r="E42" s="368" t="str">
        <f>'Fun Patches'!C33</f>
        <v>&lt;List Patch Here&gt;</v>
      </c>
      <c r="F42" s="369"/>
      <c r="G42" s="50" t="str">
        <f>IF('Fun Patches'!G33="A","C","")</f>
        <v/>
      </c>
      <c r="J42" s="31" t="str">
        <f>'Fun Patches'!C43</f>
        <v>&lt;List Patch Here&gt;</v>
      </c>
      <c r="K42" s="50" t="str">
        <f>IF('Fun Patches'!G43="A","C","")</f>
        <v/>
      </c>
    </row>
    <row r="43" spans="1:11">
      <c r="A43" s="147" t="s">
        <v>117</v>
      </c>
      <c r="B43" s="140"/>
      <c r="C43" s="140"/>
      <c r="E43" s="368" t="str">
        <f>'Fun Patches'!C34</f>
        <v>&lt;List Patch Here&gt;</v>
      </c>
      <c r="F43" s="369"/>
      <c r="G43" s="50" t="str">
        <f>IF('Fun Patches'!G34="A","C","")</f>
        <v/>
      </c>
      <c r="J43" s="31" t="str">
        <f>'Fun Patches'!C44</f>
        <v>&lt;List Patch Here&gt;</v>
      </c>
      <c r="K43" s="50" t="str">
        <f>IF('Fun Patches'!G44="A","C","")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5</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IF(Petals!H6="A","A","")</f>
        <v/>
      </c>
      <c r="I3" s="211" t="str">
        <f>Bridging!B6</f>
        <v>Pass It On</v>
      </c>
      <c r="J3" s="211"/>
      <c r="K3" s="211"/>
    </row>
    <row r="4" spans="1:11">
      <c r="A4" s="66" t="s">
        <v>44</v>
      </c>
      <c r="B4" s="48" t="str">
        <f>IF(Petals!H18="C","C",IF(Petals!H18="P","P",""))</f>
        <v/>
      </c>
      <c r="D4" s="61" t="s">
        <v>44</v>
      </c>
      <c r="G4" s="34"/>
      <c r="I4" s="249">
        <v>1</v>
      </c>
      <c r="J4" s="252" t="str">
        <f>Bridging!C7</f>
        <v>Teach younger girls the GS Promise</v>
      </c>
      <c r="K4" s="50" t="str">
        <f>IF(Bridging!H7="A","A","")</f>
        <v/>
      </c>
    </row>
    <row r="5" spans="1:11">
      <c r="A5" s="207" t="s">
        <v>141</v>
      </c>
      <c r="B5" s="209">
        <f>INT(COUNTIF(G18:G21,"A"))</f>
        <v>0</v>
      </c>
      <c r="E5" s="31" t="str">
        <f>Petals!B8</f>
        <v>Lupe</v>
      </c>
      <c r="F5" s="31" t="str">
        <f>Petals!C8</f>
        <v>Honest and fair</v>
      </c>
      <c r="G5" s="50" t="str">
        <f>IF(Petals!H8="A","A","")</f>
        <v/>
      </c>
      <c r="I5" s="249">
        <v>2</v>
      </c>
      <c r="J5" s="252" t="str">
        <f>Bridging!C8</f>
        <v>Tell younger girls about the Flower</v>
      </c>
      <c r="K5" s="50" t="str">
        <f>IF(Bridging!H8="A","A","")</f>
        <v/>
      </c>
    </row>
    <row r="6" spans="1:11">
      <c r="A6" s="67" t="s">
        <v>62</v>
      </c>
      <c r="B6" s="54"/>
      <c r="E6" s="31" t="str">
        <f>Petals!B9</f>
        <v>Sunny</v>
      </c>
      <c r="F6" s="31" t="str">
        <f>Petals!C9</f>
        <v>Friendly and helpful</v>
      </c>
      <c r="G6" s="50" t="str">
        <f>IF(Petals!H9="A","A","")</f>
        <v/>
      </c>
      <c r="I6" s="249">
        <v>3</v>
      </c>
      <c r="J6" s="252" t="str">
        <f>Bridging!C9</f>
        <v>Play a game together!</v>
      </c>
      <c r="K6" s="50" t="str">
        <f>IF(Bridging!H9="A","A","")</f>
        <v/>
      </c>
    </row>
    <row r="7" spans="1:11">
      <c r="A7" s="206" t="str">
        <f>'Journey Awards'!A6</f>
        <v>Welcome to the Daisy Flower Garden</v>
      </c>
      <c r="B7" s="48" t="str">
        <f>IF('Journey Awards'!H11="C","C",IF('Journey Awards'!H11="P","P",""))</f>
        <v/>
      </c>
      <c r="E7" s="31" t="str">
        <f>Petals!B10</f>
        <v>Zinni</v>
      </c>
      <c r="F7" s="31" t="str">
        <f>Petals!C10</f>
        <v>Considerate and caring</v>
      </c>
      <c r="G7" s="50" t="str">
        <f>IF(Petals!H10="A","A","")</f>
        <v/>
      </c>
      <c r="I7" s="250" t="str">
        <f>Bridging!B11</f>
        <v>Look Ahead</v>
      </c>
      <c r="J7" s="59"/>
      <c r="K7" s="34"/>
    </row>
    <row r="8" spans="1:11">
      <c r="A8" s="206" t="str">
        <f>'Journey Awards'!A14</f>
        <v>Between Earth and Sky</v>
      </c>
      <c r="B8" s="48" t="str">
        <f>IF('Journey Awards'!H19="C","C",IF('Journey Awards'!H19="P","P",""))</f>
        <v/>
      </c>
      <c r="E8" s="31" t="str">
        <f>Petals!B11</f>
        <v>Tula</v>
      </c>
      <c r="F8" s="31" t="str">
        <f>Petals!C11</f>
        <v>Courageous and strong</v>
      </c>
      <c r="G8" s="50" t="str">
        <f>IF(Petals!H11="A","A","")</f>
        <v/>
      </c>
      <c r="I8" s="249">
        <v>1</v>
      </c>
      <c r="J8" s="252" t="str">
        <f>Bridging!C12</f>
        <v>Say the Girl Scout Promise together.</v>
      </c>
      <c r="K8" s="50" t="str">
        <f>IF(Bridging!H12="A","A","")</f>
        <v/>
      </c>
    </row>
    <row r="9" spans="1:11">
      <c r="A9" s="206" t="str">
        <f>'Journey Awards'!A22</f>
        <v>5 Flowers, 4 Stories, 3 Cheers for Animals!</v>
      </c>
      <c r="B9" s="48" t="str">
        <f>IF('Journey Awards'!H27="C","C",IF('Journey Awards'!H27="P","P",""))</f>
        <v/>
      </c>
      <c r="E9" s="31" t="str">
        <f>Petals!B12</f>
        <v>Mari</v>
      </c>
      <c r="F9" s="31" t="str">
        <f>Petals!C12</f>
        <v>Responsible for what I say and do</v>
      </c>
      <c r="G9" s="50" t="str">
        <f>IF(Petals!H12="A","A","")</f>
        <v/>
      </c>
      <c r="I9" s="249">
        <v>2</v>
      </c>
      <c r="J9" s="252" t="str">
        <f>Bridging!C13</f>
        <v>Ask the Brownies to teach you</v>
      </c>
      <c r="K9" s="50" t="str">
        <f>IF(Bridging!H13="A","A","")</f>
        <v/>
      </c>
    </row>
    <row r="10" spans="1:11">
      <c r="A10" s="90" t="s">
        <v>61</v>
      </c>
      <c r="B10" s="48" t="str">
        <f>IF(Bridging!H18="C","C",IF(Bridging!H18="P","P",""))</f>
        <v/>
      </c>
      <c r="E10" s="31" t="str">
        <f>Petals!B13</f>
        <v>Gloria</v>
      </c>
      <c r="F10" s="31" t="str">
        <f>Petals!C13</f>
        <v>Respect for myself &amp; others</v>
      </c>
      <c r="G10" s="50" t="str">
        <f>IF(Petals!H13="A","A","")</f>
        <v/>
      </c>
      <c r="I10" s="249">
        <v>4</v>
      </c>
      <c r="J10" s="252" t="str">
        <f>Bridging!C14</f>
        <v>Ask the Brownies to show you</v>
      </c>
      <c r="K10" s="50" t="str">
        <f>IF(Bridging!H14="A","A","")</f>
        <v/>
      </c>
    </row>
    <row r="11" spans="1:11">
      <c r="A11" s="250"/>
      <c r="B11" s="99"/>
      <c r="E11" s="31" t="str">
        <f>Petals!B14</f>
        <v>Gerri</v>
      </c>
      <c r="F11" s="31" t="str">
        <f>Petals!C14</f>
        <v>Respect authority</v>
      </c>
      <c r="G11" s="50" t="str">
        <f>IF(Petals!H14="A","A","")</f>
        <v/>
      </c>
      <c r="I11" s="232" t="str">
        <f>Bridging!C16</f>
        <v>Plan a Ceremony</v>
      </c>
      <c r="J11" s="59"/>
      <c r="K11" s="50" t="str">
        <f>IF(Bridging!H16="A","A","")</f>
        <v/>
      </c>
    </row>
    <row r="12" spans="1:11">
      <c r="A12" s="61" t="s">
        <v>100</v>
      </c>
      <c r="E12" s="31" t="str">
        <f>Petals!B15</f>
        <v>Clover</v>
      </c>
      <c r="F12" s="31" t="str">
        <f>Petals!C15</f>
        <v>Use resources wisely</v>
      </c>
      <c r="G12" s="50" t="str">
        <f>IF(Petals!H15="A","A","")</f>
        <v/>
      </c>
    </row>
    <row r="13" spans="1:11">
      <c r="A13" s="31" t="str">
        <f>'Fun Patches'!C5</f>
        <v>&lt;List Patch Here&gt;</v>
      </c>
      <c r="B13" s="50" t="str">
        <f>IF('Fun Patches'!H5="A","C","")</f>
        <v/>
      </c>
      <c r="E13" s="31" t="str">
        <f>Petals!B16</f>
        <v>Rosie</v>
      </c>
      <c r="F13" s="31" t="str">
        <f>Petals!C16</f>
        <v>Make the world a better place</v>
      </c>
      <c r="G13" s="50" t="str">
        <f>IF(Petals!H16="A","A","")</f>
        <v/>
      </c>
      <c r="I13" s="362" t="s">
        <v>71</v>
      </c>
      <c r="J13" s="362"/>
      <c r="K13" s="362"/>
    </row>
    <row r="14" spans="1:11">
      <c r="A14" s="31" t="str">
        <f>'Fun Patches'!C6</f>
        <v>&lt;List Patch Here&gt;</v>
      </c>
      <c r="B14" s="50" t="str">
        <f>IF('Fun Patches'!H6="A","C","")</f>
        <v/>
      </c>
      <c r="E14" s="31" t="str">
        <f>Petals!B17</f>
        <v>Vi</v>
      </c>
      <c r="F14" s="31" t="str">
        <f>Petals!C17</f>
        <v>Be a sister to every Girl Scout</v>
      </c>
      <c r="G14" s="50" t="str">
        <f>IF(Petals!H17="A","A","")</f>
        <v/>
      </c>
      <c r="I14" s="362"/>
      <c r="J14" s="362"/>
      <c r="K14" s="362"/>
    </row>
    <row r="15" spans="1:11">
      <c r="A15" s="31" t="str">
        <f>'Fun Patches'!C7</f>
        <v>&lt;List Patch Here&gt;</v>
      </c>
      <c r="B15" s="50" t="str">
        <f>IF('Fun Patches'!H7="A","C","")</f>
        <v/>
      </c>
      <c r="E15" s="73"/>
      <c r="F15" s="73"/>
      <c r="G15" s="208"/>
      <c r="I15" s="249"/>
      <c r="J15" s="252" t="str">
        <f>'Age-Level'!C6</f>
        <v>Cookie Rally (Year 1)</v>
      </c>
      <c r="K15" s="50" t="str">
        <f>IF('Age-Level'!H6="A","C","")</f>
        <v/>
      </c>
    </row>
    <row r="16" spans="1:11">
      <c r="A16" s="31" t="str">
        <f>'Fun Patches'!C8</f>
        <v>&lt;List Patch Here&gt;</v>
      </c>
      <c r="B16" s="50" t="str">
        <f>IF('Fun Patches'!H8="A","C","")</f>
        <v/>
      </c>
      <c r="D16" s="362" t="s">
        <v>141</v>
      </c>
      <c r="E16" s="300"/>
      <c r="F16" s="300"/>
      <c r="G16" s="300"/>
      <c r="I16" s="249"/>
      <c r="J16" s="252" t="str">
        <f>'Age-Level'!C7</f>
        <v>Cookie Sales (Year 1)</v>
      </c>
      <c r="K16" s="50" t="str">
        <f>IF('Age-Level'!H7="A","C","")</f>
        <v/>
      </c>
    </row>
    <row r="17" spans="1:11">
      <c r="A17" s="31" t="str">
        <f>'Fun Patches'!C9</f>
        <v>&lt;List Patch Here&gt;</v>
      </c>
      <c r="B17" s="50" t="str">
        <f>IF('Fun Patches'!H9="A","C","")</f>
        <v/>
      </c>
      <c r="D17" s="300"/>
      <c r="E17" s="300"/>
      <c r="F17" s="300"/>
      <c r="G17" s="300"/>
      <c r="I17" s="51"/>
      <c r="J17" s="252" t="str">
        <f>'Age-Level'!C8</f>
        <v>Cookie Pin (Year 1)</v>
      </c>
      <c r="K17" s="50" t="str">
        <f>IF('Age-Level'!H8="A","C","")</f>
        <v/>
      </c>
    </row>
    <row r="18" spans="1:11">
      <c r="A18" s="31" t="str">
        <f>'Fun Patches'!C10</f>
        <v>&lt;List Patch Here&gt;</v>
      </c>
      <c r="B18" s="50" t="str">
        <f>IF('Fun Patches'!H10="A","C","")</f>
        <v/>
      </c>
      <c r="D18" s="366" t="str">
        <f>Petals!B22</f>
        <v>Finance</v>
      </c>
      <c r="E18" s="367"/>
      <c r="F18" s="200" t="str">
        <f>Petals!B20</f>
        <v>Money Counts</v>
      </c>
      <c r="G18" s="50" t="str">
        <f>IF(Petals!H23="C","A","")</f>
        <v/>
      </c>
      <c r="I18" s="51"/>
      <c r="J18" s="252" t="str">
        <f>'Age-Level'!C9</f>
        <v>Cookie Rally (Year 2)</v>
      </c>
      <c r="K18" s="50" t="str">
        <f>IF('Age-Level'!H9="A","C","")</f>
        <v/>
      </c>
    </row>
    <row r="19" spans="1:11">
      <c r="A19" s="31" t="str">
        <f>'Fun Patches'!C11</f>
        <v>&lt;List Patch Here&gt;</v>
      </c>
      <c r="B19" s="50" t="str">
        <f>IF('Fun Patches'!H11="A","C","")</f>
        <v/>
      </c>
      <c r="D19" s="366" t="str">
        <f>Petals!B27</f>
        <v>Finance</v>
      </c>
      <c r="E19" s="367"/>
      <c r="F19" s="200" t="str">
        <f>Petals!B25</f>
        <v>Making Choices</v>
      </c>
      <c r="G19" s="50" t="str">
        <f>IF(Petals!H28="C","A","")</f>
        <v/>
      </c>
      <c r="I19" s="51"/>
      <c r="J19" s="252" t="str">
        <f>'Age-Level'!C10</f>
        <v>Cookie Sales (Year 2)</v>
      </c>
      <c r="K19" s="50" t="str">
        <f>IF('Age-Level'!H10="A","C","")</f>
        <v/>
      </c>
    </row>
    <row r="20" spans="1:11">
      <c r="A20" s="31" t="str">
        <f>'Fun Patches'!C12</f>
        <v>&lt;List Patch Here&gt;</v>
      </c>
      <c r="B20" s="50" t="str">
        <f>IF('Fun Patches'!H12="A","C","")</f>
        <v/>
      </c>
      <c r="D20" s="366" t="str">
        <f>Petals!B32</f>
        <v>Cookie</v>
      </c>
      <c r="E20" s="367"/>
      <c r="F20" s="200" t="str">
        <f>Petals!B30</f>
        <v>Count It Up</v>
      </c>
      <c r="G20" s="50" t="str">
        <f>IF(Petals!H33="C","A","")</f>
        <v/>
      </c>
      <c r="I20" s="52"/>
      <c r="J20" s="252" t="str">
        <f>'Age-Level'!C11</f>
        <v>Cookie Pin (Year 2)</v>
      </c>
      <c r="K20" s="50" t="str">
        <f>IF('Age-Level'!H11="A","C","")</f>
        <v/>
      </c>
    </row>
    <row r="21" spans="1:11">
      <c r="A21" s="31" t="str">
        <f>'Fun Patches'!C13</f>
        <v>&lt;List Patch Here&gt;</v>
      </c>
      <c r="B21" s="50" t="str">
        <f>IF('Fun Patches'!H13="A","C","")</f>
        <v/>
      </c>
      <c r="D21" s="366" t="str">
        <f>Petals!B37</f>
        <v>Cookie</v>
      </c>
      <c r="E21" s="367"/>
      <c r="F21" s="200" t="str">
        <f>Petals!B35</f>
        <v>Talk It Up</v>
      </c>
      <c r="G21" s="50" t="str">
        <f>IF(Petals!H38="C","A","")</f>
        <v/>
      </c>
      <c r="I21" s="53"/>
      <c r="J21" s="252" t="str">
        <f>'Age-Level'!C13</f>
        <v>Fall Sales (Year 1)</v>
      </c>
      <c r="K21" s="50" t="str">
        <f>IF('Age-Level'!H13="A","C","")</f>
        <v/>
      </c>
    </row>
    <row r="22" spans="1:11">
      <c r="A22" s="31" t="str">
        <f>'Fun Patches'!C14</f>
        <v>&lt;List Patch Here&gt;</v>
      </c>
      <c r="B22" s="50" t="str">
        <f>IF('Fun Patches'!H14="A","C","")</f>
        <v/>
      </c>
      <c r="I22" s="26"/>
      <c r="J22" s="252" t="str">
        <f>'Age-Level'!C14</f>
        <v>Fall Sales (Year 2)</v>
      </c>
      <c r="K22" s="50" t="str">
        <f>IF('Age-Level'!H14="A","C","")</f>
        <v/>
      </c>
    </row>
    <row r="23" spans="1:11">
      <c r="A23" s="31" t="str">
        <f>'Fun Patches'!C15</f>
        <v>&lt;List Patch Here&gt;</v>
      </c>
      <c r="B23" s="50" t="str">
        <f>IF('Fun Patches'!H15="A","C","")</f>
        <v/>
      </c>
      <c r="D23" s="362" t="s">
        <v>62</v>
      </c>
      <c r="E23" s="362"/>
      <c r="F23" s="362"/>
      <c r="G23" s="362"/>
      <c r="J23" s="252" t="str">
        <f>'Age-Level'!C16</f>
        <v>Thinking Day (Year 1)</v>
      </c>
      <c r="K23" s="50" t="str">
        <f>IF('Age-Level'!H16="A","C","")</f>
        <v/>
      </c>
    </row>
    <row r="24" spans="1:11">
      <c r="A24" s="31" t="str">
        <f>'Fun Patches'!C16</f>
        <v>&lt;List Patch Here&gt;</v>
      </c>
      <c r="B24" s="50" t="str">
        <f>IF('Fun Patches'!H16="A","C","")</f>
        <v/>
      </c>
      <c r="D24" s="362"/>
      <c r="E24" s="362"/>
      <c r="F24" s="362"/>
      <c r="G24" s="362"/>
      <c r="J24" s="252" t="str">
        <f>'Age-Level'!C17</f>
        <v>Thinking Day (Year 2)</v>
      </c>
      <c r="K24" s="50" t="str">
        <f>IF('Age-Level'!H17="A","C","")</f>
        <v/>
      </c>
    </row>
    <row r="25" spans="1:11">
      <c r="A25" s="31" t="str">
        <f>'Fun Patches'!C17</f>
        <v>&lt;List Patch Here&gt;</v>
      </c>
      <c r="B25" s="50" t="str">
        <f>IF('Fun Patches'!H17="A","C","")</f>
        <v/>
      </c>
      <c r="D25" s="250" t="str">
        <f>'Journey Awards'!A6</f>
        <v>Welcome to the Daisy Flower Garden</v>
      </c>
      <c r="F25" s="57"/>
      <c r="G25" s="248"/>
      <c r="J25" s="252" t="str">
        <f>'Age-Level'!C19</f>
        <v>Investiture</v>
      </c>
      <c r="K25" s="50" t="str">
        <f>IF('Age-Level'!H19="A","C","")</f>
        <v/>
      </c>
    </row>
    <row r="26" spans="1:11">
      <c r="A26" s="31" t="str">
        <f>'Fun Patches'!C18</f>
        <v>&lt;List Patch Here&gt;</v>
      </c>
      <c r="B26" s="50" t="str">
        <f>IF('Fun Patches'!H18="A","C","")</f>
        <v/>
      </c>
      <c r="D26" s="249"/>
      <c r="E26" s="363" t="s">
        <v>66</v>
      </c>
      <c r="F26" s="364"/>
      <c r="G26" s="50" t="str">
        <f>IF('Journey Awards'!H8="A","A","")</f>
        <v/>
      </c>
      <c r="J26" s="252" t="str">
        <f>'Age-Level'!C20</f>
        <v>Rededication (1st year)</v>
      </c>
      <c r="K26" s="50" t="str">
        <f>IF('Age-Level'!H20="A","C","")</f>
        <v/>
      </c>
    </row>
    <row r="27" spans="1:11">
      <c r="A27" s="31" t="str">
        <f>'Fun Patches'!C19</f>
        <v>&lt;List Patch Here&gt;</v>
      </c>
      <c r="B27" s="50" t="str">
        <f>IF('Fun Patches'!H19="A","C","")</f>
        <v/>
      </c>
      <c r="D27" s="249"/>
      <c r="E27" s="363" t="s">
        <v>67</v>
      </c>
      <c r="F27" s="364"/>
      <c r="G27" s="50" t="str">
        <f>IF('Journey Awards'!H9="A","A","")</f>
        <v/>
      </c>
      <c r="J27" s="252" t="str">
        <f>'Age-Level'!B21</f>
        <v>My Promise, My Faith (Year 1)</v>
      </c>
      <c r="K27" s="50" t="str">
        <f>IF('Age-Level'!H27="C","C","")</f>
        <v/>
      </c>
    </row>
    <row r="28" spans="1:11">
      <c r="A28" s="31" t="str">
        <f>'Fun Patches'!C20</f>
        <v>&lt;List Patch Here&gt;</v>
      </c>
      <c r="B28" s="50" t="str">
        <f>IF('Fun Patches'!H20="A","C","")</f>
        <v/>
      </c>
      <c r="D28" s="249"/>
      <c r="E28" s="363" t="s">
        <v>68</v>
      </c>
      <c r="F28" s="364"/>
      <c r="G28" s="50" t="str">
        <f>IF('Journey Awards'!H10="A","A","")</f>
        <v/>
      </c>
      <c r="J28" s="252" t="str">
        <f>'Age-Level'!B28</f>
        <v>My Promise, My Faith (Year 2)</v>
      </c>
      <c r="K28" s="50" t="str">
        <f>IF('Age-Level'!H34="C","C","")</f>
        <v/>
      </c>
    </row>
    <row r="29" spans="1:11">
      <c r="A29" s="31" t="str">
        <f>'Fun Patches'!C21</f>
        <v>&lt;List Patch Here&gt;</v>
      </c>
      <c r="B29" s="50" t="str">
        <f>IF('Fun Patches'!H21="A","C","")</f>
        <v/>
      </c>
      <c r="D29" s="102" t="str">
        <f>'Journey Awards'!A14</f>
        <v>Between Earth and Sky</v>
      </c>
      <c r="F29" s="59"/>
      <c r="G29" s="34"/>
      <c r="J29" s="252" t="str">
        <f>'Age-Level'!C36</f>
        <v>Global Action Award</v>
      </c>
      <c r="K29" s="50" t="str">
        <f>IF('Age-Level'!H36="A","C","")</f>
        <v/>
      </c>
    </row>
    <row r="30" spans="1:11">
      <c r="A30" s="31" t="str">
        <f>'Fun Patches'!C22</f>
        <v>&lt;List Patch Here&gt;</v>
      </c>
      <c r="B30" s="50" t="str">
        <f>IF('Fun Patches'!H22="A","C","")</f>
        <v/>
      </c>
      <c r="D30" s="249"/>
      <c r="E30" s="363" t="str">
        <f>'Journey Awards'!C16</f>
        <v>The Blue Bucket Award</v>
      </c>
      <c r="F30" s="364"/>
      <c r="G30" s="50" t="str">
        <f>IF('Journey Awards'!H16="A","A","")</f>
        <v/>
      </c>
      <c r="J30" s="252" t="str">
        <f>'Age-Level'!C38</f>
        <v>Journey Summit Pin</v>
      </c>
      <c r="K30" s="50" t="str">
        <f>IF('Age-Level'!H38="C","C","")</f>
        <v/>
      </c>
    </row>
    <row r="31" spans="1:11">
      <c r="A31" s="31" t="str">
        <f>'Fun Patches'!C23</f>
        <v>&lt;List Patch Here&gt;</v>
      </c>
      <c r="B31" s="50" t="str">
        <f>IF('Fun Patches'!H23="A","C","")</f>
        <v/>
      </c>
      <c r="D31" s="249"/>
      <c r="E31" s="363" t="str">
        <f>'Journey Awards'!C17</f>
        <v>The Firefly Award</v>
      </c>
      <c r="F31" s="364"/>
      <c r="G31" s="50" t="str">
        <f>IF('Journey Awards'!H17="A","A","")</f>
        <v/>
      </c>
      <c r="J31" s="252" t="str">
        <f>'Age-Level'!B39</f>
        <v>Safety Award</v>
      </c>
      <c r="K31" s="50" t="str">
        <f>IF('Age-Level'!H43="C","C","")</f>
        <v/>
      </c>
    </row>
    <row r="32" spans="1:11">
      <c r="A32" s="31" t="str">
        <f>'Fun Patches'!C24</f>
        <v>&lt;List Patch Here&gt;</v>
      </c>
      <c r="B32" s="50" t="str">
        <f>IF('Fun Patches'!H24="A","C","")</f>
        <v/>
      </c>
      <c r="D32" s="249"/>
      <c r="E32" s="363" t="str">
        <f>'Journey Awards'!C18</f>
        <v>The Clover Award</v>
      </c>
      <c r="F32" s="364"/>
      <c r="G32" s="50" t="str">
        <f>IF('Journey Awards'!H18="A","A","")</f>
        <v/>
      </c>
    </row>
    <row r="33" spans="1:11">
      <c r="A33" s="31" t="str">
        <f>'Fun Patches'!C25</f>
        <v>&lt;List Patch Here&gt;</v>
      </c>
      <c r="B33" s="50" t="str">
        <f>IF('Fun Patches'!H25="A","C","")</f>
        <v/>
      </c>
      <c r="D33" s="102" t="str">
        <f>'Journey Awards'!A22</f>
        <v>5 Flowers, 4 Stories, 3 Cheers for Animals!</v>
      </c>
      <c r="F33" s="59"/>
      <c r="G33" s="34" t="str">
        <f>IF('Journey Awards'!H15="A","A","")</f>
        <v/>
      </c>
      <c r="J33" s="61" t="s">
        <v>102</v>
      </c>
    </row>
    <row r="34" spans="1:11">
      <c r="A34" s="31" t="str">
        <f>'Fun Patches'!C26</f>
        <v>&lt;List Patch Here&gt;</v>
      </c>
      <c r="B34" s="50" t="str">
        <f>IF('Fun Patches'!H26="A","C","")</f>
        <v/>
      </c>
      <c r="D34" s="249"/>
      <c r="E34" s="363" t="str">
        <f>'Journey Awards'!C24</f>
        <v>Birdbath Award</v>
      </c>
      <c r="F34" s="364"/>
      <c r="G34" s="50" t="str">
        <f>IF('Journey Awards'!H24="A","A","")</f>
        <v/>
      </c>
      <c r="J34" s="31" t="str">
        <f>'Fun Patches'!C35</f>
        <v>&lt;List Patch Here&gt;</v>
      </c>
      <c r="K34" s="50" t="str">
        <f>IF('Fun Patches'!H35="A","C","")</f>
        <v/>
      </c>
    </row>
    <row r="35" spans="1:11">
      <c r="A35" s="31" t="str">
        <f>'Fun Patches'!C27</f>
        <v>&lt;List Patch Here&gt;</v>
      </c>
      <c r="B35" s="50" t="str">
        <f>IF('Fun Patches'!H27="A","C","")</f>
        <v/>
      </c>
      <c r="D35" s="249"/>
      <c r="E35" s="363" t="str">
        <f>'Journey Awards'!C25</f>
        <v>Red Robin Award</v>
      </c>
      <c r="F35" s="364"/>
      <c r="G35" s="50" t="str">
        <f>IF('Journey Awards'!H25="A","A","")</f>
        <v/>
      </c>
      <c r="J35" s="31" t="str">
        <f>'Fun Patches'!C36</f>
        <v>&lt;List Patch Here&gt;</v>
      </c>
      <c r="K35" s="50" t="str">
        <f>IF('Fun Patches'!H36="A","C","")</f>
        <v/>
      </c>
    </row>
    <row r="36" spans="1:11">
      <c r="A36" s="251" t="str">
        <f>'Fun Patches'!C28</f>
        <v>&lt;List Patch Here&gt;</v>
      </c>
      <c r="B36" s="50" t="str">
        <f>IF('Fun Patches'!H28="A","C","")</f>
        <v/>
      </c>
      <c r="D36" s="249"/>
      <c r="E36" s="363" t="str">
        <f>'Journey Awards'!C26</f>
        <v>Tula Award</v>
      </c>
      <c r="F36" s="364"/>
      <c r="G36" s="50" t="str">
        <f>IF('Journey Awards'!H26="A","A","")</f>
        <v/>
      </c>
      <c r="J36" s="31" t="str">
        <f>'Fun Patches'!C37</f>
        <v>&lt;List Patch Here&gt;</v>
      </c>
      <c r="K36" s="50" t="str">
        <f>IF('Fun Patches'!H37="A","C","")</f>
        <v/>
      </c>
    </row>
    <row r="37" spans="1:11">
      <c r="A37" s="253" t="str">
        <f>'Fun Patches'!C29</f>
        <v>&lt;List Patch Here&gt;</v>
      </c>
      <c r="B37" s="50" t="str">
        <f>IF('Fun Patches'!H29="A","C","")</f>
        <v/>
      </c>
      <c r="J37" s="31" t="str">
        <f>'Fun Patches'!C38</f>
        <v>&lt;List Patch Here&gt;</v>
      </c>
      <c r="K37" s="50" t="str">
        <f>IF('Fun Patches'!H38="A","C","")</f>
        <v/>
      </c>
    </row>
    <row r="38" spans="1:11" ht="12.75" customHeight="1">
      <c r="A38" s="282"/>
      <c r="B38" s="208"/>
      <c r="C38" s="142"/>
      <c r="D38" s="361" t="s">
        <v>102</v>
      </c>
      <c r="E38" s="300"/>
      <c r="F38" s="300"/>
      <c r="J38" s="31" t="str">
        <f>'Fun Patches'!C39</f>
        <v>&lt;List Patch Here&gt;</v>
      </c>
      <c r="K38" s="50" t="str">
        <f>IF('Fun Patches'!H39="A","C","")</f>
        <v/>
      </c>
    </row>
    <row r="39" spans="1:11" ht="13.5" customHeight="1">
      <c r="A39" s="103"/>
      <c r="B39" s="142"/>
      <c r="C39" s="142"/>
      <c r="E39" s="368" t="str">
        <f>'Fun Patches'!C30</f>
        <v>&lt;List Patch Here&gt;</v>
      </c>
      <c r="F39" s="369"/>
      <c r="G39" s="50" t="str">
        <f>IF('Fun Patches'!H30="A","C","")</f>
        <v/>
      </c>
      <c r="J39" s="31" t="str">
        <f>'Fun Patches'!C40</f>
        <v>&lt;List Patch Here&gt;</v>
      </c>
      <c r="K39" s="50" t="str">
        <f>IF('Fun Patches'!H40="A","C","")</f>
        <v/>
      </c>
    </row>
    <row r="40" spans="1:11" ht="13.5" customHeight="1">
      <c r="A40" s="143" t="s">
        <v>115</v>
      </c>
      <c r="B40" s="141"/>
      <c r="C40" s="142"/>
      <c r="E40" s="368" t="str">
        <f>'Fun Patches'!C31</f>
        <v>&lt;List Patch Here&gt;</v>
      </c>
      <c r="F40" s="369"/>
      <c r="G40" s="50" t="str">
        <f>IF('Fun Patches'!H31="A","C","")</f>
        <v/>
      </c>
      <c r="J40" s="31" t="str">
        <f>'Fun Patches'!C41</f>
        <v>&lt;List Patch Here&gt;</v>
      </c>
      <c r="K40" s="50" t="str">
        <f>IF('Fun Patches'!H41="A","C","")</f>
        <v/>
      </c>
    </row>
    <row r="41" spans="1:11" ht="13.5" customHeight="1">
      <c r="A41" s="145" t="s">
        <v>116</v>
      </c>
      <c r="B41" s="139"/>
      <c r="C41" s="140"/>
      <c r="E41" s="368" t="str">
        <f>'Fun Patches'!C32</f>
        <v>&lt;List Patch Here&gt;</v>
      </c>
      <c r="F41" s="369"/>
      <c r="G41" s="50" t="str">
        <f>IF('Fun Patches'!H32="A","C","")</f>
        <v/>
      </c>
      <c r="J41" s="31" t="str">
        <f>'Fun Patches'!C42</f>
        <v>&lt;List Patch Here&gt;</v>
      </c>
      <c r="K41" s="50" t="str">
        <f>IF('Fun Patches'!H42="A","C","")</f>
        <v/>
      </c>
    </row>
    <row r="42" spans="1:11">
      <c r="A42" s="146" t="s">
        <v>118</v>
      </c>
      <c r="B42" s="140"/>
      <c r="C42" s="140"/>
      <c r="E42" s="368" t="str">
        <f>'Fun Patches'!C33</f>
        <v>&lt;List Patch Here&gt;</v>
      </c>
      <c r="F42" s="369"/>
      <c r="G42" s="50" t="str">
        <f>IF('Fun Patches'!H33="A","C","")</f>
        <v/>
      </c>
      <c r="J42" s="31" t="str">
        <f>'Fun Patches'!C43</f>
        <v>&lt;List Patch Here&gt;</v>
      </c>
      <c r="K42" s="50" t="str">
        <f>IF('Fun Patches'!H43="A","C","")</f>
        <v/>
      </c>
    </row>
    <row r="43" spans="1:11">
      <c r="A43" s="147" t="s">
        <v>117</v>
      </c>
      <c r="B43" s="140"/>
      <c r="C43" s="140"/>
      <c r="E43" s="368" t="str">
        <f>'Fun Patches'!C34</f>
        <v>&lt;List Patch Here&gt;</v>
      </c>
      <c r="F43" s="369"/>
      <c r="G43" s="50" t="str">
        <f>IF('Fun Patches'!H34="A","C","")</f>
        <v/>
      </c>
      <c r="J43" s="31" t="str">
        <f>'Fun Patches'!C44</f>
        <v>&lt;List Patch Here&gt;</v>
      </c>
      <c r="K43" s="50" t="str">
        <f>IF('Fun Patches'!H44="A","C","")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6</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IF(Petals!I6="A","A","")</f>
        <v/>
      </c>
      <c r="I3" s="211" t="str">
        <f>Bridging!B6</f>
        <v>Pass It On</v>
      </c>
      <c r="J3" s="211"/>
      <c r="K3" s="211"/>
    </row>
    <row r="4" spans="1:11">
      <c r="A4" s="66" t="s">
        <v>44</v>
      </c>
      <c r="B4" s="48" t="str">
        <f>IF(Petals!I18="C","C",IF(Petals!I18="P","P",""))</f>
        <v/>
      </c>
      <c r="D4" s="61" t="s">
        <v>44</v>
      </c>
      <c r="G4" s="34"/>
      <c r="I4" s="249">
        <v>1</v>
      </c>
      <c r="J4" s="252" t="str">
        <f>Bridging!C7</f>
        <v>Teach younger girls the GS Promise</v>
      </c>
      <c r="K4" s="50" t="str">
        <f>IF(Bridging!I7="A","A","")</f>
        <v/>
      </c>
    </row>
    <row r="5" spans="1:11">
      <c r="A5" s="207" t="s">
        <v>141</v>
      </c>
      <c r="B5" s="209">
        <f>INT(COUNTIF(G18:G21,"A"))</f>
        <v>0</v>
      </c>
      <c r="E5" s="31" t="str">
        <f>Petals!B8</f>
        <v>Lupe</v>
      </c>
      <c r="F5" s="31" t="str">
        <f>Petals!C8</f>
        <v>Honest and fair</v>
      </c>
      <c r="G5" s="50" t="str">
        <f>IF(Petals!I8="A","A","")</f>
        <v/>
      </c>
      <c r="I5" s="249">
        <v>2</v>
      </c>
      <c r="J5" s="252" t="str">
        <f>Bridging!C8</f>
        <v>Tell younger girls about the Flower</v>
      </c>
      <c r="K5" s="50" t="str">
        <f>IF(Bridging!I8="A","A","")</f>
        <v/>
      </c>
    </row>
    <row r="6" spans="1:11">
      <c r="A6" s="67" t="s">
        <v>62</v>
      </c>
      <c r="B6" s="54"/>
      <c r="E6" s="31" t="str">
        <f>Petals!B9</f>
        <v>Sunny</v>
      </c>
      <c r="F6" s="31" t="str">
        <f>Petals!C9</f>
        <v>Friendly and helpful</v>
      </c>
      <c r="G6" s="50" t="str">
        <f>IF(Petals!I9="A","A","")</f>
        <v/>
      </c>
      <c r="I6" s="249">
        <v>3</v>
      </c>
      <c r="J6" s="252" t="str">
        <f>Bridging!C9</f>
        <v>Play a game together!</v>
      </c>
      <c r="K6" s="50" t="str">
        <f>IF(Bridging!I9="A","A","")</f>
        <v/>
      </c>
    </row>
    <row r="7" spans="1:11">
      <c r="A7" s="206" t="str">
        <f>'Journey Awards'!A6</f>
        <v>Welcome to the Daisy Flower Garden</v>
      </c>
      <c r="B7" s="48" t="str">
        <f>IF('Journey Awards'!I11="C","C",IF('Journey Awards'!I11="P","P",""))</f>
        <v/>
      </c>
      <c r="E7" s="31" t="str">
        <f>Petals!B10</f>
        <v>Zinni</v>
      </c>
      <c r="F7" s="31" t="str">
        <f>Petals!C10</f>
        <v>Considerate and caring</v>
      </c>
      <c r="G7" s="50" t="str">
        <f>IF(Petals!I10="A","A","")</f>
        <v/>
      </c>
      <c r="I7" s="250" t="str">
        <f>Bridging!B11</f>
        <v>Look Ahead</v>
      </c>
      <c r="J7" s="59"/>
      <c r="K7" s="34"/>
    </row>
    <row r="8" spans="1:11">
      <c r="A8" s="206" t="str">
        <f>'Journey Awards'!A14</f>
        <v>Between Earth and Sky</v>
      </c>
      <c r="B8" s="48" t="str">
        <f>IF('Journey Awards'!I19="C","C",IF('Journey Awards'!I19="P","P",""))</f>
        <v/>
      </c>
      <c r="E8" s="31" t="str">
        <f>Petals!B11</f>
        <v>Tula</v>
      </c>
      <c r="F8" s="31" t="str">
        <f>Petals!C11</f>
        <v>Courageous and strong</v>
      </c>
      <c r="G8" s="50" t="str">
        <f>IF(Petals!I11="A","A","")</f>
        <v/>
      </c>
      <c r="I8" s="249">
        <v>1</v>
      </c>
      <c r="J8" s="252" t="str">
        <f>Bridging!C12</f>
        <v>Say the Girl Scout Promise together.</v>
      </c>
      <c r="K8" s="50" t="str">
        <f>IF(Bridging!I12="A","A","")</f>
        <v/>
      </c>
    </row>
    <row r="9" spans="1:11">
      <c r="A9" s="206" t="str">
        <f>'Journey Awards'!A22</f>
        <v>5 Flowers, 4 Stories, 3 Cheers for Animals!</v>
      </c>
      <c r="B9" s="48" t="str">
        <f>IF('Journey Awards'!I27="C","C",IF('Journey Awards'!I27="P","P",""))</f>
        <v/>
      </c>
      <c r="E9" s="31" t="str">
        <f>Petals!B12</f>
        <v>Mari</v>
      </c>
      <c r="F9" s="31" t="str">
        <f>Petals!C12</f>
        <v>Responsible for what I say and do</v>
      </c>
      <c r="G9" s="50" t="str">
        <f>IF(Petals!I12="A","A","")</f>
        <v/>
      </c>
      <c r="I9" s="249">
        <v>2</v>
      </c>
      <c r="J9" s="252" t="str">
        <f>Bridging!C13</f>
        <v>Ask the Brownies to teach you</v>
      </c>
      <c r="K9" s="50" t="str">
        <f>IF(Bridging!I13="A","A","")</f>
        <v/>
      </c>
    </row>
    <row r="10" spans="1:11">
      <c r="A10" s="90" t="s">
        <v>61</v>
      </c>
      <c r="B10" s="48" t="str">
        <f>IF(Bridging!I18="C","C",IF(Bridging!I18="P","P",""))</f>
        <v/>
      </c>
      <c r="E10" s="31" t="str">
        <f>Petals!B13</f>
        <v>Gloria</v>
      </c>
      <c r="F10" s="31" t="str">
        <f>Petals!C13</f>
        <v>Respect for myself &amp; others</v>
      </c>
      <c r="G10" s="50" t="str">
        <f>IF(Petals!I13="A","A","")</f>
        <v/>
      </c>
      <c r="I10" s="249">
        <v>4</v>
      </c>
      <c r="J10" s="252" t="str">
        <f>Bridging!C14</f>
        <v>Ask the Brownies to show you</v>
      </c>
      <c r="K10" s="50" t="str">
        <f>IF(Bridging!I14="A","A","")</f>
        <v/>
      </c>
    </row>
    <row r="11" spans="1:11">
      <c r="A11" s="250"/>
      <c r="B11" s="99"/>
      <c r="E11" s="31" t="str">
        <f>Petals!B14</f>
        <v>Gerri</v>
      </c>
      <c r="F11" s="31" t="str">
        <f>Petals!C14</f>
        <v>Respect authority</v>
      </c>
      <c r="G11" s="50" t="str">
        <f>IF(Petals!I14="A","A","")</f>
        <v/>
      </c>
      <c r="I11" s="232" t="str">
        <f>Bridging!C16</f>
        <v>Plan a Ceremony</v>
      </c>
      <c r="J11" s="59"/>
      <c r="K11" s="50" t="str">
        <f>IF(Bridging!I16="A","A","")</f>
        <v/>
      </c>
    </row>
    <row r="12" spans="1:11">
      <c r="A12" s="61" t="s">
        <v>100</v>
      </c>
      <c r="E12" s="31" t="str">
        <f>Petals!B15</f>
        <v>Clover</v>
      </c>
      <c r="F12" s="31" t="str">
        <f>Petals!C15</f>
        <v>Use resources wisely</v>
      </c>
      <c r="G12" s="50" t="str">
        <f>IF(Petals!I15="A","A","")</f>
        <v/>
      </c>
    </row>
    <row r="13" spans="1:11">
      <c r="A13" s="31" t="str">
        <f>'Fun Patches'!C5</f>
        <v>&lt;List Patch Here&gt;</v>
      </c>
      <c r="B13" s="50" t="str">
        <f>IF('Fun Patches'!I5="A","C","")</f>
        <v/>
      </c>
      <c r="E13" s="31" t="str">
        <f>Petals!B16</f>
        <v>Rosie</v>
      </c>
      <c r="F13" s="31" t="str">
        <f>Petals!C16</f>
        <v>Make the world a better place</v>
      </c>
      <c r="G13" s="50" t="str">
        <f>IF(Petals!I16="A","A","")</f>
        <v/>
      </c>
      <c r="I13" s="362" t="s">
        <v>71</v>
      </c>
      <c r="J13" s="362"/>
      <c r="K13" s="362"/>
    </row>
    <row r="14" spans="1:11">
      <c r="A14" s="31" t="str">
        <f>'Fun Patches'!C6</f>
        <v>&lt;List Patch Here&gt;</v>
      </c>
      <c r="B14" s="50" t="str">
        <f>IF('Fun Patches'!I6="A","C","")</f>
        <v/>
      </c>
      <c r="E14" s="31" t="str">
        <f>Petals!B17</f>
        <v>Vi</v>
      </c>
      <c r="F14" s="31" t="str">
        <f>Petals!C17</f>
        <v>Be a sister to every Girl Scout</v>
      </c>
      <c r="G14" s="50" t="str">
        <f>IF(Petals!I17="A","A","")</f>
        <v/>
      </c>
      <c r="I14" s="362"/>
      <c r="J14" s="362"/>
      <c r="K14" s="362"/>
    </row>
    <row r="15" spans="1:11">
      <c r="A15" s="31" t="str">
        <f>'Fun Patches'!C7</f>
        <v>&lt;List Patch Here&gt;</v>
      </c>
      <c r="B15" s="50" t="str">
        <f>IF('Fun Patches'!I7="A","C","")</f>
        <v/>
      </c>
      <c r="E15" s="73"/>
      <c r="F15" s="73"/>
      <c r="G15" s="208"/>
      <c r="I15" s="249"/>
      <c r="J15" s="252" t="str">
        <f>'Age-Level'!C6</f>
        <v>Cookie Rally (Year 1)</v>
      </c>
      <c r="K15" s="50" t="str">
        <f>IF('Age-Level'!I6="A","C","")</f>
        <v/>
      </c>
    </row>
    <row r="16" spans="1:11">
      <c r="A16" s="31" t="str">
        <f>'Fun Patches'!C8</f>
        <v>&lt;List Patch Here&gt;</v>
      </c>
      <c r="B16" s="50" t="str">
        <f>IF('Fun Patches'!I8="A","C","")</f>
        <v/>
      </c>
      <c r="D16" s="362" t="s">
        <v>141</v>
      </c>
      <c r="E16" s="300"/>
      <c r="F16" s="300"/>
      <c r="G16" s="300"/>
      <c r="I16" s="249"/>
      <c r="J16" s="252" t="str">
        <f>'Age-Level'!C7</f>
        <v>Cookie Sales (Year 1)</v>
      </c>
      <c r="K16" s="50" t="str">
        <f>IF('Age-Level'!I7="A","C","")</f>
        <v/>
      </c>
    </row>
    <row r="17" spans="1:11">
      <c r="A17" s="31" t="str">
        <f>'Fun Patches'!C9</f>
        <v>&lt;List Patch Here&gt;</v>
      </c>
      <c r="B17" s="50" t="str">
        <f>IF('Fun Patches'!I9="A","C","")</f>
        <v/>
      </c>
      <c r="D17" s="300"/>
      <c r="E17" s="300"/>
      <c r="F17" s="300"/>
      <c r="G17" s="300"/>
      <c r="I17" s="51"/>
      <c r="J17" s="252" t="str">
        <f>'Age-Level'!C8</f>
        <v>Cookie Pin (Year 1)</v>
      </c>
      <c r="K17" s="50" t="str">
        <f>IF('Age-Level'!I8="A","C","")</f>
        <v/>
      </c>
    </row>
    <row r="18" spans="1:11">
      <c r="A18" s="31" t="str">
        <f>'Fun Patches'!C10</f>
        <v>&lt;List Patch Here&gt;</v>
      </c>
      <c r="B18" s="50" t="str">
        <f>IF('Fun Patches'!I10="A","C","")</f>
        <v/>
      </c>
      <c r="D18" s="366" t="str">
        <f>Petals!B22</f>
        <v>Finance</v>
      </c>
      <c r="E18" s="367"/>
      <c r="F18" s="200" t="str">
        <f>Petals!B20</f>
        <v>Money Counts</v>
      </c>
      <c r="G18" s="50" t="str">
        <f>IF(Petals!I23="C","A","")</f>
        <v/>
      </c>
      <c r="I18" s="51"/>
      <c r="J18" s="252" t="str">
        <f>'Age-Level'!C9</f>
        <v>Cookie Rally (Year 2)</v>
      </c>
      <c r="K18" s="50" t="str">
        <f>IF('Age-Level'!I9="A","C","")</f>
        <v/>
      </c>
    </row>
    <row r="19" spans="1:11">
      <c r="A19" s="31" t="str">
        <f>'Fun Patches'!C11</f>
        <v>&lt;List Patch Here&gt;</v>
      </c>
      <c r="B19" s="50" t="str">
        <f>IF('Fun Patches'!I11="A","C","")</f>
        <v/>
      </c>
      <c r="D19" s="366" t="str">
        <f>Petals!B27</f>
        <v>Finance</v>
      </c>
      <c r="E19" s="367"/>
      <c r="F19" s="200" t="str">
        <f>Petals!B25</f>
        <v>Making Choices</v>
      </c>
      <c r="G19" s="50" t="str">
        <f>IF(Petals!I28="C","A","")</f>
        <v/>
      </c>
      <c r="I19" s="51"/>
      <c r="J19" s="252" t="str">
        <f>'Age-Level'!C10</f>
        <v>Cookie Sales (Year 2)</v>
      </c>
      <c r="K19" s="50" t="str">
        <f>IF('Age-Level'!I10="A","C","")</f>
        <v/>
      </c>
    </row>
    <row r="20" spans="1:11">
      <c r="A20" s="31" t="str">
        <f>'Fun Patches'!C12</f>
        <v>&lt;List Patch Here&gt;</v>
      </c>
      <c r="B20" s="50" t="str">
        <f>IF('Fun Patches'!I12="A","C","")</f>
        <v/>
      </c>
      <c r="D20" s="366" t="str">
        <f>Petals!B32</f>
        <v>Cookie</v>
      </c>
      <c r="E20" s="367"/>
      <c r="F20" s="200" t="str">
        <f>Petals!B30</f>
        <v>Count It Up</v>
      </c>
      <c r="G20" s="50" t="str">
        <f>IF(Petals!I33="C","A","")</f>
        <v/>
      </c>
      <c r="I20" s="52"/>
      <c r="J20" s="252" t="str">
        <f>'Age-Level'!C11</f>
        <v>Cookie Pin (Year 2)</v>
      </c>
      <c r="K20" s="50" t="str">
        <f>IF('Age-Level'!I11="A","C","")</f>
        <v/>
      </c>
    </row>
    <row r="21" spans="1:11">
      <c r="A21" s="31" t="str">
        <f>'Fun Patches'!C13</f>
        <v>&lt;List Patch Here&gt;</v>
      </c>
      <c r="B21" s="50" t="str">
        <f>IF('Fun Patches'!I13="A","C","")</f>
        <v/>
      </c>
      <c r="D21" s="366" t="str">
        <f>Petals!B37</f>
        <v>Cookie</v>
      </c>
      <c r="E21" s="367"/>
      <c r="F21" s="200" t="str">
        <f>Petals!B35</f>
        <v>Talk It Up</v>
      </c>
      <c r="G21" s="50" t="str">
        <f>IF(Petals!I38="C","A","")</f>
        <v/>
      </c>
      <c r="I21" s="53"/>
      <c r="J21" s="252" t="str">
        <f>'Age-Level'!C13</f>
        <v>Fall Sales (Year 1)</v>
      </c>
      <c r="K21" s="50" t="str">
        <f>IF('Age-Level'!I13="A","C","")</f>
        <v/>
      </c>
    </row>
    <row r="22" spans="1:11">
      <c r="A22" s="31" t="str">
        <f>'Fun Patches'!C14</f>
        <v>&lt;List Patch Here&gt;</v>
      </c>
      <c r="B22" s="50" t="str">
        <f>IF('Fun Patches'!I14="A","C","")</f>
        <v/>
      </c>
      <c r="I22" s="26"/>
      <c r="J22" s="252" t="str">
        <f>'Age-Level'!C14</f>
        <v>Fall Sales (Year 2)</v>
      </c>
      <c r="K22" s="50" t="str">
        <f>IF('Age-Level'!I14="A","C","")</f>
        <v/>
      </c>
    </row>
    <row r="23" spans="1:11">
      <c r="A23" s="31" t="str">
        <f>'Fun Patches'!C15</f>
        <v>&lt;List Patch Here&gt;</v>
      </c>
      <c r="B23" s="50" t="str">
        <f>IF('Fun Patches'!I15="A","C","")</f>
        <v/>
      </c>
      <c r="D23" s="362" t="s">
        <v>62</v>
      </c>
      <c r="E23" s="362"/>
      <c r="F23" s="362"/>
      <c r="G23" s="362"/>
      <c r="J23" s="252" t="str">
        <f>'Age-Level'!C16</f>
        <v>Thinking Day (Year 1)</v>
      </c>
      <c r="K23" s="50" t="str">
        <f>IF('Age-Level'!I16="A","C","")</f>
        <v/>
      </c>
    </row>
    <row r="24" spans="1:11">
      <c r="A24" s="31" t="str">
        <f>'Fun Patches'!C16</f>
        <v>&lt;List Patch Here&gt;</v>
      </c>
      <c r="B24" s="50" t="str">
        <f>IF('Fun Patches'!I16="A","C","")</f>
        <v/>
      </c>
      <c r="D24" s="362"/>
      <c r="E24" s="362"/>
      <c r="F24" s="362"/>
      <c r="G24" s="362"/>
      <c r="J24" s="252" t="str">
        <f>'Age-Level'!C17</f>
        <v>Thinking Day (Year 2)</v>
      </c>
      <c r="K24" s="50" t="str">
        <f>IF('Age-Level'!I17="A","C","")</f>
        <v/>
      </c>
    </row>
    <row r="25" spans="1:11">
      <c r="A25" s="31" t="str">
        <f>'Fun Patches'!C17</f>
        <v>&lt;List Patch Here&gt;</v>
      </c>
      <c r="B25" s="50" t="str">
        <f>IF('Fun Patches'!I17="A","C","")</f>
        <v/>
      </c>
      <c r="D25" s="250" t="str">
        <f>'Journey Awards'!A6</f>
        <v>Welcome to the Daisy Flower Garden</v>
      </c>
      <c r="F25" s="57"/>
      <c r="G25" s="248"/>
      <c r="J25" s="252" t="str">
        <f>'Age-Level'!C19</f>
        <v>Investiture</v>
      </c>
      <c r="K25" s="50" t="str">
        <f>IF('Age-Level'!I19="A","C","")</f>
        <v/>
      </c>
    </row>
    <row r="26" spans="1:11">
      <c r="A26" s="31" t="str">
        <f>'Fun Patches'!C18</f>
        <v>&lt;List Patch Here&gt;</v>
      </c>
      <c r="B26" s="50" t="str">
        <f>IF('Fun Patches'!I18="A","C","")</f>
        <v/>
      </c>
      <c r="D26" s="249"/>
      <c r="E26" s="363" t="s">
        <v>66</v>
      </c>
      <c r="F26" s="364"/>
      <c r="G26" s="50" t="str">
        <f>IF('Journey Awards'!I8="A","A","")</f>
        <v/>
      </c>
      <c r="J26" s="252" t="str">
        <f>'Age-Level'!C20</f>
        <v>Rededication (1st year)</v>
      </c>
      <c r="K26" s="50" t="str">
        <f>IF('Age-Level'!I20="A","C","")</f>
        <v/>
      </c>
    </row>
    <row r="27" spans="1:11">
      <c r="A27" s="31" t="str">
        <f>'Fun Patches'!C19</f>
        <v>&lt;List Patch Here&gt;</v>
      </c>
      <c r="B27" s="50" t="str">
        <f>IF('Fun Patches'!I19="A","C","")</f>
        <v/>
      </c>
      <c r="D27" s="249"/>
      <c r="E27" s="363" t="s">
        <v>67</v>
      </c>
      <c r="F27" s="364"/>
      <c r="G27" s="50" t="str">
        <f>IF('Journey Awards'!I9="A","A","")</f>
        <v/>
      </c>
      <c r="J27" s="252" t="str">
        <f>'Age-Level'!B21</f>
        <v>My Promise, My Faith (Year 1)</v>
      </c>
      <c r="K27" s="50" t="str">
        <f>IF('Age-Level'!I27="C","C","")</f>
        <v/>
      </c>
    </row>
    <row r="28" spans="1:11">
      <c r="A28" s="31" t="str">
        <f>'Fun Patches'!C20</f>
        <v>&lt;List Patch Here&gt;</v>
      </c>
      <c r="B28" s="50" t="str">
        <f>IF('Fun Patches'!I20="A","C","")</f>
        <v/>
      </c>
      <c r="D28" s="249"/>
      <c r="E28" s="363" t="s">
        <v>68</v>
      </c>
      <c r="F28" s="364"/>
      <c r="G28" s="50" t="str">
        <f>IF('Journey Awards'!I10="A","A","")</f>
        <v/>
      </c>
      <c r="J28" s="252" t="str">
        <f>'Age-Level'!B28</f>
        <v>My Promise, My Faith (Year 2)</v>
      </c>
      <c r="K28" s="50" t="str">
        <f>IF('Age-Level'!I34="C","C","")</f>
        <v/>
      </c>
    </row>
    <row r="29" spans="1:11">
      <c r="A29" s="31" t="str">
        <f>'Fun Patches'!C21</f>
        <v>&lt;List Patch Here&gt;</v>
      </c>
      <c r="B29" s="50" t="str">
        <f>IF('Fun Patches'!I21="A","C","")</f>
        <v/>
      </c>
      <c r="D29" s="102" t="str">
        <f>'Journey Awards'!A14</f>
        <v>Between Earth and Sky</v>
      </c>
      <c r="F29" s="59"/>
      <c r="G29" s="34"/>
      <c r="J29" s="252" t="str">
        <f>'Age-Level'!C36</f>
        <v>Global Action Award</v>
      </c>
      <c r="K29" s="50" t="str">
        <f>IF('Age-Level'!I36="A","C","")</f>
        <v/>
      </c>
    </row>
    <row r="30" spans="1:11">
      <c r="A30" s="31" t="str">
        <f>'Fun Patches'!C22</f>
        <v>&lt;List Patch Here&gt;</v>
      </c>
      <c r="B30" s="50" t="str">
        <f>IF('Fun Patches'!I22="A","C","")</f>
        <v/>
      </c>
      <c r="D30" s="249"/>
      <c r="E30" s="363" t="str">
        <f>'Journey Awards'!C16</f>
        <v>The Blue Bucket Award</v>
      </c>
      <c r="F30" s="364"/>
      <c r="G30" s="50" t="str">
        <f>IF('Journey Awards'!I16="A","A","")</f>
        <v/>
      </c>
      <c r="J30" s="252" t="str">
        <f>'Age-Level'!C38</f>
        <v>Journey Summit Pin</v>
      </c>
      <c r="K30" s="50" t="str">
        <f>IF('Age-Level'!I38="C","C","")</f>
        <v/>
      </c>
    </row>
    <row r="31" spans="1:11">
      <c r="A31" s="31" t="str">
        <f>'Fun Patches'!C23</f>
        <v>&lt;List Patch Here&gt;</v>
      </c>
      <c r="B31" s="50" t="str">
        <f>IF('Fun Patches'!I23="A","C","")</f>
        <v/>
      </c>
      <c r="D31" s="249"/>
      <c r="E31" s="363" t="str">
        <f>'Journey Awards'!C17</f>
        <v>The Firefly Award</v>
      </c>
      <c r="F31" s="364"/>
      <c r="G31" s="50" t="str">
        <f>IF('Journey Awards'!I17="A","A","")</f>
        <v/>
      </c>
      <c r="J31" s="252" t="str">
        <f>'Age-Level'!B39</f>
        <v>Safety Award</v>
      </c>
      <c r="K31" s="50" t="str">
        <f>IF('Age-Level'!I43="C","C","")</f>
        <v/>
      </c>
    </row>
    <row r="32" spans="1:11">
      <c r="A32" s="31" t="str">
        <f>'Fun Patches'!C24</f>
        <v>&lt;List Patch Here&gt;</v>
      </c>
      <c r="B32" s="50" t="str">
        <f>IF('Fun Patches'!I24="A","C","")</f>
        <v/>
      </c>
      <c r="D32" s="249"/>
      <c r="E32" s="363" t="str">
        <f>'Journey Awards'!C18</f>
        <v>The Clover Award</v>
      </c>
      <c r="F32" s="364"/>
      <c r="G32" s="50" t="str">
        <f>IF('Journey Awards'!I18="A","A","")</f>
        <v/>
      </c>
    </row>
    <row r="33" spans="1:11">
      <c r="A33" s="31" t="str">
        <f>'Fun Patches'!C25</f>
        <v>&lt;List Patch Here&gt;</v>
      </c>
      <c r="B33" s="50" t="str">
        <f>IF('Fun Patches'!I25="A","C","")</f>
        <v/>
      </c>
      <c r="D33" s="102" t="str">
        <f>'Journey Awards'!A22</f>
        <v>5 Flowers, 4 Stories, 3 Cheers for Animals!</v>
      </c>
      <c r="F33" s="59"/>
      <c r="G33" s="34" t="str">
        <f>IF('Journey Awards'!I15="A","A","")</f>
        <v/>
      </c>
      <c r="J33" s="61" t="s">
        <v>102</v>
      </c>
    </row>
    <row r="34" spans="1:11">
      <c r="A34" s="31" t="str">
        <f>'Fun Patches'!C26</f>
        <v>&lt;List Patch Here&gt;</v>
      </c>
      <c r="B34" s="50" t="str">
        <f>IF('Fun Patches'!I26="A","C","")</f>
        <v/>
      </c>
      <c r="D34" s="249"/>
      <c r="E34" s="363" t="str">
        <f>'Journey Awards'!C24</f>
        <v>Birdbath Award</v>
      </c>
      <c r="F34" s="364"/>
      <c r="G34" s="50" t="str">
        <f>IF('Journey Awards'!I24="A","A","")</f>
        <v/>
      </c>
      <c r="J34" s="31" t="str">
        <f>'Fun Patches'!C35</f>
        <v>&lt;List Patch Here&gt;</v>
      </c>
      <c r="K34" s="50" t="str">
        <f>IF('Fun Patches'!I35="A","C","")</f>
        <v/>
      </c>
    </row>
    <row r="35" spans="1:11">
      <c r="A35" s="31" t="str">
        <f>'Fun Patches'!C27</f>
        <v>&lt;List Patch Here&gt;</v>
      </c>
      <c r="B35" s="50" t="str">
        <f>IF('Fun Patches'!I27="A","C","")</f>
        <v/>
      </c>
      <c r="D35" s="249"/>
      <c r="E35" s="363" t="str">
        <f>'Journey Awards'!C25</f>
        <v>Red Robin Award</v>
      </c>
      <c r="F35" s="364"/>
      <c r="G35" s="50" t="str">
        <f>IF('Journey Awards'!I25="A","A","")</f>
        <v/>
      </c>
      <c r="J35" s="31" t="str">
        <f>'Fun Patches'!C36</f>
        <v>&lt;List Patch Here&gt;</v>
      </c>
      <c r="K35" s="50" t="str">
        <f>IF('Fun Patches'!I36="A","C","")</f>
        <v/>
      </c>
    </row>
    <row r="36" spans="1:11">
      <c r="A36" s="251" t="str">
        <f>'Fun Patches'!C28</f>
        <v>&lt;List Patch Here&gt;</v>
      </c>
      <c r="B36" s="50" t="str">
        <f>IF('Fun Patches'!I28="A","C","")</f>
        <v/>
      </c>
      <c r="D36" s="249"/>
      <c r="E36" s="363" t="str">
        <f>'Journey Awards'!C26</f>
        <v>Tula Award</v>
      </c>
      <c r="F36" s="364"/>
      <c r="G36" s="50" t="str">
        <f>IF('Journey Awards'!I26="A","A","")</f>
        <v/>
      </c>
      <c r="J36" s="31" t="str">
        <f>'Fun Patches'!C37</f>
        <v>&lt;List Patch Here&gt;</v>
      </c>
      <c r="K36" s="50" t="str">
        <f>IF('Fun Patches'!I37="A","C","")</f>
        <v/>
      </c>
    </row>
    <row r="37" spans="1:11">
      <c r="A37" s="253" t="str">
        <f>'Fun Patches'!C29</f>
        <v>&lt;List Patch Here&gt;</v>
      </c>
      <c r="B37" s="50" t="str">
        <f>IF('Fun Patches'!I29="A","C","")</f>
        <v/>
      </c>
      <c r="J37" s="31" t="str">
        <f>'Fun Patches'!C38</f>
        <v>&lt;List Patch Here&gt;</v>
      </c>
      <c r="K37" s="50" t="str">
        <f>IF('Fun Patches'!I38="A","C","")</f>
        <v/>
      </c>
    </row>
    <row r="38" spans="1:11" ht="12.75" customHeight="1">
      <c r="A38" s="282"/>
      <c r="B38" s="208"/>
      <c r="C38" s="142"/>
      <c r="D38" s="361" t="s">
        <v>102</v>
      </c>
      <c r="E38" s="300"/>
      <c r="F38" s="300"/>
      <c r="J38" s="31" t="str">
        <f>'Fun Patches'!C39</f>
        <v>&lt;List Patch Here&gt;</v>
      </c>
      <c r="K38" s="50" t="str">
        <f>IF('Fun Patches'!I39="A","C","")</f>
        <v/>
      </c>
    </row>
    <row r="39" spans="1:11" ht="13.5" customHeight="1">
      <c r="A39" s="103"/>
      <c r="B39" s="142"/>
      <c r="C39" s="142"/>
      <c r="E39" s="368" t="str">
        <f>'Fun Patches'!C30</f>
        <v>&lt;List Patch Here&gt;</v>
      </c>
      <c r="F39" s="369"/>
      <c r="G39" s="50" t="str">
        <f>IF('Fun Patches'!I30="A","C","")</f>
        <v/>
      </c>
      <c r="J39" s="31" t="str">
        <f>'Fun Patches'!C40</f>
        <v>&lt;List Patch Here&gt;</v>
      </c>
      <c r="K39" s="50" t="str">
        <f>IF('Fun Patches'!I40="A","C","")</f>
        <v/>
      </c>
    </row>
    <row r="40" spans="1:11" ht="13.5" customHeight="1">
      <c r="A40" s="143" t="s">
        <v>115</v>
      </c>
      <c r="B40" s="141"/>
      <c r="C40" s="142"/>
      <c r="E40" s="368" t="str">
        <f>'Fun Patches'!C31</f>
        <v>&lt;List Patch Here&gt;</v>
      </c>
      <c r="F40" s="369"/>
      <c r="G40" s="50" t="str">
        <f>IF('Fun Patches'!I31="A","C","")</f>
        <v/>
      </c>
      <c r="J40" s="31" t="str">
        <f>'Fun Patches'!C41</f>
        <v>&lt;List Patch Here&gt;</v>
      </c>
      <c r="K40" s="50" t="str">
        <f>IF('Fun Patches'!I41="A","C","")</f>
        <v/>
      </c>
    </row>
    <row r="41" spans="1:11" ht="13.5" customHeight="1">
      <c r="A41" s="145" t="s">
        <v>116</v>
      </c>
      <c r="B41" s="139"/>
      <c r="C41" s="140"/>
      <c r="E41" s="368" t="str">
        <f>'Fun Patches'!C32</f>
        <v>&lt;List Patch Here&gt;</v>
      </c>
      <c r="F41" s="369"/>
      <c r="G41" s="50" t="str">
        <f>IF('Fun Patches'!I32="A","C","")</f>
        <v/>
      </c>
      <c r="J41" s="31" t="str">
        <f>'Fun Patches'!C42</f>
        <v>&lt;List Patch Here&gt;</v>
      </c>
      <c r="K41" s="50" t="str">
        <f>IF('Fun Patches'!I42="A","C","")</f>
        <v/>
      </c>
    </row>
    <row r="42" spans="1:11">
      <c r="A42" s="146" t="s">
        <v>118</v>
      </c>
      <c r="B42" s="140"/>
      <c r="C42" s="140"/>
      <c r="E42" s="368" t="str">
        <f>'Fun Patches'!C33</f>
        <v>&lt;List Patch Here&gt;</v>
      </c>
      <c r="F42" s="369"/>
      <c r="G42" s="50" t="str">
        <f>IF('Fun Patches'!I33="A","C","")</f>
        <v/>
      </c>
      <c r="J42" s="31" t="str">
        <f>'Fun Patches'!C43</f>
        <v>&lt;List Patch Here&gt;</v>
      </c>
      <c r="K42" s="50" t="str">
        <f>IF('Fun Patches'!I43="A","C","")</f>
        <v/>
      </c>
    </row>
    <row r="43" spans="1:11">
      <c r="A43" s="147" t="s">
        <v>117</v>
      </c>
      <c r="B43" s="140"/>
      <c r="C43" s="140"/>
      <c r="E43" s="368" t="str">
        <f>'Fun Patches'!C34</f>
        <v>&lt;List Patch Here&gt;</v>
      </c>
      <c r="F43" s="369"/>
      <c r="G43" s="50" t="str">
        <f>IF('Fun Patches'!I34="A","C","")</f>
        <v/>
      </c>
      <c r="J43" s="31" t="str">
        <f>'Fun Patches'!C44</f>
        <v>&lt;List Patch Here&gt;</v>
      </c>
      <c r="K43" s="50" t="str">
        <f>IF('Fun Patches'!I44="A","C","")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7</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IF(Petals!J6="A","A","")</f>
        <v/>
      </c>
      <c r="I3" s="211" t="str">
        <f>Bridging!B6</f>
        <v>Pass It On</v>
      </c>
      <c r="J3" s="211"/>
      <c r="K3" s="211"/>
    </row>
    <row r="4" spans="1:11">
      <c r="A4" s="66" t="s">
        <v>44</v>
      </c>
      <c r="B4" s="48" t="str">
        <f>IF(Petals!J18="C","C",IF(Petals!J18="P","P",""))</f>
        <v/>
      </c>
      <c r="D4" s="61" t="s">
        <v>44</v>
      </c>
      <c r="G4" s="34"/>
      <c r="I4" s="249">
        <v>1</v>
      </c>
      <c r="J4" s="252" t="str">
        <f>Bridging!C7</f>
        <v>Teach younger girls the GS Promise</v>
      </c>
      <c r="K4" s="50" t="str">
        <f>IF(Bridging!J7="A","A","")</f>
        <v/>
      </c>
    </row>
    <row r="5" spans="1:11">
      <c r="A5" s="207" t="s">
        <v>141</v>
      </c>
      <c r="B5" s="209">
        <f>INT(COUNTIF(G18:G21,"A"))</f>
        <v>1</v>
      </c>
      <c r="E5" s="31" t="str">
        <f>Petals!B8</f>
        <v>Lupe</v>
      </c>
      <c r="F5" s="31" t="str">
        <f>Petals!C8</f>
        <v>Honest and fair</v>
      </c>
      <c r="G5" s="50" t="str">
        <f>IF(Petals!J8="A","A","")</f>
        <v/>
      </c>
      <c r="I5" s="249">
        <v>2</v>
      </c>
      <c r="J5" s="252" t="str">
        <f>Bridging!C8</f>
        <v>Tell younger girls about the Flower</v>
      </c>
      <c r="K5" s="50" t="str">
        <f>IF(Bridging!J8="A","A","")</f>
        <v/>
      </c>
    </row>
    <row r="6" spans="1:11">
      <c r="A6" s="67" t="s">
        <v>62</v>
      </c>
      <c r="B6" s="54"/>
      <c r="E6" s="31" t="str">
        <f>Petals!B9</f>
        <v>Sunny</v>
      </c>
      <c r="F6" s="31" t="str">
        <f>Petals!C9</f>
        <v>Friendly and helpful</v>
      </c>
      <c r="G6" s="50" t="str">
        <f>IF(Petals!J9="A","A","")</f>
        <v/>
      </c>
      <c r="I6" s="249">
        <v>3</v>
      </c>
      <c r="J6" s="252" t="str">
        <f>Bridging!C9</f>
        <v>Play a game together!</v>
      </c>
      <c r="K6" s="50" t="str">
        <f>IF(Bridging!J9="A","A","")</f>
        <v/>
      </c>
    </row>
    <row r="7" spans="1:11">
      <c r="A7" s="206" t="str">
        <f>'Journey Awards'!A6</f>
        <v>Welcome to the Daisy Flower Garden</v>
      </c>
      <c r="B7" s="48" t="str">
        <f>IF('Journey Awards'!J11="C","C",IF('Journey Awards'!J11="P","P",""))</f>
        <v/>
      </c>
      <c r="E7" s="31" t="str">
        <f>Petals!B10</f>
        <v>Zinni</v>
      </c>
      <c r="F7" s="31" t="str">
        <f>Petals!C10</f>
        <v>Considerate and caring</v>
      </c>
      <c r="G7" s="50" t="str">
        <f>IF(Petals!J10="A","A","")</f>
        <v/>
      </c>
      <c r="I7" s="250" t="str">
        <f>Bridging!B11</f>
        <v>Look Ahead</v>
      </c>
      <c r="J7" s="59"/>
      <c r="K7" s="34"/>
    </row>
    <row r="8" spans="1:11">
      <c r="A8" s="206" t="str">
        <f>'Journey Awards'!A14</f>
        <v>Between Earth and Sky</v>
      </c>
      <c r="B8" s="48" t="str">
        <f>IF('Journey Awards'!J19="C","C",IF('Journey Awards'!J19="P","P",""))</f>
        <v/>
      </c>
      <c r="E8" s="31" t="str">
        <f>Petals!B11</f>
        <v>Tula</v>
      </c>
      <c r="F8" s="31" t="str">
        <f>Petals!C11</f>
        <v>Courageous and strong</v>
      </c>
      <c r="G8" s="50" t="str">
        <f>IF(Petals!J11="A","A","")</f>
        <v/>
      </c>
      <c r="I8" s="249">
        <v>1</v>
      </c>
      <c r="J8" s="252" t="str">
        <f>Bridging!C12</f>
        <v>Say the Girl Scout Promise together.</v>
      </c>
      <c r="K8" s="50" t="str">
        <f>IF(Bridging!J12="A","A","")</f>
        <v/>
      </c>
    </row>
    <row r="9" spans="1:11">
      <c r="A9" s="206" t="str">
        <f>'Journey Awards'!A22</f>
        <v>5 Flowers, 4 Stories, 3 Cheers for Animals!</v>
      </c>
      <c r="B9" s="48" t="str">
        <f>IF('Journey Awards'!J27="C","C",IF('Journey Awards'!J27="P","P",""))</f>
        <v/>
      </c>
      <c r="E9" s="31" t="str">
        <f>Petals!B12</f>
        <v>Mari</v>
      </c>
      <c r="F9" s="31" t="str">
        <f>Petals!C12</f>
        <v>Responsible for what I say and do</v>
      </c>
      <c r="G9" s="50" t="str">
        <f>IF(Petals!J12="A","A","")</f>
        <v/>
      </c>
      <c r="I9" s="249">
        <v>2</v>
      </c>
      <c r="J9" s="252" t="str">
        <f>Bridging!C13</f>
        <v>Ask the Brownies to teach you</v>
      </c>
      <c r="K9" s="50" t="str">
        <f>IF(Bridging!J13="A","A","")</f>
        <v/>
      </c>
    </row>
    <row r="10" spans="1:11">
      <c r="A10" s="90" t="s">
        <v>61</v>
      </c>
      <c r="B10" s="48" t="str">
        <f>IF(Bridging!J18="C","C",IF(Bridging!J18="P","P",""))</f>
        <v/>
      </c>
      <c r="E10" s="31" t="str">
        <f>Petals!B13</f>
        <v>Gloria</v>
      </c>
      <c r="F10" s="31" t="str">
        <f>Petals!C13</f>
        <v>Respect for myself &amp; others</v>
      </c>
      <c r="G10" s="50" t="str">
        <f>IF(Petals!J13="A","A","")</f>
        <v/>
      </c>
      <c r="I10" s="249">
        <v>4</v>
      </c>
      <c r="J10" s="252" t="str">
        <f>Bridging!C14</f>
        <v>Ask the Brownies to show you</v>
      </c>
      <c r="K10" s="50" t="str">
        <f>IF(Bridging!J14="A","A","")</f>
        <v/>
      </c>
    </row>
    <row r="11" spans="1:11">
      <c r="A11" s="250"/>
      <c r="B11" s="99"/>
      <c r="E11" s="31" t="str">
        <f>Petals!B14</f>
        <v>Gerri</v>
      </c>
      <c r="F11" s="31" t="str">
        <f>Petals!C14</f>
        <v>Respect authority</v>
      </c>
      <c r="G11" s="50" t="str">
        <f>IF(Petals!J14="A","A","")</f>
        <v/>
      </c>
      <c r="I11" s="232" t="str">
        <f>Bridging!C16</f>
        <v>Plan a Ceremony</v>
      </c>
      <c r="J11" s="59"/>
      <c r="K11" s="50" t="str">
        <f>IF(Bridging!J16="A","A","")</f>
        <v/>
      </c>
    </row>
    <row r="12" spans="1:11">
      <c r="A12" s="61" t="s">
        <v>100</v>
      </c>
      <c r="E12" s="31" t="str">
        <f>Petals!B15</f>
        <v>Clover</v>
      </c>
      <c r="F12" s="31" t="str">
        <f>Petals!C15</f>
        <v>Use resources wisely</v>
      </c>
      <c r="G12" s="50" t="str">
        <f>IF(Petals!J15="A","A","")</f>
        <v/>
      </c>
    </row>
    <row r="13" spans="1:11">
      <c r="A13" s="31" t="str">
        <f>'Fun Patches'!C5</f>
        <v>&lt;List Patch Here&gt;</v>
      </c>
      <c r="B13" s="50" t="str">
        <f>IF('Fun Patches'!J5="A","C","")</f>
        <v/>
      </c>
      <c r="E13" s="31" t="str">
        <f>Petals!B16</f>
        <v>Rosie</v>
      </c>
      <c r="F13" s="31" t="str">
        <f>Petals!C16</f>
        <v>Make the world a better place</v>
      </c>
      <c r="G13" s="50" t="str">
        <f>IF(Petals!J16="A","A","")</f>
        <v/>
      </c>
      <c r="I13" s="362" t="s">
        <v>71</v>
      </c>
      <c r="J13" s="362"/>
      <c r="K13" s="362"/>
    </row>
    <row r="14" spans="1:11">
      <c r="A14" s="31" t="str">
        <f>'Fun Patches'!C6</f>
        <v>&lt;List Patch Here&gt;</v>
      </c>
      <c r="B14" s="50" t="str">
        <f>IF('Fun Patches'!J6="A","C","")</f>
        <v/>
      </c>
      <c r="E14" s="31" t="str">
        <f>Petals!B17</f>
        <v>Vi</v>
      </c>
      <c r="F14" s="31" t="str">
        <f>Petals!C17</f>
        <v>Be a sister to every Girl Scout</v>
      </c>
      <c r="G14" s="50" t="str">
        <f>IF(Petals!J17="A","A","")</f>
        <v/>
      </c>
      <c r="I14" s="362"/>
      <c r="J14" s="362"/>
      <c r="K14" s="362"/>
    </row>
    <row r="15" spans="1:11">
      <c r="A15" s="31" t="str">
        <f>'Fun Patches'!C7</f>
        <v>&lt;List Patch Here&gt;</v>
      </c>
      <c r="B15" s="50" t="str">
        <f>IF('Fun Patches'!J7="A","C","")</f>
        <v/>
      </c>
      <c r="E15" s="73"/>
      <c r="F15" s="73"/>
      <c r="G15" s="208"/>
      <c r="I15" s="249"/>
      <c r="J15" s="252" t="str">
        <f>'Age-Level'!C6</f>
        <v>Cookie Rally (Year 1)</v>
      </c>
      <c r="K15" s="50" t="str">
        <f>IF('Age-Level'!J6="A","C","")</f>
        <v/>
      </c>
    </row>
    <row r="16" spans="1:11">
      <c r="A16" s="31" t="str">
        <f>'Fun Patches'!C8</f>
        <v>&lt;List Patch Here&gt;</v>
      </c>
      <c r="B16" s="50" t="str">
        <f>IF('Fun Patches'!J8="A","C","")</f>
        <v/>
      </c>
      <c r="D16" s="362" t="s">
        <v>141</v>
      </c>
      <c r="E16" s="300"/>
      <c r="F16" s="300"/>
      <c r="G16" s="300"/>
      <c r="I16" s="249"/>
      <c r="J16" s="252" t="str">
        <f>'Age-Level'!C7</f>
        <v>Cookie Sales (Year 1)</v>
      </c>
      <c r="K16" s="50" t="str">
        <f>IF('Age-Level'!J7="A","C","")</f>
        <v/>
      </c>
    </row>
    <row r="17" spans="1:11">
      <c r="A17" s="31" t="str">
        <f>'Fun Patches'!C9</f>
        <v>&lt;List Patch Here&gt;</v>
      </c>
      <c r="B17" s="50" t="str">
        <f>IF('Fun Patches'!J9="A","C","")</f>
        <v/>
      </c>
      <c r="D17" s="300"/>
      <c r="E17" s="300"/>
      <c r="F17" s="300"/>
      <c r="G17" s="300"/>
      <c r="I17" s="51"/>
      <c r="J17" s="252" t="str">
        <f>'Age-Level'!C8</f>
        <v>Cookie Pin (Year 1)</v>
      </c>
      <c r="K17" s="50" t="str">
        <f>IF('Age-Level'!J8="A","C","")</f>
        <v/>
      </c>
    </row>
    <row r="18" spans="1:11">
      <c r="A18" s="31" t="str">
        <f>'Fun Patches'!C10</f>
        <v>&lt;List Patch Here&gt;</v>
      </c>
      <c r="B18" s="50" t="str">
        <f>IF('Fun Patches'!J10="A","C","")</f>
        <v/>
      </c>
      <c r="D18" s="366" t="str">
        <f>Petals!B22</f>
        <v>Finance</v>
      </c>
      <c r="E18" s="367"/>
      <c r="F18" s="200" t="str">
        <f>Petals!B20</f>
        <v>Money Counts</v>
      </c>
      <c r="G18" s="50" t="str">
        <f>IF(Petals!J23="C","A","")</f>
        <v/>
      </c>
      <c r="I18" s="51"/>
      <c r="J18" s="252" t="str">
        <f>'Age-Level'!C9</f>
        <v>Cookie Rally (Year 2)</v>
      </c>
      <c r="K18" s="50" t="str">
        <f>IF('Age-Level'!J9="A","C","")</f>
        <v/>
      </c>
    </row>
    <row r="19" spans="1:11">
      <c r="A19" s="31" t="str">
        <f>'Fun Patches'!C11</f>
        <v>&lt;List Patch Here&gt;</v>
      </c>
      <c r="B19" s="50" t="str">
        <f>IF('Fun Patches'!J11="A","C","")</f>
        <v/>
      </c>
      <c r="D19" s="366" t="str">
        <f>Petals!B27</f>
        <v>Finance</v>
      </c>
      <c r="E19" s="367"/>
      <c r="F19" s="200" t="str">
        <f>Petals!B25</f>
        <v>Making Choices</v>
      </c>
      <c r="G19" s="50" t="str">
        <f>IF(Petals!J28="C","A","")</f>
        <v/>
      </c>
      <c r="I19" s="51"/>
      <c r="J19" s="252" t="str">
        <f>'Age-Level'!C10</f>
        <v>Cookie Sales (Year 2)</v>
      </c>
      <c r="K19" s="50" t="str">
        <f>IF('Age-Level'!J10="A","C","")</f>
        <v/>
      </c>
    </row>
    <row r="20" spans="1:11">
      <c r="A20" s="31" t="str">
        <f>'Fun Patches'!C12</f>
        <v>&lt;List Patch Here&gt;</v>
      </c>
      <c r="B20" s="50" t="str">
        <f>IF('Fun Patches'!J12="A","C","")</f>
        <v/>
      </c>
      <c r="D20" s="366" t="str">
        <f>Petals!B32</f>
        <v>Cookie</v>
      </c>
      <c r="E20" s="367"/>
      <c r="F20" s="200" t="str">
        <f>Petals!B30</f>
        <v>Count It Up</v>
      </c>
      <c r="G20" s="50" t="str">
        <f>IF(Petals!J33="C","A","")</f>
        <v/>
      </c>
      <c r="I20" s="52"/>
      <c r="J20" s="252" t="str">
        <f>'Age-Level'!C11</f>
        <v>Cookie Pin (Year 2)</v>
      </c>
      <c r="K20" s="50" t="str">
        <f>IF('Age-Level'!J11="A","C","")</f>
        <v/>
      </c>
    </row>
    <row r="21" spans="1:11">
      <c r="A21" s="31" t="str">
        <f>'Fun Patches'!C13</f>
        <v>&lt;List Patch Here&gt;</v>
      </c>
      <c r="B21" s="50" t="str">
        <f>IF('Fun Patches'!J13="A","C","")</f>
        <v/>
      </c>
      <c r="D21" s="366" t="str">
        <f>Petals!B37</f>
        <v>Cookie</v>
      </c>
      <c r="E21" s="367"/>
      <c r="F21" s="200" t="str">
        <f>Petals!B35</f>
        <v>Talk It Up</v>
      </c>
      <c r="G21" s="50" t="str">
        <f>IF(Petals!J38="C","A","")</f>
        <v>A</v>
      </c>
      <c r="I21" s="53"/>
      <c r="J21" s="252" t="str">
        <f>'Age-Level'!C13</f>
        <v>Fall Sales (Year 1)</v>
      </c>
      <c r="K21" s="50" t="str">
        <f>IF('Age-Level'!J13="A","C","")</f>
        <v/>
      </c>
    </row>
    <row r="22" spans="1:11">
      <c r="A22" s="31" t="str">
        <f>'Fun Patches'!C14</f>
        <v>&lt;List Patch Here&gt;</v>
      </c>
      <c r="B22" s="50" t="str">
        <f>IF('Fun Patches'!J14="A","C","")</f>
        <v/>
      </c>
      <c r="I22" s="26"/>
      <c r="J22" s="252" t="str">
        <f>'Age-Level'!C14</f>
        <v>Fall Sales (Year 2)</v>
      </c>
      <c r="K22" s="50" t="str">
        <f>IF('Age-Level'!J14="A","C","")</f>
        <v/>
      </c>
    </row>
    <row r="23" spans="1:11">
      <c r="A23" s="31" t="str">
        <f>'Fun Patches'!C15</f>
        <v>&lt;List Patch Here&gt;</v>
      </c>
      <c r="B23" s="50" t="str">
        <f>IF('Fun Patches'!J15="A","C","")</f>
        <v/>
      </c>
      <c r="D23" s="362" t="s">
        <v>62</v>
      </c>
      <c r="E23" s="362"/>
      <c r="F23" s="362"/>
      <c r="G23" s="362"/>
      <c r="J23" s="252" t="str">
        <f>'Age-Level'!C16</f>
        <v>Thinking Day (Year 1)</v>
      </c>
      <c r="K23" s="50" t="str">
        <f>IF('Age-Level'!J16="A","C","")</f>
        <v/>
      </c>
    </row>
    <row r="24" spans="1:11">
      <c r="A24" s="31" t="str">
        <f>'Fun Patches'!C16</f>
        <v>&lt;List Patch Here&gt;</v>
      </c>
      <c r="B24" s="50" t="str">
        <f>IF('Fun Patches'!J16="A","C","")</f>
        <v/>
      </c>
      <c r="D24" s="362"/>
      <c r="E24" s="362"/>
      <c r="F24" s="362"/>
      <c r="G24" s="362"/>
      <c r="J24" s="252" t="str">
        <f>'Age-Level'!C17</f>
        <v>Thinking Day (Year 2)</v>
      </c>
      <c r="K24" s="50" t="str">
        <f>IF('Age-Level'!J17="A","C","")</f>
        <v/>
      </c>
    </row>
    <row r="25" spans="1:11">
      <c r="A25" s="31" t="str">
        <f>'Fun Patches'!C17</f>
        <v>&lt;List Patch Here&gt;</v>
      </c>
      <c r="B25" s="50" t="str">
        <f>IF('Fun Patches'!J17="A","C","")</f>
        <v/>
      </c>
      <c r="D25" s="250" t="str">
        <f>'Journey Awards'!A6</f>
        <v>Welcome to the Daisy Flower Garden</v>
      </c>
      <c r="F25" s="57"/>
      <c r="G25" s="248"/>
      <c r="J25" s="252" t="str">
        <f>'Age-Level'!C19</f>
        <v>Investiture</v>
      </c>
      <c r="K25" s="50" t="str">
        <f>IF('Age-Level'!J19="A","C","")</f>
        <v/>
      </c>
    </row>
    <row r="26" spans="1:11">
      <c r="A26" s="31" t="str">
        <f>'Fun Patches'!C18</f>
        <v>&lt;List Patch Here&gt;</v>
      </c>
      <c r="B26" s="50" t="str">
        <f>IF('Fun Patches'!J18="A","C","")</f>
        <v/>
      </c>
      <c r="D26" s="249"/>
      <c r="E26" s="363" t="s">
        <v>66</v>
      </c>
      <c r="F26" s="364"/>
      <c r="G26" s="50" t="str">
        <f>IF('Journey Awards'!J8="A","A","")</f>
        <v/>
      </c>
      <c r="J26" s="252" t="str">
        <f>'Age-Level'!C20</f>
        <v>Rededication (1st year)</v>
      </c>
      <c r="K26" s="50" t="str">
        <f>IF('Age-Level'!J20="A","C","")</f>
        <v/>
      </c>
    </row>
    <row r="27" spans="1:11">
      <c r="A27" s="31" t="str">
        <f>'Fun Patches'!C19</f>
        <v>&lt;List Patch Here&gt;</v>
      </c>
      <c r="B27" s="50" t="str">
        <f>IF('Fun Patches'!J19="A","C","")</f>
        <v/>
      </c>
      <c r="D27" s="249"/>
      <c r="E27" s="363" t="s">
        <v>67</v>
      </c>
      <c r="F27" s="364"/>
      <c r="G27" s="50" t="str">
        <f>IF('Journey Awards'!J9="A","A","")</f>
        <v/>
      </c>
      <c r="J27" s="252" t="str">
        <f>'Age-Level'!B21</f>
        <v>My Promise, My Faith (Year 1)</v>
      </c>
      <c r="K27" s="50" t="str">
        <f>IF('Age-Level'!J27="C","C","")</f>
        <v/>
      </c>
    </row>
    <row r="28" spans="1:11">
      <c r="A28" s="31" t="str">
        <f>'Fun Patches'!C20</f>
        <v>&lt;List Patch Here&gt;</v>
      </c>
      <c r="B28" s="50" t="str">
        <f>IF('Fun Patches'!J20="A","C","")</f>
        <v/>
      </c>
      <c r="D28" s="249"/>
      <c r="E28" s="363" t="s">
        <v>68</v>
      </c>
      <c r="F28" s="364"/>
      <c r="G28" s="50" t="str">
        <f>IF('Journey Awards'!J10="A","A","")</f>
        <v/>
      </c>
      <c r="J28" s="252" t="str">
        <f>'Age-Level'!B28</f>
        <v>My Promise, My Faith (Year 2)</v>
      </c>
      <c r="K28" s="50" t="str">
        <f>IF('Age-Level'!J34="C","C","")</f>
        <v/>
      </c>
    </row>
    <row r="29" spans="1:11">
      <c r="A29" s="31" t="str">
        <f>'Fun Patches'!C21</f>
        <v>&lt;List Patch Here&gt;</v>
      </c>
      <c r="B29" s="50" t="str">
        <f>IF('Fun Patches'!J21="A","C","")</f>
        <v/>
      </c>
      <c r="D29" s="102" t="str">
        <f>'Journey Awards'!A14</f>
        <v>Between Earth and Sky</v>
      </c>
      <c r="F29" s="59"/>
      <c r="G29" s="34"/>
      <c r="J29" s="252" t="str">
        <f>'Age-Level'!C36</f>
        <v>Global Action Award</v>
      </c>
      <c r="K29" s="50" t="str">
        <f>IF('Age-Level'!J36="A","C","")</f>
        <v/>
      </c>
    </row>
    <row r="30" spans="1:11">
      <c r="A30" s="31" t="str">
        <f>'Fun Patches'!C22</f>
        <v>&lt;List Patch Here&gt;</v>
      </c>
      <c r="B30" s="50" t="str">
        <f>IF('Fun Patches'!J22="A","C","")</f>
        <v/>
      </c>
      <c r="D30" s="249"/>
      <c r="E30" s="363" t="str">
        <f>'Journey Awards'!C16</f>
        <v>The Blue Bucket Award</v>
      </c>
      <c r="F30" s="364"/>
      <c r="G30" s="50" t="str">
        <f>IF('Journey Awards'!J16="A","A","")</f>
        <v/>
      </c>
      <c r="J30" s="252" t="str">
        <f>'Age-Level'!C38</f>
        <v>Journey Summit Pin</v>
      </c>
      <c r="K30" s="50" t="str">
        <f>IF('Age-Level'!J38="C","C","")</f>
        <v/>
      </c>
    </row>
    <row r="31" spans="1:11">
      <c r="A31" s="31" t="str">
        <f>'Fun Patches'!C23</f>
        <v>&lt;List Patch Here&gt;</v>
      </c>
      <c r="B31" s="50" t="str">
        <f>IF('Fun Patches'!J23="A","C","")</f>
        <v/>
      </c>
      <c r="D31" s="249"/>
      <c r="E31" s="363" t="str">
        <f>'Journey Awards'!C17</f>
        <v>The Firefly Award</v>
      </c>
      <c r="F31" s="364"/>
      <c r="G31" s="50" t="str">
        <f>IF('Journey Awards'!J17="A","A","")</f>
        <v/>
      </c>
      <c r="J31" s="252" t="str">
        <f>'Age-Level'!B39</f>
        <v>Safety Award</v>
      </c>
      <c r="K31" s="50" t="str">
        <f>IF('Age-Level'!J43="C","C","")</f>
        <v/>
      </c>
    </row>
    <row r="32" spans="1:11">
      <c r="A32" s="31" t="str">
        <f>'Fun Patches'!C24</f>
        <v>&lt;List Patch Here&gt;</v>
      </c>
      <c r="B32" s="50" t="str">
        <f>IF('Fun Patches'!J24="A","C","")</f>
        <v/>
      </c>
      <c r="D32" s="249"/>
      <c r="E32" s="363" t="str">
        <f>'Journey Awards'!C18</f>
        <v>The Clover Award</v>
      </c>
      <c r="F32" s="364"/>
      <c r="G32" s="50" t="str">
        <f>IF('Journey Awards'!J18="A","A","")</f>
        <v/>
      </c>
    </row>
    <row r="33" spans="1:11">
      <c r="A33" s="31" t="str">
        <f>'Fun Patches'!C25</f>
        <v>&lt;List Patch Here&gt;</v>
      </c>
      <c r="B33" s="50" t="str">
        <f>IF('Fun Patches'!J25="A","C","")</f>
        <v/>
      </c>
      <c r="D33" s="102" t="str">
        <f>'Journey Awards'!A22</f>
        <v>5 Flowers, 4 Stories, 3 Cheers for Animals!</v>
      </c>
      <c r="F33" s="59"/>
      <c r="G33" s="34" t="str">
        <f>IF('Journey Awards'!J15="A","A","")</f>
        <v/>
      </c>
      <c r="J33" s="61" t="s">
        <v>102</v>
      </c>
    </row>
    <row r="34" spans="1:11">
      <c r="A34" s="31" t="str">
        <f>'Fun Patches'!C26</f>
        <v>&lt;List Patch Here&gt;</v>
      </c>
      <c r="B34" s="50" t="str">
        <f>IF('Fun Patches'!J26="A","C","")</f>
        <v/>
      </c>
      <c r="D34" s="249"/>
      <c r="E34" s="363" t="str">
        <f>'Journey Awards'!C24</f>
        <v>Birdbath Award</v>
      </c>
      <c r="F34" s="364"/>
      <c r="G34" s="50" t="str">
        <f>IF('Journey Awards'!J24="A","A","")</f>
        <v/>
      </c>
      <c r="J34" s="31" t="str">
        <f>'Fun Patches'!C35</f>
        <v>&lt;List Patch Here&gt;</v>
      </c>
      <c r="K34" s="50" t="str">
        <f>IF('Fun Patches'!J35="A","C","")</f>
        <v/>
      </c>
    </row>
    <row r="35" spans="1:11">
      <c r="A35" s="31" t="str">
        <f>'Fun Patches'!C27</f>
        <v>&lt;List Patch Here&gt;</v>
      </c>
      <c r="B35" s="50" t="str">
        <f>IF('Fun Patches'!J27="A","C","")</f>
        <v/>
      </c>
      <c r="D35" s="249"/>
      <c r="E35" s="363" t="str">
        <f>'Journey Awards'!C25</f>
        <v>Red Robin Award</v>
      </c>
      <c r="F35" s="364"/>
      <c r="G35" s="50" t="str">
        <f>IF('Journey Awards'!J25="A","A","")</f>
        <v/>
      </c>
      <c r="J35" s="31" t="str">
        <f>'Fun Patches'!C36</f>
        <v>&lt;List Patch Here&gt;</v>
      </c>
      <c r="K35" s="50" t="str">
        <f>IF('Fun Patches'!J36="A","C","")</f>
        <v/>
      </c>
    </row>
    <row r="36" spans="1:11">
      <c r="A36" s="251" t="str">
        <f>'Fun Patches'!C28</f>
        <v>&lt;List Patch Here&gt;</v>
      </c>
      <c r="B36" s="50" t="str">
        <f>IF('Fun Patches'!J28="A","C","")</f>
        <v/>
      </c>
      <c r="D36" s="249"/>
      <c r="E36" s="363" t="str">
        <f>'Journey Awards'!C26</f>
        <v>Tula Award</v>
      </c>
      <c r="F36" s="364"/>
      <c r="G36" s="50" t="str">
        <f>IF('Journey Awards'!J26="A","A","")</f>
        <v/>
      </c>
      <c r="J36" s="31" t="str">
        <f>'Fun Patches'!C37</f>
        <v>&lt;List Patch Here&gt;</v>
      </c>
      <c r="K36" s="50" t="str">
        <f>IF('Fun Patches'!J37="A","C","")</f>
        <v/>
      </c>
    </row>
    <row r="37" spans="1:11">
      <c r="A37" s="253" t="str">
        <f>'Fun Patches'!C29</f>
        <v>&lt;List Patch Here&gt;</v>
      </c>
      <c r="B37" s="50" t="str">
        <f>IF('Fun Patches'!J29="A","C","")</f>
        <v/>
      </c>
      <c r="J37" s="31" t="str">
        <f>'Fun Patches'!C38</f>
        <v>&lt;List Patch Here&gt;</v>
      </c>
      <c r="K37" s="50" t="str">
        <f>IF('Fun Patches'!J38="A","C","")</f>
        <v/>
      </c>
    </row>
    <row r="38" spans="1:11" ht="12.75" customHeight="1">
      <c r="A38" s="282"/>
      <c r="B38" s="208"/>
      <c r="C38" s="142"/>
      <c r="D38" s="361" t="s">
        <v>102</v>
      </c>
      <c r="E38" s="300"/>
      <c r="F38" s="300"/>
      <c r="J38" s="31" t="str">
        <f>'Fun Patches'!C39</f>
        <v>&lt;List Patch Here&gt;</v>
      </c>
      <c r="K38" s="50" t="str">
        <f>IF('Fun Patches'!J39="A","C","")</f>
        <v/>
      </c>
    </row>
    <row r="39" spans="1:11" ht="13.5" customHeight="1">
      <c r="A39" s="103"/>
      <c r="B39" s="142"/>
      <c r="C39" s="142"/>
      <c r="E39" s="368" t="str">
        <f>'Fun Patches'!C30</f>
        <v>&lt;List Patch Here&gt;</v>
      </c>
      <c r="F39" s="369"/>
      <c r="G39" s="50" t="str">
        <f>IF('Fun Patches'!J30="A","C","")</f>
        <v/>
      </c>
      <c r="J39" s="31" t="str">
        <f>'Fun Patches'!C40</f>
        <v>&lt;List Patch Here&gt;</v>
      </c>
      <c r="K39" s="50" t="str">
        <f>IF('Fun Patches'!J40="A","C","")</f>
        <v/>
      </c>
    </row>
    <row r="40" spans="1:11" ht="13.5" customHeight="1">
      <c r="A40" s="143" t="s">
        <v>115</v>
      </c>
      <c r="B40" s="141"/>
      <c r="C40" s="142"/>
      <c r="E40" s="368" t="str">
        <f>'Fun Patches'!C31</f>
        <v>&lt;List Patch Here&gt;</v>
      </c>
      <c r="F40" s="369"/>
      <c r="G40" s="50" t="str">
        <f>IF('Fun Patches'!J31="A","C","")</f>
        <v/>
      </c>
      <c r="J40" s="31" t="str">
        <f>'Fun Patches'!C41</f>
        <v>&lt;List Patch Here&gt;</v>
      </c>
      <c r="K40" s="50" t="str">
        <f>IF('Fun Patches'!J41="A","C","")</f>
        <v/>
      </c>
    </row>
    <row r="41" spans="1:11" ht="13.5" customHeight="1">
      <c r="A41" s="145" t="s">
        <v>116</v>
      </c>
      <c r="B41" s="139"/>
      <c r="C41" s="140"/>
      <c r="E41" s="368" t="str">
        <f>'Fun Patches'!C32</f>
        <v>&lt;List Patch Here&gt;</v>
      </c>
      <c r="F41" s="369"/>
      <c r="G41" s="50" t="str">
        <f>IF('Fun Patches'!J32="A","C","")</f>
        <v/>
      </c>
      <c r="J41" s="31" t="str">
        <f>'Fun Patches'!C42</f>
        <v>&lt;List Patch Here&gt;</v>
      </c>
      <c r="K41" s="50" t="str">
        <f>IF('Fun Patches'!J42="A","C","")</f>
        <v/>
      </c>
    </row>
    <row r="42" spans="1:11">
      <c r="A42" s="146" t="s">
        <v>118</v>
      </c>
      <c r="B42" s="140"/>
      <c r="C42" s="140"/>
      <c r="E42" s="368" t="str">
        <f>'Fun Patches'!C33</f>
        <v>&lt;List Patch Here&gt;</v>
      </c>
      <c r="F42" s="369"/>
      <c r="G42" s="50" t="str">
        <f>IF('Fun Patches'!J33="A","C","")</f>
        <v/>
      </c>
      <c r="J42" s="31" t="str">
        <f>'Fun Patches'!C43</f>
        <v>&lt;List Patch Here&gt;</v>
      </c>
      <c r="K42" s="50" t="str">
        <f>IF('Fun Patches'!J43="A","C","")</f>
        <v/>
      </c>
    </row>
    <row r="43" spans="1:11">
      <c r="A43" s="147" t="s">
        <v>117</v>
      </c>
      <c r="B43" s="140"/>
      <c r="C43" s="140"/>
      <c r="E43" s="368" t="str">
        <f>'Fun Patches'!C34</f>
        <v>&lt;List Patch Here&gt;</v>
      </c>
      <c r="F43" s="369"/>
      <c r="G43" s="50" t="str">
        <f>IF('Fun Patches'!J34="A","C","")</f>
        <v/>
      </c>
      <c r="J43" s="31" t="str">
        <f>'Fun Patches'!C44</f>
        <v>&lt;List Patch Here&gt;</v>
      </c>
      <c r="K43" s="50" t="str">
        <f>IF('Fun Patches'!J44="A","C","")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8</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IF(Petals!K6="A","A","")</f>
        <v/>
      </c>
      <c r="I3" s="211" t="str">
        <f>Bridging!B6</f>
        <v>Pass It On</v>
      </c>
      <c r="J3" s="211"/>
      <c r="K3" s="211"/>
    </row>
    <row r="4" spans="1:11">
      <c r="A4" s="66" t="s">
        <v>44</v>
      </c>
      <c r="B4" s="48" t="str">
        <f>IF(Petals!K18="C","C",IF(Petals!K18="P","P",""))</f>
        <v/>
      </c>
      <c r="D4" s="61" t="s">
        <v>44</v>
      </c>
      <c r="G4" s="34"/>
      <c r="I4" s="249">
        <v>1</v>
      </c>
      <c r="J4" s="252" t="str">
        <f>Bridging!C7</f>
        <v>Teach younger girls the GS Promise</v>
      </c>
      <c r="K4" s="50" t="str">
        <f>IF(Bridging!K7="A","A","")</f>
        <v/>
      </c>
    </row>
    <row r="5" spans="1:11">
      <c r="A5" s="207" t="s">
        <v>141</v>
      </c>
      <c r="B5" s="209">
        <f>INT(COUNTIF(G18:G21,"A"))</f>
        <v>0</v>
      </c>
      <c r="E5" s="31" t="str">
        <f>Petals!B8</f>
        <v>Lupe</v>
      </c>
      <c r="F5" s="31" t="str">
        <f>Petals!C8</f>
        <v>Honest and fair</v>
      </c>
      <c r="G5" s="50" t="str">
        <f>IF(Petals!K8="A","A","")</f>
        <v/>
      </c>
      <c r="I5" s="249">
        <v>2</v>
      </c>
      <c r="J5" s="252" t="str">
        <f>Bridging!C8</f>
        <v>Tell younger girls about the Flower</v>
      </c>
      <c r="K5" s="50" t="str">
        <f>IF(Bridging!K8="A","A","")</f>
        <v/>
      </c>
    </row>
    <row r="6" spans="1:11">
      <c r="A6" s="67" t="s">
        <v>62</v>
      </c>
      <c r="B6" s="54"/>
      <c r="E6" s="31" t="str">
        <f>Petals!B9</f>
        <v>Sunny</v>
      </c>
      <c r="F6" s="31" t="str">
        <f>Petals!C9</f>
        <v>Friendly and helpful</v>
      </c>
      <c r="G6" s="50" t="str">
        <f>IF(Petals!K9="A","A","")</f>
        <v/>
      </c>
      <c r="I6" s="249">
        <v>3</v>
      </c>
      <c r="J6" s="252" t="str">
        <f>Bridging!C9</f>
        <v>Play a game together!</v>
      </c>
      <c r="K6" s="50" t="str">
        <f>IF(Bridging!K9="A","A","")</f>
        <v/>
      </c>
    </row>
    <row r="7" spans="1:11">
      <c r="A7" s="206" t="str">
        <f>'Journey Awards'!A6</f>
        <v>Welcome to the Daisy Flower Garden</v>
      </c>
      <c r="B7" s="48" t="str">
        <f>IF('Journey Awards'!K11="C","C",IF('Journey Awards'!K11="P","P",""))</f>
        <v/>
      </c>
      <c r="E7" s="31" t="str">
        <f>Petals!B10</f>
        <v>Zinni</v>
      </c>
      <c r="F7" s="31" t="str">
        <f>Petals!C10</f>
        <v>Considerate and caring</v>
      </c>
      <c r="G7" s="50" t="str">
        <f>IF(Petals!K10="A","A","")</f>
        <v/>
      </c>
      <c r="I7" s="250" t="str">
        <f>Bridging!B11</f>
        <v>Look Ahead</v>
      </c>
      <c r="J7" s="59"/>
      <c r="K7" s="34"/>
    </row>
    <row r="8" spans="1:11">
      <c r="A8" s="206" t="str">
        <f>'Journey Awards'!A14</f>
        <v>Between Earth and Sky</v>
      </c>
      <c r="B8" s="48" t="str">
        <f>IF('Journey Awards'!K19="C","C",IF('Journey Awards'!K19="P","P",""))</f>
        <v/>
      </c>
      <c r="E8" s="31" t="str">
        <f>Petals!B11</f>
        <v>Tula</v>
      </c>
      <c r="F8" s="31" t="str">
        <f>Petals!C11</f>
        <v>Courageous and strong</v>
      </c>
      <c r="G8" s="50" t="str">
        <f>IF(Petals!K11="A","A","")</f>
        <v/>
      </c>
      <c r="I8" s="249">
        <v>1</v>
      </c>
      <c r="J8" s="252" t="str">
        <f>Bridging!C12</f>
        <v>Say the Girl Scout Promise together.</v>
      </c>
      <c r="K8" s="50" t="str">
        <f>IF(Bridging!K12="A","A","")</f>
        <v/>
      </c>
    </row>
    <row r="9" spans="1:11">
      <c r="A9" s="206" t="str">
        <f>'Journey Awards'!A22</f>
        <v>5 Flowers, 4 Stories, 3 Cheers for Animals!</v>
      </c>
      <c r="B9" s="48" t="str">
        <f>IF('Journey Awards'!K27="C","C",IF('Journey Awards'!K27="P","P",""))</f>
        <v/>
      </c>
      <c r="E9" s="31" t="str">
        <f>Petals!B12</f>
        <v>Mari</v>
      </c>
      <c r="F9" s="31" t="str">
        <f>Petals!C12</f>
        <v>Responsible for what I say and do</v>
      </c>
      <c r="G9" s="50" t="str">
        <f>IF(Petals!K12="A","A","")</f>
        <v/>
      </c>
      <c r="I9" s="249">
        <v>2</v>
      </c>
      <c r="J9" s="252" t="str">
        <f>Bridging!C13</f>
        <v>Ask the Brownies to teach you</v>
      </c>
      <c r="K9" s="50" t="str">
        <f>IF(Bridging!K13="A","A","")</f>
        <v/>
      </c>
    </row>
    <row r="10" spans="1:11">
      <c r="A10" s="90" t="s">
        <v>61</v>
      </c>
      <c r="B10" s="48" t="str">
        <f>IF(Bridging!K18="C","C",IF(Bridging!K18="P","P",""))</f>
        <v/>
      </c>
      <c r="E10" s="31" t="str">
        <f>Petals!B13</f>
        <v>Gloria</v>
      </c>
      <c r="F10" s="31" t="str">
        <f>Petals!C13</f>
        <v>Respect for myself &amp; others</v>
      </c>
      <c r="G10" s="50" t="str">
        <f>IF(Petals!K13="A","A","")</f>
        <v/>
      </c>
      <c r="I10" s="249">
        <v>4</v>
      </c>
      <c r="J10" s="252" t="str">
        <f>Bridging!C14</f>
        <v>Ask the Brownies to show you</v>
      </c>
      <c r="K10" s="50" t="str">
        <f>IF(Bridging!K14="A","A","")</f>
        <v/>
      </c>
    </row>
    <row r="11" spans="1:11">
      <c r="A11" s="250"/>
      <c r="B11" s="99"/>
      <c r="E11" s="31" t="str">
        <f>Petals!B14</f>
        <v>Gerri</v>
      </c>
      <c r="F11" s="31" t="str">
        <f>Petals!C14</f>
        <v>Respect authority</v>
      </c>
      <c r="G11" s="50" t="str">
        <f>IF(Petals!K14="A","A","")</f>
        <v/>
      </c>
      <c r="I11" s="232" t="str">
        <f>Bridging!C16</f>
        <v>Plan a Ceremony</v>
      </c>
      <c r="J11" s="59"/>
      <c r="K11" s="50" t="str">
        <f>IF(Bridging!K16="A","A","")</f>
        <v/>
      </c>
    </row>
    <row r="12" spans="1:11">
      <c r="A12" s="61" t="s">
        <v>100</v>
      </c>
      <c r="E12" s="31" t="str">
        <f>Petals!B15</f>
        <v>Clover</v>
      </c>
      <c r="F12" s="31" t="str">
        <f>Petals!C15</f>
        <v>Use resources wisely</v>
      </c>
      <c r="G12" s="50" t="str">
        <f>IF(Petals!K15="A","A","")</f>
        <v/>
      </c>
    </row>
    <row r="13" spans="1:11">
      <c r="A13" s="31" t="str">
        <f>'Fun Patches'!C5</f>
        <v>&lt;List Patch Here&gt;</v>
      </c>
      <c r="B13" s="50" t="str">
        <f>IF('Fun Patches'!K5="A","C","")</f>
        <v/>
      </c>
      <c r="E13" s="31" t="str">
        <f>Petals!B16</f>
        <v>Rosie</v>
      </c>
      <c r="F13" s="31" t="str">
        <f>Petals!C16</f>
        <v>Make the world a better place</v>
      </c>
      <c r="G13" s="50" t="str">
        <f>IF(Petals!K16="A","A","")</f>
        <v/>
      </c>
      <c r="I13" s="362" t="s">
        <v>71</v>
      </c>
      <c r="J13" s="362"/>
      <c r="K13" s="362"/>
    </row>
    <row r="14" spans="1:11">
      <c r="A14" s="31" t="str">
        <f>'Fun Patches'!C6</f>
        <v>&lt;List Patch Here&gt;</v>
      </c>
      <c r="B14" s="50" t="str">
        <f>IF('Fun Patches'!K6="A","C","")</f>
        <v/>
      </c>
      <c r="E14" s="31" t="str">
        <f>Petals!B17</f>
        <v>Vi</v>
      </c>
      <c r="F14" s="31" t="str">
        <f>Petals!C17</f>
        <v>Be a sister to every Girl Scout</v>
      </c>
      <c r="G14" s="50" t="str">
        <f>IF(Petals!K17="A","A","")</f>
        <v/>
      </c>
      <c r="I14" s="362"/>
      <c r="J14" s="362"/>
      <c r="K14" s="362"/>
    </row>
    <row r="15" spans="1:11">
      <c r="A15" s="31" t="str">
        <f>'Fun Patches'!C7</f>
        <v>&lt;List Patch Here&gt;</v>
      </c>
      <c r="B15" s="50" t="str">
        <f>IF('Fun Patches'!K7="A","C","")</f>
        <v/>
      </c>
      <c r="E15" s="73"/>
      <c r="F15" s="73"/>
      <c r="G15" s="208"/>
      <c r="I15" s="249"/>
      <c r="J15" s="252" t="str">
        <f>'Age-Level'!C6</f>
        <v>Cookie Rally (Year 1)</v>
      </c>
      <c r="K15" s="50" t="str">
        <f>IF('Age-Level'!K6="A","C","")</f>
        <v/>
      </c>
    </row>
    <row r="16" spans="1:11">
      <c r="A16" s="31" t="str">
        <f>'Fun Patches'!C8</f>
        <v>&lt;List Patch Here&gt;</v>
      </c>
      <c r="B16" s="50" t="str">
        <f>IF('Fun Patches'!K8="A","C","")</f>
        <v/>
      </c>
      <c r="D16" s="362" t="s">
        <v>141</v>
      </c>
      <c r="E16" s="300"/>
      <c r="F16" s="300"/>
      <c r="G16" s="300"/>
      <c r="I16" s="249"/>
      <c r="J16" s="252" t="str">
        <f>'Age-Level'!C7</f>
        <v>Cookie Sales (Year 1)</v>
      </c>
      <c r="K16" s="50" t="str">
        <f>IF('Age-Level'!K7="A","C","")</f>
        <v/>
      </c>
    </row>
    <row r="17" spans="1:11">
      <c r="A17" s="31" t="str">
        <f>'Fun Patches'!C9</f>
        <v>&lt;List Patch Here&gt;</v>
      </c>
      <c r="B17" s="50" t="str">
        <f>IF('Fun Patches'!K9="A","C","")</f>
        <v/>
      </c>
      <c r="D17" s="300"/>
      <c r="E17" s="300"/>
      <c r="F17" s="300"/>
      <c r="G17" s="300"/>
      <c r="I17" s="51"/>
      <c r="J17" s="252" t="str">
        <f>'Age-Level'!C8</f>
        <v>Cookie Pin (Year 1)</v>
      </c>
      <c r="K17" s="50" t="str">
        <f>IF('Age-Level'!K8="A","C","")</f>
        <v/>
      </c>
    </row>
    <row r="18" spans="1:11">
      <c r="A18" s="31" t="str">
        <f>'Fun Patches'!C10</f>
        <v>&lt;List Patch Here&gt;</v>
      </c>
      <c r="B18" s="50" t="str">
        <f>IF('Fun Patches'!K10="A","C","")</f>
        <v/>
      </c>
      <c r="D18" s="366" t="str">
        <f>Petals!B22</f>
        <v>Finance</v>
      </c>
      <c r="E18" s="367"/>
      <c r="F18" s="200" t="str">
        <f>Petals!B20</f>
        <v>Money Counts</v>
      </c>
      <c r="G18" s="50" t="str">
        <f>IF(Petals!K23="C","A","")</f>
        <v/>
      </c>
      <c r="I18" s="51"/>
      <c r="J18" s="252" t="str">
        <f>'Age-Level'!C9</f>
        <v>Cookie Rally (Year 2)</v>
      </c>
      <c r="K18" s="50" t="str">
        <f>IF('Age-Level'!K9="A","C","")</f>
        <v/>
      </c>
    </row>
    <row r="19" spans="1:11">
      <c r="A19" s="31" t="str">
        <f>'Fun Patches'!C11</f>
        <v>&lt;List Patch Here&gt;</v>
      </c>
      <c r="B19" s="50" t="str">
        <f>IF('Fun Patches'!K11="A","C","")</f>
        <v/>
      </c>
      <c r="D19" s="366" t="str">
        <f>Petals!B27</f>
        <v>Finance</v>
      </c>
      <c r="E19" s="367"/>
      <c r="F19" s="200" t="str">
        <f>Petals!B25</f>
        <v>Making Choices</v>
      </c>
      <c r="G19" s="50" t="str">
        <f>IF(Petals!K28="C","A","")</f>
        <v/>
      </c>
      <c r="I19" s="51"/>
      <c r="J19" s="252" t="str">
        <f>'Age-Level'!C10</f>
        <v>Cookie Sales (Year 2)</v>
      </c>
      <c r="K19" s="50" t="str">
        <f>IF('Age-Level'!K10="A","C","")</f>
        <v/>
      </c>
    </row>
    <row r="20" spans="1:11">
      <c r="A20" s="31" t="str">
        <f>'Fun Patches'!C12</f>
        <v>&lt;List Patch Here&gt;</v>
      </c>
      <c r="B20" s="50" t="str">
        <f>IF('Fun Patches'!K12="A","C","")</f>
        <v/>
      </c>
      <c r="D20" s="366" t="str">
        <f>Petals!B32</f>
        <v>Cookie</v>
      </c>
      <c r="E20" s="367"/>
      <c r="F20" s="200" t="str">
        <f>Petals!B30</f>
        <v>Count It Up</v>
      </c>
      <c r="G20" s="50" t="str">
        <f>IF(Petals!K33="C","A","")</f>
        <v/>
      </c>
      <c r="I20" s="52"/>
      <c r="J20" s="252" t="str">
        <f>'Age-Level'!C11</f>
        <v>Cookie Pin (Year 2)</v>
      </c>
      <c r="K20" s="50" t="str">
        <f>IF('Age-Level'!K11="A","C","")</f>
        <v/>
      </c>
    </row>
    <row r="21" spans="1:11">
      <c r="A21" s="31" t="str">
        <f>'Fun Patches'!C13</f>
        <v>&lt;List Patch Here&gt;</v>
      </c>
      <c r="B21" s="50" t="str">
        <f>IF('Fun Patches'!K13="A","C","")</f>
        <v/>
      </c>
      <c r="D21" s="366" t="str">
        <f>Petals!B37</f>
        <v>Cookie</v>
      </c>
      <c r="E21" s="367"/>
      <c r="F21" s="200" t="str">
        <f>Petals!B35</f>
        <v>Talk It Up</v>
      </c>
      <c r="G21" s="50" t="str">
        <f>IF(Petals!K38="C","A","")</f>
        <v/>
      </c>
      <c r="I21" s="53"/>
      <c r="J21" s="252" t="str">
        <f>'Age-Level'!C13</f>
        <v>Fall Sales (Year 1)</v>
      </c>
      <c r="K21" s="50" t="str">
        <f>IF('Age-Level'!K13="A","C","")</f>
        <v/>
      </c>
    </row>
    <row r="22" spans="1:11">
      <c r="A22" s="31" t="str">
        <f>'Fun Patches'!C14</f>
        <v>&lt;List Patch Here&gt;</v>
      </c>
      <c r="B22" s="50" t="str">
        <f>IF('Fun Patches'!K14="A","C","")</f>
        <v/>
      </c>
      <c r="I22" s="26"/>
      <c r="J22" s="252" t="str">
        <f>'Age-Level'!C14</f>
        <v>Fall Sales (Year 2)</v>
      </c>
      <c r="K22" s="50" t="str">
        <f>IF('Age-Level'!K14="A","C","")</f>
        <v/>
      </c>
    </row>
    <row r="23" spans="1:11">
      <c r="A23" s="31" t="str">
        <f>'Fun Patches'!C15</f>
        <v>&lt;List Patch Here&gt;</v>
      </c>
      <c r="B23" s="50" t="str">
        <f>IF('Fun Patches'!K15="A","C","")</f>
        <v/>
      </c>
      <c r="D23" s="362" t="s">
        <v>62</v>
      </c>
      <c r="E23" s="362"/>
      <c r="F23" s="362"/>
      <c r="G23" s="362"/>
      <c r="J23" s="252" t="str">
        <f>'Age-Level'!C16</f>
        <v>Thinking Day (Year 1)</v>
      </c>
      <c r="K23" s="50" t="str">
        <f>IF('Age-Level'!K16="A","C","")</f>
        <v/>
      </c>
    </row>
    <row r="24" spans="1:11">
      <c r="A24" s="31" t="str">
        <f>'Fun Patches'!C16</f>
        <v>&lt;List Patch Here&gt;</v>
      </c>
      <c r="B24" s="50" t="str">
        <f>IF('Fun Patches'!K16="A","C","")</f>
        <v/>
      </c>
      <c r="D24" s="362"/>
      <c r="E24" s="362"/>
      <c r="F24" s="362"/>
      <c r="G24" s="362"/>
      <c r="J24" s="252" t="str">
        <f>'Age-Level'!C17</f>
        <v>Thinking Day (Year 2)</v>
      </c>
      <c r="K24" s="50" t="str">
        <f>IF('Age-Level'!K17="A","C","")</f>
        <v/>
      </c>
    </row>
    <row r="25" spans="1:11">
      <c r="A25" s="31" t="str">
        <f>'Fun Patches'!C17</f>
        <v>&lt;List Patch Here&gt;</v>
      </c>
      <c r="B25" s="50" t="str">
        <f>IF('Fun Patches'!K17="A","C","")</f>
        <v/>
      </c>
      <c r="D25" s="250" t="str">
        <f>'Journey Awards'!A6</f>
        <v>Welcome to the Daisy Flower Garden</v>
      </c>
      <c r="F25" s="57"/>
      <c r="G25" s="248"/>
      <c r="J25" s="252" t="str">
        <f>'Age-Level'!C19</f>
        <v>Investiture</v>
      </c>
      <c r="K25" s="50" t="str">
        <f>IF('Age-Level'!K19="A","C","")</f>
        <v/>
      </c>
    </row>
    <row r="26" spans="1:11">
      <c r="A26" s="31" t="str">
        <f>'Fun Patches'!C18</f>
        <v>&lt;List Patch Here&gt;</v>
      </c>
      <c r="B26" s="50" t="str">
        <f>IF('Fun Patches'!K18="A","C","")</f>
        <v/>
      </c>
      <c r="D26" s="249"/>
      <c r="E26" s="363" t="s">
        <v>66</v>
      </c>
      <c r="F26" s="364"/>
      <c r="G26" s="50" t="str">
        <f>IF('Journey Awards'!K8="A","A","")</f>
        <v/>
      </c>
      <c r="J26" s="252" t="str">
        <f>'Age-Level'!C20</f>
        <v>Rededication (1st year)</v>
      </c>
      <c r="K26" s="50" t="str">
        <f>IF('Age-Level'!K20="A","C","")</f>
        <v/>
      </c>
    </row>
    <row r="27" spans="1:11">
      <c r="A27" s="31" t="str">
        <f>'Fun Patches'!C19</f>
        <v>&lt;List Patch Here&gt;</v>
      </c>
      <c r="B27" s="50" t="str">
        <f>IF('Fun Patches'!K19="A","C","")</f>
        <v/>
      </c>
      <c r="D27" s="249"/>
      <c r="E27" s="363" t="s">
        <v>67</v>
      </c>
      <c r="F27" s="364"/>
      <c r="G27" s="50" t="str">
        <f>IF('Journey Awards'!K9="A","A","")</f>
        <v/>
      </c>
      <c r="J27" s="252" t="str">
        <f>'Age-Level'!B21</f>
        <v>My Promise, My Faith (Year 1)</v>
      </c>
      <c r="K27" s="50" t="str">
        <f>IF('Age-Level'!K27="C","C","")</f>
        <v/>
      </c>
    </row>
    <row r="28" spans="1:11">
      <c r="A28" s="31" t="str">
        <f>'Fun Patches'!C20</f>
        <v>&lt;List Patch Here&gt;</v>
      </c>
      <c r="B28" s="50" t="str">
        <f>IF('Fun Patches'!K20="A","C","")</f>
        <v/>
      </c>
      <c r="D28" s="249"/>
      <c r="E28" s="363" t="s">
        <v>68</v>
      </c>
      <c r="F28" s="364"/>
      <c r="G28" s="50" t="str">
        <f>IF('Journey Awards'!K10="A","A","")</f>
        <v/>
      </c>
      <c r="J28" s="252" t="str">
        <f>'Age-Level'!B28</f>
        <v>My Promise, My Faith (Year 2)</v>
      </c>
      <c r="K28" s="50" t="str">
        <f>IF('Age-Level'!K34="C","C","")</f>
        <v/>
      </c>
    </row>
    <row r="29" spans="1:11">
      <c r="A29" s="31" t="str">
        <f>'Fun Patches'!C21</f>
        <v>&lt;List Patch Here&gt;</v>
      </c>
      <c r="B29" s="50" t="str">
        <f>IF('Fun Patches'!K21="A","C","")</f>
        <v/>
      </c>
      <c r="D29" s="102" t="str">
        <f>'Journey Awards'!A14</f>
        <v>Between Earth and Sky</v>
      </c>
      <c r="F29" s="59"/>
      <c r="G29" s="34"/>
      <c r="J29" s="252" t="str">
        <f>'Age-Level'!C36</f>
        <v>Global Action Award</v>
      </c>
      <c r="K29" s="50" t="str">
        <f>IF('Age-Level'!K36="A","C","")</f>
        <v/>
      </c>
    </row>
    <row r="30" spans="1:11">
      <c r="A30" s="31" t="str">
        <f>'Fun Patches'!C22</f>
        <v>&lt;List Patch Here&gt;</v>
      </c>
      <c r="B30" s="50" t="str">
        <f>IF('Fun Patches'!K22="A","C","")</f>
        <v/>
      </c>
      <c r="D30" s="249"/>
      <c r="E30" s="363" t="str">
        <f>'Journey Awards'!C16</f>
        <v>The Blue Bucket Award</v>
      </c>
      <c r="F30" s="364"/>
      <c r="G30" s="50" t="str">
        <f>IF('Journey Awards'!K16="A","A","")</f>
        <v/>
      </c>
      <c r="J30" s="252" t="str">
        <f>'Age-Level'!C38</f>
        <v>Journey Summit Pin</v>
      </c>
      <c r="K30" s="50" t="str">
        <f>IF('Age-Level'!K38="C","C","")</f>
        <v/>
      </c>
    </row>
    <row r="31" spans="1:11">
      <c r="A31" s="31" t="str">
        <f>'Fun Patches'!C23</f>
        <v>&lt;List Patch Here&gt;</v>
      </c>
      <c r="B31" s="50" t="str">
        <f>IF('Fun Patches'!K23="A","C","")</f>
        <v/>
      </c>
      <c r="D31" s="249"/>
      <c r="E31" s="363" t="str">
        <f>'Journey Awards'!C17</f>
        <v>The Firefly Award</v>
      </c>
      <c r="F31" s="364"/>
      <c r="G31" s="50" t="str">
        <f>IF('Journey Awards'!K17="A","A","")</f>
        <v/>
      </c>
      <c r="J31" s="252" t="str">
        <f>'Age-Level'!B39</f>
        <v>Safety Award</v>
      </c>
      <c r="K31" s="50" t="str">
        <f>IF('Age-Level'!K43="C","C","")</f>
        <v/>
      </c>
    </row>
    <row r="32" spans="1:11">
      <c r="A32" s="31" t="str">
        <f>'Fun Patches'!C24</f>
        <v>&lt;List Patch Here&gt;</v>
      </c>
      <c r="B32" s="50" t="str">
        <f>IF('Fun Patches'!K24="A","C","")</f>
        <v/>
      </c>
      <c r="D32" s="249"/>
      <c r="E32" s="363" t="str">
        <f>'Journey Awards'!C18</f>
        <v>The Clover Award</v>
      </c>
      <c r="F32" s="364"/>
      <c r="G32" s="50" t="str">
        <f>IF('Journey Awards'!K18="A","A","")</f>
        <v/>
      </c>
    </row>
    <row r="33" spans="1:11">
      <c r="A33" s="31" t="str">
        <f>'Fun Patches'!C25</f>
        <v>&lt;List Patch Here&gt;</v>
      </c>
      <c r="B33" s="50" t="str">
        <f>IF('Fun Patches'!K25="A","C","")</f>
        <v/>
      </c>
      <c r="D33" s="102" t="str">
        <f>'Journey Awards'!A22</f>
        <v>5 Flowers, 4 Stories, 3 Cheers for Animals!</v>
      </c>
      <c r="F33" s="59"/>
      <c r="G33" s="34" t="str">
        <f>IF('Journey Awards'!K15="A","A","")</f>
        <v/>
      </c>
      <c r="J33" s="61" t="s">
        <v>102</v>
      </c>
    </row>
    <row r="34" spans="1:11">
      <c r="A34" s="31" t="str">
        <f>'Fun Patches'!C26</f>
        <v>&lt;List Patch Here&gt;</v>
      </c>
      <c r="B34" s="50" t="str">
        <f>IF('Fun Patches'!K26="A","C","")</f>
        <v/>
      </c>
      <c r="D34" s="249"/>
      <c r="E34" s="363" t="str">
        <f>'Journey Awards'!C24</f>
        <v>Birdbath Award</v>
      </c>
      <c r="F34" s="364"/>
      <c r="G34" s="50" t="str">
        <f>IF('Journey Awards'!K24="A","A","")</f>
        <v/>
      </c>
      <c r="J34" s="31" t="str">
        <f>'Fun Patches'!C35</f>
        <v>&lt;List Patch Here&gt;</v>
      </c>
      <c r="K34" s="50" t="str">
        <f>IF('Fun Patches'!K35="A","C","")</f>
        <v/>
      </c>
    </row>
    <row r="35" spans="1:11">
      <c r="A35" s="31" t="str">
        <f>'Fun Patches'!C27</f>
        <v>&lt;List Patch Here&gt;</v>
      </c>
      <c r="B35" s="50" t="str">
        <f>IF('Fun Patches'!K27="A","C","")</f>
        <v/>
      </c>
      <c r="D35" s="249"/>
      <c r="E35" s="363" t="str">
        <f>'Journey Awards'!C25</f>
        <v>Red Robin Award</v>
      </c>
      <c r="F35" s="364"/>
      <c r="G35" s="50" t="str">
        <f>IF('Journey Awards'!K25="A","A","")</f>
        <v/>
      </c>
      <c r="J35" s="31" t="str">
        <f>'Fun Patches'!C36</f>
        <v>&lt;List Patch Here&gt;</v>
      </c>
      <c r="K35" s="50" t="str">
        <f>IF('Fun Patches'!K36="A","C","")</f>
        <v/>
      </c>
    </row>
    <row r="36" spans="1:11">
      <c r="A36" s="251" t="str">
        <f>'Fun Patches'!C28</f>
        <v>&lt;List Patch Here&gt;</v>
      </c>
      <c r="B36" s="50" t="str">
        <f>IF('Fun Patches'!K28="A","C","")</f>
        <v/>
      </c>
      <c r="D36" s="249"/>
      <c r="E36" s="363" t="str">
        <f>'Journey Awards'!C26</f>
        <v>Tula Award</v>
      </c>
      <c r="F36" s="364"/>
      <c r="G36" s="50" t="str">
        <f>IF('Journey Awards'!K26="A","A","")</f>
        <v/>
      </c>
      <c r="J36" s="31" t="str">
        <f>'Fun Patches'!C37</f>
        <v>&lt;List Patch Here&gt;</v>
      </c>
      <c r="K36" s="50" t="str">
        <f>IF('Fun Patches'!K37="A","C","")</f>
        <v/>
      </c>
    </row>
    <row r="37" spans="1:11">
      <c r="A37" s="253" t="str">
        <f>'Fun Patches'!C29</f>
        <v>&lt;List Patch Here&gt;</v>
      </c>
      <c r="B37" s="50" t="str">
        <f>IF('Fun Patches'!K29="A","C","")</f>
        <v/>
      </c>
      <c r="J37" s="31" t="str">
        <f>'Fun Patches'!C38</f>
        <v>&lt;List Patch Here&gt;</v>
      </c>
      <c r="K37" s="50" t="str">
        <f>IF('Fun Patches'!K38="A","C","")</f>
        <v/>
      </c>
    </row>
    <row r="38" spans="1:11" ht="12.75" customHeight="1">
      <c r="A38" s="282"/>
      <c r="B38" s="208"/>
      <c r="C38" s="142"/>
      <c r="D38" s="361" t="s">
        <v>102</v>
      </c>
      <c r="E38" s="300"/>
      <c r="F38" s="300"/>
      <c r="J38" s="31" t="str">
        <f>'Fun Patches'!C39</f>
        <v>&lt;List Patch Here&gt;</v>
      </c>
      <c r="K38" s="50" t="str">
        <f>IF('Fun Patches'!K39="A","C","")</f>
        <v/>
      </c>
    </row>
    <row r="39" spans="1:11" ht="13.5" customHeight="1">
      <c r="A39" s="103"/>
      <c r="B39" s="142"/>
      <c r="C39" s="142"/>
      <c r="E39" s="368" t="str">
        <f>'Fun Patches'!C30</f>
        <v>&lt;List Patch Here&gt;</v>
      </c>
      <c r="F39" s="369"/>
      <c r="G39" s="50" t="str">
        <f>IF('Fun Patches'!K30="A","C","")</f>
        <v/>
      </c>
      <c r="J39" s="31" t="str">
        <f>'Fun Patches'!C40</f>
        <v>&lt;List Patch Here&gt;</v>
      </c>
      <c r="K39" s="50" t="str">
        <f>IF('Fun Patches'!K40="A","C","")</f>
        <v/>
      </c>
    </row>
    <row r="40" spans="1:11" ht="13.5" customHeight="1">
      <c r="A40" s="143" t="s">
        <v>115</v>
      </c>
      <c r="B40" s="141"/>
      <c r="C40" s="142"/>
      <c r="E40" s="368" t="str">
        <f>'Fun Patches'!C31</f>
        <v>&lt;List Patch Here&gt;</v>
      </c>
      <c r="F40" s="369"/>
      <c r="G40" s="50" t="str">
        <f>IF('Fun Patches'!K31="A","C","")</f>
        <v/>
      </c>
      <c r="J40" s="31" t="str">
        <f>'Fun Patches'!C41</f>
        <v>&lt;List Patch Here&gt;</v>
      </c>
      <c r="K40" s="50" t="str">
        <f>IF('Fun Patches'!K41="A","C","")</f>
        <v/>
      </c>
    </row>
    <row r="41" spans="1:11" ht="13.5" customHeight="1">
      <c r="A41" s="145" t="s">
        <v>116</v>
      </c>
      <c r="B41" s="139"/>
      <c r="C41" s="140"/>
      <c r="E41" s="368" t="str">
        <f>'Fun Patches'!C32</f>
        <v>&lt;List Patch Here&gt;</v>
      </c>
      <c r="F41" s="369"/>
      <c r="G41" s="50" t="str">
        <f>IF('Fun Patches'!K32="A","C","")</f>
        <v/>
      </c>
      <c r="J41" s="31" t="str">
        <f>'Fun Patches'!C42</f>
        <v>&lt;List Patch Here&gt;</v>
      </c>
      <c r="K41" s="50" t="str">
        <f>IF('Fun Patches'!K42="A","C","")</f>
        <v/>
      </c>
    </row>
    <row r="42" spans="1:11">
      <c r="A42" s="146" t="s">
        <v>118</v>
      </c>
      <c r="B42" s="140"/>
      <c r="C42" s="140"/>
      <c r="E42" s="368" t="str">
        <f>'Fun Patches'!C33</f>
        <v>&lt;List Patch Here&gt;</v>
      </c>
      <c r="F42" s="369"/>
      <c r="G42" s="50" t="str">
        <f>IF('Fun Patches'!K33="A","C","")</f>
        <v/>
      </c>
      <c r="J42" s="31" t="str">
        <f>'Fun Patches'!C43</f>
        <v>&lt;List Patch Here&gt;</v>
      </c>
      <c r="K42" s="50" t="str">
        <f>IF('Fun Patches'!K43="A","C","")</f>
        <v/>
      </c>
    </row>
    <row r="43" spans="1:11">
      <c r="A43" s="147" t="s">
        <v>117</v>
      </c>
      <c r="B43" s="140"/>
      <c r="C43" s="140"/>
      <c r="E43" s="368" t="str">
        <f>'Fun Patches'!C34</f>
        <v>&lt;List Patch Here&gt;</v>
      </c>
      <c r="F43" s="369"/>
      <c r="G43" s="50" t="str">
        <f>IF('Fun Patches'!K34="A","C","")</f>
        <v/>
      </c>
      <c r="J43" s="31" t="str">
        <f>'Fun Patches'!C44</f>
        <v>&lt;List Patch Here&gt;</v>
      </c>
      <c r="K43" s="50" t="str">
        <f>IF('Fun Patches'!K44="A","C","")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9</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IF(Petals!L6="A","A","")</f>
        <v/>
      </c>
      <c r="I3" s="211" t="str">
        <f>Bridging!B6</f>
        <v>Pass It On</v>
      </c>
      <c r="J3" s="211"/>
      <c r="K3" s="211"/>
    </row>
    <row r="4" spans="1:11">
      <c r="A4" s="66" t="s">
        <v>44</v>
      </c>
      <c r="B4" s="48" t="str">
        <f>IF(Petals!L18="C","C",IF(Petals!L18="P","P",""))</f>
        <v/>
      </c>
      <c r="D4" s="61" t="s">
        <v>44</v>
      </c>
      <c r="G4" s="34"/>
      <c r="I4" s="249">
        <v>1</v>
      </c>
      <c r="J4" s="252" t="str">
        <f>Bridging!C7</f>
        <v>Teach younger girls the GS Promise</v>
      </c>
      <c r="K4" s="50" t="str">
        <f>IF(Bridging!L7="A","A","")</f>
        <v/>
      </c>
    </row>
    <row r="5" spans="1:11">
      <c r="A5" s="207" t="s">
        <v>141</v>
      </c>
      <c r="B5" s="209">
        <f>INT(COUNTIF(G18:G21,"A"))</f>
        <v>0</v>
      </c>
      <c r="E5" s="31" t="str">
        <f>Petals!B8</f>
        <v>Lupe</v>
      </c>
      <c r="F5" s="31" t="str">
        <f>Petals!C8</f>
        <v>Honest and fair</v>
      </c>
      <c r="G5" s="50" t="str">
        <f>IF(Petals!L8="A","A","")</f>
        <v/>
      </c>
      <c r="I5" s="249">
        <v>2</v>
      </c>
      <c r="J5" s="252" t="str">
        <f>Bridging!C8</f>
        <v>Tell younger girls about the Flower</v>
      </c>
      <c r="K5" s="50" t="str">
        <f>IF(Bridging!L8="A","A","")</f>
        <v/>
      </c>
    </row>
    <row r="6" spans="1:11">
      <c r="A6" s="67" t="s">
        <v>62</v>
      </c>
      <c r="B6" s="54"/>
      <c r="E6" s="31" t="str">
        <f>Petals!B9</f>
        <v>Sunny</v>
      </c>
      <c r="F6" s="31" t="str">
        <f>Petals!C9</f>
        <v>Friendly and helpful</v>
      </c>
      <c r="G6" s="50" t="str">
        <f>IF(Petals!L9="A","A","")</f>
        <v/>
      </c>
      <c r="I6" s="249">
        <v>3</v>
      </c>
      <c r="J6" s="252" t="str">
        <f>Bridging!C9</f>
        <v>Play a game together!</v>
      </c>
      <c r="K6" s="50" t="str">
        <f>IF(Bridging!L9="A","A","")</f>
        <v/>
      </c>
    </row>
    <row r="7" spans="1:11">
      <c r="A7" s="206" t="str">
        <f>'Journey Awards'!A6</f>
        <v>Welcome to the Daisy Flower Garden</v>
      </c>
      <c r="B7" s="48" t="str">
        <f>IF('Journey Awards'!L11="C","C",IF('Journey Awards'!L11="P","P",""))</f>
        <v/>
      </c>
      <c r="E7" s="31" t="str">
        <f>Petals!B10</f>
        <v>Zinni</v>
      </c>
      <c r="F7" s="31" t="str">
        <f>Petals!C10</f>
        <v>Considerate and caring</v>
      </c>
      <c r="G7" s="50" t="str">
        <f>IF(Petals!L10="A","A","")</f>
        <v/>
      </c>
      <c r="I7" s="250" t="str">
        <f>Bridging!B11</f>
        <v>Look Ahead</v>
      </c>
      <c r="J7" s="59"/>
      <c r="K7" s="34"/>
    </row>
    <row r="8" spans="1:11">
      <c r="A8" s="206" t="str">
        <f>'Journey Awards'!A14</f>
        <v>Between Earth and Sky</v>
      </c>
      <c r="B8" s="48" t="str">
        <f>IF('Journey Awards'!L19="C","C",IF('Journey Awards'!L19="P","P",""))</f>
        <v/>
      </c>
      <c r="E8" s="31" t="str">
        <f>Petals!B11</f>
        <v>Tula</v>
      </c>
      <c r="F8" s="31" t="str">
        <f>Petals!C11</f>
        <v>Courageous and strong</v>
      </c>
      <c r="G8" s="50" t="str">
        <f>IF(Petals!L11="A","A","")</f>
        <v/>
      </c>
      <c r="I8" s="249">
        <v>1</v>
      </c>
      <c r="J8" s="252" t="str">
        <f>Bridging!C12</f>
        <v>Say the Girl Scout Promise together.</v>
      </c>
      <c r="K8" s="50" t="str">
        <f>IF(Bridging!L12="A","A","")</f>
        <v/>
      </c>
    </row>
    <row r="9" spans="1:11">
      <c r="A9" s="206" t="str">
        <f>'Journey Awards'!A22</f>
        <v>5 Flowers, 4 Stories, 3 Cheers for Animals!</v>
      </c>
      <c r="B9" s="48" t="str">
        <f>IF('Journey Awards'!L27="C","C",IF('Journey Awards'!L27="P","P",""))</f>
        <v/>
      </c>
      <c r="E9" s="31" t="str">
        <f>Petals!B12</f>
        <v>Mari</v>
      </c>
      <c r="F9" s="31" t="str">
        <f>Petals!C12</f>
        <v>Responsible for what I say and do</v>
      </c>
      <c r="G9" s="50" t="str">
        <f>IF(Petals!L12="A","A","")</f>
        <v/>
      </c>
      <c r="I9" s="249">
        <v>2</v>
      </c>
      <c r="J9" s="252" t="str">
        <f>Bridging!C13</f>
        <v>Ask the Brownies to teach you</v>
      </c>
      <c r="K9" s="50" t="str">
        <f>IF(Bridging!L13="A","A","")</f>
        <v/>
      </c>
    </row>
    <row r="10" spans="1:11">
      <c r="A10" s="90" t="s">
        <v>61</v>
      </c>
      <c r="B10" s="48" t="str">
        <f>IF(Bridging!L18="C","C",IF(Bridging!L18="P","P",""))</f>
        <v/>
      </c>
      <c r="E10" s="31" t="str">
        <f>Petals!B13</f>
        <v>Gloria</v>
      </c>
      <c r="F10" s="31" t="str">
        <f>Petals!C13</f>
        <v>Respect for myself &amp; others</v>
      </c>
      <c r="G10" s="50" t="str">
        <f>IF(Petals!L13="A","A","")</f>
        <v/>
      </c>
      <c r="I10" s="249">
        <v>4</v>
      </c>
      <c r="J10" s="252" t="str">
        <f>Bridging!C14</f>
        <v>Ask the Brownies to show you</v>
      </c>
      <c r="K10" s="50" t="str">
        <f>IF(Bridging!L14="A","A","")</f>
        <v/>
      </c>
    </row>
    <row r="11" spans="1:11">
      <c r="A11" s="250"/>
      <c r="B11" s="99"/>
      <c r="E11" s="31" t="str">
        <f>Petals!B14</f>
        <v>Gerri</v>
      </c>
      <c r="F11" s="31" t="str">
        <f>Petals!C14</f>
        <v>Respect authority</v>
      </c>
      <c r="G11" s="50" t="str">
        <f>IF(Petals!L14="A","A","")</f>
        <v/>
      </c>
      <c r="I11" s="232" t="str">
        <f>Bridging!C16</f>
        <v>Plan a Ceremony</v>
      </c>
      <c r="J11" s="59"/>
      <c r="K11" s="50" t="str">
        <f>IF(Bridging!L16="A","A","")</f>
        <v/>
      </c>
    </row>
    <row r="12" spans="1:11">
      <c r="A12" s="61" t="s">
        <v>100</v>
      </c>
      <c r="E12" s="31" t="str">
        <f>Petals!B15</f>
        <v>Clover</v>
      </c>
      <c r="F12" s="31" t="str">
        <f>Petals!C15</f>
        <v>Use resources wisely</v>
      </c>
      <c r="G12" s="50" t="str">
        <f>IF(Petals!L15="A","A","")</f>
        <v/>
      </c>
    </row>
    <row r="13" spans="1:11">
      <c r="A13" s="31" t="str">
        <f>'Fun Patches'!C5</f>
        <v>&lt;List Patch Here&gt;</v>
      </c>
      <c r="B13" s="50" t="str">
        <f>IF('Fun Patches'!L5="A","C","")</f>
        <v/>
      </c>
      <c r="E13" s="31" t="str">
        <f>Petals!B16</f>
        <v>Rosie</v>
      </c>
      <c r="F13" s="31" t="str">
        <f>Petals!C16</f>
        <v>Make the world a better place</v>
      </c>
      <c r="G13" s="50" t="str">
        <f>IF(Petals!L16="A","A","")</f>
        <v/>
      </c>
      <c r="I13" s="362" t="s">
        <v>71</v>
      </c>
      <c r="J13" s="362"/>
      <c r="K13" s="362"/>
    </row>
    <row r="14" spans="1:11">
      <c r="A14" s="31" t="str">
        <f>'Fun Patches'!C6</f>
        <v>&lt;List Patch Here&gt;</v>
      </c>
      <c r="B14" s="50" t="str">
        <f>IF('Fun Patches'!L6="A","C","")</f>
        <v/>
      </c>
      <c r="E14" s="31" t="str">
        <f>Petals!B17</f>
        <v>Vi</v>
      </c>
      <c r="F14" s="31" t="str">
        <f>Petals!C17</f>
        <v>Be a sister to every Girl Scout</v>
      </c>
      <c r="G14" s="50" t="str">
        <f>IF(Petals!L17="A","A","")</f>
        <v/>
      </c>
      <c r="I14" s="362"/>
      <c r="J14" s="362"/>
      <c r="K14" s="362"/>
    </row>
    <row r="15" spans="1:11">
      <c r="A15" s="31" t="str">
        <f>'Fun Patches'!C7</f>
        <v>&lt;List Patch Here&gt;</v>
      </c>
      <c r="B15" s="50" t="str">
        <f>IF('Fun Patches'!L7="A","C","")</f>
        <v/>
      </c>
      <c r="E15" s="73"/>
      <c r="F15" s="73"/>
      <c r="G15" s="208"/>
      <c r="I15" s="249"/>
      <c r="J15" s="252" t="str">
        <f>'Age-Level'!C6</f>
        <v>Cookie Rally (Year 1)</v>
      </c>
      <c r="K15" s="50" t="str">
        <f>IF('Age-Level'!L6="A","C","")</f>
        <v/>
      </c>
    </row>
    <row r="16" spans="1:11">
      <c r="A16" s="31" t="str">
        <f>'Fun Patches'!C8</f>
        <v>&lt;List Patch Here&gt;</v>
      </c>
      <c r="B16" s="50" t="str">
        <f>IF('Fun Patches'!L8="A","C","")</f>
        <v/>
      </c>
      <c r="D16" s="362" t="s">
        <v>141</v>
      </c>
      <c r="E16" s="300"/>
      <c r="F16" s="300"/>
      <c r="G16" s="300"/>
      <c r="I16" s="249"/>
      <c r="J16" s="252" t="str">
        <f>'Age-Level'!C7</f>
        <v>Cookie Sales (Year 1)</v>
      </c>
      <c r="K16" s="50" t="str">
        <f>IF('Age-Level'!L7="A","C","")</f>
        <v/>
      </c>
    </row>
    <row r="17" spans="1:11">
      <c r="A17" s="31" t="str">
        <f>'Fun Patches'!C9</f>
        <v>&lt;List Patch Here&gt;</v>
      </c>
      <c r="B17" s="50" t="str">
        <f>IF('Fun Patches'!L9="A","C","")</f>
        <v/>
      </c>
      <c r="D17" s="300"/>
      <c r="E17" s="300"/>
      <c r="F17" s="300"/>
      <c r="G17" s="300"/>
      <c r="I17" s="51"/>
      <c r="J17" s="252" t="str">
        <f>'Age-Level'!C8</f>
        <v>Cookie Pin (Year 1)</v>
      </c>
      <c r="K17" s="50" t="str">
        <f>IF('Age-Level'!L8="A","C","")</f>
        <v/>
      </c>
    </row>
    <row r="18" spans="1:11">
      <c r="A18" s="31" t="str">
        <f>'Fun Patches'!C10</f>
        <v>&lt;List Patch Here&gt;</v>
      </c>
      <c r="B18" s="50" t="str">
        <f>IF('Fun Patches'!L10="A","C","")</f>
        <v/>
      </c>
      <c r="D18" s="366" t="str">
        <f>Petals!B22</f>
        <v>Finance</v>
      </c>
      <c r="E18" s="367"/>
      <c r="F18" s="200" t="str">
        <f>Petals!B20</f>
        <v>Money Counts</v>
      </c>
      <c r="G18" s="50" t="str">
        <f>IF(Petals!L23="C","A","")</f>
        <v/>
      </c>
      <c r="I18" s="51"/>
      <c r="J18" s="252" t="str">
        <f>'Age-Level'!C9</f>
        <v>Cookie Rally (Year 2)</v>
      </c>
      <c r="K18" s="50" t="str">
        <f>IF('Age-Level'!L9="A","C","")</f>
        <v/>
      </c>
    </row>
    <row r="19" spans="1:11">
      <c r="A19" s="31" t="str">
        <f>'Fun Patches'!C11</f>
        <v>&lt;List Patch Here&gt;</v>
      </c>
      <c r="B19" s="50" t="str">
        <f>IF('Fun Patches'!L11="A","C","")</f>
        <v/>
      </c>
      <c r="D19" s="366" t="str">
        <f>Petals!B27</f>
        <v>Finance</v>
      </c>
      <c r="E19" s="367"/>
      <c r="F19" s="200" t="str">
        <f>Petals!B25</f>
        <v>Making Choices</v>
      </c>
      <c r="G19" s="50" t="str">
        <f>IF(Petals!L28="C","A","")</f>
        <v/>
      </c>
      <c r="I19" s="51"/>
      <c r="J19" s="252" t="str">
        <f>'Age-Level'!C10</f>
        <v>Cookie Sales (Year 2)</v>
      </c>
      <c r="K19" s="50" t="str">
        <f>IF('Age-Level'!L10="A","C","")</f>
        <v/>
      </c>
    </row>
    <row r="20" spans="1:11">
      <c r="A20" s="31" t="str">
        <f>'Fun Patches'!C12</f>
        <v>&lt;List Patch Here&gt;</v>
      </c>
      <c r="B20" s="50" t="str">
        <f>IF('Fun Patches'!L12="A","C","")</f>
        <v/>
      </c>
      <c r="D20" s="366" t="str">
        <f>Petals!B32</f>
        <v>Cookie</v>
      </c>
      <c r="E20" s="367"/>
      <c r="F20" s="200" t="str">
        <f>Petals!B30</f>
        <v>Count It Up</v>
      </c>
      <c r="G20" s="50" t="str">
        <f>IF(Petals!L33="C","A","")</f>
        <v/>
      </c>
      <c r="I20" s="52"/>
      <c r="J20" s="252" t="str">
        <f>'Age-Level'!C11</f>
        <v>Cookie Pin (Year 2)</v>
      </c>
      <c r="K20" s="50" t="str">
        <f>IF('Age-Level'!L11="A","C","")</f>
        <v/>
      </c>
    </row>
    <row r="21" spans="1:11">
      <c r="A21" s="31" t="str">
        <f>'Fun Patches'!C13</f>
        <v>&lt;List Patch Here&gt;</v>
      </c>
      <c r="B21" s="50" t="str">
        <f>IF('Fun Patches'!L13="A","C","")</f>
        <v/>
      </c>
      <c r="D21" s="366" t="str">
        <f>Petals!B37</f>
        <v>Cookie</v>
      </c>
      <c r="E21" s="367"/>
      <c r="F21" s="200" t="str">
        <f>Petals!B35</f>
        <v>Talk It Up</v>
      </c>
      <c r="G21" s="50" t="str">
        <f>IF(Petals!L38="C","A","")</f>
        <v/>
      </c>
      <c r="I21" s="53"/>
      <c r="J21" s="252" t="str">
        <f>'Age-Level'!C13</f>
        <v>Fall Sales (Year 1)</v>
      </c>
      <c r="K21" s="50" t="str">
        <f>IF('Age-Level'!L13="A","C","")</f>
        <v/>
      </c>
    </row>
    <row r="22" spans="1:11">
      <c r="A22" s="31" t="str">
        <f>'Fun Patches'!C14</f>
        <v>&lt;List Patch Here&gt;</v>
      </c>
      <c r="B22" s="50" t="str">
        <f>IF('Fun Patches'!L14="A","C","")</f>
        <v/>
      </c>
      <c r="I22" s="26"/>
      <c r="J22" s="252" t="str">
        <f>'Age-Level'!C14</f>
        <v>Fall Sales (Year 2)</v>
      </c>
      <c r="K22" s="50" t="str">
        <f>IF('Age-Level'!L14="A","C","")</f>
        <v/>
      </c>
    </row>
    <row r="23" spans="1:11">
      <c r="A23" s="31" t="str">
        <f>'Fun Patches'!C15</f>
        <v>&lt;List Patch Here&gt;</v>
      </c>
      <c r="B23" s="50" t="str">
        <f>IF('Fun Patches'!L15="A","C","")</f>
        <v/>
      </c>
      <c r="D23" s="362" t="s">
        <v>62</v>
      </c>
      <c r="E23" s="362"/>
      <c r="F23" s="362"/>
      <c r="G23" s="362"/>
      <c r="J23" s="252" t="str">
        <f>'Age-Level'!C16</f>
        <v>Thinking Day (Year 1)</v>
      </c>
      <c r="K23" s="50" t="str">
        <f>IF('Age-Level'!L16="A","C","")</f>
        <v/>
      </c>
    </row>
    <row r="24" spans="1:11">
      <c r="A24" s="31" t="str">
        <f>'Fun Patches'!C16</f>
        <v>&lt;List Patch Here&gt;</v>
      </c>
      <c r="B24" s="50" t="str">
        <f>IF('Fun Patches'!L16="A","C","")</f>
        <v/>
      </c>
      <c r="D24" s="362"/>
      <c r="E24" s="362"/>
      <c r="F24" s="362"/>
      <c r="G24" s="362"/>
      <c r="J24" s="252" t="str">
        <f>'Age-Level'!C17</f>
        <v>Thinking Day (Year 2)</v>
      </c>
      <c r="K24" s="50" t="str">
        <f>IF('Age-Level'!L17="A","C","")</f>
        <v/>
      </c>
    </row>
    <row r="25" spans="1:11">
      <c r="A25" s="31" t="str">
        <f>'Fun Patches'!C17</f>
        <v>&lt;List Patch Here&gt;</v>
      </c>
      <c r="B25" s="50" t="str">
        <f>IF('Fun Patches'!L17="A","C","")</f>
        <v/>
      </c>
      <c r="D25" s="250" t="str">
        <f>'Journey Awards'!A6</f>
        <v>Welcome to the Daisy Flower Garden</v>
      </c>
      <c r="F25" s="57"/>
      <c r="G25" s="248"/>
      <c r="J25" s="252" t="str">
        <f>'Age-Level'!C19</f>
        <v>Investiture</v>
      </c>
      <c r="K25" s="50" t="str">
        <f>IF('Age-Level'!L19="A","C","")</f>
        <v/>
      </c>
    </row>
    <row r="26" spans="1:11">
      <c r="A26" s="31" t="str">
        <f>'Fun Patches'!C18</f>
        <v>&lt;List Patch Here&gt;</v>
      </c>
      <c r="B26" s="50" t="str">
        <f>IF('Fun Patches'!L18="A","C","")</f>
        <v/>
      </c>
      <c r="D26" s="249"/>
      <c r="E26" s="363" t="s">
        <v>66</v>
      </c>
      <c r="F26" s="364"/>
      <c r="G26" s="50" t="str">
        <f>IF('Journey Awards'!L8="A","A","")</f>
        <v/>
      </c>
      <c r="J26" s="252" t="str">
        <f>'Age-Level'!C20</f>
        <v>Rededication (1st year)</v>
      </c>
      <c r="K26" s="50" t="str">
        <f>IF('Age-Level'!L20="A","C","")</f>
        <v/>
      </c>
    </row>
    <row r="27" spans="1:11">
      <c r="A27" s="31" t="str">
        <f>'Fun Patches'!C19</f>
        <v>&lt;List Patch Here&gt;</v>
      </c>
      <c r="B27" s="50" t="str">
        <f>IF('Fun Patches'!L19="A","C","")</f>
        <v/>
      </c>
      <c r="D27" s="249"/>
      <c r="E27" s="363" t="s">
        <v>67</v>
      </c>
      <c r="F27" s="364"/>
      <c r="G27" s="50" t="str">
        <f>IF('Journey Awards'!L9="A","A","")</f>
        <v/>
      </c>
      <c r="J27" s="252" t="str">
        <f>'Age-Level'!B21</f>
        <v>My Promise, My Faith (Year 1)</v>
      </c>
      <c r="K27" s="50" t="str">
        <f>IF('Age-Level'!L27="C","C","")</f>
        <v/>
      </c>
    </row>
    <row r="28" spans="1:11">
      <c r="A28" s="31" t="str">
        <f>'Fun Patches'!C20</f>
        <v>&lt;List Patch Here&gt;</v>
      </c>
      <c r="B28" s="50" t="str">
        <f>IF('Fun Patches'!L20="A","C","")</f>
        <v/>
      </c>
      <c r="D28" s="249"/>
      <c r="E28" s="363" t="s">
        <v>68</v>
      </c>
      <c r="F28" s="364"/>
      <c r="G28" s="50" t="str">
        <f>IF('Journey Awards'!L10="A","A","")</f>
        <v/>
      </c>
      <c r="J28" s="252" t="str">
        <f>'Age-Level'!B28</f>
        <v>My Promise, My Faith (Year 2)</v>
      </c>
      <c r="K28" s="50" t="str">
        <f>IF('Age-Level'!L34="C","C","")</f>
        <v/>
      </c>
    </row>
    <row r="29" spans="1:11">
      <c r="A29" s="31" t="str">
        <f>'Fun Patches'!C21</f>
        <v>&lt;List Patch Here&gt;</v>
      </c>
      <c r="B29" s="50" t="str">
        <f>IF('Fun Patches'!L21="A","C","")</f>
        <v/>
      </c>
      <c r="D29" s="102" t="str">
        <f>'Journey Awards'!A14</f>
        <v>Between Earth and Sky</v>
      </c>
      <c r="F29" s="59"/>
      <c r="G29" s="34"/>
      <c r="J29" s="252" t="str">
        <f>'Age-Level'!C36</f>
        <v>Global Action Award</v>
      </c>
      <c r="K29" s="50" t="str">
        <f>IF('Age-Level'!L36="A","C","")</f>
        <v/>
      </c>
    </row>
    <row r="30" spans="1:11">
      <c r="A30" s="31" t="str">
        <f>'Fun Patches'!C22</f>
        <v>&lt;List Patch Here&gt;</v>
      </c>
      <c r="B30" s="50" t="str">
        <f>IF('Fun Patches'!L22="A","C","")</f>
        <v/>
      </c>
      <c r="D30" s="249"/>
      <c r="E30" s="363" t="str">
        <f>'Journey Awards'!C16</f>
        <v>The Blue Bucket Award</v>
      </c>
      <c r="F30" s="364"/>
      <c r="G30" s="50" t="str">
        <f>IF('Journey Awards'!L16="A","A","")</f>
        <v/>
      </c>
      <c r="J30" s="252" t="str">
        <f>'Age-Level'!C38</f>
        <v>Journey Summit Pin</v>
      </c>
      <c r="K30" s="50" t="str">
        <f>IF('Age-Level'!L38="C","C","")</f>
        <v/>
      </c>
    </row>
    <row r="31" spans="1:11">
      <c r="A31" s="31" t="str">
        <f>'Fun Patches'!C23</f>
        <v>&lt;List Patch Here&gt;</v>
      </c>
      <c r="B31" s="50" t="str">
        <f>IF('Fun Patches'!L23="A","C","")</f>
        <v/>
      </c>
      <c r="D31" s="249"/>
      <c r="E31" s="363" t="str">
        <f>'Journey Awards'!C17</f>
        <v>The Firefly Award</v>
      </c>
      <c r="F31" s="364"/>
      <c r="G31" s="50" t="str">
        <f>IF('Journey Awards'!L17="A","A","")</f>
        <v/>
      </c>
      <c r="J31" s="252" t="str">
        <f>'Age-Level'!B39</f>
        <v>Safety Award</v>
      </c>
      <c r="K31" s="50" t="str">
        <f>IF('Age-Level'!L43="C","C","")</f>
        <v/>
      </c>
    </row>
    <row r="32" spans="1:11">
      <c r="A32" s="31" t="str">
        <f>'Fun Patches'!C24</f>
        <v>&lt;List Patch Here&gt;</v>
      </c>
      <c r="B32" s="50" t="str">
        <f>IF('Fun Patches'!L24="A","C","")</f>
        <v/>
      </c>
      <c r="D32" s="249"/>
      <c r="E32" s="363" t="str">
        <f>'Journey Awards'!C18</f>
        <v>The Clover Award</v>
      </c>
      <c r="F32" s="364"/>
      <c r="G32" s="50" t="str">
        <f>IF('Journey Awards'!L18="A","A","")</f>
        <v/>
      </c>
    </row>
    <row r="33" spans="1:11">
      <c r="A33" s="31" t="str">
        <f>'Fun Patches'!C25</f>
        <v>&lt;List Patch Here&gt;</v>
      </c>
      <c r="B33" s="50" t="str">
        <f>IF('Fun Patches'!L25="A","C","")</f>
        <v/>
      </c>
      <c r="D33" s="102" t="str">
        <f>'Journey Awards'!A22</f>
        <v>5 Flowers, 4 Stories, 3 Cheers for Animals!</v>
      </c>
      <c r="F33" s="59"/>
      <c r="G33" s="34" t="str">
        <f>IF('Journey Awards'!L15="A","A","")</f>
        <v/>
      </c>
      <c r="J33" s="61" t="s">
        <v>102</v>
      </c>
    </row>
    <row r="34" spans="1:11">
      <c r="A34" s="31" t="str">
        <f>'Fun Patches'!C26</f>
        <v>&lt;List Patch Here&gt;</v>
      </c>
      <c r="B34" s="50" t="str">
        <f>IF('Fun Patches'!L26="A","C","")</f>
        <v/>
      </c>
      <c r="D34" s="249"/>
      <c r="E34" s="363" t="str">
        <f>'Journey Awards'!C24</f>
        <v>Birdbath Award</v>
      </c>
      <c r="F34" s="364"/>
      <c r="G34" s="50" t="str">
        <f>IF('Journey Awards'!L24="A","A","")</f>
        <v/>
      </c>
      <c r="J34" s="31" t="str">
        <f>'Fun Patches'!C35</f>
        <v>&lt;List Patch Here&gt;</v>
      </c>
      <c r="K34" s="50" t="str">
        <f>IF('Fun Patches'!L35="A","C","")</f>
        <v/>
      </c>
    </row>
    <row r="35" spans="1:11">
      <c r="A35" s="31" t="str">
        <f>'Fun Patches'!C27</f>
        <v>&lt;List Patch Here&gt;</v>
      </c>
      <c r="B35" s="50" t="str">
        <f>IF('Fun Patches'!L27="A","C","")</f>
        <v/>
      </c>
      <c r="D35" s="249"/>
      <c r="E35" s="363" t="str">
        <f>'Journey Awards'!C25</f>
        <v>Red Robin Award</v>
      </c>
      <c r="F35" s="364"/>
      <c r="G35" s="50" t="str">
        <f>IF('Journey Awards'!L25="A","A","")</f>
        <v/>
      </c>
      <c r="J35" s="31" t="str">
        <f>'Fun Patches'!C36</f>
        <v>&lt;List Patch Here&gt;</v>
      </c>
      <c r="K35" s="50" t="str">
        <f>IF('Fun Patches'!L36="A","C","")</f>
        <v/>
      </c>
    </row>
    <row r="36" spans="1:11">
      <c r="A36" s="251" t="str">
        <f>'Fun Patches'!C28</f>
        <v>&lt;List Patch Here&gt;</v>
      </c>
      <c r="B36" s="50" t="str">
        <f>IF('Fun Patches'!L28="A","C","")</f>
        <v/>
      </c>
      <c r="D36" s="249"/>
      <c r="E36" s="363" t="str">
        <f>'Journey Awards'!C26</f>
        <v>Tula Award</v>
      </c>
      <c r="F36" s="364"/>
      <c r="G36" s="50" t="str">
        <f>IF('Journey Awards'!L26="A","A","")</f>
        <v/>
      </c>
      <c r="J36" s="31" t="str">
        <f>'Fun Patches'!C37</f>
        <v>&lt;List Patch Here&gt;</v>
      </c>
      <c r="K36" s="50" t="str">
        <f>IF('Fun Patches'!L37="A","C","")</f>
        <v/>
      </c>
    </row>
    <row r="37" spans="1:11">
      <c r="A37" s="253" t="str">
        <f>'Fun Patches'!C29</f>
        <v>&lt;List Patch Here&gt;</v>
      </c>
      <c r="B37" s="50" t="str">
        <f>IF('Fun Patches'!L29="A","C","")</f>
        <v/>
      </c>
      <c r="J37" s="31" t="str">
        <f>'Fun Patches'!C38</f>
        <v>&lt;List Patch Here&gt;</v>
      </c>
      <c r="K37" s="50" t="str">
        <f>IF('Fun Patches'!L38="A","C","")</f>
        <v/>
      </c>
    </row>
    <row r="38" spans="1:11" ht="12.75" customHeight="1">
      <c r="A38" s="282"/>
      <c r="B38" s="208"/>
      <c r="C38" s="142"/>
      <c r="D38" s="361" t="s">
        <v>102</v>
      </c>
      <c r="E38" s="300"/>
      <c r="F38" s="300"/>
      <c r="J38" s="31" t="str">
        <f>'Fun Patches'!C39</f>
        <v>&lt;List Patch Here&gt;</v>
      </c>
      <c r="K38" s="50" t="str">
        <f>IF('Fun Patches'!L39="A","C","")</f>
        <v/>
      </c>
    </row>
    <row r="39" spans="1:11" ht="13.5" customHeight="1">
      <c r="A39" s="103"/>
      <c r="B39" s="142"/>
      <c r="C39" s="142"/>
      <c r="E39" s="368" t="str">
        <f>'Fun Patches'!C30</f>
        <v>&lt;List Patch Here&gt;</v>
      </c>
      <c r="F39" s="369"/>
      <c r="G39" s="50" t="str">
        <f>IF('Fun Patches'!L30="A","C","")</f>
        <v/>
      </c>
      <c r="J39" s="31" t="str">
        <f>'Fun Patches'!C40</f>
        <v>&lt;List Patch Here&gt;</v>
      </c>
      <c r="K39" s="50" t="str">
        <f>IF('Fun Patches'!L40="A","C","")</f>
        <v/>
      </c>
    </row>
    <row r="40" spans="1:11" ht="13.5" customHeight="1">
      <c r="A40" s="143" t="s">
        <v>115</v>
      </c>
      <c r="B40" s="141"/>
      <c r="C40" s="142"/>
      <c r="E40" s="368" t="str">
        <f>'Fun Patches'!C31</f>
        <v>&lt;List Patch Here&gt;</v>
      </c>
      <c r="F40" s="369"/>
      <c r="G40" s="50" t="str">
        <f>IF('Fun Patches'!L31="A","C","")</f>
        <v/>
      </c>
      <c r="J40" s="31" t="str">
        <f>'Fun Patches'!C41</f>
        <v>&lt;List Patch Here&gt;</v>
      </c>
      <c r="K40" s="50" t="str">
        <f>IF('Fun Patches'!L41="A","C","")</f>
        <v/>
      </c>
    </row>
    <row r="41" spans="1:11" ht="13.5" customHeight="1">
      <c r="A41" s="145" t="s">
        <v>116</v>
      </c>
      <c r="B41" s="139"/>
      <c r="C41" s="140"/>
      <c r="E41" s="368" t="str">
        <f>'Fun Patches'!C32</f>
        <v>&lt;List Patch Here&gt;</v>
      </c>
      <c r="F41" s="369"/>
      <c r="G41" s="50" t="str">
        <f>IF('Fun Patches'!L32="A","C","")</f>
        <v/>
      </c>
      <c r="J41" s="31" t="str">
        <f>'Fun Patches'!C42</f>
        <v>&lt;List Patch Here&gt;</v>
      </c>
      <c r="K41" s="50" t="str">
        <f>IF('Fun Patches'!L42="A","C","")</f>
        <v/>
      </c>
    </row>
    <row r="42" spans="1:11">
      <c r="A42" s="146" t="s">
        <v>118</v>
      </c>
      <c r="B42" s="140"/>
      <c r="C42" s="140"/>
      <c r="E42" s="368" t="str">
        <f>'Fun Patches'!C33</f>
        <v>&lt;List Patch Here&gt;</v>
      </c>
      <c r="F42" s="369"/>
      <c r="G42" s="50" t="str">
        <f>IF('Fun Patches'!L33="A","C","")</f>
        <v/>
      </c>
      <c r="J42" s="31" t="str">
        <f>'Fun Patches'!C43</f>
        <v>&lt;List Patch Here&gt;</v>
      </c>
      <c r="K42" s="50" t="str">
        <f>IF('Fun Patches'!L43="A","C","")</f>
        <v/>
      </c>
    </row>
    <row r="43" spans="1:11">
      <c r="A43" s="147" t="s">
        <v>117</v>
      </c>
      <c r="B43" s="140"/>
      <c r="C43" s="140"/>
      <c r="E43" s="368" t="str">
        <f>'Fun Patches'!C34</f>
        <v>&lt;List Patch Here&gt;</v>
      </c>
      <c r="F43" s="369"/>
      <c r="G43" s="50" t="str">
        <f>IF('Fun Patches'!L34="A","C","")</f>
        <v/>
      </c>
      <c r="J43" s="31" t="str">
        <f>'Fun Patches'!C44</f>
        <v>&lt;List Patch Here&gt;</v>
      </c>
      <c r="K43" s="50" t="str">
        <f>IF('Fun Patches'!L44="A","C","")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10</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IF(Petals!M6="A","A","")</f>
        <v/>
      </c>
      <c r="I3" s="211" t="str">
        <f>Bridging!B6</f>
        <v>Pass It On</v>
      </c>
      <c r="J3" s="211"/>
      <c r="K3" s="211"/>
    </row>
    <row r="4" spans="1:11">
      <c r="A4" s="66" t="s">
        <v>44</v>
      </c>
      <c r="B4" s="48" t="str">
        <f>IF(Petals!M18="C","C",IF(Petals!M18="P","P",""))</f>
        <v/>
      </c>
      <c r="D4" s="61" t="s">
        <v>44</v>
      </c>
      <c r="G4" s="34"/>
      <c r="I4" s="249">
        <v>1</v>
      </c>
      <c r="J4" s="252" t="str">
        <f>Bridging!C7</f>
        <v>Teach younger girls the GS Promise</v>
      </c>
      <c r="K4" s="50" t="str">
        <f>IF(Bridging!M7="A","A","")</f>
        <v/>
      </c>
    </row>
    <row r="5" spans="1:11">
      <c r="A5" s="207" t="s">
        <v>141</v>
      </c>
      <c r="B5" s="209">
        <f>INT(COUNTIF(G18:G21,"A"))</f>
        <v>0</v>
      </c>
      <c r="E5" s="31" t="str">
        <f>Petals!B8</f>
        <v>Lupe</v>
      </c>
      <c r="F5" s="31" t="str">
        <f>Petals!C8</f>
        <v>Honest and fair</v>
      </c>
      <c r="G5" s="50" t="str">
        <f>IF(Petals!M8="A","A","")</f>
        <v/>
      </c>
      <c r="I5" s="249">
        <v>2</v>
      </c>
      <c r="J5" s="252" t="str">
        <f>Bridging!C8</f>
        <v>Tell younger girls about the Flower</v>
      </c>
      <c r="K5" s="50" t="str">
        <f>IF(Bridging!M8="A","A","")</f>
        <v/>
      </c>
    </row>
    <row r="6" spans="1:11">
      <c r="A6" s="67" t="s">
        <v>62</v>
      </c>
      <c r="B6" s="54"/>
      <c r="E6" s="31" t="str">
        <f>Petals!B9</f>
        <v>Sunny</v>
      </c>
      <c r="F6" s="31" t="str">
        <f>Petals!C9</f>
        <v>Friendly and helpful</v>
      </c>
      <c r="G6" s="50" t="str">
        <f>IF(Petals!M9="A","A","")</f>
        <v/>
      </c>
      <c r="I6" s="249">
        <v>3</v>
      </c>
      <c r="J6" s="252" t="str">
        <f>Bridging!C9</f>
        <v>Play a game together!</v>
      </c>
      <c r="K6" s="50" t="str">
        <f>IF(Bridging!M9="A","A","")</f>
        <v/>
      </c>
    </row>
    <row r="7" spans="1:11">
      <c r="A7" s="206" t="str">
        <f>'Journey Awards'!A6</f>
        <v>Welcome to the Daisy Flower Garden</v>
      </c>
      <c r="B7" s="48" t="str">
        <f>IF('Journey Awards'!M11="C","C",IF('Journey Awards'!M11="P","P",""))</f>
        <v/>
      </c>
      <c r="E7" s="31" t="str">
        <f>Petals!B10</f>
        <v>Zinni</v>
      </c>
      <c r="F7" s="31" t="str">
        <f>Petals!C10</f>
        <v>Considerate and caring</v>
      </c>
      <c r="G7" s="50" t="str">
        <f>IF(Petals!M10="A","A","")</f>
        <v/>
      </c>
      <c r="I7" s="250" t="str">
        <f>Bridging!B11</f>
        <v>Look Ahead</v>
      </c>
      <c r="J7" s="59"/>
      <c r="K7" s="34"/>
    </row>
    <row r="8" spans="1:11">
      <c r="A8" s="206" t="str">
        <f>'Journey Awards'!A14</f>
        <v>Between Earth and Sky</v>
      </c>
      <c r="B8" s="48" t="str">
        <f>IF('Journey Awards'!M19="C","C",IF('Journey Awards'!M19="P","P",""))</f>
        <v/>
      </c>
      <c r="E8" s="31" t="str">
        <f>Petals!B11</f>
        <v>Tula</v>
      </c>
      <c r="F8" s="31" t="str">
        <f>Petals!C11</f>
        <v>Courageous and strong</v>
      </c>
      <c r="G8" s="50" t="str">
        <f>IF(Petals!M11="A","A","")</f>
        <v/>
      </c>
      <c r="I8" s="249">
        <v>1</v>
      </c>
      <c r="J8" s="252" t="str">
        <f>Bridging!C12</f>
        <v>Say the Girl Scout Promise together.</v>
      </c>
      <c r="K8" s="50" t="str">
        <f>IF(Bridging!M12="A","A","")</f>
        <v/>
      </c>
    </row>
    <row r="9" spans="1:11">
      <c r="A9" s="206" t="str">
        <f>'Journey Awards'!A22</f>
        <v>5 Flowers, 4 Stories, 3 Cheers for Animals!</v>
      </c>
      <c r="B9" s="48" t="str">
        <f>IF('Journey Awards'!M27="C","C",IF('Journey Awards'!M27="P","P",""))</f>
        <v/>
      </c>
      <c r="E9" s="31" t="str">
        <f>Petals!B12</f>
        <v>Mari</v>
      </c>
      <c r="F9" s="31" t="str">
        <f>Petals!C12</f>
        <v>Responsible for what I say and do</v>
      </c>
      <c r="G9" s="50" t="str">
        <f>IF(Petals!M12="A","A","")</f>
        <v/>
      </c>
      <c r="I9" s="249">
        <v>2</v>
      </c>
      <c r="J9" s="252" t="str">
        <f>Bridging!C13</f>
        <v>Ask the Brownies to teach you</v>
      </c>
      <c r="K9" s="50" t="str">
        <f>IF(Bridging!M13="A","A","")</f>
        <v/>
      </c>
    </row>
    <row r="10" spans="1:11">
      <c r="A10" s="90" t="s">
        <v>61</v>
      </c>
      <c r="B10" s="48" t="str">
        <f>IF(Bridging!M18="C","C",IF(Bridging!M18="P","P",""))</f>
        <v/>
      </c>
      <c r="E10" s="31" t="str">
        <f>Petals!B13</f>
        <v>Gloria</v>
      </c>
      <c r="F10" s="31" t="str">
        <f>Petals!C13</f>
        <v>Respect for myself &amp; others</v>
      </c>
      <c r="G10" s="50" t="str">
        <f>IF(Petals!M13="A","A","")</f>
        <v/>
      </c>
      <c r="I10" s="249">
        <v>4</v>
      </c>
      <c r="J10" s="252" t="str">
        <f>Bridging!C14</f>
        <v>Ask the Brownies to show you</v>
      </c>
      <c r="K10" s="50" t="str">
        <f>IF(Bridging!M14="A","A","")</f>
        <v/>
      </c>
    </row>
    <row r="11" spans="1:11">
      <c r="A11" s="250"/>
      <c r="B11" s="99"/>
      <c r="E11" s="31" t="str">
        <f>Petals!B14</f>
        <v>Gerri</v>
      </c>
      <c r="F11" s="31" t="str">
        <f>Petals!C14</f>
        <v>Respect authority</v>
      </c>
      <c r="G11" s="50" t="str">
        <f>IF(Petals!M14="A","A","")</f>
        <v/>
      </c>
      <c r="I11" s="232" t="str">
        <f>Bridging!C16</f>
        <v>Plan a Ceremony</v>
      </c>
      <c r="J11" s="59"/>
      <c r="K11" s="50" t="str">
        <f>IF(Bridging!M16="A","A","")</f>
        <v/>
      </c>
    </row>
    <row r="12" spans="1:11">
      <c r="A12" s="61" t="s">
        <v>100</v>
      </c>
      <c r="E12" s="31" t="str">
        <f>Petals!B15</f>
        <v>Clover</v>
      </c>
      <c r="F12" s="31" t="str">
        <f>Petals!C15</f>
        <v>Use resources wisely</v>
      </c>
      <c r="G12" s="50" t="str">
        <f>IF(Petals!M15="A","A","")</f>
        <v/>
      </c>
    </row>
    <row r="13" spans="1:11">
      <c r="A13" s="31" t="str">
        <f>'Fun Patches'!C5</f>
        <v>&lt;List Patch Here&gt;</v>
      </c>
      <c r="B13" s="50" t="str">
        <f>IF('Fun Patches'!M5="A","C","")</f>
        <v/>
      </c>
      <c r="E13" s="31" t="str">
        <f>Petals!B16</f>
        <v>Rosie</v>
      </c>
      <c r="F13" s="31" t="str">
        <f>Petals!C16</f>
        <v>Make the world a better place</v>
      </c>
      <c r="G13" s="50" t="str">
        <f>IF(Petals!M16="A","A","")</f>
        <v/>
      </c>
      <c r="I13" s="362" t="s">
        <v>71</v>
      </c>
      <c r="J13" s="362"/>
      <c r="K13" s="362"/>
    </row>
    <row r="14" spans="1:11">
      <c r="A14" s="31" t="str">
        <f>'Fun Patches'!C6</f>
        <v>&lt;List Patch Here&gt;</v>
      </c>
      <c r="B14" s="50" t="str">
        <f>IF('Fun Patches'!M6="A","C","")</f>
        <v/>
      </c>
      <c r="E14" s="31" t="str">
        <f>Petals!B17</f>
        <v>Vi</v>
      </c>
      <c r="F14" s="31" t="str">
        <f>Petals!C17</f>
        <v>Be a sister to every Girl Scout</v>
      </c>
      <c r="G14" s="50" t="str">
        <f>IF(Petals!M17="A","A","")</f>
        <v/>
      </c>
      <c r="I14" s="362"/>
      <c r="J14" s="362"/>
      <c r="K14" s="362"/>
    </row>
    <row r="15" spans="1:11">
      <c r="A15" s="31" t="str">
        <f>'Fun Patches'!C7</f>
        <v>&lt;List Patch Here&gt;</v>
      </c>
      <c r="B15" s="50" t="str">
        <f>IF('Fun Patches'!M7="A","C","")</f>
        <v/>
      </c>
      <c r="E15" s="73"/>
      <c r="F15" s="73"/>
      <c r="G15" s="208"/>
      <c r="I15" s="249"/>
      <c r="J15" s="252" t="str">
        <f>'Age-Level'!C6</f>
        <v>Cookie Rally (Year 1)</v>
      </c>
      <c r="K15" s="50" t="str">
        <f>IF('Age-Level'!M6="A","C","")</f>
        <v/>
      </c>
    </row>
    <row r="16" spans="1:11">
      <c r="A16" s="31" t="str">
        <f>'Fun Patches'!C8</f>
        <v>&lt;List Patch Here&gt;</v>
      </c>
      <c r="B16" s="50" t="str">
        <f>IF('Fun Patches'!M8="A","C","")</f>
        <v/>
      </c>
      <c r="D16" s="362" t="s">
        <v>141</v>
      </c>
      <c r="E16" s="300"/>
      <c r="F16" s="300"/>
      <c r="G16" s="300"/>
      <c r="I16" s="249"/>
      <c r="J16" s="252" t="str">
        <f>'Age-Level'!C7</f>
        <v>Cookie Sales (Year 1)</v>
      </c>
      <c r="K16" s="50" t="str">
        <f>IF('Age-Level'!M7="A","C","")</f>
        <v/>
      </c>
    </row>
    <row r="17" spans="1:11">
      <c r="A17" s="31" t="str">
        <f>'Fun Patches'!C9</f>
        <v>&lt;List Patch Here&gt;</v>
      </c>
      <c r="B17" s="50" t="str">
        <f>IF('Fun Patches'!M9="A","C","")</f>
        <v/>
      </c>
      <c r="D17" s="300"/>
      <c r="E17" s="300"/>
      <c r="F17" s="300"/>
      <c r="G17" s="300"/>
      <c r="I17" s="51"/>
      <c r="J17" s="252" t="str">
        <f>'Age-Level'!C8</f>
        <v>Cookie Pin (Year 1)</v>
      </c>
      <c r="K17" s="50" t="str">
        <f>IF('Age-Level'!M8="A","C","")</f>
        <v/>
      </c>
    </row>
    <row r="18" spans="1:11">
      <c r="A18" s="31" t="str">
        <f>'Fun Patches'!C10</f>
        <v>&lt;List Patch Here&gt;</v>
      </c>
      <c r="B18" s="50" t="str">
        <f>IF('Fun Patches'!M10="A","C","")</f>
        <v/>
      </c>
      <c r="D18" s="366" t="str">
        <f>Petals!B22</f>
        <v>Finance</v>
      </c>
      <c r="E18" s="367"/>
      <c r="F18" s="200" t="str">
        <f>Petals!B20</f>
        <v>Money Counts</v>
      </c>
      <c r="G18" s="50" t="str">
        <f>IF(Petals!M23="C","A","")</f>
        <v/>
      </c>
      <c r="I18" s="51"/>
      <c r="J18" s="252" t="str">
        <f>'Age-Level'!C9</f>
        <v>Cookie Rally (Year 2)</v>
      </c>
      <c r="K18" s="50" t="str">
        <f>IF('Age-Level'!M9="A","C","")</f>
        <v/>
      </c>
    </row>
    <row r="19" spans="1:11">
      <c r="A19" s="31" t="str">
        <f>'Fun Patches'!C11</f>
        <v>&lt;List Patch Here&gt;</v>
      </c>
      <c r="B19" s="50" t="str">
        <f>IF('Fun Patches'!M11="A","C","")</f>
        <v/>
      </c>
      <c r="D19" s="366" t="str">
        <f>Petals!B27</f>
        <v>Finance</v>
      </c>
      <c r="E19" s="367"/>
      <c r="F19" s="200" t="str">
        <f>Petals!B25</f>
        <v>Making Choices</v>
      </c>
      <c r="G19" s="50" t="str">
        <f>IF(Petals!M28="C","A","")</f>
        <v/>
      </c>
      <c r="I19" s="51"/>
      <c r="J19" s="252" t="str">
        <f>'Age-Level'!C10</f>
        <v>Cookie Sales (Year 2)</v>
      </c>
      <c r="K19" s="50" t="str">
        <f>IF('Age-Level'!M10="A","C","")</f>
        <v/>
      </c>
    </row>
    <row r="20" spans="1:11">
      <c r="A20" s="31" t="str">
        <f>'Fun Patches'!C12</f>
        <v>&lt;List Patch Here&gt;</v>
      </c>
      <c r="B20" s="50" t="str">
        <f>IF('Fun Patches'!M12="A","C","")</f>
        <v/>
      </c>
      <c r="D20" s="366" t="str">
        <f>Petals!B32</f>
        <v>Cookie</v>
      </c>
      <c r="E20" s="367"/>
      <c r="F20" s="200" t="str">
        <f>Petals!B30</f>
        <v>Count It Up</v>
      </c>
      <c r="G20" s="50" t="str">
        <f>IF(Petals!M33="C","A","")</f>
        <v/>
      </c>
      <c r="I20" s="52"/>
      <c r="J20" s="252" t="str">
        <f>'Age-Level'!C11</f>
        <v>Cookie Pin (Year 2)</v>
      </c>
      <c r="K20" s="50" t="str">
        <f>IF('Age-Level'!M11="A","C","")</f>
        <v/>
      </c>
    </row>
    <row r="21" spans="1:11">
      <c r="A21" s="31" t="str">
        <f>'Fun Patches'!C13</f>
        <v>&lt;List Patch Here&gt;</v>
      </c>
      <c r="B21" s="50" t="str">
        <f>IF('Fun Patches'!M13="A","C","")</f>
        <v/>
      </c>
      <c r="D21" s="366" t="str">
        <f>Petals!B37</f>
        <v>Cookie</v>
      </c>
      <c r="E21" s="367"/>
      <c r="F21" s="200" t="str">
        <f>Petals!B35</f>
        <v>Talk It Up</v>
      </c>
      <c r="G21" s="50" t="str">
        <f>IF(Petals!M38="C","A","")</f>
        <v/>
      </c>
      <c r="I21" s="53"/>
      <c r="J21" s="252" t="str">
        <f>'Age-Level'!C13</f>
        <v>Fall Sales (Year 1)</v>
      </c>
      <c r="K21" s="50" t="str">
        <f>IF('Age-Level'!M13="A","C","")</f>
        <v/>
      </c>
    </row>
    <row r="22" spans="1:11">
      <c r="A22" s="31" t="str">
        <f>'Fun Patches'!C14</f>
        <v>&lt;List Patch Here&gt;</v>
      </c>
      <c r="B22" s="50" t="str">
        <f>IF('Fun Patches'!M14="A","C","")</f>
        <v/>
      </c>
      <c r="I22" s="26"/>
      <c r="J22" s="252" t="str">
        <f>'Age-Level'!C14</f>
        <v>Fall Sales (Year 2)</v>
      </c>
      <c r="K22" s="50" t="str">
        <f>IF('Age-Level'!M14="A","C","")</f>
        <v/>
      </c>
    </row>
    <row r="23" spans="1:11">
      <c r="A23" s="31" t="str">
        <f>'Fun Patches'!C15</f>
        <v>&lt;List Patch Here&gt;</v>
      </c>
      <c r="B23" s="50" t="str">
        <f>IF('Fun Patches'!M15="A","C","")</f>
        <v/>
      </c>
      <c r="D23" s="362" t="s">
        <v>62</v>
      </c>
      <c r="E23" s="362"/>
      <c r="F23" s="362"/>
      <c r="G23" s="362"/>
      <c r="J23" s="252" t="str">
        <f>'Age-Level'!C16</f>
        <v>Thinking Day (Year 1)</v>
      </c>
      <c r="K23" s="50" t="str">
        <f>IF('Age-Level'!M16="A","C","")</f>
        <v/>
      </c>
    </row>
    <row r="24" spans="1:11">
      <c r="A24" s="31" t="str">
        <f>'Fun Patches'!C16</f>
        <v>&lt;List Patch Here&gt;</v>
      </c>
      <c r="B24" s="50" t="str">
        <f>IF('Fun Patches'!M16="A","C","")</f>
        <v/>
      </c>
      <c r="D24" s="362"/>
      <c r="E24" s="362"/>
      <c r="F24" s="362"/>
      <c r="G24" s="362"/>
      <c r="J24" s="252" t="str">
        <f>'Age-Level'!C17</f>
        <v>Thinking Day (Year 2)</v>
      </c>
      <c r="K24" s="50" t="str">
        <f>IF('Age-Level'!M17="A","C","")</f>
        <v/>
      </c>
    </row>
    <row r="25" spans="1:11">
      <c r="A25" s="31" t="str">
        <f>'Fun Patches'!C17</f>
        <v>&lt;List Patch Here&gt;</v>
      </c>
      <c r="B25" s="50" t="str">
        <f>IF('Fun Patches'!M17="A","C","")</f>
        <v/>
      </c>
      <c r="D25" s="250" t="str">
        <f>'Journey Awards'!A6</f>
        <v>Welcome to the Daisy Flower Garden</v>
      </c>
      <c r="F25" s="57"/>
      <c r="G25" s="248"/>
      <c r="J25" s="252" t="str">
        <f>'Age-Level'!C19</f>
        <v>Investiture</v>
      </c>
      <c r="K25" s="50" t="str">
        <f>IF('Age-Level'!M19="A","C","")</f>
        <v/>
      </c>
    </row>
    <row r="26" spans="1:11">
      <c r="A26" s="31" t="str">
        <f>'Fun Patches'!C18</f>
        <v>&lt;List Patch Here&gt;</v>
      </c>
      <c r="B26" s="50" t="str">
        <f>IF('Fun Patches'!M18="A","C","")</f>
        <v/>
      </c>
      <c r="D26" s="249"/>
      <c r="E26" s="363" t="s">
        <v>66</v>
      </c>
      <c r="F26" s="364"/>
      <c r="G26" s="50" t="str">
        <f>IF('Journey Awards'!M8="A","A","")</f>
        <v/>
      </c>
      <c r="J26" s="252" t="str">
        <f>'Age-Level'!C20</f>
        <v>Rededication (1st year)</v>
      </c>
      <c r="K26" s="50" t="str">
        <f>IF('Age-Level'!M20="A","C","")</f>
        <v/>
      </c>
    </row>
    <row r="27" spans="1:11">
      <c r="A27" s="31" t="str">
        <f>'Fun Patches'!C19</f>
        <v>&lt;List Patch Here&gt;</v>
      </c>
      <c r="B27" s="50" t="str">
        <f>IF('Fun Patches'!M19="A","C","")</f>
        <v/>
      </c>
      <c r="D27" s="249"/>
      <c r="E27" s="363" t="s">
        <v>67</v>
      </c>
      <c r="F27" s="364"/>
      <c r="G27" s="50" t="str">
        <f>IF('Journey Awards'!M9="A","A","")</f>
        <v/>
      </c>
      <c r="J27" s="252" t="str">
        <f>'Age-Level'!B21</f>
        <v>My Promise, My Faith (Year 1)</v>
      </c>
      <c r="K27" s="50" t="str">
        <f>IF('Age-Level'!M27="C","C","")</f>
        <v/>
      </c>
    </row>
    <row r="28" spans="1:11">
      <c r="A28" s="31" t="str">
        <f>'Fun Patches'!C20</f>
        <v>&lt;List Patch Here&gt;</v>
      </c>
      <c r="B28" s="50" t="str">
        <f>IF('Fun Patches'!M20="A","C","")</f>
        <v/>
      </c>
      <c r="D28" s="249"/>
      <c r="E28" s="363" t="s">
        <v>68</v>
      </c>
      <c r="F28" s="364"/>
      <c r="G28" s="50" t="str">
        <f>IF('Journey Awards'!M10="A","A","")</f>
        <v/>
      </c>
      <c r="J28" s="252" t="str">
        <f>'Age-Level'!B28</f>
        <v>My Promise, My Faith (Year 2)</v>
      </c>
      <c r="K28" s="50" t="str">
        <f>IF('Age-Level'!M34="C","C","")</f>
        <v/>
      </c>
    </row>
    <row r="29" spans="1:11">
      <c r="A29" s="31" t="str">
        <f>'Fun Patches'!C21</f>
        <v>&lt;List Patch Here&gt;</v>
      </c>
      <c r="B29" s="50" t="str">
        <f>IF('Fun Patches'!M21="A","C","")</f>
        <v/>
      </c>
      <c r="D29" s="102" t="str">
        <f>'Journey Awards'!A14</f>
        <v>Between Earth and Sky</v>
      </c>
      <c r="F29" s="59"/>
      <c r="G29" s="34"/>
      <c r="J29" s="252" t="str">
        <f>'Age-Level'!C36</f>
        <v>Global Action Award</v>
      </c>
      <c r="K29" s="50" t="str">
        <f>IF('Age-Level'!M36="A","C","")</f>
        <v/>
      </c>
    </row>
    <row r="30" spans="1:11">
      <c r="A30" s="31" t="str">
        <f>'Fun Patches'!C22</f>
        <v>&lt;List Patch Here&gt;</v>
      </c>
      <c r="B30" s="50" t="str">
        <f>IF('Fun Patches'!M22="A","C","")</f>
        <v/>
      </c>
      <c r="D30" s="249"/>
      <c r="E30" s="363" t="str">
        <f>'Journey Awards'!C16</f>
        <v>The Blue Bucket Award</v>
      </c>
      <c r="F30" s="364"/>
      <c r="G30" s="50" t="str">
        <f>IF('Journey Awards'!M16="A","A","")</f>
        <v/>
      </c>
      <c r="J30" s="252" t="str">
        <f>'Age-Level'!C38</f>
        <v>Journey Summit Pin</v>
      </c>
      <c r="K30" s="50" t="str">
        <f>IF('Age-Level'!M38="C","C","")</f>
        <v/>
      </c>
    </row>
    <row r="31" spans="1:11">
      <c r="A31" s="31" t="str">
        <f>'Fun Patches'!C23</f>
        <v>&lt;List Patch Here&gt;</v>
      </c>
      <c r="B31" s="50" t="str">
        <f>IF('Fun Patches'!M23="A","C","")</f>
        <v/>
      </c>
      <c r="D31" s="249"/>
      <c r="E31" s="363" t="str">
        <f>'Journey Awards'!C17</f>
        <v>The Firefly Award</v>
      </c>
      <c r="F31" s="364"/>
      <c r="G31" s="50" t="str">
        <f>IF('Journey Awards'!M17="A","A","")</f>
        <v/>
      </c>
      <c r="J31" s="252" t="str">
        <f>'Age-Level'!B39</f>
        <v>Safety Award</v>
      </c>
      <c r="K31" s="50" t="str">
        <f>IF('Age-Level'!M43="C","C","")</f>
        <v/>
      </c>
    </row>
    <row r="32" spans="1:11">
      <c r="A32" s="31" t="str">
        <f>'Fun Patches'!C24</f>
        <v>&lt;List Patch Here&gt;</v>
      </c>
      <c r="B32" s="50" t="str">
        <f>IF('Fun Patches'!M24="A","C","")</f>
        <v/>
      </c>
      <c r="D32" s="249"/>
      <c r="E32" s="363" t="str">
        <f>'Journey Awards'!C18</f>
        <v>The Clover Award</v>
      </c>
      <c r="F32" s="364"/>
      <c r="G32" s="50" t="str">
        <f>IF('Journey Awards'!M18="A","A","")</f>
        <v/>
      </c>
    </row>
    <row r="33" spans="1:11">
      <c r="A33" s="31" t="str">
        <f>'Fun Patches'!C25</f>
        <v>&lt;List Patch Here&gt;</v>
      </c>
      <c r="B33" s="50" t="str">
        <f>IF('Fun Patches'!M25="A","C","")</f>
        <v/>
      </c>
      <c r="D33" s="102" t="str">
        <f>'Journey Awards'!A22</f>
        <v>5 Flowers, 4 Stories, 3 Cheers for Animals!</v>
      </c>
      <c r="F33" s="59"/>
      <c r="G33" s="34" t="str">
        <f>IF('Journey Awards'!M15="A","A","")</f>
        <v/>
      </c>
      <c r="J33" s="61" t="s">
        <v>102</v>
      </c>
    </row>
    <row r="34" spans="1:11">
      <c r="A34" s="31" t="str">
        <f>'Fun Patches'!C26</f>
        <v>&lt;List Patch Here&gt;</v>
      </c>
      <c r="B34" s="50" t="str">
        <f>IF('Fun Patches'!M26="A","C","")</f>
        <v/>
      </c>
      <c r="D34" s="249"/>
      <c r="E34" s="363" t="str">
        <f>'Journey Awards'!C24</f>
        <v>Birdbath Award</v>
      </c>
      <c r="F34" s="364"/>
      <c r="G34" s="50" t="str">
        <f>IF('Journey Awards'!M24="A","A","")</f>
        <v/>
      </c>
      <c r="J34" s="31" t="str">
        <f>'Fun Patches'!C35</f>
        <v>&lt;List Patch Here&gt;</v>
      </c>
      <c r="K34" s="50" t="str">
        <f>IF('Fun Patches'!M35="A","C","")</f>
        <v/>
      </c>
    </row>
    <row r="35" spans="1:11">
      <c r="A35" s="31" t="str">
        <f>'Fun Patches'!C27</f>
        <v>&lt;List Patch Here&gt;</v>
      </c>
      <c r="B35" s="50" t="str">
        <f>IF('Fun Patches'!M27="A","C","")</f>
        <v/>
      </c>
      <c r="D35" s="249"/>
      <c r="E35" s="363" t="str">
        <f>'Journey Awards'!C25</f>
        <v>Red Robin Award</v>
      </c>
      <c r="F35" s="364"/>
      <c r="G35" s="50" t="str">
        <f>IF('Journey Awards'!M25="A","A","")</f>
        <v/>
      </c>
      <c r="J35" s="31" t="str">
        <f>'Fun Patches'!C36</f>
        <v>&lt;List Patch Here&gt;</v>
      </c>
      <c r="K35" s="50" t="str">
        <f>IF('Fun Patches'!M36="A","C","")</f>
        <v/>
      </c>
    </row>
    <row r="36" spans="1:11">
      <c r="A36" s="251" t="str">
        <f>'Fun Patches'!C28</f>
        <v>&lt;List Patch Here&gt;</v>
      </c>
      <c r="B36" s="50" t="str">
        <f>IF('Fun Patches'!M28="A","C","")</f>
        <v/>
      </c>
      <c r="D36" s="249"/>
      <c r="E36" s="363" t="str">
        <f>'Journey Awards'!C26</f>
        <v>Tula Award</v>
      </c>
      <c r="F36" s="364"/>
      <c r="G36" s="50" t="str">
        <f>IF('Journey Awards'!M26="A","A","")</f>
        <v/>
      </c>
      <c r="J36" s="31" t="str">
        <f>'Fun Patches'!C37</f>
        <v>&lt;List Patch Here&gt;</v>
      </c>
      <c r="K36" s="50" t="str">
        <f>IF('Fun Patches'!M37="A","C","")</f>
        <v/>
      </c>
    </row>
    <row r="37" spans="1:11">
      <c r="A37" s="253" t="str">
        <f>'Fun Patches'!C29</f>
        <v>&lt;List Patch Here&gt;</v>
      </c>
      <c r="B37" s="50" t="str">
        <f>IF('Fun Patches'!M29="A","C","")</f>
        <v/>
      </c>
      <c r="J37" s="31" t="str">
        <f>'Fun Patches'!C38</f>
        <v>&lt;List Patch Here&gt;</v>
      </c>
      <c r="K37" s="50" t="str">
        <f>IF('Fun Patches'!M38="A","C","")</f>
        <v/>
      </c>
    </row>
    <row r="38" spans="1:11" ht="12.75" customHeight="1">
      <c r="A38" s="282"/>
      <c r="B38" s="208"/>
      <c r="C38" s="142"/>
      <c r="D38" s="361" t="s">
        <v>102</v>
      </c>
      <c r="E38" s="300"/>
      <c r="F38" s="300"/>
      <c r="J38" s="31" t="str">
        <f>'Fun Patches'!C39</f>
        <v>&lt;List Patch Here&gt;</v>
      </c>
      <c r="K38" s="50" t="str">
        <f>IF('Fun Patches'!M39="A","C","")</f>
        <v/>
      </c>
    </row>
    <row r="39" spans="1:11" ht="13.5" customHeight="1">
      <c r="A39" s="103"/>
      <c r="B39" s="142"/>
      <c r="C39" s="142"/>
      <c r="E39" s="368" t="str">
        <f>'Fun Patches'!C30</f>
        <v>&lt;List Patch Here&gt;</v>
      </c>
      <c r="F39" s="369"/>
      <c r="G39" s="50" t="str">
        <f>IF('Fun Patches'!M30="A","C","")</f>
        <v/>
      </c>
      <c r="J39" s="31" t="str">
        <f>'Fun Patches'!C40</f>
        <v>&lt;List Patch Here&gt;</v>
      </c>
      <c r="K39" s="50" t="str">
        <f>IF('Fun Patches'!M40="A","C","")</f>
        <v/>
      </c>
    </row>
    <row r="40" spans="1:11" ht="13.5" customHeight="1">
      <c r="A40" s="143" t="s">
        <v>115</v>
      </c>
      <c r="B40" s="141"/>
      <c r="C40" s="142"/>
      <c r="E40" s="368" t="str">
        <f>'Fun Patches'!C31</f>
        <v>&lt;List Patch Here&gt;</v>
      </c>
      <c r="F40" s="369"/>
      <c r="G40" s="50" t="str">
        <f>IF('Fun Patches'!M31="A","C","")</f>
        <v/>
      </c>
      <c r="J40" s="31" t="str">
        <f>'Fun Patches'!C41</f>
        <v>&lt;List Patch Here&gt;</v>
      </c>
      <c r="K40" s="50" t="str">
        <f>IF('Fun Patches'!M41="A","C","")</f>
        <v/>
      </c>
    </row>
    <row r="41" spans="1:11" ht="13.5" customHeight="1">
      <c r="A41" s="145" t="s">
        <v>116</v>
      </c>
      <c r="B41" s="139"/>
      <c r="C41" s="140"/>
      <c r="E41" s="368" t="str">
        <f>'Fun Patches'!C32</f>
        <v>&lt;List Patch Here&gt;</v>
      </c>
      <c r="F41" s="369"/>
      <c r="G41" s="50" t="str">
        <f>IF('Fun Patches'!M32="A","C","")</f>
        <v/>
      </c>
      <c r="J41" s="31" t="str">
        <f>'Fun Patches'!C42</f>
        <v>&lt;List Patch Here&gt;</v>
      </c>
      <c r="K41" s="50" t="str">
        <f>IF('Fun Patches'!M42="A","C","")</f>
        <v/>
      </c>
    </row>
    <row r="42" spans="1:11">
      <c r="A42" s="146" t="s">
        <v>118</v>
      </c>
      <c r="B42" s="140"/>
      <c r="C42" s="140"/>
      <c r="E42" s="368" t="str">
        <f>'Fun Patches'!C33</f>
        <v>&lt;List Patch Here&gt;</v>
      </c>
      <c r="F42" s="369"/>
      <c r="G42" s="50" t="str">
        <f>IF('Fun Patches'!M33="A","C","")</f>
        <v/>
      </c>
      <c r="J42" s="31" t="str">
        <f>'Fun Patches'!C43</f>
        <v>&lt;List Patch Here&gt;</v>
      </c>
      <c r="K42" s="50" t="str">
        <f>IF('Fun Patches'!M43="A","C","")</f>
        <v/>
      </c>
    </row>
    <row r="43" spans="1:11">
      <c r="A43" s="147" t="s">
        <v>117</v>
      </c>
      <c r="B43" s="140"/>
      <c r="C43" s="140"/>
      <c r="E43" s="368" t="str">
        <f>'Fun Patches'!C34</f>
        <v>&lt;List Patch Here&gt;</v>
      </c>
      <c r="F43" s="369"/>
      <c r="G43" s="50" t="str">
        <f>IF('Fun Patches'!M34="A","C","")</f>
        <v/>
      </c>
      <c r="J43" s="31" t="str">
        <f>'Fun Patches'!C44</f>
        <v>&lt;List Patch Here&gt;</v>
      </c>
      <c r="K43" s="50" t="str">
        <f>IF('Fun Patches'!M44="A","C","")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11</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IF(Petals!N6="A","A","")</f>
        <v/>
      </c>
      <c r="I3" s="211" t="str">
        <f>Bridging!B6</f>
        <v>Pass It On</v>
      </c>
      <c r="J3" s="211"/>
      <c r="K3" s="211"/>
    </row>
    <row r="4" spans="1:11">
      <c r="A4" s="66" t="s">
        <v>44</v>
      </c>
      <c r="B4" s="48" t="str">
        <f>IF(Petals!N18="C","C",IF(Petals!N18="P","P",""))</f>
        <v/>
      </c>
      <c r="D4" s="61" t="s">
        <v>44</v>
      </c>
      <c r="G4" s="34"/>
      <c r="I4" s="249">
        <v>1</v>
      </c>
      <c r="J4" s="252" t="str">
        <f>Bridging!C7</f>
        <v>Teach younger girls the GS Promise</v>
      </c>
      <c r="K4" s="50" t="str">
        <f>IF(Bridging!N7="A","A","")</f>
        <v/>
      </c>
    </row>
    <row r="5" spans="1:11">
      <c r="A5" s="207" t="s">
        <v>141</v>
      </c>
      <c r="B5" s="209">
        <f>INT(COUNTIF(G18:G21,"A"))</f>
        <v>0</v>
      </c>
      <c r="E5" s="31" t="str">
        <f>Petals!B8</f>
        <v>Lupe</v>
      </c>
      <c r="F5" s="31" t="str">
        <f>Petals!C8</f>
        <v>Honest and fair</v>
      </c>
      <c r="G5" s="50" t="str">
        <f>IF(Petals!N8="A","A","")</f>
        <v/>
      </c>
      <c r="I5" s="249">
        <v>2</v>
      </c>
      <c r="J5" s="252" t="str">
        <f>Bridging!C8</f>
        <v>Tell younger girls about the Flower</v>
      </c>
      <c r="K5" s="50" t="str">
        <f>IF(Bridging!N8="A","A","")</f>
        <v/>
      </c>
    </row>
    <row r="6" spans="1:11">
      <c r="A6" s="67" t="s">
        <v>62</v>
      </c>
      <c r="B6" s="54"/>
      <c r="E6" s="31" t="str">
        <f>Petals!B9</f>
        <v>Sunny</v>
      </c>
      <c r="F6" s="31" t="str">
        <f>Petals!C9</f>
        <v>Friendly and helpful</v>
      </c>
      <c r="G6" s="50" t="str">
        <f>IF(Petals!N9="A","A","")</f>
        <v/>
      </c>
      <c r="I6" s="249">
        <v>3</v>
      </c>
      <c r="J6" s="252" t="str">
        <f>Bridging!C9</f>
        <v>Play a game together!</v>
      </c>
      <c r="K6" s="50" t="str">
        <f>IF(Bridging!N9="A","A","")</f>
        <v/>
      </c>
    </row>
    <row r="7" spans="1:11">
      <c r="A7" s="206" t="str">
        <f>'Journey Awards'!A6</f>
        <v>Welcome to the Daisy Flower Garden</v>
      </c>
      <c r="B7" s="48" t="str">
        <f>IF('Journey Awards'!N11="C","C",IF('Journey Awards'!N11="P","P",""))</f>
        <v/>
      </c>
      <c r="E7" s="31" t="str">
        <f>Petals!B10</f>
        <v>Zinni</v>
      </c>
      <c r="F7" s="31" t="str">
        <f>Petals!C10</f>
        <v>Considerate and caring</v>
      </c>
      <c r="G7" s="50" t="str">
        <f>IF(Petals!N10="A","A","")</f>
        <v/>
      </c>
      <c r="I7" s="250" t="str">
        <f>Bridging!B11</f>
        <v>Look Ahead</v>
      </c>
      <c r="J7" s="59"/>
      <c r="K7" s="34"/>
    </row>
    <row r="8" spans="1:11">
      <c r="A8" s="206" t="str">
        <f>'Journey Awards'!A14</f>
        <v>Between Earth and Sky</v>
      </c>
      <c r="B8" s="48" t="str">
        <f>IF('Journey Awards'!N19="C","C",IF('Journey Awards'!N19="P","P",""))</f>
        <v/>
      </c>
      <c r="E8" s="31" t="str">
        <f>Petals!B11</f>
        <v>Tula</v>
      </c>
      <c r="F8" s="31" t="str">
        <f>Petals!C11</f>
        <v>Courageous and strong</v>
      </c>
      <c r="G8" s="50" t="str">
        <f>IF(Petals!N11="A","A","")</f>
        <v/>
      </c>
      <c r="I8" s="249">
        <v>1</v>
      </c>
      <c r="J8" s="252" t="str">
        <f>Bridging!C12</f>
        <v>Say the Girl Scout Promise together.</v>
      </c>
      <c r="K8" s="50" t="str">
        <f>IF(Bridging!N12="A","A","")</f>
        <v/>
      </c>
    </row>
    <row r="9" spans="1:11">
      <c r="A9" s="206" t="str">
        <f>'Journey Awards'!A22</f>
        <v>5 Flowers, 4 Stories, 3 Cheers for Animals!</v>
      </c>
      <c r="B9" s="48" t="str">
        <f>IF('Journey Awards'!N27="C","C",IF('Journey Awards'!N27="P","P",""))</f>
        <v/>
      </c>
      <c r="E9" s="31" t="str">
        <f>Petals!B12</f>
        <v>Mari</v>
      </c>
      <c r="F9" s="31" t="str">
        <f>Petals!C12</f>
        <v>Responsible for what I say and do</v>
      </c>
      <c r="G9" s="50" t="str">
        <f>IF(Petals!N12="A","A","")</f>
        <v/>
      </c>
      <c r="I9" s="249">
        <v>2</v>
      </c>
      <c r="J9" s="252" t="str">
        <f>Bridging!C13</f>
        <v>Ask the Brownies to teach you</v>
      </c>
      <c r="K9" s="50" t="str">
        <f>IF(Bridging!N13="A","A","")</f>
        <v/>
      </c>
    </row>
    <row r="10" spans="1:11">
      <c r="A10" s="90" t="s">
        <v>61</v>
      </c>
      <c r="B10" s="48" t="str">
        <f>IF(Bridging!N18="C","C",IF(Bridging!N18="P","P",""))</f>
        <v/>
      </c>
      <c r="E10" s="31" t="str">
        <f>Petals!B13</f>
        <v>Gloria</v>
      </c>
      <c r="F10" s="31" t="str">
        <f>Petals!C13</f>
        <v>Respect for myself &amp; others</v>
      </c>
      <c r="G10" s="50" t="str">
        <f>IF(Petals!N13="A","A","")</f>
        <v/>
      </c>
      <c r="I10" s="249">
        <v>4</v>
      </c>
      <c r="J10" s="252" t="str">
        <f>Bridging!C14</f>
        <v>Ask the Brownies to show you</v>
      </c>
      <c r="K10" s="50" t="str">
        <f>IF(Bridging!N14="A","A","")</f>
        <v/>
      </c>
    </row>
    <row r="11" spans="1:11">
      <c r="A11" s="250"/>
      <c r="B11" s="99"/>
      <c r="E11" s="31" t="str">
        <f>Petals!B14</f>
        <v>Gerri</v>
      </c>
      <c r="F11" s="31" t="str">
        <f>Petals!C14</f>
        <v>Respect authority</v>
      </c>
      <c r="G11" s="50" t="str">
        <f>IF(Petals!N14="A","A","")</f>
        <v/>
      </c>
      <c r="I11" s="232" t="str">
        <f>Bridging!C16</f>
        <v>Plan a Ceremony</v>
      </c>
      <c r="J11" s="59"/>
      <c r="K11" s="50" t="str">
        <f>IF(Bridging!N16="A","A","")</f>
        <v/>
      </c>
    </row>
    <row r="12" spans="1:11">
      <c r="A12" s="61" t="s">
        <v>100</v>
      </c>
      <c r="E12" s="31" t="str">
        <f>Petals!B15</f>
        <v>Clover</v>
      </c>
      <c r="F12" s="31" t="str">
        <f>Petals!C15</f>
        <v>Use resources wisely</v>
      </c>
      <c r="G12" s="50" t="str">
        <f>IF(Petals!N15="A","A","")</f>
        <v/>
      </c>
    </row>
    <row r="13" spans="1:11">
      <c r="A13" s="31" t="str">
        <f>'Fun Patches'!C5</f>
        <v>&lt;List Patch Here&gt;</v>
      </c>
      <c r="B13" s="50" t="str">
        <f>IF('Fun Patches'!N5="A","C","")</f>
        <v/>
      </c>
      <c r="E13" s="31" t="str">
        <f>Petals!B16</f>
        <v>Rosie</v>
      </c>
      <c r="F13" s="31" t="str">
        <f>Petals!C16</f>
        <v>Make the world a better place</v>
      </c>
      <c r="G13" s="50" t="str">
        <f>IF(Petals!N16="A","A","")</f>
        <v/>
      </c>
      <c r="I13" s="362" t="s">
        <v>71</v>
      </c>
      <c r="J13" s="362"/>
      <c r="K13" s="362"/>
    </row>
    <row r="14" spans="1:11">
      <c r="A14" s="31" t="str">
        <f>'Fun Patches'!C6</f>
        <v>&lt;List Patch Here&gt;</v>
      </c>
      <c r="B14" s="50" t="str">
        <f>IF('Fun Patches'!N6="A","C","")</f>
        <v/>
      </c>
      <c r="E14" s="31" t="str">
        <f>Petals!B17</f>
        <v>Vi</v>
      </c>
      <c r="F14" s="31" t="str">
        <f>Petals!C17</f>
        <v>Be a sister to every Girl Scout</v>
      </c>
      <c r="G14" s="50" t="str">
        <f>IF(Petals!N17="A","A","")</f>
        <v/>
      </c>
      <c r="I14" s="362"/>
      <c r="J14" s="362"/>
      <c r="K14" s="362"/>
    </row>
    <row r="15" spans="1:11">
      <c r="A15" s="31" t="str">
        <f>'Fun Patches'!C7</f>
        <v>&lt;List Patch Here&gt;</v>
      </c>
      <c r="B15" s="50" t="str">
        <f>IF('Fun Patches'!N7="A","C","")</f>
        <v/>
      </c>
      <c r="E15" s="73"/>
      <c r="F15" s="73"/>
      <c r="G15" s="208"/>
      <c r="I15" s="249"/>
      <c r="J15" s="252" t="str">
        <f>'Age-Level'!C6</f>
        <v>Cookie Rally (Year 1)</v>
      </c>
      <c r="K15" s="50" t="str">
        <f>IF('Age-Level'!N6="A","C","")</f>
        <v/>
      </c>
    </row>
    <row r="16" spans="1:11">
      <c r="A16" s="31" t="str">
        <f>'Fun Patches'!C8</f>
        <v>&lt;List Patch Here&gt;</v>
      </c>
      <c r="B16" s="50" t="str">
        <f>IF('Fun Patches'!N8="A","C","")</f>
        <v/>
      </c>
      <c r="D16" s="362" t="s">
        <v>141</v>
      </c>
      <c r="E16" s="300"/>
      <c r="F16" s="300"/>
      <c r="G16" s="300"/>
      <c r="I16" s="249"/>
      <c r="J16" s="252" t="str">
        <f>'Age-Level'!C7</f>
        <v>Cookie Sales (Year 1)</v>
      </c>
      <c r="K16" s="50" t="str">
        <f>IF('Age-Level'!N7="A","C","")</f>
        <v/>
      </c>
    </row>
    <row r="17" spans="1:11">
      <c r="A17" s="31" t="str">
        <f>'Fun Patches'!C9</f>
        <v>&lt;List Patch Here&gt;</v>
      </c>
      <c r="B17" s="50" t="str">
        <f>IF('Fun Patches'!N9="A","C","")</f>
        <v/>
      </c>
      <c r="D17" s="300"/>
      <c r="E17" s="300"/>
      <c r="F17" s="300"/>
      <c r="G17" s="300"/>
      <c r="I17" s="51"/>
      <c r="J17" s="252" t="str">
        <f>'Age-Level'!C8</f>
        <v>Cookie Pin (Year 1)</v>
      </c>
      <c r="K17" s="50" t="str">
        <f>IF('Age-Level'!N8="A","C","")</f>
        <v/>
      </c>
    </row>
    <row r="18" spans="1:11">
      <c r="A18" s="31" t="str">
        <f>'Fun Patches'!C10</f>
        <v>&lt;List Patch Here&gt;</v>
      </c>
      <c r="B18" s="50" t="str">
        <f>IF('Fun Patches'!N10="A","C","")</f>
        <v/>
      </c>
      <c r="D18" s="366" t="str">
        <f>Petals!B22</f>
        <v>Finance</v>
      </c>
      <c r="E18" s="367"/>
      <c r="F18" s="200" t="str">
        <f>Petals!B20</f>
        <v>Money Counts</v>
      </c>
      <c r="G18" s="50" t="str">
        <f>IF(Petals!N23="C","A","")</f>
        <v/>
      </c>
      <c r="I18" s="51"/>
      <c r="J18" s="252" t="str">
        <f>'Age-Level'!C9</f>
        <v>Cookie Rally (Year 2)</v>
      </c>
      <c r="K18" s="50" t="str">
        <f>IF('Age-Level'!N9="A","C","")</f>
        <v/>
      </c>
    </row>
    <row r="19" spans="1:11">
      <c r="A19" s="31" t="str">
        <f>'Fun Patches'!C11</f>
        <v>&lt;List Patch Here&gt;</v>
      </c>
      <c r="B19" s="50" t="str">
        <f>IF('Fun Patches'!N11="A","C","")</f>
        <v/>
      </c>
      <c r="D19" s="366" t="str">
        <f>Petals!B27</f>
        <v>Finance</v>
      </c>
      <c r="E19" s="367"/>
      <c r="F19" s="200" t="str">
        <f>Petals!B25</f>
        <v>Making Choices</v>
      </c>
      <c r="G19" s="50" t="str">
        <f>IF(Petals!N28="C","A","")</f>
        <v/>
      </c>
      <c r="I19" s="51"/>
      <c r="J19" s="252" t="str">
        <f>'Age-Level'!C10</f>
        <v>Cookie Sales (Year 2)</v>
      </c>
      <c r="K19" s="50" t="str">
        <f>IF('Age-Level'!N10="A","C","")</f>
        <v/>
      </c>
    </row>
    <row r="20" spans="1:11">
      <c r="A20" s="31" t="str">
        <f>'Fun Patches'!C12</f>
        <v>&lt;List Patch Here&gt;</v>
      </c>
      <c r="B20" s="50" t="str">
        <f>IF('Fun Patches'!N12="A","C","")</f>
        <v/>
      </c>
      <c r="D20" s="366" t="str">
        <f>Petals!B32</f>
        <v>Cookie</v>
      </c>
      <c r="E20" s="367"/>
      <c r="F20" s="200" t="str">
        <f>Petals!B30</f>
        <v>Count It Up</v>
      </c>
      <c r="G20" s="50" t="str">
        <f>IF(Petals!N33="C","A","")</f>
        <v/>
      </c>
      <c r="I20" s="52"/>
      <c r="J20" s="252" t="str">
        <f>'Age-Level'!C11</f>
        <v>Cookie Pin (Year 2)</v>
      </c>
      <c r="K20" s="50" t="str">
        <f>IF('Age-Level'!N11="A","C","")</f>
        <v/>
      </c>
    </row>
    <row r="21" spans="1:11">
      <c r="A21" s="31" t="str">
        <f>'Fun Patches'!C13</f>
        <v>&lt;List Patch Here&gt;</v>
      </c>
      <c r="B21" s="50" t="str">
        <f>IF('Fun Patches'!N13="A","C","")</f>
        <v/>
      </c>
      <c r="D21" s="366" t="str">
        <f>Petals!B37</f>
        <v>Cookie</v>
      </c>
      <c r="E21" s="367"/>
      <c r="F21" s="200" t="str">
        <f>Petals!B35</f>
        <v>Talk It Up</v>
      </c>
      <c r="G21" s="50" t="str">
        <f>IF(Petals!N38="C","A","")</f>
        <v/>
      </c>
      <c r="I21" s="53"/>
      <c r="J21" s="252" t="str">
        <f>'Age-Level'!C13</f>
        <v>Fall Sales (Year 1)</v>
      </c>
      <c r="K21" s="50" t="str">
        <f>IF('Age-Level'!N13="A","C","")</f>
        <v/>
      </c>
    </row>
    <row r="22" spans="1:11">
      <c r="A22" s="31" t="str">
        <f>'Fun Patches'!C14</f>
        <v>&lt;List Patch Here&gt;</v>
      </c>
      <c r="B22" s="50" t="str">
        <f>IF('Fun Patches'!N14="A","C","")</f>
        <v/>
      </c>
      <c r="I22" s="26"/>
      <c r="J22" s="252" t="str">
        <f>'Age-Level'!C14</f>
        <v>Fall Sales (Year 2)</v>
      </c>
      <c r="K22" s="50" t="str">
        <f>IF('Age-Level'!N14="A","C","")</f>
        <v/>
      </c>
    </row>
    <row r="23" spans="1:11">
      <c r="A23" s="31" t="str">
        <f>'Fun Patches'!C15</f>
        <v>&lt;List Patch Here&gt;</v>
      </c>
      <c r="B23" s="50" t="str">
        <f>IF('Fun Patches'!N15="A","C","")</f>
        <v/>
      </c>
      <c r="D23" s="362" t="s">
        <v>62</v>
      </c>
      <c r="E23" s="362"/>
      <c r="F23" s="362"/>
      <c r="G23" s="362"/>
      <c r="J23" s="252" t="str">
        <f>'Age-Level'!C16</f>
        <v>Thinking Day (Year 1)</v>
      </c>
      <c r="K23" s="50" t="str">
        <f>IF('Age-Level'!N16="A","C","")</f>
        <v/>
      </c>
    </row>
    <row r="24" spans="1:11">
      <c r="A24" s="31" t="str">
        <f>'Fun Patches'!C16</f>
        <v>&lt;List Patch Here&gt;</v>
      </c>
      <c r="B24" s="50" t="str">
        <f>IF('Fun Patches'!N16="A","C","")</f>
        <v/>
      </c>
      <c r="D24" s="362"/>
      <c r="E24" s="362"/>
      <c r="F24" s="362"/>
      <c r="G24" s="362"/>
      <c r="J24" s="252" t="str">
        <f>'Age-Level'!C17</f>
        <v>Thinking Day (Year 2)</v>
      </c>
      <c r="K24" s="50" t="str">
        <f>IF('Age-Level'!N17="A","C","")</f>
        <v/>
      </c>
    </row>
    <row r="25" spans="1:11">
      <c r="A25" s="31" t="str">
        <f>'Fun Patches'!C17</f>
        <v>&lt;List Patch Here&gt;</v>
      </c>
      <c r="B25" s="50" t="str">
        <f>IF('Fun Patches'!N17="A","C","")</f>
        <v/>
      </c>
      <c r="D25" s="250" t="str">
        <f>'Journey Awards'!A6</f>
        <v>Welcome to the Daisy Flower Garden</v>
      </c>
      <c r="F25" s="57"/>
      <c r="G25" s="248"/>
      <c r="J25" s="252" t="str">
        <f>'Age-Level'!C19</f>
        <v>Investiture</v>
      </c>
      <c r="K25" s="50" t="str">
        <f>IF('Age-Level'!N19="A","C","")</f>
        <v/>
      </c>
    </row>
    <row r="26" spans="1:11">
      <c r="A26" s="31" t="str">
        <f>'Fun Patches'!C18</f>
        <v>&lt;List Patch Here&gt;</v>
      </c>
      <c r="B26" s="50" t="str">
        <f>IF('Fun Patches'!N18="A","C","")</f>
        <v/>
      </c>
      <c r="D26" s="249"/>
      <c r="E26" s="363" t="s">
        <v>66</v>
      </c>
      <c r="F26" s="364"/>
      <c r="G26" s="50" t="str">
        <f>IF('Journey Awards'!N8="A","A","")</f>
        <v/>
      </c>
      <c r="J26" s="252" t="str">
        <f>'Age-Level'!C20</f>
        <v>Rededication (1st year)</v>
      </c>
      <c r="K26" s="50" t="str">
        <f>IF('Age-Level'!N20="A","C","")</f>
        <v/>
      </c>
    </row>
    <row r="27" spans="1:11">
      <c r="A27" s="31" t="str">
        <f>'Fun Patches'!C19</f>
        <v>&lt;List Patch Here&gt;</v>
      </c>
      <c r="B27" s="50" t="str">
        <f>IF('Fun Patches'!N19="A","C","")</f>
        <v/>
      </c>
      <c r="D27" s="249"/>
      <c r="E27" s="363" t="s">
        <v>67</v>
      </c>
      <c r="F27" s="364"/>
      <c r="G27" s="50" t="str">
        <f>IF('Journey Awards'!N9="A","A","")</f>
        <v/>
      </c>
      <c r="J27" s="252" t="str">
        <f>'Age-Level'!B21</f>
        <v>My Promise, My Faith (Year 1)</v>
      </c>
      <c r="K27" s="50" t="str">
        <f>IF('Age-Level'!N27="C","C","")</f>
        <v/>
      </c>
    </row>
    <row r="28" spans="1:11">
      <c r="A28" s="31" t="str">
        <f>'Fun Patches'!C20</f>
        <v>&lt;List Patch Here&gt;</v>
      </c>
      <c r="B28" s="50" t="str">
        <f>IF('Fun Patches'!N20="A","C","")</f>
        <v/>
      </c>
      <c r="D28" s="249"/>
      <c r="E28" s="363" t="s">
        <v>68</v>
      </c>
      <c r="F28" s="364"/>
      <c r="G28" s="50" t="str">
        <f>IF('Journey Awards'!N10="A","A","")</f>
        <v/>
      </c>
      <c r="J28" s="252" t="str">
        <f>'Age-Level'!B28</f>
        <v>My Promise, My Faith (Year 2)</v>
      </c>
      <c r="K28" s="50" t="str">
        <f>IF('Age-Level'!N34="C","C","")</f>
        <v/>
      </c>
    </row>
    <row r="29" spans="1:11">
      <c r="A29" s="31" t="str">
        <f>'Fun Patches'!C21</f>
        <v>&lt;List Patch Here&gt;</v>
      </c>
      <c r="B29" s="50" t="str">
        <f>IF('Fun Patches'!N21="A","C","")</f>
        <v/>
      </c>
      <c r="D29" s="102" t="str">
        <f>'Journey Awards'!A14</f>
        <v>Between Earth and Sky</v>
      </c>
      <c r="F29" s="59"/>
      <c r="G29" s="34"/>
      <c r="J29" s="252" t="str">
        <f>'Age-Level'!C36</f>
        <v>Global Action Award</v>
      </c>
      <c r="K29" s="50" t="str">
        <f>IF('Age-Level'!N36="A","C","")</f>
        <v/>
      </c>
    </row>
    <row r="30" spans="1:11">
      <c r="A30" s="31" t="str">
        <f>'Fun Patches'!C22</f>
        <v>&lt;List Patch Here&gt;</v>
      </c>
      <c r="B30" s="50" t="str">
        <f>IF('Fun Patches'!N22="A","C","")</f>
        <v/>
      </c>
      <c r="D30" s="249"/>
      <c r="E30" s="363" t="str">
        <f>'Journey Awards'!C16</f>
        <v>The Blue Bucket Award</v>
      </c>
      <c r="F30" s="364"/>
      <c r="G30" s="50" t="str">
        <f>IF('Journey Awards'!N16="A","A","")</f>
        <v/>
      </c>
      <c r="J30" s="252" t="str">
        <f>'Age-Level'!C38</f>
        <v>Journey Summit Pin</v>
      </c>
      <c r="K30" s="50" t="str">
        <f>IF('Age-Level'!N38="C","C","")</f>
        <v/>
      </c>
    </row>
    <row r="31" spans="1:11">
      <c r="A31" s="31" t="str">
        <f>'Fun Patches'!C23</f>
        <v>&lt;List Patch Here&gt;</v>
      </c>
      <c r="B31" s="50" t="str">
        <f>IF('Fun Patches'!N23="A","C","")</f>
        <v/>
      </c>
      <c r="D31" s="249"/>
      <c r="E31" s="363" t="str">
        <f>'Journey Awards'!C17</f>
        <v>The Firefly Award</v>
      </c>
      <c r="F31" s="364"/>
      <c r="G31" s="50" t="str">
        <f>IF('Journey Awards'!N17="A","A","")</f>
        <v/>
      </c>
      <c r="J31" s="252" t="str">
        <f>'Age-Level'!B39</f>
        <v>Safety Award</v>
      </c>
      <c r="K31" s="50" t="str">
        <f>IF('Age-Level'!N43="C","C","")</f>
        <v/>
      </c>
    </row>
    <row r="32" spans="1:11">
      <c r="A32" s="31" t="str">
        <f>'Fun Patches'!C24</f>
        <v>&lt;List Patch Here&gt;</v>
      </c>
      <c r="B32" s="50" t="str">
        <f>IF('Fun Patches'!N24="A","C","")</f>
        <v/>
      </c>
      <c r="D32" s="249"/>
      <c r="E32" s="363" t="str">
        <f>'Journey Awards'!C18</f>
        <v>The Clover Award</v>
      </c>
      <c r="F32" s="364"/>
      <c r="G32" s="50" t="str">
        <f>IF('Journey Awards'!N18="A","A","")</f>
        <v/>
      </c>
    </row>
    <row r="33" spans="1:11">
      <c r="A33" s="31" t="str">
        <f>'Fun Patches'!C25</f>
        <v>&lt;List Patch Here&gt;</v>
      </c>
      <c r="B33" s="50" t="str">
        <f>IF('Fun Patches'!N25="A","C","")</f>
        <v/>
      </c>
      <c r="D33" s="102" t="str">
        <f>'Journey Awards'!A22</f>
        <v>5 Flowers, 4 Stories, 3 Cheers for Animals!</v>
      </c>
      <c r="F33" s="59"/>
      <c r="G33" s="34" t="str">
        <f>IF('Journey Awards'!N15="A","A","")</f>
        <v/>
      </c>
      <c r="J33" s="61" t="s">
        <v>102</v>
      </c>
    </row>
    <row r="34" spans="1:11">
      <c r="A34" s="31" t="str">
        <f>'Fun Patches'!C26</f>
        <v>&lt;List Patch Here&gt;</v>
      </c>
      <c r="B34" s="50" t="str">
        <f>IF('Fun Patches'!N26="A","C","")</f>
        <v/>
      </c>
      <c r="D34" s="249"/>
      <c r="E34" s="363" t="str">
        <f>'Journey Awards'!C24</f>
        <v>Birdbath Award</v>
      </c>
      <c r="F34" s="364"/>
      <c r="G34" s="50" t="str">
        <f>IF('Journey Awards'!N24="A","A","")</f>
        <v/>
      </c>
      <c r="J34" s="31" t="str">
        <f>'Fun Patches'!C35</f>
        <v>&lt;List Patch Here&gt;</v>
      </c>
      <c r="K34" s="50" t="str">
        <f>IF('Fun Patches'!N35="A","C","")</f>
        <v/>
      </c>
    </row>
    <row r="35" spans="1:11">
      <c r="A35" s="31" t="str">
        <f>'Fun Patches'!C27</f>
        <v>&lt;List Patch Here&gt;</v>
      </c>
      <c r="B35" s="50" t="str">
        <f>IF('Fun Patches'!N27="A","C","")</f>
        <v/>
      </c>
      <c r="D35" s="249"/>
      <c r="E35" s="363" t="str">
        <f>'Journey Awards'!C25</f>
        <v>Red Robin Award</v>
      </c>
      <c r="F35" s="364"/>
      <c r="G35" s="50" t="str">
        <f>IF('Journey Awards'!N25="A","A","")</f>
        <v/>
      </c>
      <c r="J35" s="31" t="str">
        <f>'Fun Patches'!C36</f>
        <v>&lt;List Patch Here&gt;</v>
      </c>
      <c r="K35" s="50" t="str">
        <f>IF('Fun Patches'!N36="A","C","")</f>
        <v/>
      </c>
    </row>
    <row r="36" spans="1:11">
      <c r="A36" s="251" t="str">
        <f>'Fun Patches'!C28</f>
        <v>&lt;List Patch Here&gt;</v>
      </c>
      <c r="B36" s="50" t="str">
        <f>IF('Fun Patches'!N28="A","C","")</f>
        <v/>
      </c>
      <c r="D36" s="249"/>
      <c r="E36" s="363" t="str">
        <f>'Journey Awards'!C26</f>
        <v>Tula Award</v>
      </c>
      <c r="F36" s="364"/>
      <c r="G36" s="50" t="str">
        <f>IF('Journey Awards'!N26="A","A","")</f>
        <v/>
      </c>
      <c r="J36" s="31" t="str">
        <f>'Fun Patches'!C37</f>
        <v>&lt;List Patch Here&gt;</v>
      </c>
      <c r="K36" s="50" t="str">
        <f>IF('Fun Patches'!N37="A","C","")</f>
        <v/>
      </c>
    </row>
    <row r="37" spans="1:11">
      <c r="A37" s="253" t="str">
        <f>'Fun Patches'!C29</f>
        <v>&lt;List Patch Here&gt;</v>
      </c>
      <c r="B37" s="50" t="str">
        <f>IF('Fun Patches'!N29="A","C","")</f>
        <v/>
      </c>
      <c r="J37" s="31" t="str">
        <f>'Fun Patches'!C38</f>
        <v>&lt;List Patch Here&gt;</v>
      </c>
      <c r="K37" s="50" t="str">
        <f>IF('Fun Patches'!N38="A","C","")</f>
        <v/>
      </c>
    </row>
    <row r="38" spans="1:11" ht="12.75" customHeight="1">
      <c r="A38" s="282"/>
      <c r="B38" s="208"/>
      <c r="C38" s="142"/>
      <c r="D38" s="361" t="s">
        <v>102</v>
      </c>
      <c r="E38" s="300"/>
      <c r="F38" s="300"/>
      <c r="J38" s="31" t="str">
        <f>'Fun Patches'!C39</f>
        <v>&lt;List Patch Here&gt;</v>
      </c>
      <c r="K38" s="50" t="str">
        <f>IF('Fun Patches'!N39="A","C","")</f>
        <v/>
      </c>
    </row>
    <row r="39" spans="1:11" ht="13.5" customHeight="1">
      <c r="A39" s="103"/>
      <c r="B39" s="142"/>
      <c r="C39" s="142"/>
      <c r="E39" s="368" t="str">
        <f>'Fun Patches'!C30</f>
        <v>&lt;List Patch Here&gt;</v>
      </c>
      <c r="F39" s="369"/>
      <c r="G39" s="50" t="str">
        <f>IF('Fun Patches'!N30="A","C","")</f>
        <v/>
      </c>
      <c r="J39" s="31" t="str">
        <f>'Fun Patches'!C40</f>
        <v>&lt;List Patch Here&gt;</v>
      </c>
      <c r="K39" s="50" t="str">
        <f>IF('Fun Patches'!N40="A","C","")</f>
        <v/>
      </c>
    </row>
    <row r="40" spans="1:11" ht="13.5" customHeight="1">
      <c r="A40" s="143" t="s">
        <v>115</v>
      </c>
      <c r="B40" s="141"/>
      <c r="C40" s="142"/>
      <c r="E40" s="368" t="str">
        <f>'Fun Patches'!C31</f>
        <v>&lt;List Patch Here&gt;</v>
      </c>
      <c r="F40" s="369"/>
      <c r="G40" s="50" t="str">
        <f>IF('Fun Patches'!N31="A","C","")</f>
        <v/>
      </c>
      <c r="J40" s="31" t="str">
        <f>'Fun Patches'!C41</f>
        <v>&lt;List Patch Here&gt;</v>
      </c>
      <c r="K40" s="50" t="str">
        <f>IF('Fun Patches'!N41="A","C","")</f>
        <v/>
      </c>
    </row>
    <row r="41" spans="1:11" ht="13.5" customHeight="1">
      <c r="A41" s="145" t="s">
        <v>116</v>
      </c>
      <c r="B41" s="139"/>
      <c r="C41" s="140"/>
      <c r="E41" s="368" t="str">
        <f>'Fun Patches'!C32</f>
        <v>&lt;List Patch Here&gt;</v>
      </c>
      <c r="F41" s="369"/>
      <c r="G41" s="50" t="str">
        <f>IF('Fun Patches'!N32="A","C","")</f>
        <v/>
      </c>
      <c r="J41" s="31" t="str">
        <f>'Fun Patches'!C42</f>
        <v>&lt;List Patch Here&gt;</v>
      </c>
      <c r="K41" s="50" t="str">
        <f>IF('Fun Patches'!N42="A","C","")</f>
        <v/>
      </c>
    </row>
    <row r="42" spans="1:11">
      <c r="A42" s="146" t="s">
        <v>118</v>
      </c>
      <c r="B42" s="140"/>
      <c r="C42" s="140"/>
      <c r="E42" s="368" t="str">
        <f>'Fun Patches'!C33</f>
        <v>&lt;List Patch Here&gt;</v>
      </c>
      <c r="F42" s="369"/>
      <c r="G42" s="50" t="str">
        <f>IF('Fun Patches'!N33="A","C","")</f>
        <v/>
      </c>
      <c r="J42" s="31" t="str">
        <f>'Fun Patches'!C43</f>
        <v>&lt;List Patch Here&gt;</v>
      </c>
      <c r="K42" s="50" t="str">
        <f>IF('Fun Patches'!N43="A","C","")</f>
        <v/>
      </c>
    </row>
    <row r="43" spans="1:11">
      <c r="A43" s="147" t="s">
        <v>117</v>
      </c>
      <c r="B43" s="140"/>
      <c r="C43" s="140"/>
      <c r="E43" s="368" t="str">
        <f>'Fun Patches'!C34</f>
        <v>&lt;List Patch Here&gt;</v>
      </c>
      <c r="F43" s="369"/>
      <c r="G43" s="50" t="str">
        <f>IF('Fun Patches'!N34="A","C","")</f>
        <v/>
      </c>
      <c r="J43" s="31" t="str">
        <f>'Fun Patches'!C44</f>
        <v>&lt;List Patch Here&gt;</v>
      </c>
      <c r="K43" s="50" t="str">
        <f>IF('Fun Patches'!N44="A","C","")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12</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IF(Petals!O6="A","A","")</f>
        <v/>
      </c>
      <c r="I3" s="211" t="str">
        <f>Bridging!B6</f>
        <v>Pass It On</v>
      </c>
      <c r="J3" s="211"/>
      <c r="K3" s="211"/>
    </row>
    <row r="4" spans="1:11">
      <c r="A4" s="66" t="s">
        <v>44</v>
      </c>
      <c r="B4" s="48" t="str">
        <f>IF(Petals!O18="C","C",IF(Petals!O18="P","P",""))</f>
        <v/>
      </c>
      <c r="D4" s="61" t="s">
        <v>44</v>
      </c>
      <c r="G4" s="34"/>
      <c r="I4" s="249">
        <v>1</v>
      </c>
      <c r="J4" s="252" t="str">
        <f>Bridging!C7</f>
        <v>Teach younger girls the GS Promise</v>
      </c>
      <c r="K4" s="50" t="str">
        <f>IF(Bridging!O7="A","A","")</f>
        <v/>
      </c>
    </row>
    <row r="5" spans="1:11">
      <c r="A5" s="207" t="s">
        <v>141</v>
      </c>
      <c r="B5" s="209">
        <f>INT(COUNTIF(G18:G21,"A"))</f>
        <v>0</v>
      </c>
      <c r="E5" s="31" t="str">
        <f>Petals!B8</f>
        <v>Lupe</v>
      </c>
      <c r="F5" s="31" t="str">
        <f>Petals!C8</f>
        <v>Honest and fair</v>
      </c>
      <c r="G5" s="50" t="str">
        <f>IF(Petals!O8="A","A","")</f>
        <v/>
      </c>
      <c r="I5" s="249">
        <v>2</v>
      </c>
      <c r="J5" s="252" t="str">
        <f>Bridging!C8</f>
        <v>Tell younger girls about the Flower</v>
      </c>
      <c r="K5" s="50" t="str">
        <f>IF(Bridging!O8="A","A","")</f>
        <v/>
      </c>
    </row>
    <row r="6" spans="1:11">
      <c r="A6" s="67" t="s">
        <v>62</v>
      </c>
      <c r="B6" s="54"/>
      <c r="E6" s="31" t="str">
        <f>Petals!B9</f>
        <v>Sunny</v>
      </c>
      <c r="F6" s="31" t="str">
        <f>Petals!C9</f>
        <v>Friendly and helpful</v>
      </c>
      <c r="G6" s="50" t="str">
        <f>IF(Petals!O9="A","A","")</f>
        <v/>
      </c>
      <c r="I6" s="249">
        <v>3</v>
      </c>
      <c r="J6" s="252" t="str">
        <f>Bridging!C9</f>
        <v>Play a game together!</v>
      </c>
      <c r="K6" s="50" t="str">
        <f>IF(Bridging!O9="A","A","")</f>
        <v/>
      </c>
    </row>
    <row r="7" spans="1:11">
      <c r="A7" s="206" t="str">
        <f>'Journey Awards'!A6</f>
        <v>Welcome to the Daisy Flower Garden</v>
      </c>
      <c r="B7" s="48" t="str">
        <f>IF('Journey Awards'!O11="C","C",IF('Journey Awards'!O11="P","P",""))</f>
        <v/>
      </c>
      <c r="E7" s="31" t="str">
        <f>Petals!B10</f>
        <v>Zinni</v>
      </c>
      <c r="F7" s="31" t="str">
        <f>Petals!C10</f>
        <v>Considerate and caring</v>
      </c>
      <c r="G7" s="50" t="str">
        <f>IF(Petals!O10="A","A","")</f>
        <v/>
      </c>
      <c r="I7" s="250" t="str">
        <f>Bridging!B11</f>
        <v>Look Ahead</v>
      </c>
      <c r="J7" s="59"/>
      <c r="K7" s="34"/>
    </row>
    <row r="8" spans="1:11">
      <c r="A8" s="206" t="str">
        <f>'Journey Awards'!A14</f>
        <v>Between Earth and Sky</v>
      </c>
      <c r="B8" s="48" t="str">
        <f>IF('Journey Awards'!O19="C","C",IF('Journey Awards'!O19="P","P",""))</f>
        <v/>
      </c>
      <c r="E8" s="31" t="str">
        <f>Petals!B11</f>
        <v>Tula</v>
      </c>
      <c r="F8" s="31" t="str">
        <f>Petals!C11</f>
        <v>Courageous and strong</v>
      </c>
      <c r="G8" s="50" t="str">
        <f>IF(Petals!O11="A","A","")</f>
        <v/>
      </c>
      <c r="I8" s="249">
        <v>1</v>
      </c>
      <c r="J8" s="252" t="str">
        <f>Bridging!C12</f>
        <v>Say the Girl Scout Promise together.</v>
      </c>
      <c r="K8" s="50" t="str">
        <f>IF(Bridging!O12="A","A","")</f>
        <v/>
      </c>
    </row>
    <row r="9" spans="1:11">
      <c r="A9" s="206" t="str">
        <f>'Journey Awards'!A22</f>
        <v>5 Flowers, 4 Stories, 3 Cheers for Animals!</v>
      </c>
      <c r="B9" s="48" t="str">
        <f>IF('Journey Awards'!O27="C","C",IF('Journey Awards'!O27="P","P",""))</f>
        <v/>
      </c>
      <c r="E9" s="31" t="str">
        <f>Petals!B12</f>
        <v>Mari</v>
      </c>
      <c r="F9" s="31" t="str">
        <f>Petals!C12</f>
        <v>Responsible for what I say and do</v>
      </c>
      <c r="G9" s="50" t="str">
        <f>IF(Petals!O12="A","A","")</f>
        <v/>
      </c>
      <c r="I9" s="249">
        <v>2</v>
      </c>
      <c r="J9" s="252" t="str">
        <f>Bridging!C13</f>
        <v>Ask the Brownies to teach you</v>
      </c>
      <c r="K9" s="50" t="str">
        <f>IF(Bridging!O13="A","A","")</f>
        <v/>
      </c>
    </row>
    <row r="10" spans="1:11">
      <c r="A10" s="90" t="s">
        <v>61</v>
      </c>
      <c r="B10" s="48" t="str">
        <f>IF(Bridging!O18="C","C",IF(Bridging!O18="P","P",""))</f>
        <v/>
      </c>
      <c r="E10" s="31" t="str">
        <f>Petals!B13</f>
        <v>Gloria</v>
      </c>
      <c r="F10" s="31" t="str">
        <f>Petals!C13</f>
        <v>Respect for myself &amp; others</v>
      </c>
      <c r="G10" s="50" t="str">
        <f>IF(Petals!O13="A","A","")</f>
        <v/>
      </c>
      <c r="I10" s="249">
        <v>4</v>
      </c>
      <c r="J10" s="252" t="str">
        <f>Bridging!C14</f>
        <v>Ask the Brownies to show you</v>
      </c>
      <c r="K10" s="50" t="str">
        <f>IF(Bridging!O14="A","A","")</f>
        <v/>
      </c>
    </row>
    <row r="11" spans="1:11">
      <c r="A11" s="250"/>
      <c r="B11" s="99"/>
      <c r="E11" s="31" t="str">
        <f>Petals!B14</f>
        <v>Gerri</v>
      </c>
      <c r="F11" s="31" t="str">
        <f>Petals!C14</f>
        <v>Respect authority</v>
      </c>
      <c r="G11" s="50" t="str">
        <f>IF(Petals!O14="A","A","")</f>
        <v/>
      </c>
      <c r="I11" s="232" t="str">
        <f>Bridging!C16</f>
        <v>Plan a Ceremony</v>
      </c>
      <c r="J11" s="59"/>
      <c r="K11" s="50" t="str">
        <f>IF(Bridging!O16="A","A","")</f>
        <v/>
      </c>
    </row>
    <row r="12" spans="1:11">
      <c r="A12" s="61" t="s">
        <v>100</v>
      </c>
      <c r="E12" s="31" t="str">
        <f>Petals!B15</f>
        <v>Clover</v>
      </c>
      <c r="F12" s="31" t="str">
        <f>Petals!C15</f>
        <v>Use resources wisely</v>
      </c>
      <c r="G12" s="50" t="str">
        <f>IF(Petals!O15="A","A","")</f>
        <v/>
      </c>
    </row>
    <row r="13" spans="1:11">
      <c r="A13" s="31" t="str">
        <f>'Fun Patches'!C5</f>
        <v>&lt;List Patch Here&gt;</v>
      </c>
      <c r="B13" s="50" t="str">
        <f>IF('Fun Patches'!O5="A","C","")</f>
        <v/>
      </c>
      <c r="E13" s="31" t="str">
        <f>Petals!B16</f>
        <v>Rosie</v>
      </c>
      <c r="F13" s="31" t="str">
        <f>Petals!C16</f>
        <v>Make the world a better place</v>
      </c>
      <c r="G13" s="50" t="str">
        <f>IF(Petals!O16="A","A","")</f>
        <v/>
      </c>
      <c r="I13" s="362" t="s">
        <v>71</v>
      </c>
      <c r="J13" s="362"/>
      <c r="K13" s="362"/>
    </row>
    <row r="14" spans="1:11">
      <c r="A14" s="31" t="str">
        <f>'Fun Patches'!C6</f>
        <v>&lt;List Patch Here&gt;</v>
      </c>
      <c r="B14" s="50" t="str">
        <f>IF('Fun Patches'!O6="A","C","")</f>
        <v/>
      </c>
      <c r="E14" s="31" t="str">
        <f>Petals!B17</f>
        <v>Vi</v>
      </c>
      <c r="F14" s="31" t="str">
        <f>Petals!C17</f>
        <v>Be a sister to every Girl Scout</v>
      </c>
      <c r="G14" s="50" t="str">
        <f>IF(Petals!O17="A","A","")</f>
        <v/>
      </c>
      <c r="I14" s="362"/>
      <c r="J14" s="362"/>
      <c r="K14" s="362"/>
    </row>
    <row r="15" spans="1:11">
      <c r="A15" s="31" t="str">
        <f>'Fun Patches'!C7</f>
        <v>&lt;List Patch Here&gt;</v>
      </c>
      <c r="B15" s="50" t="str">
        <f>IF('Fun Patches'!O7="A","C","")</f>
        <v/>
      </c>
      <c r="E15" s="73"/>
      <c r="F15" s="73"/>
      <c r="G15" s="208"/>
      <c r="I15" s="249"/>
      <c r="J15" s="252" t="str">
        <f>'Age-Level'!C6</f>
        <v>Cookie Rally (Year 1)</v>
      </c>
      <c r="K15" s="50" t="str">
        <f>IF('Age-Level'!O6="A","C","")</f>
        <v/>
      </c>
    </row>
    <row r="16" spans="1:11">
      <c r="A16" s="31" t="str">
        <f>'Fun Patches'!C8</f>
        <v>&lt;List Patch Here&gt;</v>
      </c>
      <c r="B16" s="50" t="str">
        <f>IF('Fun Patches'!O8="A","C","")</f>
        <v/>
      </c>
      <c r="D16" s="362" t="s">
        <v>141</v>
      </c>
      <c r="E16" s="300"/>
      <c r="F16" s="300"/>
      <c r="G16" s="300"/>
      <c r="I16" s="249"/>
      <c r="J16" s="252" t="str">
        <f>'Age-Level'!C7</f>
        <v>Cookie Sales (Year 1)</v>
      </c>
      <c r="K16" s="50" t="str">
        <f>IF('Age-Level'!O7="A","C","")</f>
        <v/>
      </c>
    </row>
    <row r="17" spans="1:11">
      <c r="A17" s="31" t="str">
        <f>'Fun Patches'!C9</f>
        <v>&lt;List Patch Here&gt;</v>
      </c>
      <c r="B17" s="50" t="str">
        <f>IF('Fun Patches'!O9="A","C","")</f>
        <v/>
      </c>
      <c r="D17" s="300"/>
      <c r="E17" s="300"/>
      <c r="F17" s="300"/>
      <c r="G17" s="300"/>
      <c r="I17" s="51"/>
      <c r="J17" s="252" t="str">
        <f>'Age-Level'!C8</f>
        <v>Cookie Pin (Year 1)</v>
      </c>
      <c r="K17" s="50" t="str">
        <f>IF('Age-Level'!O8="A","C","")</f>
        <v/>
      </c>
    </row>
    <row r="18" spans="1:11">
      <c r="A18" s="31" t="str">
        <f>'Fun Patches'!C10</f>
        <v>&lt;List Patch Here&gt;</v>
      </c>
      <c r="B18" s="50" t="str">
        <f>IF('Fun Patches'!O10="A","C","")</f>
        <v/>
      </c>
      <c r="D18" s="366" t="str">
        <f>Petals!B22</f>
        <v>Finance</v>
      </c>
      <c r="E18" s="367"/>
      <c r="F18" s="200" t="str">
        <f>Petals!B20</f>
        <v>Money Counts</v>
      </c>
      <c r="G18" s="50" t="str">
        <f>IF(Petals!O23="C","A","")</f>
        <v/>
      </c>
      <c r="I18" s="51"/>
      <c r="J18" s="252" t="str">
        <f>'Age-Level'!C9</f>
        <v>Cookie Rally (Year 2)</v>
      </c>
      <c r="K18" s="50" t="str">
        <f>IF('Age-Level'!O9="A","C","")</f>
        <v/>
      </c>
    </row>
    <row r="19" spans="1:11">
      <c r="A19" s="31" t="str">
        <f>'Fun Patches'!C11</f>
        <v>&lt;List Patch Here&gt;</v>
      </c>
      <c r="B19" s="50" t="str">
        <f>IF('Fun Patches'!O11="A","C","")</f>
        <v/>
      </c>
      <c r="D19" s="366" t="str">
        <f>Petals!B27</f>
        <v>Finance</v>
      </c>
      <c r="E19" s="367"/>
      <c r="F19" s="200" t="str">
        <f>Petals!B25</f>
        <v>Making Choices</v>
      </c>
      <c r="G19" s="50" t="str">
        <f>IF(Petals!O28="C","A","")</f>
        <v/>
      </c>
      <c r="I19" s="51"/>
      <c r="J19" s="252" t="str">
        <f>'Age-Level'!C10</f>
        <v>Cookie Sales (Year 2)</v>
      </c>
      <c r="K19" s="50" t="str">
        <f>IF('Age-Level'!O10="A","C","")</f>
        <v/>
      </c>
    </row>
    <row r="20" spans="1:11">
      <c r="A20" s="31" t="str">
        <f>'Fun Patches'!C12</f>
        <v>&lt;List Patch Here&gt;</v>
      </c>
      <c r="B20" s="50" t="str">
        <f>IF('Fun Patches'!O12="A","C","")</f>
        <v/>
      </c>
      <c r="D20" s="366" t="str">
        <f>Petals!B32</f>
        <v>Cookie</v>
      </c>
      <c r="E20" s="367"/>
      <c r="F20" s="200" t="str">
        <f>Petals!B30</f>
        <v>Count It Up</v>
      </c>
      <c r="G20" s="50" t="str">
        <f>IF(Petals!O33="C","A","")</f>
        <v/>
      </c>
      <c r="I20" s="52"/>
      <c r="J20" s="252" t="str">
        <f>'Age-Level'!C11</f>
        <v>Cookie Pin (Year 2)</v>
      </c>
      <c r="K20" s="50" t="str">
        <f>IF('Age-Level'!O11="A","C","")</f>
        <v/>
      </c>
    </row>
    <row r="21" spans="1:11">
      <c r="A21" s="31" t="str">
        <f>'Fun Patches'!C13</f>
        <v>&lt;List Patch Here&gt;</v>
      </c>
      <c r="B21" s="50" t="str">
        <f>IF('Fun Patches'!O13="A","C","")</f>
        <v/>
      </c>
      <c r="D21" s="366" t="str">
        <f>Petals!B37</f>
        <v>Cookie</v>
      </c>
      <c r="E21" s="367"/>
      <c r="F21" s="200" t="str">
        <f>Petals!B35</f>
        <v>Talk It Up</v>
      </c>
      <c r="G21" s="50" t="str">
        <f>IF(Petals!O38="C","A","")</f>
        <v/>
      </c>
      <c r="I21" s="53"/>
      <c r="J21" s="252" t="str">
        <f>'Age-Level'!C13</f>
        <v>Fall Sales (Year 1)</v>
      </c>
      <c r="K21" s="50" t="str">
        <f>IF('Age-Level'!O13="A","C","")</f>
        <v/>
      </c>
    </row>
    <row r="22" spans="1:11">
      <c r="A22" s="31" t="str">
        <f>'Fun Patches'!C14</f>
        <v>&lt;List Patch Here&gt;</v>
      </c>
      <c r="B22" s="50" t="str">
        <f>IF('Fun Patches'!O14="A","C","")</f>
        <v/>
      </c>
      <c r="I22" s="26"/>
      <c r="J22" s="252" t="str">
        <f>'Age-Level'!C14</f>
        <v>Fall Sales (Year 2)</v>
      </c>
      <c r="K22" s="50" t="str">
        <f>IF('Age-Level'!O14="A","C","")</f>
        <v/>
      </c>
    </row>
    <row r="23" spans="1:11">
      <c r="A23" s="31" t="str">
        <f>'Fun Patches'!C15</f>
        <v>&lt;List Patch Here&gt;</v>
      </c>
      <c r="B23" s="50" t="str">
        <f>IF('Fun Patches'!O15="A","C","")</f>
        <v/>
      </c>
      <c r="D23" s="362" t="s">
        <v>62</v>
      </c>
      <c r="E23" s="362"/>
      <c r="F23" s="362"/>
      <c r="G23" s="362"/>
      <c r="J23" s="252" t="str">
        <f>'Age-Level'!C16</f>
        <v>Thinking Day (Year 1)</v>
      </c>
      <c r="K23" s="50" t="str">
        <f>IF('Age-Level'!O16="A","C","")</f>
        <v/>
      </c>
    </row>
    <row r="24" spans="1:11">
      <c r="A24" s="31" t="str">
        <f>'Fun Patches'!C16</f>
        <v>&lt;List Patch Here&gt;</v>
      </c>
      <c r="B24" s="50" t="str">
        <f>IF('Fun Patches'!O16="A","C","")</f>
        <v/>
      </c>
      <c r="D24" s="362"/>
      <c r="E24" s="362"/>
      <c r="F24" s="362"/>
      <c r="G24" s="362"/>
      <c r="J24" s="252" t="str">
        <f>'Age-Level'!C17</f>
        <v>Thinking Day (Year 2)</v>
      </c>
      <c r="K24" s="50" t="str">
        <f>IF('Age-Level'!O17="A","C","")</f>
        <v/>
      </c>
    </row>
    <row r="25" spans="1:11">
      <c r="A25" s="31" t="str">
        <f>'Fun Patches'!C17</f>
        <v>&lt;List Patch Here&gt;</v>
      </c>
      <c r="B25" s="50" t="str">
        <f>IF('Fun Patches'!O17="A","C","")</f>
        <v/>
      </c>
      <c r="D25" s="250" t="str">
        <f>'Journey Awards'!A6</f>
        <v>Welcome to the Daisy Flower Garden</v>
      </c>
      <c r="F25" s="57"/>
      <c r="G25" s="248"/>
      <c r="J25" s="252" t="str">
        <f>'Age-Level'!C19</f>
        <v>Investiture</v>
      </c>
      <c r="K25" s="50" t="str">
        <f>IF('Age-Level'!O19="A","C","")</f>
        <v/>
      </c>
    </row>
    <row r="26" spans="1:11">
      <c r="A26" s="31" t="str">
        <f>'Fun Patches'!C18</f>
        <v>&lt;List Patch Here&gt;</v>
      </c>
      <c r="B26" s="50" t="str">
        <f>IF('Fun Patches'!O18="A","C","")</f>
        <v/>
      </c>
      <c r="D26" s="249"/>
      <c r="E26" s="363" t="s">
        <v>66</v>
      </c>
      <c r="F26" s="364"/>
      <c r="G26" s="50" t="str">
        <f>IF('Journey Awards'!O8="A","A","")</f>
        <v/>
      </c>
      <c r="J26" s="252" t="str">
        <f>'Age-Level'!C20</f>
        <v>Rededication (1st year)</v>
      </c>
      <c r="K26" s="50" t="str">
        <f>IF('Age-Level'!O20="A","C","")</f>
        <v/>
      </c>
    </row>
    <row r="27" spans="1:11">
      <c r="A27" s="31" t="str">
        <f>'Fun Patches'!C19</f>
        <v>&lt;List Patch Here&gt;</v>
      </c>
      <c r="B27" s="50" t="str">
        <f>IF('Fun Patches'!O19="A","C","")</f>
        <v/>
      </c>
      <c r="D27" s="249"/>
      <c r="E27" s="363" t="s">
        <v>67</v>
      </c>
      <c r="F27" s="364"/>
      <c r="G27" s="50" t="str">
        <f>IF('Journey Awards'!O9="A","A","")</f>
        <v/>
      </c>
      <c r="J27" s="252" t="str">
        <f>'Age-Level'!B21</f>
        <v>My Promise, My Faith (Year 1)</v>
      </c>
      <c r="K27" s="50" t="str">
        <f>IF('Age-Level'!O27="C","C","")</f>
        <v/>
      </c>
    </row>
    <row r="28" spans="1:11">
      <c r="A28" s="31" t="str">
        <f>'Fun Patches'!C20</f>
        <v>&lt;List Patch Here&gt;</v>
      </c>
      <c r="B28" s="50" t="str">
        <f>IF('Fun Patches'!O20="A","C","")</f>
        <v/>
      </c>
      <c r="D28" s="249"/>
      <c r="E28" s="363" t="s">
        <v>68</v>
      </c>
      <c r="F28" s="364"/>
      <c r="G28" s="50" t="str">
        <f>IF('Journey Awards'!O10="A","A","")</f>
        <v/>
      </c>
      <c r="J28" s="252" t="str">
        <f>'Age-Level'!B28</f>
        <v>My Promise, My Faith (Year 2)</v>
      </c>
      <c r="K28" s="50" t="str">
        <f>IF('Age-Level'!O34="C","C","")</f>
        <v/>
      </c>
    </row>
    <row r="29" spans="1:11">
      <c r="A29" s="31" t="str">
        <f>'Fun Patches'!C21</f>
        <v>&lt;List Patch Here&gt;</v>
      </c>
      <c r="B29" s="50" t="str">
        <f>IF('Fun Patches'!O21="A","C","")</f>
        <v/>
      </c>
      <c r="D29" s="102" t="str">
        <f>'Journey Awards'!A14</f>
        <v>Between Earth and Sky</v>
      </c>
      <c r="F29" s="59"/>
      <c r="G29" s="34"/>
      <c r="J29" s="252" t="str">
        <f>'Age-Level'!C36</f>
        <v>Global Action Award</v>
      </c>
      <c r="K29" s="50" t="str">
        <f>IF('Age-Level'!O36="A","C","")</f>
        <v/>
      </c>
    </row>
    <row r="30" spans="1:11">
      <c r="A30" s="31" t="str">
        <f>'Fun Patches'!C22</f>
        <v>&lt;List Patch Here&gt;</v>
      </c>
      <c r="B30" s="50" t="str">
        <f>IF('Fun Patches'!O22="A","C","")</f>
        <v/>
      </c>
      <c r="D30" s="249"/>
      <c r="E30" s="363" t="str">
        <f>'Journey Awards'!C16</f>
        <v>The Blue Bucket Award</v>
      </c>
      <c r="F30" s="364"/>
      <c r="G30" s="50" t="str">
        <f>IF('Journey Awards'!O16="A","A","")</f>
        <v/>
      </c>
      <c r="J30" s="252" t="str">
        <f>'Age-Level'!C38</f>
        <v>Journey Summit Pin</v>
      </c>
      <c r="K30" s="50" t="str">
        <f>IF('Age-Level'!O38="C","C","")</f>
        <v/>
      </c>
    </row>
    <row r="31" spans="1:11">
      <c r="A31" s="31" t="str">
        <f>'Fun Patches'!C23</f>
        <v>&lt;List Patch Here&gt;</v>
      </c>
      <c r="B31" s="50" t="str">
        <f>IF('Fun Patches'!O23="A","C","")</f>
        <v/>
      </c>
      <c r="D31" s="249"/>
      <c r="E31" s="363" t="str">
        <f>'Journey Awards'!C17</f>
        <v>The Firefly Award</v>
      </c>
      <c r="F31" s="364"/>
      <c r="G31" s="50" t="str">
        <f>IF('Journey Awards'!O17="A","A","")</f>
        <v/>
      </c>
      <c r="J31" s="252" t="str">
        <f>'Age-Level'!B39</f>
        <v>Safety Award</v>
      </c>
      <c r="K31" s="50" t="str">
        <f>IF('Age-Level'!O43="C","C","")</f>
        <v/>
      </c>
    </row>
    <row r="32" spans="1:11">
      <c r="A32" s="31" t="str">
        <f>'Fun Patches'!C24</f>
        <v>&lt;List Patch Here&gt;</v>
      </c>
      <c r="B32" s="50" t="str">
        <f>IF('Fun Patches'!O24="A","C","")</f>
        <v/>
      </c>
      <c r="D32" s="249"/>
      <c r="E32" s="363" t="str">
        <f>'Journey Awards'!C18</f>
        <v>The Clover Award</v>
      </c>
      <c r="F32" s="364"/>
      <c r="G32" s="50" t="str">
        <f>IF('Journey Awards'!O18="A","A","")</f>
        <v/>
      </c>
    </row>
    <row r="33" spans="1:11">
      <c r="A33" s="31" t="str">
        <f>'Fun Patches'!C25</f>
        <v>&lt;List Patch Here&gt;</v>
      </c>
      <c r="B33" s="50" t="str">
        <f>IF('Fun Patches'!O25="A","C","")</f>
        <v/>
      </c>
      <c r="D33" s="102" t="str">
        <f>'Journey Awards'!A22</f>
        <v>5 Flowers, 4 Stories, 3 Cheers for Animals!</v>
      </c>
      <c r="F33" s="59"/>
      <c r="G33" s="34" t="str">
        <f>IF('Journey Awards'!O15="A","A","")</f>
        <v/>
      </c>
      <c r="J33" s="61" t="s">
        <v>102</v>
      </c>
    </row>
    <row r="34" spans="1:11">
      <c r="A34" s="31" t="str">
        <f>'Fun Patches'!C26</f>
        <v>&lt;List Patch Here&gt;</v>
      </c>
      <c r="B34" s="50" t="str">
        <f>IF('Fun Patches'!O26="A","C","")</f>
        <v/>
      </c>
      <c r="D34" s="249"/>
      <c r="E34" s="363" t="str">
        <f>'Journey Awards'!C24</f>
        <v>Birdbath Award</v>
      </c>
      <c r="F34" s="364"/>
      <c r="G34" s="50" t="str">
        <f>IF('Journey Awards'!O24="A","A","")</f>
        <v/>
      </c>
      <c r="J34" s="31" t="str">
        <f>'Fun Patches'!C35</f>
        <v>&lt;List Patch Here&gt;</v>
      </c>
      <c r="K34" s="50" t="str">
        <f>IF('Fun Patches'!O35="A","C","")</f>
        <v/>
      </c>
    </row>
    <row r="35" spans="1:11">
      <c r="A35" s="31" t="str">
        <f>'Fun Patches'!C27</f>
        <v>&lt;List Patch Here&gt;</v>
      </c>
      <c r="B35" s="50" t="str">
        <f>IF('Fun Patches'!O27="A","C","")</f>
        <v/>
      </c>
      <c r="D35" s="249"/>
      <c r="E35" s="363" t="str">
        <f>'Journey Awards'!C25</f>
        <v>Red Robin Award</v>
      </c>
      <c r="F35" s="364"/>
      <c r="G35" s="50" t="str">
        <f>IF('Journey Awards'!O25="A","A","")</f>
        <v/>
      </c>
      <c r="J35" s="31" t="str">
        <f>'Fun Patches'!C36</f>
        <v>&lt;List Patch Here&gt;</v>
      </c>
      <c r="K35" s="50" t="str">
        <f>IF('Fun Patches'!O36="A","C","")</f>
        <v/>
      </c>
    </row>
    <row r="36" spans="1:11">
      <c r="A36" s="251" t="str">
        <f>'Fun Patches'!C28</f>
        <v>&lt;List Patch Here&gt;</v>
      </c>
      <c r="B36" s="50" t="str">
        <f>IF('Fun Patches'!O28="A","C","")</f>
        <v/>
      </c>
      <c r="D36" s="249"/>
      <c r="E36" s="363" t="str">
        <f>'Journey Awards'!C26</f>
        <v>Tula Award</v>
      </c>
      <c r="F36" s="364"/>
      <c r="G36" s="50" t="str">
        <f>IF('Journey Awards'!O26="A","A","")</f>
        <v/>
      </c>
      <c r="J36" s="31" t="str">
        <f>'Fun Patches'!C37</f>
        <v>&lt;List Patch Here&gt;</v>
      </c>
      <c r="K36" s="50" t="str">
        <f>IF('Fun Patches'!O37="A","C","")</f>
        <v/>
      </c>
    </row>
    <row r="37" spans="1:11">
      <c r="A37" s="253" t="str">
        <f>'Fun Patches'!C29</f>
        <v>&lt;List Patch Here&gt;</v>
      </c>
      <c r="B37" s="50" t="str">
        <f>IF('Fun Patches'!O29="A","C","")</f>
        <v/>
      </c>
      <c r="J37" s="31" t="str">
        <f>'Fun Patches'!C38</f>
        <v>&lt;List Patch Here&gt;</v>
      </c>
      <c r="K37" s="50" t="str">
        <f>IF('Fun Patches'!O38="A","C","")</f>
        <v/>
      </c>
    </row>
    <row r="38" spans="1:11" ht="12.75" customHeight="1">
      <c r="A38" s="282"/>
      <c r="B38" s="208"/>
      <c r="C38" s="142"/>
      <c r="D38" s="361" t="s">
        <v>102</v>
      </c>
      <c r="E38" s="300"/>
      <c r="F38" s="300"/>
      <c r="J38" s="31" t="str">
        <f>'Fun Patches'!C39</f>
        <v>&lt;List Patch Here&gt;</v>
      </c>
      <c r="K38" s="50" t="str">
        <f>IF('Fun Patches'!O39="A","C","")</f>
        <v/>
      </c>
    </row>
    <row r="39" spans="1:11" ht="13.5" customHeight="1">
      <c r="A39" s="103"/>
      <c r="B39" s="142"/>
      <c r="C39" s="142"/>
      <c r="E39" s="368" t="str">
        <f>'Fun Patches'!C30</f>
        <v>&lt;List Patch Here&gt;</v>
      </c>
      <c r="F39" s="369"/>
      <c r="G39" s="50" t="str">
        <f>IF('Fun Patches'!O30="A","C","")</f>
        <v/>
      </c>
      <c r="J39" s="31" t="str">
        <f>'Fun Patches'!C40</f>
        <v>&lt;List Patch Here&gt;</v>
      </c>
      <c r="K39" s="50" t="str">
        <f>IF('Fun Patches'!O40="A","C","")</f>
        <v/>
      </c>
    </row>
    <row r="40" spans="1:11" ht="13.5" customHeight="1">
      <c r="A40" s="143" t="s">
        <v>115</v>
      </c>
      <c r="B40" s="141"/>
      <c r="C40" s="142"/>
      <c r="E40" s="368" t="str">
        <f>'Fun Patches'!C31</f>
        <v>&lt;List Patch Here&gt;</v>
      </c>
      <c r="F40" s="369"/>
      <c r="G40" s="50" t="str">
        <f>IF('Fun Patches'!O31="A","C","")</f>
        <v/>
      </c>
      <c r="J40" s="31" t="str">
        <f>'Fun Patches'!C41</f>
        <v>&lt;List Patch Here&gt;</v>
      </c>
      <c r="K40" s="50" t="str">
        <f>IF('Fun Patches'!O41="A","C","")</f>
        <v/>
      </c>
    </row>
    <row r="41" spans="1:11" ht="13.5" customHeight="1">
      <c r="A41" s="145" t="s">
        <v>116</v>
      </c>
      <c r="B41" s="139"/>
      <c r="C41" s="140"/>
      <c r="E41" s="368" t="str">
        <f>'Fun Patches'!C32</f>
        <v>&lt;List Patch Here&gt;</v>
      </c>
      <c r="F41" s="369"/>
      <c r="G41" s="50" t="str">
        <f>IF('Fun Patches'!O32="A","C","")</f>
        <v/>
      </c>
      <c r="J41" s="31" t="str">
        <f>'Fun Patches'!C42</f>
        <v>&lt;List Patch Here&gt;</v>
      </c>
      <c r="K41" s="50" t="str">
        <f>IF('Fun Patches'!O42="A","C","")</f>
        <v/>
      </c>
    </row>
    <row r="42" spans="1:11">
      <c r="A42" s="146" t="s">
        <v>118</v>
      </c>
      <c r="B42" s="140"/>
      <c r="C42" s="140"/>
      <c r="E42" s="368" t="str">
        <f>'Fun Patches'!C33</f>
        <v>&lt;List Patch Here&gt;</v>
      </c>
      <c r="F42" s="369"/>
      <c r="G42" s="50" t="str">
        <f>IF('Fun Patches'!O33="A","C","")</f>
        <v/>
      </c>
      <c r="J42" s="31" t="str">
        <f>'Fun Patches'!C43</f>
        <v>&lt;List Patch Here&gt;</v>
      </c>
      <c r="K42" s="50" t="str">
        <f>IF('Fun Patches'!O43="A","C","")</f>
        <v/>
      </c>
    </row>
    <row r="43" spans="1:11">
      <c r="A43" s="147" t="s">
        <v>117</v>
      </c>
      <c r="B43" s="140"/>
      <c r="C43" s="140"/>
      <c r="E43" s="368" t="str">
        <f>'Fun Patches'!C34</f>
        <v>&lt;List Patch Here&gt;</v>
      </c>
      <c r="F43" s="369"/>
      <c r="G43" s="50" t="str">
        <f>IF('Fun Patches'!O34="A","C","")</f>
        <v/>
      </c>
      <c r="J43" s="31" t="str">
        <f>'Fun Patches'!C44</f>
        <v>&lt;List Patch Here&gt;</v>
      </c>
      <c r="K43" s="50" t="str">
        <f>IF('Fun Patches'!O44="A","C","")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13</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IF(Petals!P6="A","A","")</f>
        <v/>
      </c>
      <c r="I3" s="211" t="str">
        <f>Bridging!B6</f>
        <v>Pass It On</v>
      </c>
      <c r="J3" s="211"/>
      <c r="K3" s="211"/>
    </row>
    <row r="4" spans="1:11">
      <c r="A4" s="66" t="s">
        <v>44</v>
      </c>
      <c r="B4" s="48" t="str">
        <f>IF(Petals!P18="C","C",IF(Petals!P18="P","P",""))</f>
        <v/>
      </c>
      <c r="D4" s="61" t="s">
        <v>44</v>
      </c>
      <c r="G4" s="34"/>
      <c r="I4" s="249">
        <v>1</v>
      </c>
      <c r="J4" s="252" t="str">
        <f>Bridging!C7</f>
        <v>Teach younger girls the GS Promise</v>
      </c>
      <c r="K4" s="50" t="str">
        <f>IF(Bridging!P7="A","A","")</f>
        <v/>
      </c>
    </row>
    <row r="5" spans="1:11">
      <c r="A5" s="207" t="s">
        <v>141</v>
      </c>
      <c r="B5" s="209">
        <f>INT(COUNTIF(G18:G21,"A"))</f>
        <v>0</v>
      </c>
      <c r="E5" s="31" t="str">
        <f>Petals!B8</f>
        <v>Lupe</v>
      </c>
      <c r="F5" s="31" t="str">
        <f>Petals!C8</f>
        <v>Honest and fair</v>
      </c>
      <c r="G5" s="50" t="str">
        <f>IF(Petals!P8="A","A","")</f>
        <v/>
      </c>
      <c r="I5" s="249">
        <v>2</v>
      </c>
      <c r="J5" s="252" t="str">
        <f>Bridging!C8</f>
        <v>Tell younger girls about the Flower</v>
      </c>
      <c r="K5" s="50" t="str">
        <f>IF(Bridging!P8="A","A","")</f>
        <v/>
      </c>
    </row>
    <row r="6" spans="1:11">
      <c r="A6" s="67" t="s">
        <v>62</v>
      </c>
      <c r="B6" s="54"/>
      <c r="E6" s="31" t="str">
        <f>Petals!B9</f>
        <v>Sunny</v>
      </c>
      <c r="F6" s="31" t="str">
        <f>Petals!C9</f>
        <v>Friendly and helpful</v>
      </c>
      <c r="G6" s="50" t="str">
        <f>IF(Petals!P9="A","A","")</f>
        <v/>
      </c>
      <c r="I6" s="249">
        <v>3</v>
      </c>
      <c r="J6" s="252" t="str">
        <f>Bridging!C9</f>
        <v>Play a game together!</v>
      </c>
      <c r="K6" s="50" t="str">
        <f>IF(Bridging!P9="A","A","")</f>
        <v/>
      </c>
    </row>
    <row r="7" spans="1:11">
      <c r="A7" s="206" t="str">
        <f>'Journey Awards'!A6</f>
        <v>Welcome to the Daisy Flower Garden</v>
      </c>
      <c r="B7" s="48" t="str">
        <f>IF('Journey Awards'!P11="C","C",IF('Journey Awards'!P11="P","P",""))</f>
        <v/>
      </c>
      <c r="E7" s="31" t="str">
        <f>Petals!B10</f>
        <v>Zinni</v>
      </c>
      <c r="F7" s="31" t="str">
        <f>Petals!C10</f>
        <v>Considerate and caring</v>
      </c>
      <c r="G7" s="50" t="str">
        <f>IF(Petals!P10="A","A","")</f>
        <v/>
      </c>
      <c r="I7" s="250" t="str">
        <f>Bridging!B11</f>
        <v>Look Ahead</v>
      </c>
      <c r="J7" s="59"/>
      <c r="K7" s="34"/>
    </row>
    <row r="8" spans="1:11">
      <c r="A8" s="206" t="str">
        <f>'Journey Awards'!A14</f>
        <v>Between Earth and Sky</v>
      </c>
      <c r="B8" s="48" t="str">
        <f>IF('Journey Awards'!P19="C","C",IF('Journey Awards'!P19="P","P",""))</f>
        <v/>
      </c>
      <c r="E8" s="31" t="str">
        <f>Petals!B11</f>
        <v>Tula</v>
      </c>
      <c r="F8" s="31" t="str">
        <f>Petals!C11</f>
        <v>Courageous and strong</v>
      </c>
      <c r="G8" s="50" t="str">
        <f>IF(Petals!P11="A","A","")</f>
        <v/>
      </c>
      <c r="I8" s="249">
        <v>1</v>
      </c>
      <c r="J8" s="252" t="str">
        <f>Bridging!C12</f>
        <v>Say the Girl Scout Promise together.</v>
      </c>
      <c r="K8" s="50" t="str">
        <f>IF(Bridging!P12="A","A","")</f>
        <v/>
      </c>
    </row>
    <row r="9" spans="1:11">
      <c r="A9" s="206" t="str">
        <f>'Journey Awards'!A22</f>
        <v>5 Flowers, 4 Stories, 3 Cheers for Animals!</v>
      </c>
      <c r="B9" s="48" t="str">
        <f>IF('Journey Awards'!P27="C","C",IF('Journey Awards'!P27="P","P",""))</f>
        <v/>
      </c>
      <c r="E9" s="31" t="str">
        <f>Petals!B12</f>
        <v>Mari</v>
      </c>
      <c r="F9" s="31" t="str">
        <f>Petals!C12</f>
        <v>Responsible for what I say and do</v>
      </c>
      <c r="G9" s="50" t="str">
        <f>IF(Petals!P12="A","A","")</f>
        <v/>
      </c>
      <c r="I9" s="249">
        <v>2</v>
      </c>
      <c r="J9" s="252" t="str">
        <f>Bridging!C13</f>
        <v>Ask the Brownies to teach you</v>
      </c>
      <c r="K9" s="50" t="str">
        <f>IF(Bridging!P13="A","A","")</f>
        <v/>
      </c>
    </row>
    <row r="10" spans="1:11">
      <c r="A10" s="90" t="s">
        <v>61</v>
      </c>
      <c r="B10" s="48" t="str">
        <f>IF(Bridging!P18="C","C",IF(Bridging!P18="P","P",""))</f>
        <v/>
      </c>
      <c r="E10" s="31" t="str">
        <f>Petals!B13</f>
        <v>Gloria</v>
      </c>
      <c r="F10" s="31" t="str">
        <f>Petals!C13</f>
        <v>Respect for myself &amp; others</v>
      </c>
      <c r="G10" s="50" t="str">
        <f>IF(Petals!P13="A","A","")</f>
        <v/>
      </c>
      <c r="I10" s="249">
        <v>4</v>
      </c>
      <c r="J10" s="252" t="str">
        <f>Bridging!C14</f>
        <v>Ask the Brownies to show you</v>
      </c>
      <c r="K10" s="50" t="str">
        <f>IF(Bridging!P14="A","A","")</f>
        <v/>
      </c>
    </row>
    <row r="11" spans="1:11">
      <c r="A11" s="250"/>
      <c r="B11" s="99"/>
      <c r="E11" s="31" t="str">
        <f>Petals!B14</f>
        <v>Gerri</v>
      </c>
      <c r="F11" s="31" t="str">
        <f>Petals!C14</f>
        <v>Respect authority</v>
      </c>
      <c r="G11" s="50" t="str">
        <f>IF(Petals!P14="A","A","")</f>
        <v/>
      </c>
      <c r="I11" s="232" t="str">
        <f>Bridging!C16</f>
        <v>Plan a Ceremony</v>
      </c>
      <c r="J11" s="59"/>
      <c r="K11" s="50" t="str">
        <f>IF(Bridging!P16="A","A","")</f>
        <v/>
      </c>
    </row>
    <row r="12" spans="1:11">
      <c r="A12" s="61" t="s">
        <v>100</v>
      </c>
      <c r="E12" s="31" t="str">
        <f>Petals!B15</f>
        <v>Clover</v>
      </c>
      <c r="F12" s="31" t="str">
        <f>Petals!C15</f>
        <v>Use resources wisely</v>
      </c>
      <c r="G12" s="50" t="str">
        <f>IF(Petals!P15="A","A","")</f>
        <v/>
      </c>
    </row>
    <row r="13" spans="1:11">
      <c r="A13" s="31" t="str">
        <f>'Fun Patches'!C5</f>
        <v>&lt;List Patch Here&gt;</v>
      </c>
      <c r="B13" s="50" t="str">
        <f>IF('Fun Patches'!P5="A","C","")</f>
        <v/>
      </c>
      <c r="E13" s="31" t="str">
        <f>Petals!B16</f>
        <v>Rosie</v>
      </c>
      <c r="F13" s="31" t="str">
        <f>Petals!C16</f>
        <v>Make the world a better place</v>
      </c>
      <c r="G13" s="50" t="str">
        <f>IF(Petals!P16="A","A","")</f>
        <v/>
      </c>
      <c r="I13" s="362" t="s">
        <v>71</v>
      </c>
      <c r="J13" s="362"/>
      <c r="K13" s="362"/>
    </row>
    <row r="14" spans="1:11">
      <c r="A14" s="31" t="str">
        <f>'Fun Patches'!C6</f>
        <v>&lt;List Patch Here&gt;</v>
      </c>
      <c r="B14" s="50" t="str">
        <f>IF('Fun Patches'!P6="A","C","")</f>
        <v/>
      </c>
      <c r="E14" s="31" t="str">
        <f>Petals!B17</f>
        <v>Vi</v>
      </c>
      <c r="F14" s="31" t="str">
        <f>Petals!C17</f>
        <v>Be a sister to every Girl Scout</v>
      </c>
      <c r="G14" s="50" t="str">
        <f>IF(Petals!P17="A","A","")</f>
        <v/>
      </c>
      <c r="I14" s="362"/>
      <c r="J14" s="362"/>
      <c r="K14" s="362"/>
    </row>
    <row r="15" spans="1:11">
      <c r="A15" s="31" t="str">
        <f>'Fun Patches'!C7</f>
        <v>&lt;List Patch Here&gt;</v>
      </c>
      <c r="B15" s="50" t="str">
        <f>IF('Fun Patches'!P7="A","C","")</f>
        <v/>
      </c>
      <c r="E15" s="73"/>
      <c r="F15" s="73"/>
      <c r="G15" s="208"/>
      <c r="I15" s="249"/>
      <c r="J15" s="252" t="str">
        <f>'Age-Level'!C6</f>
        <v>Cookie Rally (Year 1)</v>
      </c>
      <c r="K15" s="50" t="str">
        <f>IF('Age-Level'!P6="A","C","")</f>
        <v/>
      </c>
    </row>
    <row r="16" spans="1:11">
      <c r="A16" s="31" t="str">
        <f>'Fun Patches'!C8</f>
        <v>&lt;List Patch Here&gt;</v>
      </c>
      <c r="B16" s="50" t="str">
        <f>IF('Fun Patches'!P8="A","C","")</f>
        <v/>
      </c>
      <c r="D16" s="362" t="s">
        <v>141</v>
      </c>
      <c r="E16" s="300"/>
      <c r="F16" s="300"/>
      <c r="G16" s="300"/>
      <c r="I16" s="249"/>
      <c r="J16" s="252" t="str">
        <f>'Age-Level'!C7</f>
        <v>Cookie Sales (Year 1)</v>
      </c>
      <c r="K16" s="50" t="str">
        <f>IF('Age-Level'!P7="A","C","")</f>
        <v/>
      </c>
    </row>
    <row r="17" spans="1:11">
      <c r="A17" s="31" t="str">
        <f>'Fun Patches'!C9</f>
        <v>&lt;List Patch Here&gt;</v>
      </c>
      <c r="B17" s="50" t="str">
        <f>IF('Fun Patches'!P9="A","C","")</f>
        <v/>
      </c>
      <c r="D17" s="300"/>
      <c r="E17" s="300"/>
      <c r="F17" s="300"/>
      <c r="G17" s="300"/>
      <c r="I17" s="51"/>
      <c r="J17" s="252" t="str">
        <f>'Age-Level'!C8</f>
        <v>Cookie Pin (Year 1)</v>
      </c>
      <c r="K17" s="50" t="str">
        <f>IF('Age-Level'!P8="A","C","")</f>
        <v/>
      </c>
    </row>
    <row r="18" spans="1:11">
      <c r="A18" s="31" t="str">
        <f>'Fun Patches'!C10</f>
        <v>&lt;List Patch Here&gt;</v>
      </c>
      <c r="B18" s="50" t="str">
        <f>IF('Fun Patches'!P10="A","C","")</f>
        <v/>
      </c>
      <c r="D18" s="366" t="str">
        <f>Petals!B22</f>
        <v>Finance</v>
      </c>
      <c r="E18" s="367"/>
      <c r="F18" s="200" t="str">
        <f>Petals!B20</f>
        <v>Money Counts</v>
      </c>
      <c r="G18" s="50" t="str">
        <f>IF(Petals!P23="C","A","")</f>
        <v/>
      </c>
      <c r="I18" s="51"/>
      <c r="J18" s="252" t="str">
        <f>'Age-Level'!C9</f>
        <v>Cookie Rally (Year 2)</v>
      </c>
      <c r="K18" s="50" t="str">
        <f>IF('Age-Level'!P9="A","C","")</f>
        <v/>
      </c>
    </row>
    <row r="19" spans="1:11">
      <c r="A19" s="31" t="str">
        <f>'Fun Patches'!C11</f>
        <v>&lt;List Patch Here&gt;</v>
      </c>
      <c r="B19" s="50" t="str">
        <f>IF('Fun Patches'!P11="A","C","")</f>
        <v/>
      </c>
      <c r="D19" s="366" t="str">
        <f>Petals!B27</f>
        <v>Finance</v>
      </c>
      <c r="E19" s="367"/>
      <c r="F19" s="200" t="str">
        <f>Petals!B25</f>
        <v>Making Choices</v>
      </c>
      <c r="G19" s="50" t="str">
        <f>IF(Petals!P28="C","A","")</f>
        <v/>
      </c>
      <c r="I19" s="51"/>
      <c r="J19" s="252" t="str">
        <f>'Age-Level'!C10</f>
        <v>Cookie Sales (Year 2)</v>
      </c>
      <c r="K19" s="50" t="str">
        <f>IF('Age-Level'!P10="A","C","")</f>
        <v/>
      </c>
    </row>
    <row r="20" spans="1:11">
      <c r="A20" s="31" t="str">
        <f>'Fun Patches'!C12</f>
        <v>&lt;List Patch Here&gt;</v>
      </c>
      <c r="B20" s="50" t="str">
        <f>IF('Fun Patches'!P12="A","C","")</f>
        <v/>
      </c>
      <c r="D20" s="366" t="str">
        <f>Petals!B32</f>
        <v>Cookie</v>
      </c>
      <c r="E20" s="367"/>
      <c r="F20" s="200" t="str">
        <f>Petals!B30</f>
        <v>Count It Up</v>
      </c>
      <c r="G20" s="50" t="str">
        <f>IF(Petals!P33="C","A","")</f>
        <v/>
      </c>
      <c r="I20" s="52"/>
      <c r="J20" s="252" t="str">
        <f>'Age-Level'!C11</f>
        <v>Cookie Pin (Year 2)</v>
      </c>
      <c r="K20" s="50" t="str">
        <f>IF('Age-Level'!P11="A","C","")</f>
        <v/>
      </c>
    </row>
    <row r="21" spans="1:11">
      <c r="A21" s="31" t="str">
        <f>'Fun Patches'!C13</f>
        <v>&lt;List Patch Here&gt;</v>
      </c>
      <c r="B21" s="50" t="str">
        <f>IF('Fun Patches'!P13="A","C","")</f>
        <v/>
      </c>
      <c r="D21" s="366" t="str">
        <f>Petals!B37</f>
        <v>Cookie</v>
      </c>
      <c r="E21" s="367"/>
      <c r="F21" s="200" t="str">
        <f>Petals!B35</f>
        <v>Talk It Up</v>
      </c>
      <c r="G21" s="50" t="str">
        <f>IF(Petals!P38="C","A","")</f>
        <v/>
      </c>
      <c r="I21" s="53"/>
      <c r="J21" s="252" t="str">
        <f>'Age-Level'!C13</f>
        <v>Fall Sales (Year 1)</v>
      </c>
      <c r="K21" s="50" t="str">
        <f>IF('Age-Level'!P13="A","C","")</f>
        <v/>
      </c>
    </row>
    <row r="22" spans="1:11">
      <c r="A22" s="31" t="str">
        <f>'Fun Patches'!C14</f>
        <v>&lt;List Patch Here&gt;</v>
      </c>
      <c r="B22" s="50" t="str">
        <f>IF('Fun Patches'!P14="A","C","")</f>
        <v/>
      </c>
      <c r="I22" s="26"/>
      <c r="J22" s="252" t="str">
        <f>'Age-Level'!C14</f>
        <v>Fall Sales (Year 2)</v>
      </c>
      <c r="K22" s="50" t="str">
        <f>IF('Age-Level'!P14="A","C","")</f>
        <v/>
      </c>
    </row>
    <row r="23" spans="1:11">
      <c r="A23" s="31" t="str">
        <f>'Fun Patches'!C15</f>
        <v>&lt;List Patch Here&gt;</v>
      </c>
      <c r="B23" s="50" t="str">
        <f>IF('Fun Patches'!P15="A","C","")</f>
        <v/>
      </c>
      <c r="D23" s="362" t="s">
        <v>62</v>
      </c>
      <c r="E23" s="362"/>
      <c r="F23" s="362"/>
      <c r="G23" s="362"/>
      <c r="J23" s="252" t="str">
        <f>'Age-Level'!C16</f>
        <v>Thinking Day (Year 1)</v>
      </c>
      <c r="K23" s="50" t="str">
        <f>IF('Age-Level'!P16="A","C","")</f>
        <v/>
      </c>
    </row>
    <row r="24" spans="1:11">
      <c r="A24" s="31" t="str">
        <f>'Fun Patches'!C16</f>
        <v>&lt;List Patch Here&gt;</v>
      </c>
      <c r="B24" s="50" t="str">
        <f>IF('Fun Patches'!P16="A","C","")</f>
        <v/>
      </c>
      <c r="D24" s="362"/>
      <c r="E24" s="362"/>
      <c r="F24" s="362"/>
      <c r="G24" s="362"/>
      <c r="J24" s="252" t="str">
        <f>'Age-Level'!C17</f>
        <v>Thinking Day (Year 2)</v>
      </c>
      <c r="K24" s="50" t="str">
        <f>IF('Age-Level'!P17="A","C","")</f>
        <v/>
      </c>
    </row>
    <row r="25" spans="1:11">
      <c r="A25" s="31" t="str">
        <f>'Fun Patches'!C17</f>
        <v>&lt;List Patch Here&gt;</v>
      </c>
      <c r="B25" s="50" t="str">
        <f>IF('Fun Patches'!P17="A","C","")</f>
        <v/>
      </c>
      <c r="D25" s="250" t="str">
        <f>'Journey Awards'!A6</f>
        <v>Welcome to the Daisy Flower Garden</v>
      </c>
      <c r="F25" s="57"/>
      <c r="G25" s="248"/>
      <c r="J25" s="252" t="str">
        <f>'Age-Level'!C19</f>
        <v>Investiture</v>
      </c>
      <c r="K25" s="50" t="str">
        <f>IF('Age-Level'!P19="A","C","")</f>
        <v/>
      </c>
    </row>
    <row r="26" spans="1:11">
      <c r="A26" s="31" t="str">
        <f>'Fun Patches'!C18</f>
        <v>&lt;List Patch Here&gt;</v>
      </c>
      <c r="B26" s="50" t="str">
        <f>IF('Fun Patches'!P18="A","C","")</f>
        <v/>
      </c>
      <c r="D26" s="249"/>
      <c r="E26" s="363" t="s">
        <v>66</v>
      </c>
      <c r="F26" s="364"/>
      <c r="G26" s="50" t="str">
        <f>IF('Journey Awards'!P8="A","A","")</f>
        <v/>
      </c>
      <c r="J26" s="252" t="str">
        <f>'Age-Level'!C20</f>
        <v>Rededication (1st year)</v>
      </c>
      <c r="K26" s="50" t="str">
        <f>IF('Age-Level'!P20="A","C","")</f>
        <v/>
      </c>
    </row>
    <row r="27" spans="1:11">
      <c r="A27" s="31" t="str">
        <f>'Fun Patches'!C19</f>
        <v>&lt;List Patch Here&gt;</v>
      </c>
      <c r="B27" s="50" t="str">
        <f>IF('Fun Patches'!P19="A","C","")</f>
        <v/>
      </c>
      <c r="D27" s="249"/>
      <c r="E27" s="363" t="s">
        <v>67</v>
      </c>
      <c r="F27" s="364"/>
      <c r="G27" s="50" t="str">
        <f>IF('Journey Awards'!P9="A","A","")</f>
        <v/>
      </c>
      <c r="J27" s="252" t="str">
        <f>'Age-Level'!B21</f>
        <v>My Promise, My Faith (Year 1)</v>
      </c>
      <c r="K27" s="50" t="str">
        <f>IF('Age-Level'!P27="C","C","")</f>
        <v/>
      </c>
    </row>
    <row r="28" spans="1:11">
      <c r="A28" s="31" t="str">
        <f>'Fun Patches'!C20</f>
        <v>&lt;List Patch Here&gt;</v>
      </c>
      <c r="B28" s="50" t="str">
        <f>IF('Fun Patches'!P20="A","C","")</f>
        <v/>
      </c>
      <c r="D28" s="249"/>
      <c r="E28" s="363" t="s">
        <v>68</v>
      </c>
      <c r="F28" s="364"/>
      <c r="G28" s="50" t="str">
        <f>IF('Journey Awards'!P10="A","A","")</f>
        <v/>
      </c>
      <c r="J28" s="252" t="str">
        <f>'Age-Level'!B28</f>
        <v>My Promise, My Faith (Year 2)</v>
      </c>
      <c r="K28" s="50" t="str">
        <f>IF('Age-Level'!P34="C","C","")</f>
        <v/>
      </c>
    </row>
    <row r="29" spans="1:11">
      <c r="A29" s="31" t="str">
        <f>'Fun Patches'!C21</f>
        <v>&lt;List Patch Here&gt;</v>
      </c>
      <c r="B29" s="50" t="str">
        <f>IF('Fun Patches'!P21="A","C","")</f>
        <v/>
      </c>
      <c r="D29" s="102" t="str">
        <f>'Journey Awards'!A14</f>
        <v>Between Earth and Sky</v>
      </c>
      <c r="F29" s="59"/>
      <c r="G29" s="34"/>
      <c r="J29" s="252" t="str">
        <f>'Age-Level'!C36</f>
        <v>Global Action Award</v>
      </c>
      <c r="K29" s="50" t="str">
        <f>IF('Age-Level'!P36="A","C","")</f>
        <v/>
      </c>
    </row>
    <row r="30" spans="1:11">
      <c r="A30" s="31" t="str">
        <f>'Fun Patches'!C22</f>
        <v>&lt;List Patch Here&gt;</v>
      </c>
      <c r="B30" s="50" t="str">
        <f>IF('Fun Patches'!P22="A","C","")</f>
        <v/>
      </c>
      <c r="D30" s="249"/>
      <c r="E30" s="363" t="str">
        <f>'Journey Awards'!C16</f>
        <v>The Blue Bucket Award</v>
      </c>
      <c r="F30" s="364"/>
      <c r="G30" s="50" t="str">
        <f>IF('Journey Awards'!P16="A","A","")</f>
        <v/>
      </c>
      <c r="J30" s="252" t="str">
        <f>'Age-Level'!C38</f>
        <v>Journey Summit Pin</v>
      </c>
      <c r="K30" s="50" t="str">
        <f>IF('Age-Level'!P38="C","C","")</f>
        <v/>
      </c>
    </row>
    <row r="31" spans="1:11">
      <c r="A31" s="31" t="str">
        <f>'Fun Patches'!C23</f>
        <v>&lt;List Patch Here&gt;</v>
      </c>
      <c r="B31" s="50" t="str">
        <f>IF('Fun Patches'!P23="A","C","")</f>
        <v/>
      </c>
      <c r="D31" s="249"/>
      <c r="E31" s="363" t="str">
        <f>'Journey Awards'!C17</f>
        <v>The Firefly Award</v>
      </c>
      <c r="F31" s="364"/>
      <c r="G31" s="50" t="str">
        <f>IF('Journey Awards'!P17="A","A","")</f>
        <v/>
      </c>
      <c r="J31" s="252" t="str">
        <f>'Age-Level'!B39</f>
        <v>Safety Award</v>
      </c>
      <c r="K31" s="50" t="str">
        <f>IF('Age-Level'!P43="C","C","")</f>
        <v/>
      </c>
    </row>
    <row r="32" spans="1:11">
      <c r="A32" s="31" t="str">
        <f>'Fun Patches'!C24</f>
        <v>&lt;List Patch Here&gt;</v>
      </c>
      <c r="B32" s="50" t="str">
        <f>IF('Fun Patches'!P24="A","C","")</f>
        <v/>
      </c>
      <c r="D32" s="249"/>
      <c r="E32" s="363" t="str">
        <f>'Journey Awards'!C18</f>
        <v>The Clover Award</v>
      </c>
      <c r="F32" s="364"/>
      <c r="G32" s="50" t="str">
        <f>IF('Journey Awards'!P18="A","A","")</f>
        <v/>
      </c>
    </row>
    <row r="33" spans="1:11">
      <c r="A33" s="31" t="str">
        <f>'Fun Patches'!C25</f>
        <v>&lt;List Patch Here&gt;</v>
      </c>
      <c r="B33" s="50" t="str">
        <f>IF('Fun Patches'!P25="A","C","")</f>
        <v/>
      </c>
      <c r="D33" s="102" t="str">
        <f>'Journey Awards'!A22</f>
        <v>5 Flowers, 4 Stories, 3 Cheers for Animals!</v>
      </c>
      <c r="F33" s="59"/>
      <c r="G33" s="34" t="str">
        <f>IF('Journey Awards'!P15="A","A","")</f>
        <v/>
      </c>
      <c r="J33" s="61" t="s">
        <v>102</v>
      </c>
    </row>
    <row r="34" spans="1:11">
      <c r="A34" s="31" t="str">
        <f>'Fun Patches'!C26</f>
        <v>&lt;List Patch Here&gt;</v>
      </c>
      <c r="B34" s="50" t="str">
        <f>IF('Fun Patches'!P26="A","C","")</f>
        <v/>
      </c>
      <c r="D34" s="249"/>
      <c r="E34" s="363" t="str">
        <f>'Journey Awards'!C24</f>
        <v>Birdbath Award</v>
      </c>
      <c r="F34" s="364"/>
      <c r="G34" s="50" t="str">
        <f>IF('Journey Awards'!P24="A","A","")</f>
        <v/>
      </c>
      <c r="J34" s="31" t="str">
        <f>'Fun Patches'!C35</f>
        <v>&lt;List Patch Here&gt;</v>
      </c>
      <c r="K34" s="50" t="str">
        <f>IF('Fun Patches'!P35="A","C","")</f>
        <v/>
      </c>
    </row>
    <row r="35" spans="1:11">
      <c r="A35" s="31" t="str">
        <f>'Fun Patches'!C27</f>
        <v>&lt;List Patch Here&gt;</v>
      </c>
      <c r="B35" s="50" t="str">
        <f>IF('Fun Patches'!P27="A","C","")</f>
        <v/>
      </c>
      <c r="D35" s="249"/>
      <c r="E35" s="363" t="str">
        <f>'Journey Awards'!C25</f>
        <v>Red Robin Award</v>
      </c>
      <c r="F35" s="364"/>
      <c r="G35" s="50" t="str">
        <f>IF('Journey Awards'!P25="A","A","")</f>
        <v/>
      </c>
      <c r="J35" s="31" t="str">
        <f>'Fun Patches'!C36</f>
        <v>&lt;List Patch Here&gt;</v>
      </c>
      <c r="K35" s="50" t="str">
        <f>IF('Fun Patches'!P36="A","C","")</f>
        <v/>
      </c>
    </row>
    <row r="36" spans="1:11">
      <c r="A36" s="251" t="str">
        <f>'Fun Patches'!C28</f>
        <v>&lt;List Patch Here&gt;</v>
      </c>
      <c r="B36" s="50" t="str">
        <f>IF('Fun Patches'!P28="A","C","")</f>
        <v/>
      </c>
      <c r="D36" s="249"/>
      <c r="E36" s="363" t="str">
        <f>'Journey Awards'!C26</f>
        <v>Tula Award</v>
      </c>
      <c r="F36" s="364"/>
      <c r="G36" s="50" t="str">
        <f>IF('Journey Awards'!P26="A","A","")</f>
        <v/>
      </c>
      <c r="J36" s="31" t="str">
        <f>'Fun Patches'!C37</f>
        <v>&lt;List Patch Here&gt;</v>
      </c>
      <c r="K36" s="50" t="str">
        <f>IF('Fun Patches'!P37="A","C","")</f>
        <v/>
      </c>
    </row>
    <row r="37" spans="1:11">
      <c r="A37" s="253" t="str">
        <f>'Fun Patches'!C29</f>
        <v>&lt;List Patch Here&gt;</v>
      </c>
      <c r="B37" s="50" t="str">
        <f>IF('Fun Patches'!P29="A","C","")</f>
        <v/>
      </c>
      <c r="J37" s="31" t="str">
        <f>'Fun Patches'!C38</f>
        <v>&lt;List Patch Here&gt;</v>
      </c>
      <c r="K37" s="50" t="str">
        <f>IF('Fun Patches'!P38="A","C","")</f>
        <v/>
      </c>
    </row>
    <row r="38" spans="1:11" ht="12.75" customHeight="1">
      <c r="A38" s="282"/>
      <c r="B38" s="208"/>
      <c r="C38" s="142"/>
      <c r="D38" s="361" t="s">
        <v>102</v>
      </c>
      <c r="E38" s="300"/>
      <c r="F38" s="300"/>
      <c r="J38" s="31" t="str">
        <f>'Fun Patches'!C39</f>
        <v>&lt;List Patch Here&gt;</v>
      </c>
      <c r="K38" s="50" t="str">
        <f>IF('Fun Patches'!P39="A","C","")</f>
        <v/>
      </c>
    </row>
    <row r="39" spans="1:11" ht="13.5" customHeight="1">
      <c r="A39" s="103"/>
      <c r="B39" s="142"/>
      <c r="C39" s="142"/>
      <c r="E39" s="368" t="str">
        <f>'Fun Patches'!C30</f>
        <v>&lt;List Patch Here&gt;</v>
      </c>
      <c r="F39" s="369"/>
      <c r="G39" s="50" t="str">
        <f>IF('Fun Patches'!P30="A","C","")</f>
        <v/>
      </c>
      <c r="J39" s="31" t="str">
        <f>'Fun Patches'!C40</f>
        <v>&lt;List Patch Here&gt;</v>
      </c>
      <c r="K39" s="50" t="str">
        <f>IF('Fun Patches'!P40="A","C","")</f>
        <v/>
      </c>
    </row>
    <row r="40" spans="1:11" ht="13.5" customHeight="1">
      <c r="A40" s="143" t="s">
        <v>115</v>
      </c>
      <c r="B40" s="141"/>
      <c r="C40" s="142"/>
      <c r="E40" s="368" t="str">
        <f>'Fun Patches'!C31</f>
        <v>&lt;List Patch Here&gt;</v>
      </c>
      <c r="F40" s="369"/>
      <c r="G40" s="50" t="str">
        <f>IF('Fun Patches'!P31="A","C","")</f>
        <v/>
      </c>
      <c r="J40" s="31" t="str">
        <f>'Fun Patches'!C41</f>
        <v>&lt;List Patch Here&gt;</v>
      </c>
      <c r="K40" s="50" t="str">
        <f>IF('Fun Patches'!P41="A","C","")</f>
        <v/>
      </c>
    </row>
    <row r="41" spans="1:11" ht="13.5" customHeight="1">
      <c r="A41" s="145" t="s">
        <v>116</v>
      </c>
      <c r="B41" s="139"/>
      <c r="C41" s="140"/>
      <c r="E41" s="368" t="str">
        <f>'Fun Patches'!C32</f>
        <v>&lt;List Patch Here&gt;</v>
      </c>
      <c r="F41" s="369"/>
      <c r="G41" s="50" t="str">
        <f>IF('Fun Patches'!P32="A","C","")</f>
        <v/>
      </c>
      <c r="J41" s="31" t="str">
        <f>'Fun Patches'!C42</f>
        <v>&lt;List Patch Here&gt;</v>
      </c>
      <c r="K41" s="50" t="str">
        <f>IF('Fun Patches'!P42="A","C","")</f>
        <v/>
      </c>
    </row>
    <row r="42" spans="1:11">
      <c r="A42" s="146" t="s">
        <v>118</v>
      </c>
      <c r="B42" s="140"/>
      <c r="C42" s="140"/>
      <c r="E42" s="368" t="str">
        <f>'Fun Patches'!C33</f>
        <v>&lt;List Patch Here&gt;</v>
      </c>
      <c r="F42" s="369"/>
      <c r="G42" s="50" t="str">
        <f>IF('Fun Patches'!P33="A","C","")</f>
        <v/>
      </c>
      <c r="J42" s="31" t="str">
        <f>'Fun Patches'!C43</f>
        <v>&lt;List Patch Here&gt;</v>
      </c>
      <c r="K42" s="50" t="str">
        <f>IF('Fun Patches'!P43="A","C","")</f>
        <v/>
      </c>
    </row>
    <row r="43" spans="1:11">
      <c r="A43" s="147" t="s">
        <v>117</v>
      </c>
      <c r="B43" s="140"/>
      <c r="C43" s="140"/>
      <c r="E43" s="368" t="str">
        <f>'Fun Patches'!C34</f>
        <v>&lt;List Patch Here&gt;</v>
      </c>
      <c r="F43" s="369"/>
      <c r="G43" s="50" t="str">
        <f>IF('Fun Patches'!P34="A","C","")</f>
        <v/>
      </c>
      <c r="J43" s="31" t="str">
        <f>'Fun Patches'!C44</f>
        <v>&lt;List Patch Here&gt;</v>
      </c>
      <c r="K43" s="50" t="str">
        <f>IF('Fun Patches'!P44="A","C","")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14</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IF(Petals!Q6="A","A","")</f>
        <v/>
      </c>
      <c r="I3" s="211" t="str">
        <f>Bridging!B6</f>
        <v>Pass It On</v>
      </c>
      <c r="J3" s="211"/>
      <c r="K3" s="211"/>
    </row>
    <row r="4" spans="1:11">
      <c r="A4" s="66" t="s">
        <v>44</v>
      </c>
      <c r="B4" s="48" t="str">
        <f>IF(Petals!Q18="C","C",IF(Petals!Q18="P","P",""))</f>
        <v/>
      </c>
      <c r="D4" s="61" t="s">
        <v>44</v>
      </c>
      <c r="G4" s="34"/>
      <c r="I4" s="249">
        <v>1</v>
      </c>
      <c r="J4" s="252" t="str">
        <f>Bridging!C7</f>
        <v>Teach younger girls the GS Promise</v>
      </c>
      <c r="K4" s="50" t="str">
        <f>IF(Bridging!Q7="A","A","")</f>
        <v/>
      </c>
    </row>
    <row r="5" spans="1:11">
      <c r="A5" s="207" t="s">
        <v>141</v>
      </c>
      <c r="B5" s="209">
        <f>INT(COUNTIF(G18:G21,"A"))</f>
        <v>0</v>
      </c>
      <c r="E5" s="31" t="str">
        <f>Petals!B8</f>
        <v>Lupe</v>
      </c>
      <c r="F5" s="31" t="str">
        <f>Petals!C8</f>
        <v>Honest and fair</v>
      </c>
      <c r="G5" s="50" t="str">
        <f>IF(Petals!Q8="A","A","")</f>
        <v/>
      </c>
      <c r="I5" s="249">
        <v>2</v>
      </c>
      <c r="J5" s="252" t="str">
        <f>Bridging!C8</f>
        <v>Tell younger girls about the Flower</v>
      </c>
      <c r="K5" s="50" t="str">
        <f>IF(Bridging!Q8="A","A","")</f>
        <v/>
      </c>
    </row>
    <row r="6" spans="1:11">
      <c r="A6" s="67" t="s">
        <v>62</v>
      </c>
      <c r="B6" s="54"/>
      <c r="E6" s="31" t="str">
        <f>Petals!B9</f>
        <v>Sunny</v>
      </c>
      <c r="F6" s="31" t="str">
        <f>Petals!C9</f>
        <v>Friendly and helpful</v>
      </c>
      <c r="G6" s="50" t="str">
        <f>IF(Petals!Q9="A","A","")</f>
        <v/>
      </c>
      <c r="I6" s="249">
        <v>3</v>
      </c>
      <c r="J6" s="252" t="str">
        <f>Bridging!C9</f>
        <v>Play a game together!</v>
      </c>
      <c r="K6" s="50" t="str">
        <f>IF(Bridging!Q9="A","A","")</f>
        <v/>
      </c>
    </row>
    <row r="7" spans="1:11">
      <c r="A7" s="206" t="str">
        <f>'Journey Awards'!A6</f>
        <v>Welcome to the Daisy Flower Garden</v>
      </c>
      <c r="B7" s="48" t="str">
        <f>IF('Journey Awards'!Q11="C","C",IF('Journey Awards'!Q11="P","P",""))</f>
        <v/>
      </c>
      <c r="E7" s="31" t="str">
        <f>Petals!B10</f>
        <v>Zinni</v>
      </c>
      <c r="F7" s="31" t="str">
        <f>Petals!C10</f>
        <v>Considerate and caring</v>
      </c>
      <c r="G7" s="50" t="str">
        <f>IF(Petals!Q10="A","A","")</f>
        <v/>
      </c>
      <c r="I7" s="250" t="str">
        <f>Bridging!B11</f>
        <v>Look Ahead</v>
      </c>
      <c r="J7" s="59"/>
      <c r="K7" s="34"/>
    </row>
    <row r="8" spans="1:11">
      <c r="A8" s="206" t="str">
        <f>'Journey Awards'!A14</f>
        <v>Between Earth and Sky</v>
      </c>
      <c r="B8" s="48" t="str">
        <f>IF('Journey Awards'!Q19="C","C",IF('Journey Awards'!Q19="P","P",""))</f>
        <v/>
      </c>
      <c r="E8" s="31" t="str">
        <f>Petals!B11</f>
        <v>Tula</v>
      </c>
      <c r="F8" s="31" t="str">
        <f>Petals!C11</f>
        <v>Courageous and strong</v>
      </c>
      <c r="G8" s="50" t="str">
        <f>IF(Petals!Q11="A","A","")</f>
        <v/>
      </c>
      <c r="I8" s="249">
        <v>1</v>
      </c>
      <c r="J8" s="252" t="str">
        <f>Bridging!C12</f>
        <v>Say the Girl Scout Promise together.</v>
      </c>
      <c r="K8" s="50" t="str">
        <f>IF(Bridging!Q12="A","A","")</f>
        <v/>
      </c>
    </row>
    <row r="9" spans="1:11">
      <c r="A9" s="206" t="str">
        <f>'Journey Awards'!A22</f>
        <v>5 Flowers, 4 Stories, 3 Cheers for Animals!</v>
      </c>
      <c r="B9" s="48" t="str">
        <f>IF('Journey Awards'!Q27="C","C",IF('Journey Awards'!Q27="P","P",""))</f>
        <v/>
      </c>
      <c r="E9" s="31" t="str">
        <f>Petals!B12</f>
        <v>Mari</v>
      </c>
      <c r="F9" s="31" t="str">
        <f>Petals!C12</f>
        <v>Responsible for what I say and do</v>
      </c>
      <c r="G9" s="50" t="str">
        <f>IF(Petals!Q12="A","A","")</f>
        <v/>
      </c>
      <c r="I9" s="249">
        <v>2</v>
      </c>
      <c r="J9" s="252" t="str">
        <f>Bridging!C13</f>
        <v>Ask the Brownies to teach you</v>
      </c>
      <c r="K9" s="50" t="str">
        <f>IF(Bridging!Q13="A","A","")</f>
        <v/>
      </c>
    </row>
    <row r="10" spans="1:11">
      <c r="A10" s="90" t="s">
        <v>61</v>
      </c>
      <c r="B10" s="48" t="str">
        <f>IF(Bridging!Q18="C","C",IF(Bridging!Q18="P","P",""))</f>
        <v/>
      </c>
      <c r="E10" s="31" t="str">
        <f>Petals!B13</f>
        <v>Gloria</v>
      </c>
      <c r="F10" s="31" t="str">
        <f>Petals!C13</f>
        <v>Respect for myself &amp; others</v>
      </c>
      <c r="G10" s="50" t="str">
        <f>IF(Petals!Q13="A","A","")</f>
        <v/>
      </c>
      <c r="I10" s="249">
        <v>4</v>
      </c>
      <c r="J10" s="252" t="str">
        <f>Bridging!C14</f>
        <v>Ask the Brownies to show you</v>
      </c>
      <c r="K10" s="50" t="str">
        <f>IF(Bridging!Q14="A","A","")</f>
        <v/>
      </c>
    </row>
    <row r="11" spans="1:11">
      <c r="A11" s="250"/>
      <c r="B11" s="99"/>
      <c r="E11" s="31" t="str">
        <f>Petals!B14</f>
        <v>Gerri</v>
      </c>
      <c r="F11" s="31" t="str">
        <f>Petals!C14</f>
        <v>Respect authority</v>
      </c>
      <c r="G11" s="50" t="str">
        <f>IF(Petals!Q14="A","A","")</f>
        <v/>
      </c>
      <c r="I11" s="232" t="str">
        <f>Bridging!C16</f>
        <v>Plan a Ceremony</v>
      </c>
      <c r="J11" s="59"/>
      <c r="K11" s="50" t="str">
        <f>IF(Bridging!Q16="A","A","")</f>
        <v/>
      </c>
    </row>
    <row r="12" spans="1:11">
      <c r="A12" s="61" t="s">
        <v>100</v>
      </c>
      <c r="E12" s="31" t="str">
        <f>Petals!B15</f>
        <v>Clover</v>
      </c>
      <c r="F12" s="31" t="str">
        <f>Petals!C15</f>
        <v>Use resources wisely</v>
      </c>
      <c r="G12" s="50" t="str">
        <f>IF(Petals!Q15="A","A","")</f>
        <v/>
      </c>
    </row>
    <row r="13" spans="1:11">
      <c r="A13" s="31" t="str">
        <f>'Fun Patches'!C5</f>
        <v>&lt;List Patch Here&gt;</v>
      </c>
      <c r="B13" s="50" t="str">
        <f>IF('Fun Patches'!Q5="A","C","")</f>
        <v/>
      </c>
      <c r="E13" s="31" t="str">
        <f>Petals!B16</f>
        <v>Rosie</v>
      </c>
      <c r="F13" s="31" t="str">
        <f>Petals!C16</f>
        <v>Make the world a better place</v>
      </c>
      <c r="G13" s="50" t="str">
        <f>IF(Petals!Q16="A","A","")</f>
        <v/>
      </c>
      <c r="I13" s="362" t="s">
        <v>71</v>
      </c>
      <c r="J13" s="362"/>
      <c r="K13" s="362"/>
    </row>
    <row r="14" spans="1:11">
      <c r="A14" s="31" t="str">
        <f>'Fun Patches'!C6</f>
        <v>&lt;List Patch Here&gt;</v>
      </c>
      <c r="B14" s="50" t="str">
        <f>IF('Fun Patches'!Q6="A","C","")</f>
        <v/>
      </c>
      <c r="E14" s="31" t="str">
        <f>Petals!B17</f>
        <v>Vi</v>
      </c>
      <c r="F14" s="31" t="str">
        <f>Petals!C17</f>
        <v>Be a sister to every Girl Scout</v>
      </c>
      <c r="G14" s="50" t="str">
        <f>IF(Petals!Q17="A","A","")</f>
        <v/>
      </c>
      <c r="I14" s="362"/>
      <c r="J14" s="362"/>
      <c r="K14" s="362"/>
    </row>
    <row r="15" spans="1:11">
      <c r="A15" s="31" t="str">
        <f>'Fun Patches'!C7</f>
        <v>&lt;List Patch Here&gt;</v>
      </c>
      <c r="B15" s="50" t="str">
        <f>IF('Fun Patches'!Q7="A","C","")</f>
        <v/>
      </c>
      <c r="E15" s="73"/>
      <c r="F15" s="73"/>
      <c r="G15" s="208"/>
      <c r="I15" s="249"/>
      <c r="J15" s="252" t="str">
        <f>'Age-Level'!C6</f>
        <v>Cookie Rally (Year 1)</v>
      </c>
      <c r="K15" s="50" t="str">
        <f>IF('Age-Level'!Q6="A","C","")</f>
        <v/>
      </c>
    </row>
    <row r="16" spans="1:11">
      <c r="A16" s="31" t="str">
        <f>'Fun Patches'!C8</f>
        <v>&lt;List Patch Here&gt;</v>
      </c>
      <c r="B16" s="50" t="str">
        <f>IF('Fun Patches'!Q8="A","C","")</f>
        <v/>
      </c>
      <c r="D16" s="362" t="s">
        <v>141</v>
      </c>
      <c r="E16" s="300"/>
      <c r="F16" s="300"/>
      <c r="G16" s="300"/>
      <c r="I16" s="249"/>
      <c r="J16" s="252" t="str">
        <f>'Age-Level'!C7</f>
        <v>Cookie Sales (Year 1)</v>
      </c>
      <c r="K16" s="50" t="str">
        <f>IF('Age-Level'!Q7="A","C","")</f>
        <v/>
      </c>
    </row>
    <row r="17" spans="1:11">
      <c r="A17" s="31" t="str">
        <f>'Fun Patches'!C9</f>
        <v>&lt;List Patch Here&gt;</v>
      </c>
      <c r="B17" s="50" t="str">
        <f>IF('Fun Patches'!Q9="A","C","")</f>
        <v/>
      </c>
      <c r="D17" s="300"/>
      <c r="E17" s="300"/>
      <c r="F17" s="300"/>
      <c r="G17" s="300"/>
      <c r="I17" s="51"/>
      <c r="J17" s="252" t="str">
        <f>'Age-Level'!C8</f>
        <v>Cookie Pin (Year 1)</v>
      </c>
      <c r="K17" s="50" t="str">
        <f>IF('Age-Level'!Q8="A","C","")</f>
        <v/>
      </c>
    </row>
    <row r="18" spans="1:11">
      <c r="A18" s="31" t="str">
        <f>'Fun Patches'!C10</f>
        <v>&lt;List Patch Here&gt;</v>
      </c>
      <c r="B18" s="50" t="str">
        <f>IF('Fun Patches'!Q10="A","C","")</f>
        <v/>
      </c>
      <c r="D18" s="366" t="str">
        <f>Petals!B22</f>
        <v>Finance</v>
      </c>
      <c r="E18" s="367"/>
      <c r="F18" s="200" t="str">
        <f>Petals!B20</f>
        <v>Money Counts</v>
      </c>
      <c r="G18" s="50" t="str">
        <f>IF(Petals!Q23="C","A","")</f>
        <v/>
      </c>
      <c r="I18" s="51"/>
      <c r="J18" s="252" t="str">
        <f>'Age-Level'!C9</f>
        <v>Cookie Rally (Year 2)</v>
      </c>
      <c r="K18" s="50" t="str">
        <f>IF('Age-Level'!Q9="A","C","")</f>
        <v/>
      </c>
    </row>
    <row r="19" spans="1:11">
      <c r="A19" s="31" t="str">
        <f>'Fun Patches'!C11</f>
        <v>&lt;List Patch Here&gt;</v>
      </c>
      <c r="B19" s="50" t="str">
        <f>IF('Fun Patches'!Q11="A","C","")</f>
        <v/>
      </c>
      <c r="D19" s="366" t="str">
        <f>Petals!B27</f>
        <v>Finance</v>
      </c>
      <c r="E19" s="367"/>
      <c r="F19" s="200" t="str">
        <f>Petals!B25</f>
        <v>Making Choices</v>
      </c>
      <c r="G19" s="50" t="str">
        <f>IF(Petals!Q28="C","A","")</f>
        <v/>
      </c>
      <c r="I19" s="51"/>
      <c r="J19" s="252" t="str">
        <f>'Age-Level'!C10</f>
        <v>Cookie Sales (Year 2)</v>
      </c>
      <c r="K19" s="50" t="str">
        <f>IF('Age-Level'!Q10="A","C","")</f>
        <v/>
      </c>
    </row>
    <row r="20" spans="1:11">
      <c r="A20" s="31" t="str">
        <f>'Fun Patches'!C12</f>
        <v>&lt;List Patch Here&gt;</v>
      </c>
      <c r="B20" s="50" t="str">
        <f>IF('Fun Patches'!Q12="A","C","")</f>
        <v/>
      </c>
      <c r="D20" s="366" t="str">
        <f>Petals!B32</f>
        <v>Cookie</v>
      </c>
      <c r="E20" s="367"/>
      <c r="F20" s="200" t="str">
        <f>Petals!B30</f>
        <v>Count It Up</v>
      </c>
      <c r="G20" s="50" t="str">
        <f>IF(Petals!Q33="C","A","")</f>
        <v/>
      </c>
      <c r="I20" s="52"/>
      <c r="J20" s="252" t="str">
        <f>'Age-Level'!C11</f>
        <v>Cookie Pin (Year 2)</v>
      </c>
      <c r="K20" s="50" t="str">
        <f>IF('Age-Level'!Q11="A","C","")</f>
        <v/>
      </c>
    </row>
    <row r="21" spans="1:11">
      <c r="A21" s="31" t="str">
        <f>'Fun Patches'!C13</f>
        <v>&lt;List Patch Here&gt;</v>
      </c>
      <c r="B21" s="50" t="str">
        <f>IF('Fun Patches'!Q13="A","C","")</f>
        <v/>
      </c>
      <c r="D21" s="366" t="str">
        <f>Petals!B37</f>
        <v>Cookie</v>
      </c>
      <c r="E21" s="367"/>
      <c r="F21" s="200" t="str">
        <f>Petals!B35</f>
        <v>Talk It Up</v>
      </c>
      <c r="G21" s="50" t="str">
        <f>IF(Petals!Q38="C","A","")</f>
        <v/>
      </c>
      <c r="I21" s="53"/>
      <c r="J21" s="252" t="str">
        <f>'Age-Level'!C13</f>
        <v>Fall Sales (Year 1)</v>
      </c>
      <c r="K21" s="50" t="str">
        <f>IF('Age-Level'!Q13="A","C","")</f>
        <v/>
      </c>
    </row>
    <row r="22" spans="1:11">
      <c r="A22" s="31" t="str">
        <f>'Fun Patches'!C14</f>
        <v>&lt;List Patch Here&gt;</v>
      </c>
      <c r="B22" s="50" t="str">
        <f>IF('Fun Patches'!Q14="A","C","")</f>
        <v/>
      </c>
      <c r="I22" s="26"/>
      <c r="J22" s="252" t="str">
        <f>'Age-Level'!C14</f>
        <v>Fall Sales (Year 2)</v>
      </c>
      <c r="K22" s="50" t="str">
        <f>IF('Age-Level'!Q14="A","C","")</f>
        <v/>
      </c>
    </row>
    <row r="23" spans="1:11">
      <c r="A23" s="31" t="str">
        <f>'Fun Patches'!C15</f>
        <v>&lt;List Patch Here&gt;</v>
      </c>
      <c r="B23" s="50" t="str">
        <f>IF('Fun Patches'!Q15="A","C","")</f>
        <v/>
      </c>
      <c r="D23" s="362" t="s">
        <v>62</v>
      </c>
      <c r="E23" s="362"/>
      <c r="F23" s="362"/>
      <c r="G23" s="362"/>
      <c r="J23" s="252" t="str">
        <f>'Age-Level'!C16</f>
        <v>Thinking Day (Year 1)</v>
      </c>
      <c r="K23" s="50" t="str">
        <f>IF('Age-Level'!Q16="A","C","")</f>
        <v/>
      </c>
    </row>
    <row r="24" spans="1:11">
      <c r="A24" s="31" t="str">
        <f>'Fun Patches'!C16</f>
        <v>&lt;List Patch Here&gt;</v>
      </c>
      <c r="B24" s="50" t="str">
        <f>IF('Fun Patches'!Q16="A","C","")</f>
        <v/>
      </c>
      <c r="D24" s="362"/>
      <c r="E24" s="362"/>
      <c r="F24" s="362"/>
      <c r="G24" s="362"/>
      <c r="J24" s="252" t="str">
        <f>'Age-Level'!C17</f>
        <v>Thinking Day (Year 2)</v>
      </c>
      <c r="K24" s="50" t="str">
        <f>IF('Age-Level'!Q17="A","C","")</f>
        <v/>
      </c>
    </row>
    <row r="25" spans="1:11">
      <c r="A25" s="31" t="str">
        <f>'Fun Patches'!C17</f>
        <v>&lt;List Patch Here&gt;</v>
      </c>
      <c r="B25" s="50" t="str">
        <f>IF('Fun Patches'!Q17="A","C","")</f>
        <v/>
      </c>
      <c r="D25" s="250" t="str">
        <f>'Journey Awards'!A6</f>
        <v>Welcome to the Daisy Flower Garden</v>
      </c>
      <c r="F25" s="57"/>
      <c r="G25" s="248"/>
      <c r="J25" s="252" t="str">
        <f>'Age-Level'!C19</f>
        <v>Investiture</v>
      </c>
      <c r="K25" s="50" t="str">
        <f>IF('Age-Level'!Q19="A","C","")</f>
        <v/>
      </c>
    </row>
    <row r="26" spans="1:11">
      <c r="A26" s="31" t="str">
        <f>'Fun Patches'!C18</f>
        <v>&lt;List Patch Here&gt;</v>
      </c>
      <c r="B26" s="50" t="str">
        <f>IF('Fun Patches'!Q18="A","C","")</f>
        <v/>
      </c>
      <c r="D26" s="249"/>
      <c r="E26" s="363" t="s">
        <v>66</v>
      </c>
      <c r="F26" s="364"/>
      <c r="G26" s="50" t="str">
        <f>IF('Journey Awards'!Q8="A","A","")</f>
        <v/>
      </c>
      <c r="J26" s="252" t="str">
        <f>'Age-Level'!C20</f>
        <v>Rededication (1st year)</v>
      </c>
      <c r="K26" s="50" t="str">
        <f>IF('Age-Level'!Q20="A","C","")</f>
        <v/>
      </c>
    </row>
    <row r="27" spans="1:11">
      <c r="A27" s="31" t="str">
        <f>'Fun Patches'!C19</f>
        <v>&lt;List Patch Here&gt;</v>
      </c>
      <c r="B27" s="50" t="str">
        <f>IF('Fun Patches'!Q19="A","C","")</f>
        <v/>
      </c>
      <c r="D27" s="249"/>
      <c r="E27" s="363" t="s">
        <v>67</v>
      </c>
      <c r="F27" s="364"/>
      <c r="G27" s="50" t="str">
        <f>IF('Journey Awards'!Q9="A","A","")</f>
        <v/>
      </c>
      <c r="J27" s="252" t="str">
        <f>'Age-Level'!B21</f>
        <v>My Promise, My Faith (Year 1)</v>
      </c>
      <c r="K27" s="50" t="str">
        <f>IF('Age-Level'!Q27="C","C","")</f>
        <v/>
      </c>
    </row>
    <row r="28" spans="1:11">
      <c r="A28" s="31" t="str">
        <f>'Fun Patches'!C20</f>
        <v>&lt;List Patch Here&gt;</v>
      </c>
      <c r="B28" s="50" t="str">
        <f>IF('Fun Patches'!Q20="A","C","")</f>
        <v/>
      </c>
      <c r="D28" s="249"/>
      <c r="E28" s="363" t="s">
        <v>68</v>
      </c>
      <c r="F28" s="364"/>
      <c r="G28" s="50" t="str">
        <f>IF('Journey Awards'!Q10="A","A","")</f>
        <v/>
      </c>
      <c r="J28" s="252" t="str">
        <f>'Age-Level'!B28</f>
        <v>My Promise, My Faith (Year 2)</v>
      </c>
      <c r="K28" s="50" t="str">
        <f>IF('Age-Level'!Q34="C","C","")</f>
        <v/>
      </c>
    </row>
    <row r="29" spans="1:11">
      <c r="A29" s="31" t="str">
        <f>'Fun Patches'!C21</f>
        <v>&lt;List Patch Here&gt;</v>
      </c>
      <c r="B29" s="50" t="str">
        <f>IF('Fun Patches'!Q21="A","C","")</f>
        <v/>
      </c>
      <c r="D29" s="102" t="str">
        <f>'Journey Awards'!A14</f>
        <v>Between Earth and Sky</v>
      </c>
      <c r="F29" s="59"/>
      <c r="G29" s="34"/>
      <c r="J29" s="252" t="str">
        <f>'Age-Level'!C36</f>
        <v>Global Action Award</v>
      </c>
      <c r="K29" s="50" t="str">
        <f>IF('Age-Level'!Q36="A","C","")</f>
        <v/>
      </c>
    </row>
    <row r="30" spans="1:11">
      <c r="A30" s="31" t="str">
        <f>'Fun Patches'!C22</f>
        <v>&lt;List Patch Here&gt;</v>
      </c>
      <c r="B30" s="50" t="str">
        <f>IF('Fun Patches'!Q22="A","C","")</f>
        <v/>
      </c>
      <c r="D30" s="249"/>
      <c r="E30" s="363" t="str">
        <f>'Journey Awards'!C16</f>
        <v>The Blue Bucket Award</v>
      </c>
      <c r="F30" s="364"/>
      <c r="G30" s="50" t="str">
        <f>IF('Journey Awards'!Q16="A","A","")</f>
        <v/>
      </c>
      <c r="J30" s="252" t="str">
        <f>'Age-Level'!C38</f>
        <v>Journey Summit Pin</v>
      </c>
      <c r="K30" s="50" t="str">
        <f>IF('Age-Level'!Q38="C","C","")</f>
        <v/>
      </c>
    </row>
    <row r="31" spans="1:11">
      <c r="A31" s="31" t="str">
        <f>'Fun Patches'!C23</f>
        <v>&lt;List Patch Here&gt;</v>
      </c>
      <c r="B31" s="50" t="str">
        <f>IF('Fun Patches'!Q23="A","C","")</f>
        <v/>
      </c>
      <c r="D31" s="249"/>
      <c r="E31" s="363" t="str">
        <f>'Journey Awards'!C17</f>
        <v>The Firefly Award</v>
      </c>
      <c r="F31" s="364"/>
      <c r="G31" s="50" t="str">
        <f>IF('Journey Awards'!Q17="A","A","")</f>
        <v/>
      </c>
      <c r="J31" s="252" t="str">
        <f>'Age-Level'!B39</f>
        <v>Safety Award</v>
      </c>
      <c r="K31" s="50" t="str">
        <f>IF('Age-Level'!Q43="C","C","")</f>
        <v/>
      </c>
    </row>
    <row r="32" spans="1:11">
      <c r="A32" s="31" t="str">
        <f>'Fun Patches'!C24</f>
        <v>&lt;List Patch Here&gt;</v>
      </c>
      <c r="B32" s="50" t="str">
        <f>IF('Fun Patches'!Q24="A","C","")</f>
        <v/>
      </c>
      <c r="D32" s="249"/>
      <c r="E32" s="363" t="str">
        <f>'Journey Awards'!C18</f>
        <v>The Clover Award</v>
      </c>
      <c r="F32" s="364"/>
      <c r="G32" s="50" t="str">
        <f>IF('Journey Awards'!Q18="A","A","")</f>
        <v/>
      </c>
    </row>
    <row r="33" spans="1:11">
      <c r="A33" s="31" t="str">
        <f>'Fun Patches'!C25</f>
        <v>&lt;List Patch Here&gt;</v>
      </c>
      <c r="B33" s="50" t="str">
        <f>IF('Fun Patches'!Q25="A","C","")</f>
        <v/>
      </c>
      <c r="D33" s="102" t="str">
        <f>'Journey Awards'!A22</f>
        <v>5 Flowers, 4 Stories, 3 Cheers for Animals!</v>
      </c>
      <c r="F33" s="59"/>
      <c r="G33" s="34" t="str">
        <f>IF('Journey Awards'!Q15="A","A","")</f>
        <v/>
      </c>
      <c r="J33" s="61" t="s">
        <v>102</v>
      </c>
    </row>
    <row r="34" spans="1:11">
      <c r="A34" s="31" t="str">
        <f>'Fun Patches'!C26</f>
        <v>&lt;List Patch Here&gt;</v>
      </c>
      <c r="B34" s="50" t="str">
        <f>IF('Fun Patches'!Q26="A","C","")</f>
        <v/>
      </c>
      <c r="D34" s="249"/>
      <c r="E34" s="363" t="str">
        <f>'Journey Awards'!C24</f>
        <v>Birdbath Award</v>
      </c>
      <c r="F34" s="364"/>
      <c r="G34" s="50" t="str">
        <f>IF('Journey Awards'!Q24="A","A","")</f>
        <v/>
      </c>
      <c r="J34" s="31" t="str">
        <f>'Fun Patches'!C35</f>
        <v>&lt;List Patch Here&gt;</v>
      </c>
      <c r="K34" s="50" t="str">
        <f>IF('Fun Patches'!Q35="A","C","")</f>
        <v/>
      </c>
    </row>
    <row r="35" spans="1:11">
      <c r="A35" s="31" t="str">
        <f>'Fun Patches'!C27</f>
        <v>&lt;List Patch Here&gt;</v>
      </c>
      <c r="B35" s="50" t="str">
        <f>IF('Fun Patches'!Q27="A","C","")</f>
        <v/>
      </c>
      <c r="D35" s="249"/>
      <c r="E35" s="363" t="str">
        <f>'Journey Awards'!C25</f>
        <v>Red Robin Award</v>
      </c>
      <c r="F35" s="364"/>
      <c r="G35" s="50" t="str">
        <f>IF('Journey Awards'!Q25="A","A","")</f>
        <v/>
      </c>
      <c r="J35" s="31" t="str">
        <f>'Fun Patches'!C36</f>
        <v>&lt;List Patch Here&gt;</v>
      </c>
      <c r="K35" s="50" t="str">
        <f>IF('Fun Patches'!Q36="A","C","")</f>
        <v/>
      </c>
    </row>
    <row r="36" spans="1:11">
      <c r="A36" s="251" t="str">
        <f>'Fun Patches'!C28</f>
        <v>&lt;List Patch Here&gt;</v>
      </c>
      <c r="B36" s="50" t="str">
        <f>IF('Fun Patches'!Q28="A","C","")</f>
        <v/>
      </c>
      <c r="D36" s="249"/>
      <c r="E36" s="363" t="str">
        <f>'Journey Awards'!C26</f>
        <v>Tula Award</v>
      </c>
      <c r="F36" s="364"/>
      <c r="G36" s="50" t="str">
        <f>IF('Journey Awards'!Q26="A","A","")</f>
        <v/>
      </c>
      <c r="J36" s="31" t="str">
        <f>'Fun Patches'!C37</f>
        <v>&lt;List Patch Here&gt;</v>
      </c>
      <c r="K36" s="50" t="str">
        <f>IF('Fun Patches'!Q37="A","C","")</f>
        <v/>
      </c>
    </row>
    <row r="37" spans="1:11">
      <c r="A37" s="253" t="str">
        <f>'Fun Patches'!C29</f>
        <v>&lt;List Patch Here&gt;</v>
      </c>
      <c r="B37" s="50" t="str">
        <f>IF('Fun Patches'!Q29="A","C","")</f>
        <v/>
      </c>
      <c r="J37" s="31" t="str">
        <f>'Fun Patches'!C38</f>
        <v>&lt;List Patch Here&gt;</v>
      </c>
      <c r="K37" s="50" t="str">
        <f>IF('Fun Patches'!Q38="A","C","")</f>
        <v/>
      </c>
    </row>
    <row r="38" spans="1:11" ht="12.75" customHeight="1">
      <c r="A38" s="282"/>
      <c r="B38" s="208"/>
      <c r="C38" s="142"/>
      <c r="D38" s="361" t="s">
        <v>102</v>
      </c>
      <c r="E38" s="300"/>
      <c r="F38" s="300"/>
      <c r="J38" s="31" t="str">
        <f>'Fun Patches'!C39</f>
        <v>&lt;List Patch Here&gt;</v>
      </c>
      <c r="K38" s="50" t="str">
        <f>IF('Fun Patches'!Q39="A","C","")</f>
        <v/>
      </c>
    </row>
    <row r="39" spans="1:11" ht="13.5" customHeight="1">
      <c r="A39" s="103"/>
      <c r="B39" s="142"/>
      <c r="C39" s="142"/>
      <c r="E39" s="368" t="str">
        <f>'Fun Patches'!C30</f>
        <v>&lt;List Patch Here&gt;</v>
      </c>
      <c r="F39" s="369"/>
      <c r="G39" s="50" t="str">
        <f>IF('Fun Patches'!Q30="A","C","")</f>
        <v/>
      </c>
      <c r="J39" s="31" t="str">
        <f>'Fun Patches'!C40</f>
        <v>&lt;List Patch Here&gt;</v>
      </c>
      <c r="K39" s="50" t="str">
        <f>IF('Fun Patches'!Q40="A","C","")</f>
        <v/>
      </c>
    </row>
    <row r="40" spans="1:11" ht="13.5" customHeight="1">
      <c r="A40" s="143" t="s">
        <v>115</v>
      </c>
      <c r="B40" s="141"/>
      <c r="C40" s="142"/>
      <c r="E40" s="368" t="str">
        <f>'Fun Patches'!C31</f>
        <v>&lt;List Patch Here&gt;</v>
      </c>
      <c r="F40" s="369"/>
      <c r="G40" s="50" t="str">
        <f>IF('Fun Patches'!Q31="A","C","")</f>
        <v/>
      </c>
      <c r="J40" s="31" t="str">
        <f>'Fun Patches'!C41</f>
        <v>&lt;List Patch Here&gt;</v>
      </c>
      <c r="K40" s="50" t="str">
        <f>IF('Fun Patches'!Q41="A","C","")</f>
        <v/>
      </c>
    </row>
    <row r="41" spans="1:11" ht="13.5" customHeight="1">
      <c r="A41" s="145" t="s">
        <v>116</v>
      </c>
      <c r="B41" s="139"/>
      <c r="C41" s="140"/>
      <c r="E41" s="368" t="str">
        <f>'Fun Patches'!C32</f>
        <v>&lt;List Patch Here&gt;</v>
      </c>
      <c r="F41" s="369"/>
      <c r="G41" s="50" t="str">
        <f>IF('Fun Patches'!Q32="A","C","")</f>
        <v/>
      </c>
      <c r="J41" s="31" t="str">
        <f>'Fun Patches'!C42</f>
        <v>&lt;List Patch Here&gt;</v>
      </c>
      <c r="K41" s="50" t="str">
        <f>IF('Fun Patches'!Q42="A","C","")</f>
        <v/>
      </c>
    </row>
    <row r="42" spans="1:11">
      <c r="A42" s="146" t="s">
        <v>118</v>
      </c>
      <c r="B42" s="140"/>
      <c r="C42" s="140"/>
      <c r="E42" s="368" t="str">
        <f>'Fun Patches'!C33</f>
        <v>&lt;List Patch Here&gt;</v>
      </c>
      <c r="F42" s="369"/>
      <c r="G42" s="50" t="str">
        <f>IF('Fun Patches'!Q33="A","C","")</f>
        <v/>
      </c>
      <c r="J42" s="31" t="str">
        <f>'Fun Patches'!C43</f>
        <v>&lt;List Patch Here&gt;</v>
      </c>
      <c r="K42" s="50" t="str">
        <f>IF('Fun Patches'!Q43="A","C","")</f>
        <v/>
      </c>
    </row>
    <row r="43" spans="1:11">
      <c r="A43" s="147" t="s">
        <v>117</v>
      </c>
      <c r="B43" s="140"/>
      <c r="C43" s="140"/>
      <c r="E43" s="368" t="str">
        <f>'Fun Patches'!C34</f>
        <v>&lt;List Patch Here&gt;</v>
      </c>
      <c r="F43" s="369"/>
      <c r="G43" s="50" t="str">
        <f>IF('Fun Patches'!Q34="A","C","")</f>
        <v/>
      </c>
      <c r="J43" s="31" t="str">
        <f>'Fun Patches'!C44</f>
        <v>&lt;List Patch Here&gt;</v>
      </c>
      <c r="K43" s="50" t="str">
        <f>IF('Fun Patches'!Q44="A","C","")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K44"/>
  <sheetViews>
    <sheetView showGridLines="0" zoomScaleNormal="100" workbookViewId="0">
      <selection activeCell="A2" sqref="A2"/>
    </sheetView>
  </sheetViews>
  <sheetFormatPr defaultRowHeight="12.75"/>
  <cols>
    <col min="1" max="1" width="32.7109375" bestFit="1" customWidth="1"/>
    <col min="2" max="2" width="3.140625" customWidth="1"/>
    <col min="3" max="3" width="3.7109375" customWidth="1"/>
    <col min="4" max="4" width="4" bestFit="1" customWidth="1"/>
    <col min="5" max="5" width="8.85546875" bestFit="1" customWidth="1"/>
    <col min="6" max="6" width="29.42578125" bestFit="1" customWidth="1"/>
    <col min="7" max="7" width="3.140625" customWidth="1"/>
    <col min="8" max="8" width="3.7109375" customWidth="1"/>
    <col min="9" max="9" width="2.7109375" bestFit="1" customWidth="1"/>
    <col min="10" max="10" width="34.7109375" bestFit="1" customWidth="1"/>
    <col min="11" max="11" width="3.140625" customWidth="1"/>
  </cols>
  <sheetData>
    <row r="1" spans="1:11" ht="20.25">
      <c r="A1" s="365" t="str">
        <f ca="1">MID(CELL("filename",A1),FIND(IF(ISERROR(FIND("]",CELL("filename",A1))),"$","]"),CELL("filename",A1))+1,256)</f>
        <v>Daisy 15</v>
      </c>
      <c r="B1" s="365"/>
      <c r="D1" s="362" t="s">
        <v>44</v>
      </c>
      <c r="E1" s="362"/>
      <c r="F1" s="362"/>
      <c r="G1" s="362"/>
      <c r="I1" s="362" t="s">
        <v>65</v>
      </c>
      <c r="J1" s="362"/>
      <c r="K1" s="362"/>
    </row>
    <row r="2" spans="1:11">
      <c r="D2" s="61" t="s">
        <v>43</v>
      </c>
      <c r="I2" s="362"/>
      <c r="J2" s="362"/>
      <c r="K2" s="362"/>
    </row>
    <row r="3" spans="1:11">
      <c r="A3" s="61" t="s">
        <v>64</v>
      </c>
      <c r="E3" s="31" t="str">
        <f>Petals!B6</f>
        <v>Center</v>
      </c>
      <c r="F3" s="31" t="str">
        <f>Petals!C6</f>
        <v>Promise Center</v>
      </c>
      <c r="G3" s="50" t="str">
        <f>IF(Petals!R6="A","A","")</f>
        <v/>
      </c>
      <c r="I3" s="211" t="str">
        <f>Bridging!B6</f>
        <v>Pass It On</v>
      </c>
      <c r="J3" s="211"/>
      <c r="K3" s="211"/>
    </row>
    <row r="4" spans="1:11">
      <c r="A4" s="66" t="s">
        <v>44</v>
      </c>
      <c r="B4" s="48" t="str">
        <f>IF(Petals!R18="C","C",IF(Petals!R18="P","P",""))</f>
        <v/>
      </c>
      <c r="D4" s="61" t="s">
        <v>44</v>
      </c>
      <c r="G4" s="34"/>
      <c r="I4" s="249">
        <v>1</v>
      </c>
      <c r="J4" s="252" t="str">
        <f>Bridging!C7</f>
        <v>Teach younger girls the GS Promise</v>
      </c>
      <c r="K4" s="50" t="str">
        <f>IF(Bridging!R7="A","A","")</f>
        <v/>
      </c>
    </row>
    <row r="5" spans="1:11">
      <c r="A5" s="207" t="s">
        <v>141</v>
      </c>
      <c r="B5" s="209">
        <f>INT(COUNTIF(G18:G21,"A"))</f>
        <v>0</v>
      </c>
      <c r="E5" s="31" t="str">
        <f>Petals!B8</f>
        <v>Lupe</v>
      </c>
      <c r="F5" s="31" t="str">
        <f>Petals!C8</f>
        <v>Honest and fair</v>
      </c>
      <c r="G5" s="50" t="str">
        <f>IF(Petals!R8="A","A","")</f>
        <v/>
      </c>
      <c r="I5" s="249">
        <v>2</v>
      </c>
      <c r="J5" s="252" t="str">
        <f>Bridging!C8</f>
        <v>Tell younger girls about the Flower</v>
      </c>
      <c r="K5" s="50" t="str">
        <f>IF(Bridging!R8="A","A","")</f>
        <v/>
      </c>
    </row>
    <row r="6" spans="1:11">
      <c r="A6" s="67" t="s">
        <v>62</v>
      </c>
      <c r="B6" s="54"/>
      <c r="E6" s="31" t="str">
        <f>Petals!B9</f>
        <v>Sunny</v>
      </c>
      <c r="F6" s="31" t="str">
        <f>Petals!C9</f>
        <v>Friendly and helpful</v>
      </c>
      <c r="G6" s="50" t="str">
        <f>IF(Petals!R9="A","A","")</f>
        <v/>
      </c>
      <c r="I6" s="249">
        <v>3</v>
      </c>
      <c r="J6" s="252" t="str">
        <f>Bridging!C9</f>
        <v>Play a game together!</v>
      </c>
      <c r="K6" s="50" t="str">
        <f>IF(Bridging!R9="A","A","")</f>
        <v/>
      </c>
    </row>
    <row r="7" spans="1:11">
      <c r="A7" s="206" t="str">
        <f>'Journey Awards'!A6</f>
        <v>Welcome to the Daisy Flower Garden</v>
      </c>
      <c r="B7" s="48" t="str">
        <f>IF('Journey Awards'!R11="C","C",IF('Journey Awards'!R11="P","P",""))</f>
        <v/>
      </c>
      <c r="E7" s="31" t="str">
        <f>Petals!B10</f>
        <v>Zinni</v>
      </c>
      <c r="F7" s="31" t="str">
        <f>Petals!C10</f>
        <v>Considerate and caring</v>
      </c>
      <c r="G7" s="50" t="str">
        <f>IF(Petals!R10="A","A","")</f>
        <v/>
      </c>
      <c r="I7" s="250" t="str">
        <f>Bridging!B11</f>
        <v>Look Ahead</v>
      </c>
      <c r="J7" s="59"/>
      <c r="K7" s="34"/>
    </row>
    <row r="8" spans="1:11">
      <c r="A8" s="206" t="str">
        <f>'Journey Awards'!A14</f>
        <v>Between Earth and Sky</v>
      </c>
      <c r="B8" s="48" t="str">
        <f>IF('Journey Awards'!R19="C","C",IF('Journey Awards'!R19="P","P",""))</f>
        <v/>
      </c>
      <c r="E8" s="31" t="str">
        <f>Petals!B11</f>
        <v>Tula</v>
      </c>
      <c r="F8" s="31" t="str">
        <f>Petals!C11</f>
        <v>Courageous and strong</v>
      </c>
      <c r="G8" s="50" t="str">
        <f>IF(Petals!R11="A","A","")</f>
        <v/>
      </c>
      <c r="I8" s="249">
        <v>1</v>
      </c>
      <c r="J8" s="252" t="str">
        <f>Bridging!C12</f>
        <v>Say the Girl Scout Promise together.</v>
      </c>
      <c r="K8" s="50" t="str">
        <f>IF(Bridging!R12="A","A","")</f>
        <v/>
      </c>
    </row>
    <row r="9" spans="1:11">
      <c r="A9" s="206" t="str">
        <f>'Journey Awards'!A22</f>
        <v>5 Flowers, 4 Stories, 3 Cheers for Animals!</v>
      </c>
      <c r="B9" s="48" t="str">
        <f>IF('Journey Awards'!R27="C","C",IF('Journey Awards'!R27="P","P",""))</f>
        <v/>
      </c>
      <c r="E9" s="31" t="str">
        <f>Petals!B12</f>
        <v>Mari</v>
      </c>
      <c r="F9" s="31" t="str">
        <f>Petals!C12</f>
        <v>Responsible for what I say and do</v>
      </c>
      <c r="G9" s="50" t="str">
        <f>IF(Petals!R12="A","A","")</f>
        <v/>
      </c>
      <c r="I9" s="249">
        <v>2</v>
      </c>
      <c r="J9" s="252" t="str">
        <f>Bridging!C13</f>
        <v>Ask the Brownies to teach you</v>
      </c>
      <c r="K9" s="50" t="str">
        <f>IF(Bridging!R13="A","A","")</f>
        <v/>
      </c>
    </row>
    <row r="10" spans="1:11">
      <c r="A10" s="90" t="s">
        <v>61</v>
      </c>
      <c r="B10" s="48" t="str">
        <f>IF(Bridging!R18="C","C",IF(Bridging!R18="P","P",""))</f>
        <v/>
      </c>
      <c r="E10" s="31" t="str">
        <f>Petals!B13</f>
        <v>Gloria</v>
      </c>
      <c r="F10" s="31" t="str">
        <f>Petals!C13</f>
        <v>Respect for myself &amp; others</v>
      </c>
      <c r="G10" s="50" t="str">
        <f>IF(Petals!R13="A","A","")</f>
        <v/>
      </c>
      <c r="I10" s="249">
        <v>4</v>
      </c>
      <c r="J10" s="252" t="str">
        <f>Bridging!C14</f>
        <v>Ask the Brownies to show you</v>
      </c>
      <c r="K10" s="50" t="str">
        <f>IF(Bridging!R14="A","A","")</f>
        <v/>
      </c>
    </row>
    <row r="11" spans="1:11">
      <c r="A11" s="250"/>
      <c r="B11" s="99"/>
      <c r="E11" s="31" t="str">
        <f>Petals!B14</f>
        <v>Gerri</v>
      </c>
      <c r="F11" s="31" t="str">
        <f>Petals!C14</f>
        <v>Respect authority</v>
      </c>
      <c r="G11" s="50" t="str">
        <f>IF(Petals!R14="A","A","")</f>
        <v/>
      </c>
      <c r="I11" s="232" t="str">
        <f>Bridging!C16</f>
        <v>Plan a Ceremony</v>
      </c>
      <c r="J11" s="59"/>
      <c r="K11" s="50" t="str">
        <f>IF(Bridging!R16="A","A","")</f>
        <v/>
      </c>
    </row>
    <row r="12" spans="1:11">
      <c r="A12" s="61" t="s">
        <v>100</v>
      </c>
      <c r="E12" s="31" t="str">
        <f>Petals!B15</f>
        <v>Clover</v>
      </c>
      <c r="F12" s="31" t="str">
        <f>Petals!C15</f>
        <v>Use resources wisely</v>
      </c>
      <c r="G12" s="50" t="str">
        <f>IF(Petals!R15="A","A","")</f>
        <v/>
      </c>
    </row>
    <row r="13" spans="1:11">
      <c r="A13" s="31" t="str">
        <f>'Fun Patches'!C5</f>
        <v>&lt;List Patch Here&gt;</v>
      </c>
      <c r="B13" s="50" t="str">
        <f>IF('Fun Patches'!R5="A","C","")</f>
        <v/>
      </c>
      <c r="E13" s="31" t="str">
        <f>Petals!B16</f>
        <v>Rosie</v>
      </c>
      <c r="F13" s="31" t="str">
        <f>Petals!C16</f>
        <v>Make the world a better place</v>
      </c>
      <c r="G13" s="50" t="str">
        <f>IF(Petals!R16="A","A","")</f>
        <v/>
      </c>
      <c r="I13" s="362" t="s">
        <v>71</v>
      </c>
      <c r="J13" s="362"/>
      <c r="K13" s="362"/>
    </row>
    <row r="14" spans="1:11">
      <c r="A14" s="31" t="str">
        <f>'Fun Patches'!C6</f>
        <v>&lt;List Patch Here&gt;</v>
      </c>
      <c r="B14" s="50" t="str">
        <f>IF('Fun Patches'!R6="A","C","")</f>
        <v/>
      </c>
      <c r="E14" s="31" t="str">
        <f>Petals!B17</f>
        <v>Vi</v>
      </c>
      <c r="F14" s="31" t="str">
        <f>Petals!C17</f>
        <v>Be a sister to every Girl Scout</v>
      </c>
      <c r="G14" s="50" t="str">
        <f>IF(Petals!R17="A","A","")</f>
        <v/>
      </c>
      <c r="I14" s="362"/>
      <c r="J14" s="362"/>
      <c r="K14" s="362"/>
    </row>
    <row r="15" spans="1:11">
      <c r="A15" s="31" t="str">
        <f>'Fun Patches'!C7</f>
        <v>&lt;List Patch Here&gt;</v>
      </c>
      <c r="B15" s="50" t="str">
        <f>IF('Fun Patches'!R7="A","C","")</f>
        <v/>
      </c>
      <c r="E15" s="73"/>
      <c r="F15" s="73"/>
      <c r="G15" s="208"/>
      <c r="I15" s="249"/>
      <c r="J15" s="252" t="str">
        <f>'Age-Level'!C6</f>
        <v>Cookie Rally (Year 1)</v>
      </c>
      <c r="K15" s="50" t="str">
        <f>IF('Age-Level'!R6="A","C","")</f>
        <v/>
      </c>
    </row>
    <row r="16" spans="1:11">
      <c r="A16" s="31" t="str">
        <f>'Fun Patches'!C8</f>
        <v>&lt;List Patch Here&gt;</v>
      </c>
      <c r="B16" s="50" t="str">
        <f>IF('Fun Patches'!R8="A","C","")</f>
        <v/>
      </c>
      <c r="D16" s="362" t="s">
        <v>141</v>
      </c>
      <c r="E16" s="300"/>
      <c r="F16" s="300"/>
      <c r="G16" s="300"/>
      <c r="I16" s="249"/>
      <c r="J16" s="252" t="str">
        <f>'Age-Level'!C7</f>
        <v>Cookie Sales (Year 1)</v>
      </c>
      <c r="K16" s="50" t="str">
        <f>IF('Age-Level'!R7="A","C","")</f>
        <v/>
      </c>
    </row>
    <row r="17" spans="1:11">
      <c r="A17" s="31" t="str">
        <f>'Fun Patches'!C9</f>
        <v>&lt;List Patch Here&gt;</v>
      </c>
      <c r="B17" s="50" t="str">
        <f>IF('Fun Patches'!R9="A","C","")</f>
        <v/>
      </c>
      <c r="D17" s="300"/>
      <c r="E17" s="300"/>
      <c r="F17" s="300"/>
      <c r="G17" s="300"/>
      <c r="I17" s="51"/>
      <c r="J17" s="252" t="str">
        <f>'Age-Level'!C8</f>
        <v>Cookie Pin (Year 1)</v>
      </c>
      <c r="K17" s="50" t="str">
        <f>IF('Age-Level'!R8="A","C","")</f>
        <v/>
      </c>
    </row>
    <row r="18" spans="1:11">
      <c r="A18" s="31" t="str">
        <f>'Fun Patches'!C10</f>
        <v>&lt;List Patch Here&gt;</v>
      </c>
      <c r="B18" s="50" t="str">
        <f>IF('Fun Patches'!R10="A","C","")</f>
        <v/>
      </c>
      <c r="D18" s="366" t="str">
        <f>Petals!B22</f>
        <v>Finance</v>
      </c>
      <c r="E18" s="367"/>
      <c r="F18" s="200" t="str">
        <f>Petals!B20</f>
        <v>Money Counts</v>
      </c>
      <c r="G18" s="50" t="str">
        <f>IF(Petals!R23="C","A","")</f>
        <v/>
      </c>
      <c r="I18" s="51"/>
      <c r="J18" s="252" t="str">
        <f>'Age-Level'!C9</f>
        <v>Cookie Rally (Year 2)</v>
      </c>
      <c r="K18" s="50" t="str">
        <f>IF('Age-Level'!R9="A","C","")</f>
        <v/>
      </c>
    </row>
    <row r="19" spans="1:11">
      <c r="A19" s="31" t="str">
        <f>'Fun Patches'!C11</f>
        <v>&lt;List Patch Here&gt;</v>
      </c>
      <c r="B19" s="50" t="str">
        <f>IF('Fun Patches'!R11="A","C","")</f>
        <v/>
      </c>
      <c r="D19" s="366" t="str">
        <f>Petals!B27</f>
        <v>Finance</v>
      </c>
      <c r="E19" s="367"/>
      <c r="F19" s="200" t="str">
        <f>Petals!B25</f>
        <v>Making Choices</v>
      </c>
      <c r="G19" s="50" t="str">
        <f>IF(Petals!R28="C","A","")</f>
        <v/>
      </c>
      <c r="I19" s="51"/>
      <c r="J19" s="252" t="str">
        <f>'Age-Level'!C10</f>
        <v>Cookie Sales (Year 2)</v>
      </c>
      <c r="K19" s="50" t="str">
        <f>IF('Age-Level'!R10="A","C","")</f>
        <v/>
      </c>
    </row>
    <row r="20" spans="1:11">
      <c r="A20" s="31" t="str">
        <f>'Fun Patches'!C12</f>
        <v>&lt;List Patch Here&gt;</v>
      </c>
      <c r="B20" s="50" t="str">
        <f>IF('Fun Patches'!R12="A","C","")</f>
        <v/>
      </c>
      <c r="D20" s="366" t="str">
        <f>Petals!B32</f>
        <v>Cookie</v>
      </c>
      <c r="E20" s="367"/>
      <c r="F20" s="200" t="str">
        <f>Petals!B30</f>
        <v>Count It Up</v>
      </c>
      <c r="G20" s="50" t="str">
        <f>IF(Petals!R33="C","A","")</f>
        <v/>
      </c>
      <c r="I20" s="52"/>
      <c r="J20" s="252" t="str">
        <f>'Age-Level'!C11</f>
        <v>Cookie Pin (Year 2)</v>
      </c>
      <c r="K20" s="50" t="str">
        <f>IF('Age-Level'!R11="A","C","")</f>
        <v/>
      </c>
    </row>
    <row r="21" spans="1:11">
      <c r="A21" s="31" t="str">
        <f>'Fun Patches'!C13</f>
        <v>&lt;List Patch Here&gt;</v>
      </c>
      <c r="B21" s="50" t="str">
        <f>IF('Fun Patches'!R13="A","C","")</f>
        <v/>
      </c>
      <c r="D21" s="366" t="str">
        <f>Petals!B37</f>
        <v>Cookie</v>
      </c>
      <c r="E21" s="367"/>
      <c r="F21" s="200" t="str">
        <f>Petals!B35</f>
        <v>Talk It Up</v>
      </c>
      <c r="G21" s="50" t="str">
        <f>IF(Petals!R38="C","A","")</f>
        <v/>
      </c>
      <c r="I21" s="53"/>
      <c r="J21" s="252" t="str">
        <f>'Age-Level'!C13</f>
        <v>Fall Sales (Year 1)</v>
      </c>
      <c r="K21" s="50" t="str">
        <f>IF('Age-Level'!R13="A","C","")</f>
        <v/>
      </c>
    </row>
    <row r="22" spans="1:11">
      <c r="A22" s="31" t="str">
        <f>'Fun Patches'!C14</f>
        <v>&lt;List Patch Here&gt;</v>
      </c>
      <c r="B22" s="50" t="str">
        <f>IF('Fun Patches'!R14="A","C","")</f>
        <v/>
      </c>
      <c r="I22" s="26"/>
      <c r="J22" s="252" t="str">
        <f>'Age-Level'!C14</f>
        <v>Fall Sales (Year 2)</v>
      </c>
      <c r="K22" s="50" t="str">
        <f>IF('Age-Level'!R14="A","C","")</f>
        <v/>
      </c>
    </row>
    <row r="23" spans="1:11">
      <c r="A23" s="31" t="str">
        <f>'Fun Patches'!C15</f>
        <v>&lt;List Patch Here&gt;</v>
      </c>
      <c r="B23" s="50" t="str">
        <f>IF('Fun Patches'!R15="A","C","")</f>
        <v/>
      </c>
      <c r="D23" s="362" t="s">
        <v>62</v>
      </c>
      <c r="E23" s="362"/>
      <c r="F23" s="362"/>
      <c r="G23" s="362"/>
      <c r="J23" s="252" t="str">
        <f>'Age-Level'!C16</f>
        <v>Thinking Day (Year 1)</v>
      </c>
      <c r="K23" s="50" t="str">
        <f>IF('Age-Level'!R16="A","C","")</f>
        <v/>
      </c>
    </row>
    <row r="24" spans="1:11">
      <c r="A24" s="31" t="str">
        <f>'Fun Patches'!C16</f>
        <v>&lt;List Patch Here&gt;</v>
      </c>
      <c r="B24" s="50" t="str">
        <f>IF('Fun Patches'!R16="A","C","")</f>
        <v/>
      </c>
      <c r="D24" s="362"/>
      <c r="E24" s="362"/>
      <c r="F24" s="362"/>
      <c r="G24" s="362"/>
      <c r="J24" s="252" t="str">
        <f>'Age-Level'!C17</f>
        <v>Thinking Day (Year 2)</v>
      </c>
      <c r="K24" s="50" t="str">
        <f>IF('Age-Level'!R17="A","C","")</f>
        <v/>
      </c>
    </row>
    <row r="25" spans="1:11">
      <c r="A25" s="31" t="str">
        <f>'Fun Patches'!C17</f>
        <v>&lt;List Patch Here&gt;</v>
      </c>
      <c r="B25" s="50" t="str">
        <f>IF('Fun Patches'!R17="A","C","")</f>
        <v/>
      </c>
      <c r="D25" s="250" t="str">
        <f>'Journey Awards'!A6</f>
        <v>Welcome to the Daisy Flower Garden</v>
      </c>
      <c r="F25" s="57"/>
      <c r="G25" s="248"/>
      <c r="J25" s="252" t="str">
        <f>'Age-Level'!C19</f>
        <v>Investiture</v>
      </c>
      <c r="K25" s="50" t="str">
        <f>IF('Age-Level'!R19="A","C","")</f>
        <v/>
      </c>
    </row>
    <row r="26" spans="1:11">
      <c r="A26" s="31" t="str">
        <f>'Fun Patches'!C18</f>
        <v>&lt;List Patch Here&gt;</v>
      </c>
      <c r="B26" s="50" t="str">
        <f>IF('Fun Patches'!R18="A","C","")</f>
        <v/>
      </c>
      <c r="D26" s="249"/>
      <c r="E26" s="363" t="s">
        <v>66</v>
      </c>
      <c r="F26" s="364"/>
      <c r="G26" s="50" t="str">
        <f>IF('Journey Awards'!R8="A","A","")</f>
        <v/>
      </c>
      <c r="J26" s="252" t="str">
        <f>'Age-Level'!C20</f>
        <v>Rededication (1st year)</v>
      </c>
      <c r="K26" s="50" t="str">
        <f>IF('Age-Level'!R20="A","C","")</f>
        <v/>
      </c>
    </row>
    <row r="27" spans="1:11">
      <c r="A27" s="31" t="str">
        <f>'Fun Patches'!C19</f>
        <v>&lt;List Patch Here&gt;</v>
      </c>
      <c r="B27" s="50" t="str">
        <f>IF('Fun Patches'!R19="A","C","")</f>
        <v/>
      </c>
      <c r="D27" s="249"/>
      <c r="E27" s="363" t="s">
        <v>67</v>
      </c>
      <c r="F27" s="364"/>
      <c r="G27" s="50" t="str">
        <f>IF('Journey Awards'!R9="A","A","")</f>
        <v/>
      </c>
      <c r="J27" s="252" t="str">
        <f>'Age-Level'!B21</f>
        <v>My Promise, My Faith (Year 1)</v>
      </c>
      <c r="K27" s="50" t="str">
        <f>IF('Age-Level'!R27="C","C","")</f>
        <v/>
      </c>
    </row>
    <row r="28" spans="1:11">
      <c r="A28" s="31" t="str">
        <f>'Fun Patches'!C20</f>
        <v>&lt;List Patch Here&gt;</v>
      </c>
      <c r="B28" s="50" t="str">
        <f>IF('Fun Patches'!R20="A","C","")</f>
        <v/>
      </c>
      <c r="D28" s="249"/>
      <c r="E28" s="363" t="s">
        <v>68</v>
      </c>
      <c r="F28" s="364"/>
      <c r="G28" s="50" t="str">
        <f>IF('Journey Awards'!R10="A","A","")</f>
        <v/>
      </c>
      <c r="J28" s="252" t="str">
        <f>'Age-Level'!B28</f>
        <v>My Promise, My Faith (Year 2)</v>
      </c>
      <c r="K28" s="50" t="str">
        <f>IF('Age-Level'!R34="C","C","")</f>
        <v/>
      </c>
    </row>
    <row r="29" spans="1:11">
      <c r="A29" s="31" t="str">
        <f>'Fun Patches'!C21</f>
        <v>&lt;List Patch Here&gt;</v>
      </c>
      <c r="B29" s="50" t="str">
        <f>IF('Fun Patches'!R21="A","C","")</f>
        <v/>
      </c>
      <c r="D29" s="102" t="str">
        <f>'Journey Awards'!A14</f>
        <v>Between Earth and Sky</v>
      </c>
      <c r="F29" s="59"/>
      <c r="G29" s="34"/>
      <c r="J29" s="252" t="str">
        <f>'Age-Level'!C36</f>
        <v>Global Action Award</v>
      </c>
      <c r="K29" s="50" t="str">
        <f>IF('Age-Level'!R36="A","C","")</f>
        <v/>
      </c>
    </row>
    <row r="30" spans="1:11">
      <c r="A30" s="31" t="str">
        <f>'Fun Patches'!C22</f>
        <v>&lt;List Patch Here&gt;</v>
      </c>
      <c r="B30" s="50" t="str">
        <f>IF('Fun Patches'!R22="A","C","")</f>
        <v/>
      </c>
      <c r="D30" s="249"/>
      <c r="E30" s="363" t="str">
        <f>'Journey Awards'!C16</f>
        <v>The Blue Bucket Award</v>
      </c>
      <c r="F30" s="364"/>
      <c r="G30" s="50" t="str">
        <f>IF('Journey Awards'!R16="A","A","")</f>
        <v/>
      </c>
      <c r="J30" s="252" t="str">
        <f>'Age-Level'!C38</f>
        <v>Journey Summit Pin</v>
      </c>
      <c r="K30" s="50" t="str">
        <f>IF('Age-Level'!R38="C","C","")</f>
        <v/>
      </c>
    </row>
    <row r="31" spans="1:11">
      <c r="A31" s="31" t="str">
        <f>'Fun Patches'!C23</f>
        <v>&lt;List Patch Here&gt;</v>
      </c>
      <c r="B31" s="50" t="str">
        <f>IF('Fun Patches'!R23="A","C","")</f>
        <v/>
      </c>
      <c r="D31" s="249"/>
      <c r="E31" s="363" t="str">
        <f>'Journey Awards'!C17</f>
        <v>The Firefly Award</v>
      </c>
      <c r="F31" s="364"/>
      <c r="G31" s="50" t="str">
        <f>IF('Journey Awards'!R17="A","A","")</f>
        <v/>
      </c>
      <c r="J31" s="252" t="str">
        <f>'Age-Level'!B39</f>
        <v>Safety Award</v>
      </c>
      <c r="K31" s="50" t="str">
        <f>IF('Age-Level'!R43="C","C","")</f>
        <v/>
      </c>
    </row>
    <row r="32" spans="1:11">
      <c r="A32" s="31" t="str">
        <f>'Fun Patches'!C24</f>
        <v>&lt;List Patch Here&gt;</v>
      </c>
      <c r="B32" s="50" t="str">
        <f>IF('Fun Patches'!R24="A","C","")</f>
        <v/>
      </c>
      <c r="D32" s="249"/>
      <c r="E32" s="363" t="str">
        <f>'Journey Awards'!C18</f>
        <v>The Clover Award</v>
      </c>
      <c r="F32" s="364"/>
      <c r="G32" s="50" t="str">
        <f>IF('Journey Awards'!R18="A","A","")</f>
        <v/>
      </c>
    </row>
    <row r="33" spans="1:11">
      <c r="A33" s="31" t="str">
        <f>'Fun Patches'!C25</f>
        <v>&lt;List Patch Here&gt;</v>
      </c>
      <c r="B33" s="50" t="str">
        <f>IF('Fun Patches'!R25="A","C","")</f>
        <v/>
      </c>
      <c r="D33" s="102" t="str">
        <f>'Journey Awards'!A22</f>
        <v>5 Flowers, 4 Stories, 3 Cheers for Animals!</v>
      </c>
      <c r="F33" s="59"/>
      <c r="G33" s="34" t="str">
        <f>IF('Journey Awards'!R15="A","A","")</f>
        <v/>
      </c>
      <c r="J33" s="61" t="s">
        <v>102</v>
      </c>
    </row>
    <row r="34" spans="1:11">
      <c r="A34" s="31" t="str">
        <f>'Fun Patches'!C26</f>
        <v>&lt;List Patch Here&gt;</v>
      </c>
      <c r="B34" s="50" t="str">
        <f>IF('Fun Patches'!R26="A","C","")</f>
        <v/>
      </c>
      <c r="D34" s="249"/>
      <c r="E34" s="363" t="str">
        <f>'Journey Awards'!C24</f>
        <v>Birdbath Award</v>
      </c>
      <c r="F34" s="364"/>
      <c r="G34" s="50" t="str">
        <f>IF('Journey Awards'!R24="A","A","")</f>
        <v/>
      </c>
      <c r="J34" s="31" t="str">
        <f>'Fun Patches'!C35</f>
        <v>&lt;List Patch Here&gt;</v>
      </c>
      <c r="K34" s="50" t="str">
        <f>IF('Fun Patches'!R35="A","C","")</f>
        <v/>
      </c>
    </row>
    <row r="35" spans="1:11">
      <c r="A35" s="31" t="str">
        <f>'Fun Patches'!C27</f>
        <v>&lt;List Patch Here&gt;</v>
      </c>
      <c r="B35" s="50" t="str">
        <f>IF('Fun Patches'!R27="A","C","")</f>
        <v/>
      </c>
      <c r="D35" s="249"/>
      <c r="E35" s="363" t="str">
        <f>'Journey Awards'!C25</f>
        <v>Red Robin Award</v>
      </c>
      <c r="F35" s="364"/>
      <c r="G35" s="50" t="str">
        <f>IF('Journey Awards'!R25="A","A","")</f>
        <v/>
      </c>
      <c r="J35" s="31" t="str">
        <f>'Fun Patches'!C36</f>
        <v>&lt;List Patch Here&gt;</v>
      </c>
      <c r="K35" s="50" t="str">
        <f>IF('Fun Patches'!R36="A","C","")</f>
        <v/>
      </c>
    </row>
    <row r="36" spans="1:11">
      <c r="A36" s="251" t="str">
        <f>'Fun Patches'!C28</f>
        <v>&lt;List Patch Here&gt;</v>
      </c>
      <c r="B36" s="50" t="str">
        <f>IF('Fun Patches'!R28="A","C","")</f>
        <v/>
      </c>
      <c r="D36" s="249"/>
      <c r="E36" s="363" t="str">
        <f>'Journey Awards'!C26</f>
        <v>Tula Award</v>
      </c>
      <c r="F36" s="364"/>
      <c r="G36" s="50" t="str">
        <f>IF('Journey Awards'!R26="A","A","")</f>
        <v/>
      </c>
      <c r="J36" s="31" t="str">
        <f>'Fun Patches'!C37</f>
        <v>&lt;List Patch Here&gt;</v>
      </c>
      <c r="K36" s="50" t="str">
        <f>IF('Fun Patches'!R37="A","C","")</f>
        <v/>
      </c>
    </row>
    <row r="37" spans="1:11">
      <c r="A37" s="253" t="str">
        <f>'Fun Patches'!C29</f>
        <v>&lt;List Patch Here&gt;</v>
      </c>
      <c r="B37" s="50" t="str">
        <f>IF('Fun Patches'!R29="A","C","")</f>
        <v/>
      </c>
      <c r="J37" s="31" t="str">
        <f>'Fun Patches'!C38</f>
        <v>&lt;List Patch Here&gt;</v>
      </c>
      <c r="K37" s="50" t="str">
        <f>IF('Fun Patches'!R38="A","C","")</f>
        <v/>
      </c>
    </row>
    <row r="38" spans="1:11" ht="12.75" customHeight="1">
      <c r="A38" s="282"/>
      <c r="B38" s="208"/>
      <c r="C38" s="142"/>
      <c r="D38" s="361" t="s">
        <v>102</v>
      </c>
      <c r="E38" s="300"/>
      <c r="F38" s="300"/>
      <c r="J38" s="31" t="str">
        <f>'Fun Patches'!C39</f>
        <v>&lt;List Patch Here&gt;</v>
      </c>
      <c r="K38" s="50" t="str">
        <f>IF('Fun Patches'!R39="A","C","")</f>
        <v/>
      </c>
    </row>
    <row r="39" spans="1:11" ht="13.5" customHeight="1">
      <c r="A39" s="103"/>
      <c r="B39" s="142"/>
      <c r="C39" s="142"/>
      <c r="E39" s="368" t="str">
        <f>'Fun Patches'!C30</f>
        <v>&lt;List Patch Here&gt;</v>
      </c>
      <c r="F39" s="369"/>
      <c r="G39" s="50" t="str">
        <f>IF('Fun Patches'!R30="A","C","")</f>
        <v/>
      </c>
      <c r="J39" s="31" t="str">
        <f>'Fun Patches'!C40</f>
        <v>&lt;List Patch Here&gt;</v>
      </c>
      <c r="K39" s="50" t="str">
        <f>IF('Fun Patches'!R40="A","C","")</f>
        <v/>
      </c>
    </row>
    <row r="40" spans="1:11" ht="13.5" customHeight="1">
      <c r="A40" s="143" t="s">
        <v>115</v>
      </c>
      <c r="B40" s="141"/>
      <c r="C40" s="142"/>
      <c r="E40" s="368" t="str">
        <f>'Fun Patches'!C31</f>
        <v>&lt;List Patch Here&gt;</v>
      </c>
      <c r="F40" s="369"/>
      <c r="G40" s="50" t="str">
        <f>IF('Fun Patches'!R31="A","C","")</f>
        <v/>
      </c>
      <c r="J40" s="31" t="str">
        <f>'Fun Patches'!C41</f>
        <v>&lt;List Patch Here&gt;</v>
      </c>
      <c r="K40" s="50" t="str">
        <f>IF('Fun Patches'!R41="A","C","")</f>
        <v/>
      </c>
    </row>
    <row r="41" spans="1:11" ht="13.5" customHeight="1">
      <c r="A41" s="145" t="s">
        <v>116</v>
      </c>
      <c r="B41" s="139"/>
      <c r="C41" s="140"/>
      <c r="E41" s="368" t="str">
        <f>'Fun Patches'!C32</f>
        <v>&lt;List Patch Here&gt;</v>
      </c>
      <c r="F41" s="369"/>
      <c r="G41" s="50" t="str">
        <f>IF('Fun Patches'!R32="A","C","")</f>
        <v/>
      </c>
      <c r="J41" s="31" t="str">
        <f>'Fun Patches'!C42</f>
        <v>&lt;List Patch Here&gt;</v>
      </c>
      <c r="K41" s="50" t="str">
        <f>IF('Fun Patches'!R42="A","C","")</f>
        <v/>
      </c>
    </row>
    <row r="42" spans="1:11">
      <c r="A42" s="146" t="s">
        <v>118</v>
      </c>
      <c r="B42" s="140"/>
      <c r="C42" s="140"/>
      <c r="E42" s="368" t="str">
        <f>'Fun Patches'!C33</f>
        <v>&lt;List Patch Here&gt;</v>
      </c>
      <c r="F42" s="369"/>
      <c r="G42" s="50" t="str">
        <f>IF('Fun Patches'!R33="A","C","")</f>
        <v/>
      </c>
      <c r="J42" s="31" t="str">
        <f>'Fun Patches'!C43</f>
        <v>&lt;List Patch Here&gt;</v>
      </c>
      <c r="K42" s="50" t="str">
        <f>IF('Fun Patches'!R43="A","C","")</f>
        <v/>
      </c>
    </row>
    <row r="43" spans="1:11">
      <c r="A43" s="147" t="s">
        <v>117</v>
      </c>
      <c r="B43" s="140"/>
      <c r="C43" s="140"/>
      <c r="E43" s="368" t="str">
        <f>'Fun Patches'!C34</f>
        <v>&lt;List Patch Here&gt;</v>
      </c>
      <c r="F43" s="369"/>
      <c r="G43" s="50" t="str">
        <f>IF('Fun Patches'!R34="A","C","")</f>
        <v/>
      </c>
      <c r="J43" s="31" t="str">
        <f>'Fun Patches'!C44</f>
        <v>&lt;List Patch Here&gt;</v>
      </c>
      <c r="K43" s="50" t="str">
        <f>IF('Fun Patches'!R44="A","C","")</f>
        <v/>
      </c>
    </row>
    <row r="44" spans="1:11">
      <c r="A44" s="144"/>
    </row>
  </sheetData>
  <sheetProtection password="C45A" sheet="1" objects="1" scenarios="1" selectLockedCells="1" selectUnlockedCells="1"/>
  <mergeCells count="25">
    <mergeCell ref="E43:F43"/>
    <mergeCell ref="E36:F36"/>
    <mergeCell ref="D38:F38"/>
    <mergeCell ref="E39:F39"/>
    <mergeCell ref="E40:F40"/>
    <mergeCell ref="E41:F41"/>
    <mergeCell ref="E42:F42"/>
    <mergeCell ref="E35:F35"/>
    <mergeCell ref="D19:E19"/>
    <mergeCell ref="D20:E20"/>
    <mergeCell ref="D21:E21"/>
    <mergeCell ref="D23:G24"/>
    <mergeCell ref="E26:F26"/>
    <mergeCell ref="E27:F27"/>
    <mergeCell ref="E28:F28"/>
    <mergeCell ref="E30:F30"/>
    <mergeCell ref="E31:F31"/>
    <mergeCell ref="E32:F32"/>
    <mergeCell ref="E34:F34"/>
    <mergeCell ref="D18:E18"/>
    <mergeCell ref="A1:B1"/>
    <mergeCell ref="D1:G1"/>
    <mergeCell ref="I1:K2"/>
    <mergeCell ref="I13:K14"/>
    <mergeCell ref="D16:G17"/>
  </mergeCells>
  <pageMargins left="0.75" right="0.75" top="1" bottom="1" header="0.5" footer="0.5"/>
  <pageSetup scale="83" orientation="landscape" horizontalDpi="300" verticalDpi="300" r:id="rId1"/>
  <headerFooter alignWithMargins="0">
    <oddHeader>&amp;C&amp;"Arial,Bold"&amp;12DaisyTrax
&amp;10&amp;D</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18</vt:i4>
      </vt:variant>
    </vt:vector>
  </HeadingPairs>
  <TitlesOfParts>
    <vt:vector size="45" baseType="lpstr">
      <vt:lpstr>Instructions</vt:lpstr>
      <vt:lpstr>Parent Contact</vt:lpstr>
      <vt:lpstr>Registration</vt:lpstr>
      <vt:lpstr>Dues</vt:lpstr>
      <vt:lpstr>Attendance</vt:lpstr>
      <vt:lpstr>Petals</vt:lpstr>
      <vt:lpstr>Journey Awards</vt:lpstr>
      <vt:lpstr>Bridging</vt:lpstr>
      <vt:lpstr>Age-Level</vt:lpstr>
      <vt:lpstr>Fun Patches</vt:lpstr>
      <vt:lpstr>Summary</vt:lpstr>
      <vt:lpstr>Order</vt:lpstr>
      <vt:lpstr>Daisy 1</vt:lpstr>
      <vt:lpstr>Daisy 2</vt:lpstr>
      <vt:lpstr>Daisy 3</vt:lpstr>
      <vt:lpstr>Daisy 4</vt:lpstr>
      <vt:lpstr>Daisy 5</vt:lpstr>
      <vt:lpstr>Daisy 6</vt:lpstr>
      <vt:lpstr>Daisy 7</vt:lpstr>
      <vt:lpstr>Daisy 8</vt:lpstr>
      <vt:lpstr>Daisy 9</vt:lpstr>
      <vt:lpstr>Daisy 10</vt:lpstr>
      <vt:lpstr>Daisy 11</vt:lpstr>
      <vt:lpstr>Daisy 12</vt:lpstr>
      <vt:lpstr>Daisy 13</vt:lpstr>
      <vt:lpstr>Daisy 14</vt:lpstr>
      <vt:lpstr>Daisy 15</vt:lpstr>
      <vt:lpstr>'Daisy 1'!Print_Area</vt:lpstr>
      <vt:lpstr>'Daisy 10'!Print_Area</vt:lpstr>
      <vt:lpstr>'Daisy 11'!Print_Area</vt:lpstr>
      <vt:lpstr>'Daisy 12'!Print_Area</vt:lpstr>
      <vt:lpstr>'Daisy 13'!Print_Area</vt:lpstr>
      <vt:lpstr>'Daisy 14'!Print_Area</vt:lpstr>
      <vt:lpstr>'Daisy 15'!Print_Area</vt:lpstr>
      <vt:lpstr>'Daisy 2'!Print_Area</vt:lpstr>
      <vt:lpstr>'Daisy 3'!Print_Area</vt:lpstr>
      <vt:lpstr>'Daisy 4'!Print_Area</vt:lpstr>
      <vt:lpstr>'Daisy 5'!Print_Area</vt:lpstr>
      <vt:lpstr>'Daisy 6'!Print_Area</vt:lpstr>
      <vt:lpstr>'Daisy 7'!Print_Area</vt:lpstr>
      <vt:lpstr>'Daisy 8'!Print_Area</vt:lpstr>
      <vt:lpstr>'Daisy 9'!Print_Area</vt:lpstr>
      <vt:lpstr>Instructions!Print_Area</vt:lpstr>
      <vt:lpstr>Registration!Print_Area</vt:lpstr>
      <vt:lpstr>Registration!Print_Titles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DaisyTrax</dc:title>
  <dc:subject>Girl Scout Daisy Tracking Sheet</dc:subject>
  <dc:creator>Audra Edmunds</dc:creator>
  <cp:lastModifiedBy>Eck, Matt</cp:lastModifiedBy>
  <cp:lastPrinted>2011-11-13T14:45:24Z</cp:lastPrinted>
  <dcterms:created xsi:type="dcterms:W3CDTF">2008-10-14T10:29:15Z</dcterms:created>
  <dcterms:modified xsi:type="dcterms:W3CDTF">2015-11-03T17:01:03Z</dcterms:modified>
  <cp:category>Girl Scouts</cp:category>
</cp:coreProperties>
</file>