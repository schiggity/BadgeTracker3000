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Z:\girlScoutsTrax\Modified Trax\"/>
    </mc:Choice>
  </mc:AlternateContent>
  <bookViews>
    <workbookView xWindow="0" yWindow="0" windowWidth="21570" windowHeight="9510" tabRatio="915" activeTab="10"/>
  </bookViews>
  <sheets>
    <sheet name="Instructions" sheetId="115" r:id="rId1"/>
    <sheet name="Parent Contact Info" sheetId="75" r:id="rId2"/>
    <sheet name="Registration" sheetId="72" r:id="rId3"/>
    <sheet name="Dues" sheetId="207" r:id="rId4"/>
    <sheet name="Attendance" sheetId="54" r:id="rId5"/>
    <sheet name="Badges" sheetId="208" r:id="rId6"/>
    <sheet name="Journey" sheetId="229" r:id="rId7"/>
    <sheet name="Council Own" sheetId="213" r:id="rId8"/>
    <sheet name="Age-Level" sheetId="76" r:id="rId9"/>
    <sheet name="Bridging" sheetId="232" r:id="rId10"/>
    <sheet name="Gold" sheetId="230" r:id="rId11"/>
    <sheet name="Fun Patches" sheetId="177" r:id="rId12"/>
    <sheet name="Summary" sheetId="210" r:id="rId13"/>
    <sheet name="Order" sheetId="211" r:id="rId14"/>
    <sheet name="Ambassador 1" sheetId="214" r:id="rId15"/>
    <sheet name="Ambassador 2" sheetId="235" r:id="rId16"/>
    <sheet name="Ambassador 3" sheetId="236" r:id="rId17"/>
    <sheet name="Ambassador 4" sheetId="237" r:id="rId18"/>
    <sheet name="Ambassador 5" sheetId="238" r:id="rId19"/>
    <sheet name="Ambassador 6" sheetId="239" r:id="rId20"/>
    <sheet name="Ambassador 7" sheetId="240" r:id="rId21"/>
    <sheet name="Ambassador 8" sheetId="241" r:id="rId22"/>
    <sheet name="Ambassador 9" sheetId="242" r:id="rId23"/>
    <sheet name="Ambassador 10" sheetId="243" r:id="rId24"/>
    <sheet name="Ambassador 11" sheetId="249" r:id="rId25"/>
    <sheet name="Ambassador 12" sheetId="250" r:id="rId26"/>
    <sheet name="Ambassador 13" sheetId="251" r:id="rId27"/>
    <sheet name="Ambassador 14" sheetId="252" r:id="rId28"/>
    <sheet name="Ambassador 15" sheetId="253" r:id="rId29"/>
  </sheets>
  <functionGroups builtInGroupCount="18"/>
  <definedNames>
    <definedName name="_xlnm.Print_Area" localSheetId="14">'Ambassador 1'!$A$1:$S$136</definedName>
    <definedName name="_xlnm.Print_Area" localSheetId="23">'Ambassador 10'!$A$1:$S$190</definedName>
    <definedName name="_xlnm.Print_Area" localSheetId="15">'Ambassador 2'!$A$1:$S$190</definedName>
    <definedName name="_xlnm.Print_Area" localSheetId="16">'Ambassador 3'!$A$1:$S$190</definedName>
    <definedName name="_xlnm.Print_Area" localSheetId="17">'Ambassador 4'!$A$1:$S$190</definedName>
    <definedName name="_xlnm.Print_Area" localSheetId="18">'Ambassador 5'!$A$1:$S$190</definedName>
    <definedName name="_xlnm.Print_Area" localSheetId="19">'Ambassador 6'!$A$1:$S$190</definedName>
    <definedName name="_xlnm.Print_Area" localSheetId="20">'Ambassador 7'!$A$1:$S$190</definedName>
    <definedName name="_xlnm.Print_Area" localSheetId="21">'Ambassador 8'!$A$1:$S$190</definedName>
    <definedName name="_xlnm.Print_Area" localSheetId="22">'Ambassador 9'!$A$1:$S$190</definedName>
    <definedName name="_xlnm.Print_Area" localSheetId="7">'Council Own'!$A$1:$R$148</definedName>
    <definedName name="_xlnm.Print_Area" localSheetId="0">Instructions!$A$1:$I$44</definedName>
    <definedName name="_xlnm.Print_Titles" localSheetId="8">'Age-Level'!$1:$4</definedName>
    <definedName name="_xlnm.Print_Titles" localSheetId="4">Attendance!$1:$4</definedName>
    <definedName name="_xlnm.Print_Titles" localSheetId="7">'Council Own'!$1:$4</definedName>
    <definedName name="_xlnm.Print_Titles" localSheetId="11">'Fun Patches'!$1:$4</definedName>
    <definedName name="_xlnm.Print_Titles" localSheetId="6">Journey!$1:$4</definedName>
    <definedName name="_xlnm.Print_Titles" localSheetId="2">Registration!$1:$4</definedName>
  </definedNames>
  <calcPr calcId="152511"/>
</workbook>
</file>

<file path=xl/calcChain.xml><?xml version="1.0" encoding="utf-8"?>
<calcChain xmlns="http://schemas.openxmlformats.org/spreadsheetml/2006/main">
  <c r="C2" i="230" l="1"/>
  <c r="C1" i="230"/>
  <c r="C2" i="229"/>
  <c r="C1" i="229"/>
  <c r="U8" i="230"/>
  <c r="U10" i="230"/>
  <c r="U12" i="230"/>
  <c r="U7" i="230"/>
  <c r="U9" i="230"/>
  <c r="U11" i="230"/>
  <c r="U13" i="230"/>
  <c r="U6" i="230"/>
  <c r="U8" i="232"/>
  <c r="U10" i="232"/>
  <c r="U12" i="232"/>
  <c r="U14" i="232"/>
  <c r="U16" i="232"/>
  <c r="U18" i="232"/>
  <c r="U7" i="232"/>
  <c r="U9" i="232"/>
  <c r="U11" i="232"/>
  <c r="U13" i="232"/>
  <c r="U15" i="232"/>
  <c r="U17" i="232"/>
  <c r="U6" i="232"/>
  <c r="U10" i="229"/>
  <c r="U12" i="229"/>
  <c r="U14" i="229"/>
  <c r="U16" i="229"/>
  <c r="U18" i="229"/>
  <c r="U20" i="229"/>
  <c r="U22" i="229"/>
  <c r="U24" i="229"/>
  <c r="U26" i="229"/>
  <c r="U28" i="229"/>
  <c r="U30" i="229"/>
  <c r="U9" i="229"/>
  <c r="U11" i="229"/>
  <c r="U13" i="229"/>
  <c r="U15" i="229"/>
  <c r="U17" i="229"/>
  <c r="U19" i="229"/>
  <c r="U21" i="229"/>
  <c r="U23" i="229"/>
  <c r="U25" i="229"/>
  <c r="U27" i="229"/>
  <c r="U29" i="229"/>
  <c r="U31" i="229"/>
  <c r="U8" i="229"/>
  <c r="U8" i="208"/>
  <c r="U10" i="208"/>
  <c r="U12" i="208"/>
  <c r="U14" i="208"/>
  <c r="U16" i="208"/>
  <c r="U18" i="208"/>
  <c r="U20" i="208"/>
  <c r="U22" i="208"/>
  <c r="U24" i="208"/>
  <c r="U26" i="208"/>
  <c r="U28" i="208"/>
  <c r="U30" i="208"/>
  <c r="U32" i="208"/>
  <c r="U34" i="208"/>
  <c r="U36" i="208"/>
  <c r="U38" i="208"/>
  <c r="U40" i="208"/>
  <c r="U42" i="208"/>
  <c r="U44" i="208"/>
  <c r="U46" i="208"/>
  <c r="U48" i="208"/>
  <c r="U50" i="208"/>
  <c r="U52" i="208"/>
  <c r="U54" i="208"/>
  <c r="U56" i="208"/>
  <c r="U58" i="208"/>
  <c r="U60" i="208"/>
  <c r="U62" i="208"/>
  <c r="U64" i="208"/>
  <c r="U66" i="208"/>
  <c r="U68" i="208"/>
  <c r="U70" i="208"/>
  <c r="U72" i="208"/>
  <c r="U74" i="208"/>
  <c r="U76" i="208"/>
  <c r="U78" i="208"/>
  <c r="U80" i="208"/>
  <c r="U82" i="208"/>
  <c r="U84" i="208"/>
  <c r="U86" i="208"/>
  <c r="U88" i="208"/>
  <c r="U90" i="208"/>
  <c r="U92" i="208"/>
  <c r="U94" i="208"/>
  <c r="U96" i="208"/>
  <c r="U98" i="208"/>
  <c r="U100" i="208"/>
  <c r="U102" i="208"/>
  <c r="U104" i="208"/>
  <c r="U106" i="208"/>
  <c r="U108" i="208"/>
  <c r="U110" i="208"/>
  <c r="U112" i="208"/>
  <c r="U114" i="208"/>
  <c r="U116" i="208"/>
  <c r="U118" i="208"/>
  <c r="U120" i="208"/>
  <c r="U122" i="208"/>
  <c r="U124" i="208"/>
  <c r="U126" i="208"/>
  <c r="U128" i="208"/>
  <c r="U130" i="208"/>
  <c r="U132" i="208"/>
  <c r="U134" i="208"/>
  <c r="U136" i="208"/>
  <c r="U138" i="208"/>
  <c r="U140" i="208"/>
  <c r="U142" i="208"/>
  <c r="U144" i="208"/>
  <c r="U146" i="208"/>
  <c r="U148" i="208"/>
  <c r="U150" i="208"/>
  <c r="U152" i="208"/>
  <c r="U154" i="208"/>
  <c r="U156" i="208"/>
  <c r="U158" i="208"/>
  <c r="U160" i="208"/>
  <c r="U162" i="208"/>
  <c r="U164" i="208"/>
  <c r="U166" i="208"/>
  <c r="U168" i="208"/>
  <c r="U170" i="208"/>
  <c r="U172" i="208"/>
  <c r="U174" i="208"/>
  <c r="U176" i="208"/>
  <c r="U178" i="208"/>
  <c r="U180" i="208"/>
  <c r="U182" i="208"/>
  <c r="U184" i="208"/>
  <c r="U186" i="208"/>
  <c r="U188" i="208"/>
  <c r="U190" i="208"/>
  <c r="U192" i="208"/>
  <c r="U194" i="208"/>
  <c r="U196" i="208"/>
  <c r="U198" i="208"/>
  <c r="U200" i="208"/>
  <c r="U202" i="208"/>
  <c r="U204" i="208"/>
  <c r="U206" i="208"/>
  <c r="U208" i="208"/>
  <c r="U210" i="208"/>
  <c r="U212" i="208"/>
  <c r="U214" i="208"/>
  <c r="U216" i="208"/>
  <c r="U218" i="208"/>
  <c r="U220" i="208"/>
  <c r="U222" i="208"/>
  <c r="U224" i="208"/>
  <c r="U226" i="208"/>
  <c r="U228" i="208"/>
  <c r="U230" i="208"/>
  <c r="U232" i="208"/>
  <c r="U234" i="208"/>
  <c r="U236" i="208"/>
  <c r="U238" i="208"/>
  <c r="U240" i="208"/>
  <c r="U9" i="208"/>
  <c r="U11" i="208"/>
  <c r="U13" i="208"/>
  <c r="U15" i="208"/>
  <c r="U17" i="208"/>
  <c r="U19" i="208"/>
  <c r="U21" i="208"/>
  <c r="U23" i="208"/>
  <c r="U25" i="208"/>
  <c r="U27" i="208"/>
  <c r="U29" i="208"/>
  <c r="U33" i="208"/>
  <c r="U37" i="208"/>
  <c r="U41" i="208"/>
  <c r="U45" i="208"/>
  <c r="U49" i="208"/>
  <c r="U53" i="208"/>
  <c r="U57" i="208"/>
  <c r="U61" i="208"/>
  <c r="U65" i="208"/>
  <c r="U69" i="208"/>
  <c r="U73" i="208"/>
  <c r="U77" i="208"/>
  <c r="U81" i="208"/>
  <c r="U85" i="208"/>
  <c r="U89" i="208"/>
  <c r="U93" i="208"/>
  <c r="U97" i="208"/>
  <c r="U101" i="208"/>
  <c r="U105" i="208"/>
  <c r="U109" i="208"/>
  <c r="U113" i="208"/>
  <c r="U117" i="208"/>
  <c r="U121" i="208"/>
  <c r="U125" i="208"/>
  <c r="U129" i="208"/>
  <c r="U133" i="208"/>
  <c r="U137" i="208"/>
  <c r="U141" i="208"/>
  <c r="U145" i="208"/>
  <c r="U149" i="208"/>
  <c r="U153" i="208"/>
  <c r="U157" i="208"/>
  <c r="U161" i="208"/>
  <c r="U165" i="208"/>
  <c r="U169" i="208"/>
  <c r="U173" i="208"/>
  <c r="U177" i="208"/>
  <c r="U181" i="208"/>
  <c r="U185" i="208"/>
  <c r="U189" i="208"/>
  <c r="U193" i="208"/>
  <c r="U197" i="208"/>
  <c r="U201" i="208"/>
  <c r="U205" i="208"/>
  <c r="U209" i="208"/>
  <c r="U213" i="208"/>
  <c r="U217" i="208"/>
  <c r="U221" i="208"/>
  <c r="U225" i="208"/>
  <c r="U229" i="208"/>
  <c r="U233" i="208"/>
  <c r="U237" i="208"/>
  <c r="U31" i="208"/>
  <c r="U35" i="208"/>
  <c r="U39" i="208"/>
  <c r="U43" i="208"/>
  <c r="U47" i="208"/>
  <c r="U51" i="208"/>
  <c r="U55" i="208"/>
  <c r="U59" i="208"/>
  <c r="U63" i="208"/>
  <c r="U67" i="208"/>
  <c r="U71" i="208"/>
  <c r="U75" i="208"/>
  <c r="U79" i="208"/>
  <c r="U83" i="208"/>
  <c r="U87" i="208"/>
  <c r="U91" i="208"/>
  <c r="U95" i="208"/>
  <c r="U99" i="208"/>
  <c r="U103" i="208"/>
  <c r="U107" i="208"/>
  <c r="U111" i="208"/>
  <c r="U115" i="208"/>
  <c r="U119" i="208"/>
  <c r="U123" i="208"/>
  <c r="U127" i="208"/>
  <c r="U131" i="208"/>
  <c r="U135" i="208"/>
  <c r="U139" i="208"/>
  <c r="U143" i="208"/>
  <c r="U147" i="208"/>
  <c r="U151" i="208"/>
  <c r="U155" i="208"/>
  <c r="U159" i="208"/>
  <c r="U163" i="208"/>
  <c r="U167" i="208"/>
  <c r="U171" i="208"/>
  <c r="U175" i="208"/>
  <c r="U179" i="208"/>
  <c r="U183" i="208"/>
  <c r="U187" i="208"/>
  <c r="U191" i="208"/>
  <c r="U195" i="208"/>
  <c r="U199" i="208"/>
  <c r="U203" i="208"/>
  <c r="U207" i="208"/>
  <c r="U211" i="208"/>
  <c r="U215" i="208"/>
  <c r="U219" i="208"/>
  <c r="U223" i="208"/>
  <c r="U227" i="208"/>
  <c r="U231" i="208"/>
  <c r="U235" i="208"/>
  <c r="U239" i="208"/>
  <c r="U7" i="208"/>
  <c r="D231" i="208" l="1"/>
  <c r="D233" i="208"/>
  <c r="D237" i="208"/>
  <c r="D235" i="208"/>
  <c r="C47" i="253" l="1"/>
  <c r="C46" i="253"/>
  <c r="C45" i="253"/>
  <c r="C44" i="253"/>
  <c r="C41" i="253"/>
  <c r="C40" i="253"/>
  <c r="C39" i="253"/>
  <c r="C38" i="253"/>
  <c r="C37" i="253"/>
  <c r="C36" i="253"/>
  <c r="C33" i="253"/>
  <c r="C32" i="253"/>
  <c r="C31" i="253"/>
  <c r="S114" i="253"/>
  <c r="O114" i="253"/>
  <c r="K114" i="253"/>
  <c r="S113" i="253"/>
  <c r="O113" i="253"/>
  <c r="K113" i="253"/>
  <c r="S112" i="253"/>
  <c r="O112" i="253"/>
  <c r="K112" i="253"/>
  <c r="S110" i="253"/>
  <c r="O110" i="253"/>
  <c r="K110" i="253"/>
  <c r="S109" i="253"/>
  <c r="O109" i="253"/>
  <c r="K109" i="253"/>
  <c r="S108" i="253"/>
  <c r="O108" i="253"/>
  <c r="K108" i="253"/>
  <c r="S106" i="253"/>
  <c r="O106" i="253"/>
  <c r="K106" i="253"/>
  <c r="G106" i="253"/>
  <c r="S105" i="253"/>
  <c r="O105" i="253"/>
  <c r="K105" i="253"/>
  <c r="G105" i="253"/>
  <c r="S104" i="253"/>
  <c r="O104" i="253"/>
  <c r="K104" i="253"/>
  <c r="G104" i="253"/>
  <c r="G103" i="253"/>
  <c r="S102" i="253"/>
  <c r="O102" i="253"/>
  <c r="K102" i="253"/>
  <c r="G102" i="253"/>
  <c r="S101" i="253"/>
  <c r="O101" i="253"/>
  <c r="K101" i="253"/>
  <c r="G101" i="253"/>
  <c r="S100" i="253"/>
  <c r="O100" i="253"/>
  <c r="K100" i="253"/>
  <c r="G100" i="253"/>
  <c r="G99" i="253"/>
  <c r="S98" i="253"/>
  <c r="O98" i="253"/>
  <c r="K98" i="253"/>
  <c r="G98" i="253"/>
  <c r="S97" i="253"/>
  <c r="O97" i="253"/>
  <c r="K97" i="253"/>
  <c r="G97" i="253"/>
  <c r="S96" i="253"/>
  <c r="O96" i="253"/>
  <c r="K96" i="253"/>
  <c r="G96" i="253"/>
  <c r="S95" i="253"/>
  <c r="O95" i="253"/>
  <c r="K95" i="253"/>
  <c r="G95" i="253"/>
  <c r="G94" i="253"/>
  <c r="S93" i="253"/>
  <c r="O93" i="253"/>
  <c r="K93" i="253"/>
  <c r="G93" i="253"/>
  <c r="S92" i="253"/>
  <c r="O92" i="253"/>
  <c r="K92" i="253"/>
  <c r="G92" i="253"/>
  <c r="S91" i="253"/>
  <c r="O91" i="253"/>
  <c r="K91" i="253"/>
  <c r="G91" i="253"/>
  <c r="G90" i="253"/>
  <c r="S89" i="253"/>
  <c r="O89" i="253"/>
  <c r="K89" i="253"/>
  <c r="G89" i="253"/>
  <c r="S88" i="253"/>
  <c r="O88" i="253"/>
  <c r="K88" i="253"/>
  <c r="G88" i="253"/>
  <c r="S87" i="253"/>
  <c r="O87" i="253"/>
  <c r="K87" i="253"/>
  <c r="G87" i="253"/>
  <c r="G86" i="253"/>
  <c r="S85" i="253"/>
  <c r="O85" i="253"/>
  <c r="K85" i="253"/>
  <c r="G85" i="253"/>
  <c r="S84" i="253"/>
  <c r="O84" i="253"/>
  <c r="K84" i="253"/>
  <c r="G84" i="253"/>
  <c r="S83" i="253"/>
  <c r="O83" i="253"/>
  <c r="K83" i="253"/>
  <c r="G83" i="253"/>
  <c r="G82" i="253"/>
  <c r="S81" i="253"/>
  <c r="O81" i="253"/>
  <c r="K81" i="253"/>
  <c r="G81" i="253"/>
  <c r="S80" i="253"/>
  <c r="O80" i="253"/>
  <c r="K80" i="253"/>
  <c r="G80" i="253"/>
  <c r="S79" i="253"/>
  <c r="O79" i="253"/>
  <c r="K79" i="253"/>
  <c r="G79" i="253"/>
  <c r="G78" i="253"/>
  <c r="S77" i="253"/>
  <c r="O77" i="253"/>
  <c r="K77" i="253"/>
  <c r="G77" i="253"/>
  <c r="S76" i="253"/>
  <c r="O76" i="253"/>
  <c r="K76" i="253"/>
  <c r="G76" i="253"/>
  <c r="S75" i="253"/>
  <c r="O75" i="253"/>
  <c r="K75" i="253"/>
  <c r="G75" i="253"/>
  <c r="S74" i="253"/>
  <c r="O74" i="253"/>
  <c r="K74" i="253"/>
  <c r="G74" i="253"/>
  <c r="G73" i="253"/>
  <c r="O67" i="253"/>
  <c r="O65" i="253"/>
  <c r="K65" i="253"/>
  <c r="K64" i="253"/>
  <c r="O63" i="253"/>
  <c r="K63" i="253"/>
  <c r="O61" i="253"/>
  <c r="K61" i="253"/>
  <c r="K60" i="253"/>
  <c r="O59" i="253"/>
  <c r="K59" i="253"/>
  <c r="O56" i="253"/>
  <c r="K56" i="253"/>
  <c r="O55" i="253"/>
  <c r="K55" i="253"/>
  <c r="O54" i="253"/>
  <c r="K54" i="253"/>
  <c r="G53" i="253"/>
  <c r="K52" i="253"/>
  <c r="G52" i="253"/>
  <c r="O51" i="253"/>
  <c r="K51" i="253"/>
  <c r="G51" i="253"/>
  <c r="O50" i="253"/>
  <c r="K50" i="253"/>
  <c r="O49" i="253"/>
  <c r="G49" i="253"/>
  <c r="G48" i="253"/>
  <c r="O47" i="253"/>
  <c r="K47" i="253"/>
  <c r="G47" i="253"/>
  <c r="B47" i="253"/>
  <c r="O46" i="253"/>
  <c r="K46" i="253"/>
  <c r="B46" i="253"/>
  <c r="O45" i="253"/>
  <c r="K45" i="253"/>
  <c r="B45" i="253"/>
  <c r="G44" i="253"/>
  <c r="B44" i="253"/>
  <c r="O43" i="253"/>
  <c r="K43" i="253"/>
  <c r="G43" i="253"/>
  <c r="O42" i="253"/>
  <c r="K42" i="253"/>
  <c r="G42" i="253"/>
  <c r="O41" i="253"/>
  <c r="K41" i="253"/>
  <c r="B41" i="253"/>
  <c r="G40" i="253"/>
  <c r="B40" i="253"/>
  <c r="S39" i="253"/>
  <c r="O39" i="253"/>
  <c r="K39" i="253"/>
  <c r="G39" i="253"/>
  <c r="B39" i="253"/>
  <c r="S38" i="253"/>
  <c r="O38" i="253"/>
  <c r="K38" i="253"/>
  <c r="G38" i="253"/>
  <c r="B38" i="253"/>
  <c r="S37" i="253"/>
  <c r="O37" i="253"/>
  <c r="K37" i="253"/>
  <c r="B37" i="253"/>
  <c r="S36" i="253"/>
  <c r="G36" i="253"/>
  <c r="B36" i="253"/>
  <c r="S35" i="253"/>
  <c r="G35" i="253"/>
  <c r="O34" i="253"/>
  <c r="K34" i="253"/>
  <c r="G34" i="253"/>
  <c r="S33" i="253"/>
  <c r="O33" i="253"/>
  <c r="K33" i="253"/>
  <c r="B33" i="253"/>
  <c r="S32" i="253"/>
  <c r="O32" i="253"/>
  <c r="K32" i="253"/>
  <c r="B32" i="253"/>
  <c r="S31" i="253"/>
  <c r="G31" i="253"/>
  <c r="B31" i="253"/>
  <c r="S30" i="253"/>
  <c r="O30" i="253"/>
  <c r="K30" i="253"/>
  <c r="G30" i="253"/>
  <c r="S29" i="253"/>
  <c r="O29" i="253"/>
  <c r="K29" i="253"/>
  <c r="G29" i="253"/>
  <c r="O28" i="253"/>
  <c r="K28" i="253"/>
  <c r="S27" i="253"/>
  <c r="G27" i="253"/>
  <c r="S26" i="253"/>
  <c r="O26" i="253"/>
  <c r="K26" i="253"/>
  <c r="G26" i="253"/>
  <c r="S25" i="253"/>
  <c r="O25" i="253"/>
  <c r="K25" i="253"/>
  <c r="G25" i="253"/>
  <c r="S24" i="253"/>
  <c r="O24" i="253"/>
  <c r="K24" i="253"/>
  <c r="S23" i="253"/>
  <c r="O22" i="253"/>
  <c r="K22" i="253"/>
  <c r="G22" i="253"/>
  <c r="S21" i="253"/>
  <c r="O21" i="253"/>
  <c r="K21" i="253"/>
  <c r="G21" i="253"/>
  <c r="S20" i="253"/>
  <c r="O20" i="253"/>
  <c r="K20" i="253"/>
  <c r="G20" i="253"/>
  <c r="S19" i="253"/>
  <c r="S18" i="253"/>
  <c r="O18" i="253"/>
  <c r="K18" i="253"/>
  <c r="G18" i="253"/>
  <c r="S17" i="253"/>
  <c r="O17" i="253"/>
  <c r="K17" i="253"/>
  <c r="G17" i="253"/>
  <c r="S16" i="253"/>
  <c r="O16" i="253"/>
  <c r="K16" i="253"/>
  <c r="G16" i="253"/>
  <c r="S15" i="253"/>
  <c r="S14" i="253"/>
  <c r="G14" i="253"/>
  <c r="S13" i="253"/>
  <c r="O13" i="253"/>
  <c r="K13" i="253"/>
  <c r="G13" i="253"/>
  <c r="S12" i="253"/>
  <c r="O12" i="253"/>
  <c r="K12" i="253"/>
  <c r="G12" i="253"/>
  <c r="S11" i="253"/>
  <c r="O11" i="253"/>
  <c r="K11" i="253"/>
  <c r="S10" i="253"/>
  <c r="G10" i="253"/>
  <c r="S9" i="253"/>
  <c r="O9" i="253"/>
  <c r="K9" i="253"/>
  <c r="G9" i="253"/>
  <c r="S8" i="253"/>
  <c r="O8" i="253"/>
  <c r="K8" i="253"/>
  <c r="G8" i="253"/>
  <c r="S7" i="253"/>
  <c r="O7" i="253"/>
  <c r="K7" i="253"/>
  <c r="G6" i="253"/>
  <c r="O5" i="253"/>
  <c r="K5" i="253"/>
  <c r="G5" i="253"/>
  <c r="S4" i="253"/>
  <c r="O4" i="253"/>
  <c r="K4" i="253"/>
  <c r="G4" i="253"/>
  <c r="S3" i="253"/>
  <c r="O3" i="253"/>
  <c r="K3" i="253"/>
  <c r="C47" i="252"/>
  <c r="C46" i="252"/>
  <c r="C45" i="252"/>
  <c r="C44" i="252"/>
  <c r="C41" i="252"/>
  <c r="C40" i="252"/>
  <c r="C39" i="252"/>
  <c r="C38" i="252"/>
  <c r="C37" i="252"/>
  <c r="C36" i="252"/>
  <c r="C33" i="252"/>
  <c r="C32" i="252"/>
  <c r="C31" i="252"/>
  <c r="S114" i="252"/>
  <c r="O114" i="252"/>
  <c r="K114" i="252"/>
  <c r="S113" i="252"/>
  <c r="O113" i="252"/>
  <c r="K113" i="252"/>
  <c r="S112" i="252"/>
  <c r="O112" i="252"/>
  <c r="K112" i="252"/>
  <c r="S110" i="252"/>
  <c r="O110" i="252"/>
  <c r="K110" i="252"/>
  <c r="S109" i="252"/>
  <c r="O109" i="252"/>
  <c r="K109" i="252"/>
  <c r="S108" i="252"/>
  <c r="O108" i="252"/>
  <c r="K108" i="252"/>
  <c r="S106" i="252"/>
  <c r="O106" i="252"/>
  <c r="K106" i="252"/>
  <c r="G106" i="252"/>
  <c r="S105" i="252"/>
  <c r="O105" i="252"/>
  <c r="K105" i="252"/>
  <c r="G105" i="252"/>
  <c r="S104" i="252"/>
  <c r="O104" i="252"/>
  <c r="K104" i="252"/>
  <c r="G104" i="252"/>
  <c r="G103" i="252"/>
  <c r="S102" i="252"/>
  <c r="O102" i="252"/>
  <c r="K102" i="252"/>
  <c r="G102" i="252"/>
  <c r="S101" i="252"/>
  <c r="O101" i="252"/>
  <c r="K101" i="252"/>
  <c r="G101" i="252"/>
  <c r="S100" i="252"/>
  <c r="O100" i="252"/>
  <c r="K100" i="252"/>
  <c r="G100" i="252"/>
  <c r="G99" i="252"/>
  <c r="S98" i="252"/>
  <c r="O98" i="252"/>
  <c r="K98" i="252"/>
  <c r="G98" i="252"/>
  <c r="S97" i="252"/>
  <c r="O97" i="252"/>
  <c r="K97" i="252"/>
  <c r="G97" i="252"/>
  <c r="S96" i="252"/>
  <c r="O96" i="252"/>
  <c r="K96" i="252"/>
  <c r="G96" i="252"/>
  <c r="S95" i="252"/>
  <c r="O95" i="252"/>
  <c r="K95" i="252"/>
  <c r="G95" i="252"/>
  <c r="G94" i="252"/>
  <c r="S93" i="252"/>
  <c r="O93" i="252"/>
  <c r="K93" i="252"/>
  <c r="G93" i="252"/>
  <c r="S92" i="252"/>
  <c r="O92" i="252"/>
  <c r="K92" i="252"/>
  <c r="G92" i="252"/>
  <c r="S91" i="252"/>
  <c r="O91" i="252"/>
  <c r="K91" i="252"/>
  <c r="G91" i="252"/>
  <c r="G90" i="252"/>
  <c r="S89" i="252"/>
  <c r="O89" i="252"/>
  <c r="K89" i="252"/>
  <c r="G89" i="252"/>
  <c r="S88" i="252"/>
  <c r="O88" i="252"/>
  <c r="K88" i="252"/>
  <c r="G88" i="252"/>
  <c r="S87" i="252"/>
  <c r="O87" i="252"/>
  <c r="K87" i="252"/>
  <c r="G87" i="252"/>
  <c r="G86" i="252"/>
  <c r="S85" i="252"/>
  <c r="O85" i="252"/>
  <c r="K85" i="252"/>
  <c r="G85" i="252"/>
  <c r="S84" i="252"/>
  <c r="O84" i="252"/>
  <c r="K84" i="252"/>
  <c r="G84" i="252"/>
  <c r="S83" i="252"/>
  <c r="O83" i="252"/>
  <c r="K83" i="252"/>
  <c r="G83" i="252"/>
  <c r="G82" i="252"/>
  <c r="S81" i="252"/>
  <c r="O81" i="252"/>
  <c r="K81" i="252"/>
  <c r="G81" i="252"/>
  <c r="S80" i="252"/>
  <c r="O80" i="252"/>
  <c r="K80" i="252"/>
  <c r="G80" i="252"/>
  <c r="S79" i="252"/>
  <c r="O79" i="252"/>
  <c r="K79" i="252"/>
  <c r="G79" i="252"/>
  <c r="G78" i="252"/>
  <c r="S77" i="252"/>
  <c r="O77" i="252"/>
  <c r="K77" i="252"/>
  <c r="G77" i="252"/>
  <c r="S76" i="252"/>
  <c r="O76" i="252"/>
  <c r="K76" i="252"/>
  <c r="G76" i="252"/>
  <c r="S75" i="252"/>
  <c r="O75" i="252"/>
  <c r="K75" i="252"/>
  <c r="G75" i="252"/>
  <c r="S74" i="252"/>
  <c r="O74" i="252"/>
  <c r="K74" i="252"/>
  <c r="G74" i="252"/>
  <c r="G73" i="252"/>
  <c r="O67" i="252"/>
  <c r="O65" i="252"/>
  <c r="K65" i="252"/>
  <c r="K64" i="252"/>
  <c r="O63" i="252"/>
  <c r="K63" i="252"/>
  <c r="O61" i="252"/>
  <c r="K61" i="252"/>
  <c r="K60" i="252"/>
  <c r="O59" i="252"/>
  <c r="K59" i="252"/>
  <c r="O56" i="252"/>
  <c r="K56" i="252"/>
  <c r="O55" i="252"/>
  <c r="K55" i="252"/>
  <c r="O54" i="252"/>
  <c r="K54" i="252"/>
  <c r="G53" i="252"/>
  <c r="K52" i="252"/>
  <c r="G52" i="252"/>
  <c r="O51" i="252"/>
  <c r="K51" i="252"/>
  <c r="G51" i="252"/>
  <c r="O50" i="252"/>
  <c r="K50" i="252"/>
  <c r="O49" i="252"/>
  <c r="G49" i="252"/>
  <c r="G48" i="252"/>
  <c r="O47" i="252"/>
  <c r="K47" i="252"/>
  <c r="G47" i="252"/>
  <c r="B47" i="252"/>
  <c r="O46" i="252"/>
  <c r="K46" i="252"/>
  <c r="B46" i="252"/>
  <c r="O45" i="252"/>
  <c r="K45" i="252"/>
  <c r="B45" i="252"/>
  <c r="G44" i="252"/>
  <c r="B44" i="252"/>
  <c r="O43" i="252"/>
  <c r="K43" i="252"/>
  <c r="G43" i="252"/>
  <c r="O42" i="252"/>
  <c r="K42" i="252"/>
  <c r="G42" i="252"/>
  <c r="O41" i="252"/>
  <c r="K41" i="252"/>
  <c r="B41" i="252"/>
  <c r="G40" i="252"/>
  <c r="B40" i="252"/>
  <c r="S39" i="252"/>
  <c r="O39" i="252"/>
  <c r="K39" i="252"/>
  <c r="G39" i="252"/>
  <c r="B39" i="252"/>
  <c r="S38" i="252"/>
  <c r="O38" i="252"/>
  <c r="K38" i="252"/>
  <c r="G38" i="252"/>
  <c r="B38" i="252"/>
  <c r="S37" i="252"/>
  <c r="O37" i="252"/>
  <c r="K37" i="252"/>
  <c r="B37" i="252"/>
  <c r="S36" i="252"/>
  <c r="G36" i="252"/>
  <c r="B36" i="252"/>
  <c r="S35" i="252"/>
  <c r="G35" i="252"/>
  <c r="O34" i="252"/>
  <c r="K34" i="252"/>
  <c r="G34" i="252"/>
  <c r="S33" i="252"/>
  <c r="O33" i="252"/>
  <c r="K33" i="252"/>
  <c r="B33" i="252"/>
  <c r="S32" i="252"/>
  <c r="O32" i="252"/>
  <c r="K32" i="252"/>
  <c r="B32" i="252"/>
  <c r="S31" i="252"/>
  <c r="G31" i="252"/>
  <c r="B31" i="252"/>
  <c r="S30" i="252"/>
  <c r="O30" i="252"/>
  <c r="K30" i="252"/>
  <c r="G30" i="252"/>
  <c r="S29" i="252"/>
  <c r="O29" i="252"/>
  <c r="K29" i="252"/>
  <c r="G29" i="252"/>
  <c r="O28" i="252"/>
  <c r="K28" i="252"/>
  <c r="S27" i="252"/>
  <c r="G27" i="252"/>
  <c r="S26" i="252"/>
  <c r="O26" i="252"/>
  <c r="K26" i="252"/>
  <c r="G26" i="252"/>
  <c r="S25" i="252"/>
  <c r="O25" i="252"/>
  <c r="K25" i="252"/>
  <c r="G25" i="252"/>
  <c r="S24" i="252"/>
  <c r="O24" i="252"/>
  <c r="K24" i="252"/>
  <c r="S23" i="252"/>
  <c r="O22" i="252"/>
  <c r="K22" i="252"/>
  <c r="G22" i="252"/>
  <c r="S21" i="252"/>
  <c r="O21" i="252"/>
  <c r="K21" i="252"/>
  <c r="G21" i="252"/>
  <c r="S20" i="252"/>
  <c r="O20" i="252"/>
  <c r="K20" i="252"/>
  <c r="G20" i="252"/>
  <c r="S19" i="252"/>
  <c r="S18" i="252"/>
  <c r="O18" i="252"/>
  <c r="K18" i="252"/>
  <c r="G18" i="252"/>
  <c r="S17" i="252"/>
  <c r="O17" i="252"/>
  <c r="K17" i="252"/>
  <c r="G17" i="252"/>
  <c r="S16" i="252"/>
  <c r="O16" i="252"/>
  <c r="K16" i="252"/>
  <c r="G16" i="252"/>
  <c r="S15" i="252"/>
  <c r="S14" i="252"/>
  <c r="G14" i="252"/>
  <c r="S13" i="252"/>
  <c r="O13" i="252"/>
  <c r="K13" i="252"/>
  <c r="G13" i="252"/>
  <c r="S12" i="252"/>
  <c r="O12" i="252"/>
  <c r="K12" i="252"/>
  <c r="G12" i="252"/>
  <c r="S11" i="252"/>
  <c r="O11" i="252"/>
  <c r="K11" i="252"/>
  <c r="S10" i="252"/>
  <c r="G10" i="252"/>
  <c r="S9" i="252"/>
  <c r="O9" i="252"/>
  <c r="K9" i="252"/>
  <c r="G9" i="252"/>
  <c r="S8" i="252"/>
  <c r="O8" i="252"/>
  <c r="K8" i="252"/>
  <c r="G8" i="252"/>
  <c r="S7" i="252"/>
  <c r="O7" i="252"/>
  <c r="K7" i="252"/>
  <c r="G6" i="252"/>
  <c r="O5" i="252"/>
  <c r="K5" i="252"/>
  <c r="G5" i="252"/>
  <c r="S4" i="252"/>
  <c r="O4" i="252"/>
  <c r="K4" i="252"/>
  <c r="G4" i="252"/>
  <c r="S3" i="252"/>
  <c r="O3" i="252"/>
  <c r="K3" i="252"/>
  <c r="C47" i="251"/>
  <c r="C46" i="251"/>
  <c r="C45" i="251"/>
  <c r="C44" i="251"/>
  <c r="C41" i="251"/>
  <c r="C40" i="251"/>
  <c r="C39" i="251"/>
  <c r="C38" i="251"/>
  <c r="C37" i="251"/>
  <c r="C36" i="251"/>
  <c r="C33" i="251"/>
  <c r="C32" i="251"/>
  <c r="C31" i="251"/>
  <c r="S114" i="251"/>
  <c r="O114" i="251"/>
  <c r="K114" i="251"/>
  <c r="S113" i="251"/>
  <c r="O113" i="251"/>
  <c r="K113" i="251"/>
  <c r="S112" i="251"/>
  <c r="O112" i="251"/>
  <c r="K112" i="251"/>
  <c r="S110" i="251"/>
  <c r="O110" i="251"/>
  <c r="K110" i="251"/>
  <c r="S109" i="251"/>
  <c r="O109" i="251"/>
  <c r="K109" i="251"/>
  <c r="S108" i="251"/>
  <c r="O108" i="251"/>
  <c r="K108" i="251"/>
  <c r="S106" i="251"/>
  <c r="O106" i="251"/>
  <c r="K106" i="251"/>
  <c r="G106" i="251"/>
  <c r="S105" i="251"/>
  <c r="O105" i="251"/>
  <c r="K105" i="251"/>
  <c r="G105" i="251"/>
  <c r="S104" i="251"/>
  <c r="O104" i="251"/>
  <c r="K104" i="251"/>
  <c r="G104" i="251"/>
  <c r="G103" i="251"/>
  <c r="S102" i="251"/>
  <c r="O102" i="251"/>
  <c r="K102" i="251"/>
  <c r="G102" i="251"/>
  <c r="S101" i="251"/>
  <c r="O101" i="251"/>
  <c r="K101" i="251"/>
  <c r="G101" i="251"/>
  <c r="S100" i="251"/>
  <c r="O100" i="251"/>
  <c r="K100" i="251"/>
  <c r="G100" i="251"/>
  <c r="G99" i="251"/>
  <c r="S98" i="251"/>
  <c r="O98" i="251"/>
  <c r="K98" i="251"/>
  <c r="G98" i="251"/>
  <c r="S97" i="251"/>
  <c r="O97" i="251"/>
  <c r="K97" i="251"/>
  <c r="G97" i="251"/>
  <c r="S96" i="251"/>
  <c r="O96" i="251"/>
  <c r="K96" i="251"/>
  <c r="G96" i="251"/>
  <c r="S95" i="251"/>
  <c r="O95" i="251"/>
  <c r="K95" i="251"/>
  <c r="G95" i="251"/>
  <c r="G94" i="251"/>
  <c r="S93" i="251"/>
  <c r="O93" i="251"/>
  <c r="K93" i="251"/>
  <c r="G93" i="251"/>
  <c r="S92" i="251"/>
  <c r="O92" i="251"/>
  <c r="K92" i="251"/>
  <c r="G92" i="251"/>
  <c r="S91" i="251"/>
  <c r="O91" i="251"/>
  <c r="K91" i="251"/>
  <c r="G91" i="251"/>
  <c r="G90" i="251"/>
  <c r="S89" i="251"/>
  <c r="O89" i="251"/>
  <c r="K89" i="251"/>
  <c r="G89" i="251"/>
  <c r="S88" i="251"/>
  <c r="O88" i="251"/>
  <c r="K88" i="251"/>
  <c r="G88" i="251"/>
  <c r="S87" i="251"/>
  <c r="O87" i="251"/>
  <c r="K87" i="251"/>
  <c r="G87" i="251"/>
  <c r="G86" i="251"/>
  <c r="S85" i="251"/>
  <c r="O85" i="251"/>
  <c r="K85" i="251"/>
  <c r="G85" i="251"/>
  <c r="S84" i="251"/>
  <c r="O84" i="251"/>
  <c r="K84" i="251"/>
  <c r="G84" i="251"/>
  <c r="S83" i="251"/>
  <c r="O83" i="251"/>
  <c r="K83" i="251"/>
  <c r="G83" i="251"/>
  <c r="G82" i="251"/>
  <c r="S81" i="251"/>
  <c r="O81" i="251"/>
  <c r="K81" i="251"/>
  <c r="G81" i="251"/>
  <c r="S80" i="251"/>
  <c r="O80" i="251"/>
  <c r="K80" i="251"/>
  <c r="G80" i="251"/>
  <c r="S79" i="251"/>
  <c r="O79" i="251"/>
  <c r="K79" i="251"/>
  <c r="G79" i="251"/>
  <c r="G78" i="251"/>
  <c r="S77" i="251"/>
  <c r="O77" i="251"/>
  <c r="K77" i="251"/>
  <c r="G77" i="251"/>
  <c r="S76" i="251"/>
  <c r="O76" i="251"/>
  <c r="K76" i="251"/>
  <c r="G76" i="251"/>
  <c r="S75" i="251"/>
  <c r="O75" i="251"/>
  <c r="K75" i="251"/>
  <c r="G75" i="251"/>
  <c r="S74" i="251"/>
  <c r="O74" i="251"/>
  <c r="K74" i="251"/>
  <c r="G74" i="251"/>
  <c r="G73" i="251"/>
  <c r="O67" i="251"/>
  <c r="O65" i="251"/>
  <c r="K65" i="251"/>
  <c r="K64" i="251"/>
  <c r="O63" i="251"/>
  <c r="K63" i="251"/>
  <c r="O61" i="251"/>
  <c r="K61" i="251"/>
  <c r="K60" i="251"/>
  <c r="O59" i="251"/>
  <c r="K59" i="251"/>
  <c r="O56" i="251"/>
  <c r="K56" i="251"/>
  <c r="O55" i="251"/>
  <c r="K55" i="251"/>
  <c r="O54" i="251"/>
  <c r="K54" i="251"/>
  <c r="G53" i="251"/>
  <c r="K52" i="251"/>
  <c r="G52" i="251"/>
  <c r="O51" i="251"/>
  <c r="K51" i="251"/>
  <c r="G51" i="251"/>
  <c r="O50" i="251"/>
  <c r="K50" i="251"/>
  <c r="O49" i="251"/>
  <c r="G49" i="251"/>
  <c r="G48" i="251"/>
  <c r="O47" i="251"/>
  <c r="K47" i="251"/>
  <c r="G47" i="251"/>
  <c r="B47" i="251"/>
  <c r="O46" i="251"/>
  <c r="K46" i="251"/>
  <c r="B46" i="251"/>
  <c r="O45" i="251"/>
  <c r="K45" i="251"/>
  <c r="B45" i="251"/>
  <c r="G44" i="251"/>
  <c r="B44" i="251"/>
  <c r="O43" i="251"/>
  <c r="K43" i="251"/>
  <c r="G43" i="251"/>
  <c r="O42" i="251"/>
  <c r="K42" i="251"/>
  <c r="G42" i="251"/>
  <c r="O41" i="251"/>
  <c r="K41" i="251"/>
  <c r="B41" i="251"/>
  <c r="G40" i="251"/>
  <c r="B40" i="251"/>
  <c r="S39" i="251"/>
  <c r="O39" i="251"/>
  <c r="K39" i="251"/>
  <c r="G39" i="251"/>
  <c r="B39" i="251"/>
  <c r="S38" i="251"/>
  <c r="O38" i="251"/>
  <c r="K38" i="251"/>
  <c r="G38" i="251"/>
  <c r="B38" i="251"/>
  <c r="S37" i="251"/>
  <c r="O37" i="251"/>
  <c r="K37" i="251"/>
  <c r="B37" i="251"/>
  <c r="S36" i="251"/>
  <c r="G36" i="251"/>
  <c r="B36" i="251"/>
  <c r="S35" i="251"/>
  <c r="G35" i="251"/>
  <c r="O34" i="251"/>
  <c r="K34" i="251"/>
  <c r="G34" i="251"/>
  <c r="S33" i="251"/>
  <c r="O33" i="251"/>
  <c r="K33" i="251"/>
  <c r="B33" i="251"/>
  <c r="S32" i="251"/>
  <c r="O32" i="251"/>
  <c r="K32" i="251"/>
  <c r="B32" i="251"/>
  <c r="S31" i="251"/>
  <c r="G31" i="251"/>
  <c r="B31" i="251"/>
  <c r="S30" i="251"/>
  <c r="O30" i="251"/>
  <c r="K30" i="251"/>
  <c r="G30" i="251"/>
  <c r="S29" i="251"/>
  <c r="O29" i="251"/>
  <c r="K29" i="251"/>
  <c r="G29" i="251"/>
  <c r="O28" i="251"/>
  <c r="K28" i="251"/>
  <c r="S27" i="251"/>
  <c r="G27" i="251"/>
  <c r="S26" i="251"/>
  <c r="O26" i="251"/>
  <c r="K26" i="251"/>
  <c r="G26" i="251"/>
  <c r="S25" i="251"/>
  <c r="O25" i="251"/>
  <c r="K25" i="251"/>
  <c r="G25" i="251"/>
  <c r="S24" i="251"/>
  <c r="O24" i="251"/>
  <c r="K24" i="251"/>
  <c r="S23" i="251"/>
  <c r="O22" i="251"/>
  <c r="K22" i="251"/>
  <c r="G22" i="251"/>
  <c r="S21" i="251"/>
  <c r="O21" i="251"/>
  <c r="K21" i="251"/>
  <c r="G21" i="251"/>
  <c r="S20" i="251"/>
  <c r="O20" i="251"/>
  <c r="K20" i="251"/>
  <c r="G20" i="251"/>
  <c r="S19" i="251"/>
  <c r="S18" i="251"/>
  <c r="O18" i="251"/>
  <c r="K18" i="251"/>
  <c r="G18" i="251"/>
  <c r="S17" i="251"/>
  <c r="O17" i="251"/>
  <c r="K17" i="251"/>
  <c r="G17" i="251"/>
  <c r="S16" i="251"/>
  <c r="O16" i="251"/>
  <c r="K16" i="251"/>
  <c r="G16" i="251"/>
  <c r="S15" i="251"/>
  <c r="S14" i="251"/>
  <c r="G14" i="251"/>
  <c r="S13" i="251"/>
  <c r="O13" i="251"/>
  <c r="K13" i="251"/>
  <c r="G13" i="251"/>
  <c r="S12" i="251"/>
  <c r="O12" i="251"/>
  <c r="K12" i="251"/>
  <c r="G12" i="251"/>
  <c r="S11" i="251"/>
  <c r="O11" i="251"/>
  <c r="K11" i="251"/>
  <c r="S10" i="251"/>
  <c r="G10" i="251"/>
  <c r="S9" i="251"/>
  <c r="O9" i="251"/>
  <c r="K9" i="251"/>
  <c r="G9" i="251"/>
  <c r="S8" i="251"/>
  <c r="O8" i="251"/>
  <c r="K8" i="251"/>
  <c r="G8" i="251"/>
  <c r="S7" i="251"/>
  <c r="O7" i="251"/>
  <c r="K7" i="251"/>
  <c r="G6" i="251"/>
  <c r="O5" i="251"/>
  <c r="K5" i="251"/>
  <c r="G5" i="251"/>
  <c r="S4" i="251"/>
  <c r="O4" i="251"/>
  <c r="K4" i="251"/>
  <c r="G4" i="251"/>
  <c r="S3" i="251"/>
  <c r="O3" i="251"/>
  <c r="K3" i="251"/>
  <c r="C47" i="250"/>
  <c r="C46" i="250"/>
  <c r="C45" i="250"/>
  <c r="C44" i="250"/>
  <c r="C41" i="250"/>
  <c r="C40" i="250"/>
  <c r="C39" i="250"/>
  <c r="C38" i="250"/>
  <c r="C37" i="250"/>
  <c r="C36" i="250"/>
  <c r="C33" i="250"/>
  <c r="C32" i="250"/>
  <c r="C31" i="250"/>
  <c r="S114" i="250"/>
  <c r="O114" i="250"/>
  <c r="K114" i="250"/>
  <c r="S113" i="250"/>
  <c r="O113" i="250"/>
  <c r="K113" i="250"/>
  <c r="S112" i="250"/>
  <c r="O112" i="250"/>
  <c r="K112" i="250"/>
  <c r="S110" i="250"/>
  <c r="O110" i="250"/>
  <c r="K110" i="250"/>
  <c r="S109" i="250"/>
  <c r="O109" i="250"/>
  <c r="K109" i="250"/>
  <c r="S108" i="250"/>
  <c r="O108" i="250"/>
  <c r="K108" i="250"/>
  <c r="S106" i="250"/>
  <c r="O106" i="250"/>
  <c r="K106" i="250"/>
  <c r="G106" i="250"/>
  <c r="S105" i="250"/>
  <c r="O105" i="250"/>
  <c r="K105" i="250"/>
  <c r="G105" i="250"/>
  <c r="S104" i="250"/>
  <c r="O104" i="250"/>
  <c r="K104" i="250"/>
  <c r="G104" i="250"/>
  <c r="G103" i="250"/>
  <c r="S102" i="250"/>
  <c r="O102" i="250"/>
  <c r="K102" i="250"/>
  <c r="G102" i="250"/>
  <c r="S101" i="250"/>
  <c r="O101" i="250"/>
  <c r="K101" i="250"/>
  <c r="G101" i="250"/>
  <c r="S100" i="250"/>
  <c r="O100" i="250"/>
  <c r="K100" i="250"/>
  <c r="G100" i="250"/>
  <c r="G99" i="250"/>
  <c r="S98" i="250"/>
  <c r="O98" i="250"/>
  <c r="K98" i="250"/>
  <c r="G98" i="250"/>
  <c r="S97" i="250"/>
  <c r="O97" i="250"/>
  <c r="K97" i="250"/>
  <c r="G97" i="250"/>
  <c r="S96" i="250"/>
  <c r="O96" i="250"/>
  <c r="K96" i="250"/>
  <c r="G96" i="250"/>
  <c r="S95" i="250"/>
  <c r="O95" i="250"/>
  <c r="K95" i="250"/>
  <c r="G95" i="250"/>
  <c r="G94" i="250"/>
  <c r="S93" i="250"/>
  <c r="O93" i="250"/>
  <c r="K93" i="250"/>
  <c r="G93" i="250"/>
  <c r="S92" i="250"/>
  <c r="O92" i="250"/>
  <c r="K92" i="250"/>
  <c r="G92" i="250"/>
  <c r="S91" i="250"/>
  <c r="O91" i="250"/>
  <c r="K91" i="250"/>
  <c r="G91" i="250"/>
  <c r="G90" i="250"/>
  <c r="S89" i="250"/>
  <c r="O89" i="250"/>
  <c r="K89" i="250"/>
  <c r="G89" i="250"/>
  <c r="S88" i="250"/>
  <c r="O88" i="250"/>
  <c r="K88" i="250"/>
  <c r="G88" i="250"/>
  <c r="S87" i="250"/>
  <c r="O87" i="250"/>
  <c r="K87" i="250"/>
  <c r="G87" i="250"/>
  <c r="G86" i="250"/>
  <c r="S85" i="250"/>
  <c r="O85" i="250"/>
  <c r="K85" i="250"/>
  <c r="G85" i="250"/>
  <c r="S84" i="250"/>
  <c r="O84" i="250"/>
  <c r="K84" i="250"/>
  <c r="G84" i="250"/>
  <c r="S83" i="250"/>
  <c r="O83" i="250"/>
  <c r="K83" i="250"/>
  <c r="G83" i="250"/>
  <c r="G82" i="250"/>
  <c r="S81" i="250"/>
  <c r="O81" i="250"/>
  <c r="K81" i="250"/>
  <c r="G81" i="250"/>
  <c r="S80" i="250"/>
  <c r="O80" i="250"/>
  <c r="K80" i="250"/>
  <c r="G80" i="250"/>
  <c r="S79" i="250"/>
  <c r="O79" i="250"/>
  <c r="K79" i="250"/>
  <c r="G79" i="250"/>
  <c r="G78" i="250"/>
  <c r="S77" i="250"/>
  <c r="O77" i="250"/>
  <c r="K77" i="250"/>
  <c r="G77" i="250"/>
  <c r="S76" i="250"/>
  <c r="O76" i="250"/>
  <c r="K76" i="250"/>
  <c r="G76" i="250"/>
  <c r="S75" i="250"/>
  <c r="O75" i="250"/>
  <c r="K75" i="250"/>
  <c r="G75" i="250"/>
  <c r="S74" i="250"/>
  <c r="O74" i="250"/>
  <c r="K74" i="250"/>
  <c r="G74" i="250"/>
  <c r="G73" i="250"/>
  <c r="O67" i="250"/>
  <c r="O65" i="250"/>
  <c r="K65" i="250"/>
  <c r="K64" i="250"/>
  <c r="O63" i="250"/>
  <c r="K63" i="250"/>
  <c r="O61" i="250"/>
  <c r="K61" i="250"/>
  <c r="K60" i="250"/>
  <c r="O59" i="250"/>
  <c r="K59" i="250"/>
  <c r="O56" i="250"/>
  <c r="K56" i="250"/>
  <c r="O55" i="250"/>
  <c r="K55" i="250"/>
  <c r="O54" i="250"/>
  <c r="K54" i="250"/>
  <c r="G53" i="250"/>
  <c r="K52" i="250"/>
  <c r="G52" i="250"/>
  <c r="O51" i="250"/>
  <c r="K51" i="250"/>
  <c r="G51" i="250"/>
  <c r="O50" i="250"/>
  <c r="K50" i="250"/>
  <c r="O49" i="250"/>
  <c r="G49" i="250"/>
  <c r="G48" i="250"/>
  <c r="O47" i="250"/>
  <c r="K47" i="250"/>
  <c r="G47" i="250"/>
  <c r="B47" i="250"/>
  <c r="O46" i="250"/>
  <c r="K46" i="250"/>
  <c r="B46" i="250"/>
  <c r="O45" i="250"/>
  <c r="K45" i="250"/>
  <c r="B45" i="250"/>
  <c r="G44" i="250"/>
  <c r="B44" i="250"/>
  <c r="O43" i="250"/>
  <c r="K43" i="250"/>
  <c r="G43" i="250"/>
  <c r="O42" i="250"/>
  <c r="K42" i="250"/>
  <c r="G42" i="250"/>
  <c r="O41" i="250"/>
  <c r="K41" i="250"/>
  <c r="B41" i="250"/>
  <c r="G40" i="250"/>
  <c r="B40" i="250"/>
  <c r="S39" i="250"/>
  <c r="O39" i="250"/>
  <c r="K39" i="250"/>
  <c r="G39" i="250"/>
  <c r="B39" i="250"/>
  <c r="S38" i="250"/>
  <c r="O38" i="250"/>
  <c r="K38" i="250"/>
  <c r="G38" i="250"/>
  <c r="B38" i="250"/>
  <c r="S37" i="250"/>
  <c r="O37" i="250"/>
  <c r="K37" i="250"/>
  <c r="B37" i="250"/>
  <c r="S36" i="250"/>
  <c r="G36" i="250"/>
  <c r="B36" i="250"/>
  <c r="S35" i="250"/>
  <c r="G35" i="250"/>
  <c r="O34" i="250"/>
  <c r="K34" i="250"/>
  <c r="G34" i="250"/>
  <c r="S33" i="250"/>
  <c r="O33" i="250"/>
  <c r="K33" i="250"/>
  <c r="B33" i="250"/>
  <c r="S32" i="250"/>
  <c r="O32" i="250"/>
  <c r="K32" i="250"/>
  <c r="B32" i="250"/>
  <c r="S31" i="250"/>
  <c r="G31" i="250"/>
  <c r="B31" i="250"/>
  <c r="S30" i="250"/>
  <c r="O30" i="250"/>
  <c r="K30" i="250"/>
  <c r="G30" i="250"/>
  <c r="S29" i="250"/>
  <c r="O29" i="250"/>
  <c r="K29" i="250"/>
  <c r="G29" i="250"/>
  <c r="O28" i="250"/>
  <c r="K28" i="250"/>
  <c r="S27" i="250"/>
  <c r="G27" i="250"/>
  <c r="S26" i="250"/>
  <c r="O26" i="250"/>
  <c r="K26" i="250"/>
  <c r="G26" i="250"/>
  <c r="S25" i="250"/>
  <c r="O25" i="250"/>
  <c r="K25" i="250"/>
  <c r="G25" i="250"/>
  <c r="S24" i="250"/>
  <c r="O24" i="250"/>
  <c r="K24" i="250"/>
  <c r="S23" i="250"/>
  <c r="O22" i="250"/>
  <c r="K22" i="250"/>
  <c r="G22" i="250"/>
  <c r="S21" i="250"/>
  <c r="O21" i="250"/>
  <c r="K21" i="250"/>
  <c r="G21" i="250"/>
  <c r="S20" i="250"/>
  <c r="O20" i="250"/>
  <c r="K20" i="250"/>
  <c r="G20" i="250"/>
  <c r="S19" i="250"/>
  <c r="S18" i="250"/>
  <c r="O18" i="250"/>
  <c r="K18" i="250"/>
  <c r="G18" i="250"/>
  <c r="S17" i="250"/>
  <c r="O17" i="250"/>
  <c r="K17" i="250"/>
  <c r="G17" i="250"/>
  <c r="S16" i="250"/>
  <c r="O16" i="250"/>
  <c r="K16" i="250"/>
  <c r="G16" i="250"/>
  <c r="S15" i="250"/>
  <c r="S14" i="250"/>
  <c r="G14" i="250"/>
  <c r="S13" i="250"/>
  <c r="O13" i="250"/>
  <c r="K13" i="250"/>
  <c r="G13" i="250"/>
  <c r="S12" i="250"/>
  <c r="O12" i="250"/>
  <c r="K12" i="250"/>
  <c r="G12" i="250"/>
  <c r="S11" i="250"/>
  <c r="O11" i="250"/>
  <c r="K11" i="250"/>
  <c r="S10" i="250"/>
  <c r="G10" i="250"/>
  <c r="S9" i="250"/>
  <c r="O9" i="250"/>
  <c r="K9" i="250"/>
  <c r="G9" i="250"/>
  <c r="S8" i="250"/>
  <c r="O8" i="250"/>
  <c r="K8" i="250"/>
  <c r="G8" i="250"/>
  <c r="S7" i="250"/>
  <c r="O7" i="250"/>
  <c r="K7" i="250"/>
  <c r="G6" i="250"/>
  <c r="O5" i="250"/>
  <c r="K5" i="250"/>
  <c r="G5" i="250"/>
  <c r="S4" i="250"/>
  <c r="O4" i="250"/>
  <c r="K4" i="250"/>
  <c r="G4" i="250"/>
  <c r="S3" i="250"/>
  <c r="O3" i="250"/>
  <c r="K3" i="250"/>
  <c r="C47" i="249"/>
  <c r="C46" i="249"/>
  <c r="C45" i="249"/>
  <c r="C44" i="249"/>
  <c r="C41" i="249"/>
  <c r="C40" i="249"/>
  <c r="C39" i="249"/>
  <c r="C38" i="249"/>
  <c r="C37" i="249"/>
  <c r="C36" i="249"/>
  <c r="C33" i="249"/>
  <c r="C32" i="249"/>
  <c r="C31" i="249"/>
  <c r="S114" i="249"/>
  <c r="O114" i="249"/>
  <c r="K114" i="249"/>
  <c r="S113" i="249"/>
  <c r="O113" i="249"/>
  <c r="K113" i="249"/>
  <c r="S112" i="249"/>
  <c r="O112" i="249"/>
  <c r="K112" i="249"/>
  <c r="S110" i="249"/>
  <c r="O110" i="249"/>
  <c r="K110" i="249"/>
  <c r="S109" i="249"/>
  <c r="O109" i="249"/>
  <c r="K109" i="249"/>
  <c r="S108" i="249"/>
  <c r="O108" i="249"/>
  <c r="K108" i="249"/>
  <c r="S106" i="249"/>
  <c r="O106" i="249"/>
  <c r="K106" i="249"/>
  <c r="G106" i="249"/>
  <c r="S105" i="249"/>
  <c r="O105" i="249"/>
  <c r="K105" i="249"/>
  <c r="G105" i="249"/>
  <c r="S104" i="249"/>
  <c r="O104" i="249"/>
  <c r="K104" i="249"/>
  <c r="G104" i="249"/>
  <c r="G103" i="249"/>
  <c r="S102" i="249"/>
  <c r="O102" i="249"/>
  <c r="K102" i="249"/>
  <c r="G102" i="249"/>
  <c r="S101" i="249"/>
  <c r="O101" i="249"/>
  <c r="K101" i="249"/>
  <c r="G101" i="249"/>
  <c r="S100" i="249"/>
  <c r="O100" i="249"/>
  <c r="K100" i="249"/>
  <c r="G100" i="249"/>
  <c r="G99" i="249"/>
  <c r="S98" i="249"/>
  <c r="O98" i="249"/>
  <c r="K98" i="249"/>
  <c r="G98" i="249"/>
  <c r="S97" i="249"/>
  <c r="O97" i="249"/>
  <c r="K97" i="249"/>
  <c r="G97" i="249"/>
  <c r="S96" i="249"/>
  <c r="O96" i="249"/>
  <c r="K96" i="249"/>
  <c r="G96" i="249"/>
  <c r="S95" i="249"/>
  <c r="O95" i="249"/>
  <c r="K95" i="249"/>
  <c r="G95" i="249"/>
  <c r="G94" i="249"/>
  <c r="S93" i="249"/>
  <c r="O93" i="249"/>
  <c r="K93" i="249"/>
  <c r="G93" i="249"/>
  <c r="S92" i="249"/>
  <c r="O92" i="249"/>
  <c r="K92" i="249"/>
  <c r="G92" i="249"/>
  <c r="S91" i="249"/>
  <c r="O91" i="249"/>
  <c r="K91" i="249"/>
  <c r="G91" i="249"/>
  <c r="G90" i="249"/>
  <c r="S89" i="249"/>
  <c r="O89" i="249"/>
  <c r="K89" i="249"/>
  <c r="G89" i="249"/>
  <c r="S88" i="249"/>
  <c r="O88" i="249"/>
  <c r="K88" i="249"/>
  <c r="G88" i="249"/>
  <c r="S87" i="249"/>
  <c r="O87" i="249"/>
  <c r="K87" i="249"/>
  <c r="G87" i="249"/>
  <c r="G86" i="249"/>
  <c r="S85" i="249"/>
  <c r="O85" i="249"/>
  <c r="K85" i="249"/>
  <c r="G85" i="249"/>
  <c r="S84" i="249"/>
  <c r="O84" i="249"/>
  <c r="K84" i="249"/>
  <c r="G84" i="249"/>
  <c r="S83" i="249"/>
  <c r="O83" i="249"/>
  <c r="K83" i="249"/>
  <c r="G83" i="249"/>
  <c r="G82" i="249"/>
  <c r="S81" i="249"/>
  <c r="O81" i="249"/>
  <c r="K81" i="249"/>
  <c r="G81" i="249"/>
  <c r="S80" i="249"/>
  <c r="O80" i="249"/>
  <c r="K80" i="249"/>
  <c r="G80" i="249"/>
  <c r="S79" i="249"/>
  <c r="O79" i="249"/>
  <c r="K79" i="249"/>
  <c r="G79" i="249"/>
  <c r="G78" i="249"/>
  <c r="S77" i="249"/>
  <c r="O77" i="249"/>
  <c r="K77" i="249"/>
  <c r="G77" i="249"/>
  <c r="S76" i="249"/>
  <c r="O76" i="249"/>
  <c r="K76" i="249"/>
  <c r="G76" i="249"/>
  <c r="S75" i="249"/>
  <c r="O75" i="249"/>
  <c r="K75" i="249"/>
  <c r="G75" i="249"/>
  <c r="S74" i="249"/>
  <c r="O74" i="249"/>
  <c r="K74" i="249"/>
  <c r="G74" i="249"/>
  <c r="G73" i="249"/>
  <c r="O67" i="249"/>
  <c r="O65" i="249"/>
  <c r="K65" i="249"/>
  <c r="K64" i="249"/>
  <c r="O63" i="249"/>
  <c r="K63" i="249"/>
  <c r="O61" i="249"/>
  <c r="K61" i="249"/>
  <c r="K60" i="249"/>
  <c r="O59" i="249"/>
  <c r="K59" i="249"/>
  <c r="O56" i="249"/>
  <c r="K56" i="249"/>
  <c r="O55" i="249"/>
  <c r="K55" i="249"/>
  <c r="O54" i="249"/>
  <c r="K54" i="249"/>
  <c r="G53" i="249"/>
  <c r="K52" i="249"/>
  <c r="G52" i="249"/>
  <c r="O51" i="249"/>
  <c r="K51" i="249"/>
  <c r="G51" i="249"/>
  <c r="O50" i="249"/>
  <c r="K50" i="249"/>
  <c r="O49" i="249"/>
  <c r="G49" i="249"/>
  <c r="G48" i="249"/>
  <c r="O47" i="249"/>
  <c r="K47" i="249"/>
  <c r="G47" i="249"/>
  <c r="B47" i="249"/>
  <c r="O46" i="249"/>
  <c r="K46" i="249"/>
  <c r="B46" i="249"/>
  <c r="O45" i="249"/>
  <c r="K45" i="249"/>
  <c r="B45" i="249"/>
  <c r="G44" i="249"/>
  <c r="B44" i="249"/>
  <c r="O43" i="249"/>
  <c r="K43" i="249"/>
  <c r="G43" i="249"/>
  <c r="O42" i="249"/>
  <c r="K42" i="249"/>
  <c r="G42" i="249"/>
  <c r="O41" i="249"/>
  <c r="K41" i="249"/>
  <c r="B41" i="249"/>
  <c r="G40" i="249"/>
  <c r="B40" i="249"/>
  <c r="S39" i="249"/>
  <c r="O39" i="249"/>
  <c r="K39" i="249"/>
  <c r="G39" i="249"/>
  <c r="B39" i="249"/>
  <c r="S38" i="249"/>
  <c r="O38" i="249"/>
  <c r="K38" i="249"/>
  <c r="G38" i="249"/>
  <c r="B38" i="249"/>
  <c r="S37" i="249"/>
  <c r="O37" i="249"/>
  <c r="K37" i="249"/>
  <c r="B37" i="249"/>
  <c r="S36" i="249"/>
  <c r="G36" i="249"/>
  <c r="B36" i="249"/>
  <c r="S35" i="249"/>
  <c r="G35" i="249"/>
  <c r="O34" i="249"/>
  <c r="K34" i="249"/>
  <c r="G34" i="249"/>
  <c r="S33" i="249"/>
  <c r="O33" i="249"/>
  <c r="K33" i="249"/>
  <c r="B33" i="249"/>
  <c r="S32" i="249"/>
  <c r="O32" i="249"/>
  <c r="K32" i="249"/>
  <c r="B32" i="249"/>
  <c r="S31" i="249"/>
  <c r="G31" i="249"/>
  <c r="B31" i="249"/>
  <c r="S30" i="249"/>
  <c r="O30" i="249"/>
  <c r="K30" i="249"/>
  <c r="G30" i="249"/>
  <c r="S29" i="249"/>
  <c r="O29" i="249"/>
  <c r="K29" i="249"/>
  <c r="G29" i="249"/>
  <c r="O28" i="249"/>
  <c r="K28" i="249"/>
  <c r="S27" i="249"/>
  <c r="G27" i="249"/>
  <c r="S26" i="249"/>
  <c r="O26" i="249"/>
  <c r="K26" i="249"/>
  <c r="G26" i="249"/>
  <c r="S25" i="249"/>
  <c r="O25" i="249"/>
  <c r="K25" i="249"/>
  <c r="G25" i="249"/>
  <c r="S24" i="249"/>
  <c r="O24" i="249"/>
  <c r="K24" i="249"/>
  <c r="S23" i="249"/>
  <c r="O22" i="249"/>
  <c r="K22" i="249"/>
  <c r="G22" i="249"/>
  <c r="S21" i="249"/>
  <c r="O21" i="249"/>
  <c r="K21" i="249"/>
  <c r="G21" i="249"/>
  <c r="S20" i="249"/>
  <c r="O20" i="249"/>
  <c r="K20" i="249"/>
  <c r="G20" i="249"/>
  <c r="S19" i="249"/>
  <c r="S18" i="249"/>
  <c r="O18" i="249"/>
  <c r="K18" i="249"/>
  <c r="G18" i="249"/>
  <c r="S17" i="249"/>
  <c r="O17" i="249"/>
  <c r="K17" i="249"/>
  <c r="G17" i="249"/>
  <c r="S16" i="249"/>
  <c r="O16" i="249"/>
  <c r="K16" i="249"/>
  <c r="G16" i="249"/>
  <c r="S15" i="249"/>
  <c r="S14" i="249"/>
  <c r="G14" i="249"/>
  <c r="S13" i="249"/>
  <c r="O13" i="249"/>
  <c r="K13" i="249"/>
  <c r="G13" i="249"/>
  <c r="S12" i="249"/>
  <c r="O12" i="249"/>
  <c r="K12" i="249"/>
  <c r="G12" i="249"/>
  <c r="S11" i="249"/>
  <c r="O11" i="249"/>
  <c r="K11" i="249"/>
  <c r="S10" i="249"/>
  <c r="G10" i="249"/>
  <c r="S9" i="249"/>
  <c r="O9" i="249"/>
  <c r="K9" i="249"/>
  <c r="G9" i="249"/>
  <c r="S8" i="249"/>
  <c r="O8" i="249"/>
  <c r="K8" i="249"/>
  <c r="G8" i="249"/>
  <c r="S7" i="249"/>
  <c r="O7" i="249"/>
  <c r="K7" i="249"/>
  <c r="G6" i="249"/>
  <c r="O5" i="249"/>
  <c r="K5" i="249"/>
  <c r="G5" i="249"/>
  <c r="S4" i="249"/>
  <c r="O4" i="249"/>
  <c r="K4" i="249"/>
  <c r="G4" i="249"/>
  <c r="S3" i="249"/>
  <c r="O3" i="249"/>
  <c r="K3" i="249"/>
  <c r="R114" i="253"/>
  <c r="N114" i="253"/>
  <c r="J114" i="253"/>
  <c r="R113" i="253"/>
  <c r="N113" i="253"/>
  <c r="J113" i="253"/>
  <c r="R112" i="253"/>
  <c r="N112" i="253"/>
  <c r="J112" i="253"/>
  <c r="R111" i="253"/>
  <c r="N111" i="253"/>
  <c r="J111" i="253"/>
  <c r="R110" i="253"/>
  <c r="N110" i="253"/>
  <c r="J110" i="253"/>
  <c r="R109" i="253"/>
  <c r="N109" i="253"/>
  <c r="J109" i="253"/>
  <c r="R108" i="253"/>
  <c r="N108" i="253"/>
  <c r="J108" i="253"/>
  <c r="R107" i="253"/>
  <c r="N107" i="253"/>
  <c r="J107" i="253"/>
  <c r="R106" i="253"/>
  <c r="N106" i="253"/>
  <c r="J106" i="253"/>
  <c r="E106" i="253"/>
  <c r="R105" i="253"/>
  <c r="N105" i="253"/>
  <c r="J105" i="253"/>
  <c r="E105" i="253"/>
  <c r="R104" i="253"/>
  <c r="N104" i="253"/>
  <c r="J104" i="253"/>
  <c r="E104" i="253"/>
  <c r="R103" i="253"/>
  <c r="N103" i="253"/>
  <c r="J103" i="253"/>
  <c r="E103" i="253"/>
  <c r="R102" i="253"/>
  <c r="N102" i="253"/>
  <c r="J102" i="253"/>
  <c r="E102" i="253"/>
  <c r="R101" i="253"/>
  <c r="N101" i="253"/>
  <c r="J101" i="253"/>
  <c r="E101" i="253"/>
  <c r="R100" i="253"/>
  <c r="N100" i="253"/>
  <c r="J100" i="253"/>
  <c r="E100" i="253"/>
  <c r="R99" i="253"/>
  <c r="N99" i="253"/>
  <c r="J99" i="253"/>
  <c r="E99" i="253"/>
  <c r="R98" i="253"/>
  <c r="N98" i="253"/>
  <c r="J98" i="253"/>
  <c r="E98" i="253"/>
  <c r="R97" i="253"/>
  <c r="N97" i="253"/>
  <c r="J97" i="253"/>
  <c r="E97" i="253"/>
  <c r="R96" i="253"/>
  <c r="N96" i="253"/>
  <c r="J96" i="253"/>
  <c r="E96" i="253"/>
  <c r="R95" i="253"/>
  <c r="N95" i="253"/>
  <c r="J95" i="253"/>
  <c r="E95" i="253"/>
  <c r="Q94" i="253"/>
  <c r="M94" i="253"/>
  <c r="I94" i="253"/>
  <c r="E94" i="253"/>
  <c r="R93" i="253"/>
  <c r="N93" i="253"/>
  <c r="J93" i="253"/>
  <c r="E93" i="253"/>
  <c r="R92" i="253"/>
  <c r="N92" i="253"/>
  <c r="J92" i="253"/>
  <c r="E92" i="253"/>
  <c r="R91" i="253"/>
  <c r="N91" i="253"/>
  <c r="J91" i="253"/>
  <c r="E91" i="253"/>
  <c r="R90" i="253"/>
  <c r="N90" i="253"/>
  <c r="J90" i="253"/>
  <c r="E90" i="253"/>
  <c r="R89" i="253"/>
  <c r="N89" i="253"/>
  <c r="J89" i="253"/>
  <c r="E89" i="253"/>
  <c r="R88" i="253"/>
  <c r="N88" i="253"/>
  <c r="J88" i="253"/>
  <c r="E88" i="253"/>
  <c r="R87" i="253"/>
  <c r="N87" i="253"/>
  <c r="J87" i="253"/>
  <c r="E87" i="253"/>
  <c r="R86" i="253"/>
  <c r="N86" i="253"/>
  <c r="J86" i="253"/>
  <c r="E86" i="253"/>
  <c r="R85" i="253"/>
  <c r="N85" i="253"/>
  <c r="J85" i="253"/>
  <c r="E85" i="253"/>
  <c r="R84" i="253"/>
  <c r="N84" i="253"/>
  <c r="J84" i="253"/>
  <c r="E84" i="253"/>
  <c r="R83" i="253"/>
  <c r="N83" i="253"/>
  <c r="J83" i="253"/>
  <c r="E83" i="253"/>
  <c r="R82" i="253"/>
  <c r="N82" i="253"/>
  <c r="J82" i="253"/>
  <c r="E82" i="253"/>
  <c r="R81" i="253"/>
  <c r="N81" i="253"/>
  <c r="J81" i="253"/>
  <c r="E81" i="253"/>
  <c r="R80" i="253"/>
  <c r="N80" i="253"/>
  <c r="J80" i="253"/>
  <c r="E80" i="253"/>
  <c r="R79" i="253"/>
  <c r="N79" i="253"/>
  <c r="J79" i="253"/>
  <c r="E79" i="253"/>
  <c r="R78" i="253"/>
  <c r="N78" i="253"/>
  <c r="J78" i="253"/>
  <c r="E78" i="253"/>
  <c r="A78" i="253"/>
  <c r="R77" i="253"/>
  <c r="N77" i="253"/>
  <c r="J77" i="253"/>
  <c r="E77" i="253"/>
  <c r="A77" i="253"/>
  <c r="R76" i="253"/>
  <c r="N76" i="253"/>
  <c r="J76" i="253"/>
  <c r="E76" i="253"/>
  <c r="A76" i="253"/>
  <c r="R75" i="253"/>
  <c r="N75" i="253"/>
  <c r="J75" i="253"/>
  <c r="E75" i="253"/>
  <c r="A75" i="253"/>
  <c r="R74" i="253"/>
  <c r="N74" i="253"/>
  <c r="J74" i="253"/>
  <c r="E74" i="253"/>
  <c r="A74" i="253"/>
  <c r="Q73" i="253"/>
  <c r="M73" i="253"/>
  <c r="I73" i="253"/>
  <c r="E73" i="253"/>
  <c r="A73" i="253"/>
  <c r="N67" i="253"/>
  <c r="N66" i="253"/>
  <c r="N65" i="253"/>
  <c r="J65" i="253"/>
  <c r="N64" i="253"/>
  <c r="J64" i="253"/>
  <c r="N63" i="253"/>
  <c r="J63" i="253"/>
  <c r="N62" i="253"/>
  <c r="J62" i="253"/>
  <c r="N61" i="253"/>
  <c r="J61" i="253"/>
  <c r="N60" i="253"/>
  <c r="J60" i="253"/>
  <c r="N59" i="253"/>
  <c r="J59" i="253"/>
  <c r="N58" i="253"/>
  <c r="J58" i="253"/>
  <c r="M57" i="253"/>
  <c r="I57" i="253"/>
  <c r="N56" i="253"/>
  <c r="J56" i="253"/>
  <c r="N55" i="253"/>
  <c r="J55" i="253"/>
  <c r="N54" i="253"/>
  <c r="J54" i="253"/>
  <c r="N53" i="253"/>
  <c r="J53" i="253"/>
  <c r="F53" i="253"/>
  <c r="M52" i="253"/>
  <c r="J52" i="253"/>
  <c r="F52" i="253"/>
  <c r="B52" i="253"/>
  <c r="N51" i="253"/>
  <c r="J51" i="253"/>
  <c r="F51" i="253"/>
  <c r="B51" i="253"/>
  <c r="N50" i="253"/>
  <c r="J50" i="253"/>
  <c r="F50" i="253"/>
  <c r="B50" i="253"/>
  <c r="N49" i="253"/>
  <c r="J49" i="253"/>
  <c r="F49" i="253"/>
  <c r="N48" i="253"/>
  <c r="I48" i="253"/>
  <c r="F48" i="253"/>
  <c r="N47" i="253"/>
  <c r="J47" i="253"/>
  <c r="F47" i="253"/>
  <c r="N46" i="253"/>
  <c r="J46" i="253"/>
  <c r="F46" i="253"/>
  <c r="N45" i="253"/>
  <c r="J45" i="253"/>
  <c r="E45" i="253"/>
  <c r="N44" i="253"/>
  <c r="J44" i="253"/>
  <c r="F44" i="253"/>
  <c r="N43" i="253"/>
  <c r="J43" i="253"/>
  <c r="F43" i="253"/>
  <c r="B43" i="253"/>
  <c r="N42" i="253"/>
  <c r="J42" i="253"/>
  <c r="F42" i="253"/>
  <c r="B42" i="253"/>
  <c r="N41" i="253"/>
  <c r="J41" i="253"/>
  <c r="F41" i="253"/>
  <c r="N40" i="253"/>
  <c r="J40" i="253"/>
  <c r="F40" i="253"/>
  <c r="R39" i="253"/>
  <c r="N39" i="253"/>
  <c r="J39" i="253"/>
  <c r="F39" i="253"/>
  <c r="R38" i="253"/>
  <c r="N38" i="253"/>
  <c r="J38" i="253"/>
  <c r="F38" i="253"/>
  <c r="R37" i="253"/>
  <c r="N37" i="253"/>
  <c r="J37" i="253"/>
  <c r="F37" i="253"/>
  <c r="R36" i="253"/>
  <c r="N36" i="253"/>
  <c r="J36" i="253"/>
  <c r="F36" i="253"/>
  <c r="R35" i="253"/>
  <c r="M35" i="253"/>
  <c r="I35" i="253"/>
  <c r="F35" i="253"/>
  <c r="B35" i="253"/>
  <c r="Q34" i="253"/>
  <c r="N34" i="253"/>
  <c r="J34" i="253"/>
  <c r="F34" i="253"/>
  <c r="B34" i="253"/>
  <c r="R33" i="253"/>
  <c r="N33" i="253"/>
  <c r="J33" i="253"/>
  <c r="F33" i="253"/>
  <c r="R32" i="253"/>
  <c r="N32" i="253"/>
  <c r="J32" i="253"/>
  <c r="E32" i="253"/>
  <c r="R31" i="253"/>
  <c r="N31" i="253"/>
  <c r="J31" i="253"/>
  <c r="F31" i="253"/>
  <c r="R30" i="253"/>
  <c r="N30" i="253"/>
  <c r="J30" i="253"/>
  <c r="F30" i="253"/>
  <c r="B30" i="253"/>
  <c r="R29" i="253"/>
  <c r="N29" i="253"/>
  <c r="J29" i="253"/>
  <c r="F29" i="253"/>
  <c r="B29" i="253"/>
  <c r="Q28" i="253"/>
  <c r="N28" i="253"/>
  <c r="J28" i="253"/>
  <c r="F28" i="253"/>
  <c r="R27" i="253"/>
  <c r="N27" i="253"/>
  <c r="J27" i="253"/>
  <c r="F27" i="253"/>
  <c r="R26" i="253"/>
  <c r="N26" i="253"/>
  <c r="J26" i="253"/>
  <c r="F26" i="253"/>
  <c r="R25" i="253"/>
  <c r="N25" i="253"/>
  <c r="J25" i="253"/>
  <c r="F25" i="253"/>
  <c r="R24" i="253"/>
  <c r="N24" i="253"/>
  <c r="J24" i="253"/>
  <c r="F24" i="253"/>
  <c r="R23" i="253"/>
  <c r="N23" i="253"/>
  <c r="J23" i="253"/>
  <c r="E23" i="253"/>
  <c r="Q22" i="253"/>
  <c r="N22" i="253"/>
  <c r="J22" i="253"/>
  <c r="F22" i="253"/>
  <c r="Q21" i="253"/>
  <c r="N21" i="253"/>
  <c r="J21" i="253"/>
  <c r="F21" i="253"/>
  <c r="Q20" i="253"/>
  <c r="N20" i="253"/>
  <c r="J20" i="253"/>
  <c r="F20" i="253"/>
  <c r="Q19" i="253"/>
  <c r="N19" i="253"/>
  <c r="J19" i="253"/>
  <c r="F19" i="253"/>
  <c r="Q18" i="253"/>
  <c r="N18" i="253"/>
  <c r="J18" i="253"/>
  <c r="F18" i="253"/>
  <c r="Q17" i="253"/>
  <c r="N17" i="253"/>
  <c r="J17" i="253"/>
  <c r="F17" i="253"/>
  <c r="Q16" i="253"/>
  <c r="N16" i="253"/>
  <c r="J16" i="253"/>
  <c r="F16" i="253"/>
  <c r="Q15" i="253"/>
  <c r="N15" i="253"/>
  <c r="J15" i="253"/>
  <c r="F15" i="253"/>
  <c r="Q14" i="253"/>
  <c r="M14" i="253"/>
  <c r="I14" i="253"/>
  <c r="F14" i="253"/>
  <c r="Q13" i="253"/>
  <c r="N13" i="253"/>
  <c r="J13" i="253"/>
  <c r="F13" i="253"/>
  <c r="Q12" i="253"/>
  <c r="N12" i="253"/>
  <c r="J12" i="253"/>
  <c r="F12" i="253"/>
  <c r="Q11" i="253"/>
  <c r="N11" i="253"/>
  <c r="J11" i="253"/>
  <c r="F11" i="253"/>
  <c r="Q10" i="253"/>
  <c r="N10" i="253"/>
  <c r="J10" i="253"/>
  <c r="F10" i="253"/>
  <c r="Q9" i="253"/>
  <c r="N9" i="253"/>
  <c r="J9" i="253"/>
  <c r="F9" i="253"/>
  <c r="Q8" i="253"/>
  <c r="N8" i="253"/>
  <c r="J8" i="253"/>
  <c r="F8" i="253"/>
  <c r="Q7" i="253"/>
  <c r="N7" i="253"/>
  <c r="J7" i="253"/>
  <c r="F7" i="253"/>
  <c r="Q6" i="253"/>
  <c r="N6" i="253"/>
  <c r="J6" i="253"/>
  <c r="F6" i="253"/>
  <c r="Q5" i="253"/>
  <c r="N5" i="253"/>
  <c r="J5" i="253"/>
  <c r="F5" i="253"/>
  <c r="Q4" i="253"/>
  <c r="N4" i="253"/>
  <c r="J4" i="253"/>
  <c r="F4" i="253"/>
  <c r="Q3" i="253"/>
  <c r="N3" i="253"/>
  <c r="J3" i="253"/>
  <c r="F3" i="253"/>
  <c r="Q2" i="253"/>
  <c r="N2" i="253"/>
  <c r="J2" i="253"/>
  <c r="E2" i="253"/>
  <c r="A1" i="253"/>
  <c r="R114" i="252"/>
  <c r="N114" i="252"/>
  <c r="J114" i="252"/>
  <c r="R113" i="252"/>
  <c r="N113" i="252"/>
  <c r="J113" i="252"/>
  <c r="R112" i="252"/>
  <c r="N112" i="252"/>
  <c r="J112" i="252"/>
  <c r="R111" i="252"/>
  <c r="N111" i="252"/>
  <c r="J111" i="252"/>
  <c r="R110" i="252"/>
  <c r="N110" i="252"/>
  <c r="J110" i="252"/>
  <c r="R109" i="252"/>
  <c r="N109" i="252"/>
  <c r="J109" i="252"/>
  <c r="R108" i="252"/>
  <c r="N108" i="252"/>
  <c r="J108" i="252"/>
  <c r="R107" i="252"/>
  <c r="N107" i="252"/>
  <c r="J107" i="252"/>
  <c r="R106" i="252"/>
  <c r="N106" i="252"/>
  <c r="J106" i="252"/>
  <c r="E106" i="252"/>
  <c r="R105" i="252"/>
  <c r="N105" i="252"/>
  <c r="J105" i="252"/>
  <c r="E105" i="252"/>
  <c r="R104" i="252"/>
  <c r="N104" i="252"/>
  <c r="J104" i="252"/>
  <c r="E104" i="252"/>
  <c r="R103" i="252"/>
  <c r="N103" i="252"/>
  <c r="J103" i="252"/>
  <c r="E103" i="252"/>
  <c r="R102" i="252"/>
  <c r="N102" i="252"/>
  <c r="J102" i="252"/>
  <c r="E102" i="252"/>
  <c r="R101" i="252"/>
  <c r="N101" i="252"/>
  <c r="J101" i="252"/>
  <c r="E101" i="252"/>
  <c r="R100" i="252"/>
  <c r="N100" i="252"/>
  <c r="J100" i="252"/>
  <c r="E100" i="252"/>
  <c r="R99" i="252"/>
  <c r="N99" i="252"/>
  <c r="J99" i="252"/>
  <c r="E99" i="252"/>
  <c r="R98" i="252"/>
  <c r="N98" i="252"/>
  <c r="J98" i="252"/>
  <c r="E98" i="252"/>
  <c r="R97" i="252"/>
  <c r="N97" i="252"/>
  <c r="J97" i="252"/>
  <c r="E97" i="252"/>
  <c r="R96" i="252"/>
  <c r="N96" i="252"/>
  <c r="J96" i="252"/>
  <c r="E96" i="252"/>
  <c r="R95" i="252"/>
  <c r="N95" i="252"/>
  <c r="J95" i="252"/>
  <c r="E95" i="252"/>
  <c r="Q94" i="252"/>
  <c r="M94" i="252"/>
  <c r="I94" i="252"/>
  <c r="E94" i="252"/>
  <c r="R93" i="252"/>
  <c r="N93" i="252"/>
  <c r="J93" i="252"/>
  <c r="E93" i="252"/>
  <c r="R92" i="252"/>
  <c r="N92" i="252"/>
  <c r="J92" i="252"/>
  <c r="E92" i="252"/>
  <c r="R91" i="252"/>
  <c r="N91" i="252"/>
  <c r="J91" i="252"/>
  <c r="E91" i="252"/>
  <c r="R90" i="252"/>
  <c r="N90" i="252"/>
  <c r="J90" i="252"/>
  <c r="E90" i="252"/>
  <c r="R89" i="252"/>
  <c r="N89" i="252"/>
  <c r="J89" i="252"/>
  <c r="E89" i="252"/>
  <c r="R88" i="252"/>
  <c r="N88" i="252"/>
  <c r="J88" i="252"/>
  <c r="E88" i="252"/>
  <c r="R87" i="252"/>
  <c r="N87" i="252"/>
  <c r="J87" i="252"/>
  <c r="E87" i="252"/>
  <c r="R86" i="252"/>
  <c r="N86" i="252"/>
  <c r="J86" i="252"/>
  <c r="E86" i="252"/>
  <c r="R85" i="252"/>
  <c r="N85" i="252"/>
  <c r="J85" i="252"/>
  <c r="E85" i="252"/>
  <c r="R84" i="252"/>
  <c r="N84" i="252"/>
  <c r="J84" i="252"/>
  <c r="E84" i="252"/>
  <c r="R83" i="252"/>
  <c r="N83" i="252"/>
  <c r="J83" i="252"/>
  <c r="E83" i="252"/>
  <c r="R82" i="252"/>
  <c r="N82" i="252"/>
  <c r="J82" i="252"/>
  <c r="E82" i="252"/>
  <c r="R81" i="252"/>
  <c r="N81" i="252"/>
  <c r="J81" i="252"/>
  <c r="E81" i="252"/>
  <c r="R80" i="252"/>
  <c r="N80" i="252"/>
  <c r="J80" i="252"/>
  <c r="E80" i="252"/>
  <c r="R79" i="252"/>
  <c r="N79" i="252"/>
  <c r="J79" i="252"/>
  <c r="E79" i="252"/>
  <c r="R78" i="252"/>
  <c r="N78" i="252"/>
  <c r="J78" i="252"/>
  <c r="E78" i="252"/>
  <c r="A78" i="252"/>
  <c r="R77" i="252"/>
  <c r="N77" i="252"/>
  <c r="J77" i="252"/>
  <c r="E77" i="252"/>
  <c r="A77" i="252"/>
  <c r="R76" i="252"/>
  <c r="N76" i="252"/>
  <c r="J76" i="252"/>
  <c r="E76" i="252"/>
  <c r="A76" i="252"/>
  <c r="R75" i="252"/>
  <c r="N75" i="252"/>
  <c r="J75" i="252"/>
  <c r="E75" i="252"/>
  <c r="A75" i="252"/>
  <c r="R74" i="252"/>
  <c r="N74" i="252"/>
  <c r="J74" i="252"/>
  <c r="E74" i="252"/>
  <c r="A74" i="252"/>
  <c r="Q73" i="252"/>
  <c r="M73" i="252"/>
  <c r="I73" i="252"/>
  <c r="E73" i="252"/>
  <c r="A73" i="252"/>
  <c r="N67" i="252"/>
  <c r="N66" i="252"/>
  <c r="N65" i="252"/>
  <c r="J65" i="252"/>
  <c r="N64" i="252"/>
  <c r="J64" i="252"/>
  <c r="N63" i="252"/>
  <c r="J63" i="252"/>
  <c r="N62" i="252"/>
  <c r="J62" i="252"/>
  <c r="N61" i="252"/>
  <c r="J61" i="252"/>
  <c r="N60" i="252"/>
  <c r="J60" i="252"/>
  <c r="N59" i="252"/>
  <c r="J59" i="252"/>
  <c r="N58" i="252"/>
  <c r="J58" i="252"/>
  <c r="M57" i="252"/>
  <c r="I57" i="252"/>
  <c r="N56" i="252"/>
  <c r="J56" i="252"/>
  <c r="N55" i="252"/>
  <c r="J55" i="252"/>
  <c r="N54" i="252"/>
  <c r="J54" i="252"/>
  <c r="N53" i="252"/>
  <c r="J53" i="252"/>
  <c r="F53" i="252"/>
  <c r="M52" i="252"/>
  <c r="J52" i="252"/>
  <c r="F52" i="252"/>
  <c r="B52" i="252"/>
  <c r="N51" i="252"/>
  <c r="J51" i="252"/>
  <c r="F51" i="252"/>
  <c r="B51" i="252"/>
  <c r="N50" i="252"/>
  <c r="J50" i="252"/>
  <c r="F50" i="252"/>
  <c r="B50" i="252"/>
  <c r="N49" i="252"/>
  <c r="J49" i="252"/>
  <c r="F49" i="252"/>
  <c r="N48" i="252"/>
  <c r="I48" i="252"/>
  <c r="F48" i="252"/>
  <c r="N47" i="252"/>
  <c r="J47" i="252"/>
  <c r="F47" i="252"/>
  <c r="N46" i="252"/>
  <c r="J46" i="252"/>
  <c r="F46" i="252"/>
  <c r="N45" i="252"/>
  <c r="J45" i="252"/>
  <c r="E45" i="252"/>
  <c r="N44" i="252"/>
  <c r="J44" i="252"/>
  <c r="F44" i="252"/>
  <c r="N43" i="252"/>
  <c r="J43" i="252"/>
  <c r="F43" i="252"/>
  <c r="B43" i="252"/>
  <c r="N42" i="252"/>
  <c r="J42" i="252"/>
  <c r="F42" i="252"/>
  <c r="B42" i="252"/>
  <c r="N41" i="252"/>
  <c r="J41" i="252"/>
  <c r="F41" i="252"/>
  <c r="N40" i="252"/>
  <c r="J40" i="252"/>
  <c r="F40" i="252"/>
  <c r="R39" i="252"/>
  <c r="N39" i="252"/>
  <c r="J39" i="252"/>
  <c r="F39" i="252"/>
  <c r="R38" i="252"/>
  <c r="N38" i="252"/>
  <c r="J38" i="252"/>
  <c r="F38" i="252"/>
  <c r="R37" i="252"/>
  <c r="N37" i="252"/>
  <c r="J37" i="252"/>
  <c r="F37" i="252"/>
  <c r="R36" i="252"/>
  <c r="N36" i="252"/>
  <c r="J36" i="252"/>
  <c r="F36" i="252"/>
  <c r="R35" i="252"/>
  <c r="M35" i="252"/>
  <c r="I35" i="252"/>
  <c r="F35" i="252"/>
  <c r="B35" i="252"/>
  <c r="Q34" i="252"/>
  <c r="N34" i="252"/>
  <c r="J34" i="252"/>
  <c r="F34" i="252"/>
  <c r="B34" i="252"/>
  <c r="R33" i="252"/>
  <c r="N33" i="252"/>
  <c r="J33" i="252"/>
  <c r="F33" i="252"/>
  <c r="R32" i="252"/>
  <c r="N32" i="252"/>
  <c r="J32" i="252"/>
  <c r="E32" i="252"/>
  <c r="R31" i="252"/>
  <c r="N31" i="252"/>
  <c r="J31" i="252"/>
  <c r="F31" i="252"/>
  <c r="R30" i="252"/>
  <c r="N30" i="252"/>
  <c r="J30" i="252"/>
  <c r="F30" i="252"/>
  <c r="B30" i="252"/>
  <c r="R29" i="252"/>
  <c r="N29" i="252"/>
  <c r="J29" i="252"/>
  <c r="F29" i="252"/>
  <c r="B29" i="252"/>
  <c r="Q28" i="252"/>
  <c r="N28" i="252"/>
  <c r="J28" i="252"/>
  <c r="F28" i="252"/>
  <c r="R27" i="252"/>
  <c r="N27" i="252"/>
  <c r="J27" i="252"/>
  <c r="F27" i="252"/>
  <c r="R26" i="252"/>
  <c r="N26" i="252"/>
  <c r="J26" i="252"/>
  <c r="F26" i="252"/>
  <c r="R25" i="252"/>
  <c r="N25" i="252"/>
  <c r="J25" i="252"/>
  <c r="F25" i="252"/>
  <c r="R24" i="252"/>
  <c r="N24" i="252"/>
  <c r="J24" i="252"/>
  <c r="F24" i="252"/>
  <c r="R23" i="252"/>
  <c r="N23" i="252"/>
  <c r="J23" i="252"/>
  <c r="E23" i="252"/>
  <c r="Q22" i="252"/>
  <c r="N22" i="252"/>
  <c r="J22" i="252"/>
  <c r="F22" i="252"/>
  <c r="Q21" i="252"/>
  <c r="N21" i="252"/>
  <c r="J21" i="252"/>
  <c r="F21" i="252"/>
  <c r="Q20" i="252"/>
  <c r="N20" i="252"/>
  <c r="J20" i="252"/>
  <c r="F20" i="252"/>
  <c r="Q19" i="252"/>
  <c r="N19" i="252"/>
  <c r="J19" i="252"/>
  <c r="F19" i="252"/>
  <c r="Q18" i="252"/>
  <c r="N18" i="252"/>
  <c r="J18" i="252"/>
  <c r="F18" i="252"/>
  <c r="Q17" i="252"/>
  <c r="N17" i="252"/>
  <c r="J17" i="252"/>
  <c r="F17" i="252"/>
  <c r="Q16" i="252"/>
  <c r="N16" i="252"/>
  <c r="J16" i="252"/>
  <c r="F16" i="252"/>
  <c r="Q15" i="252"/>
  <c r="N15" i="252"/>
  <c r="J15" i="252"/>
  <c r="F15" i="252"/>
  <c r="Q14" i="252"/>
  <c r="M14" i="252"/>
  <c r="I14" i="252"/>
  <c r="F14" i="252"/>
  <c r="Q13" i="252"/>
  <c r="N13" i="252"/>
  <c r="J13" i="252"/>
  <c r="F13" i="252"/>
  <c r="Q12" i="252"/>
  <c r="N12" i="252"/>
  <c r="J12" i="252"/>
  <c r="F12" i="252"/>
  <c r="Q11" i="252"/>
  <c r="N11" i="252"/>
  <c r="J11" i="252"/>
  <c r="F11" i="252"/>
  <c r="Q10" i="252"/>
  <c r="N10" i="252"/>
  <c r="J10" i="252"/>
  <c r="F10" i="252"/>
  <c r="Q9" i="252"/>
  <c r="N9" i="252"/>
  <c r="J9" i="252"/>
  <c r="F9" i="252"/>
  <c r="Q8" i="252"/>
  <c r="N8" i="252"/>
  <c r="J8" i="252"/>
  <c r="F8" i="252"/>
  <c r="Q7" i="252"/>
  <c r="N7" i="252"/>
  <c r="J7" i="252"/>
  <c r="F7" i="252"/>
  <c r="Q6" i="252"/>
  <c r="N6" i="252"/>
  <c r="J6" i="252"/>
  <c r="F6" i="252"/>
  <c r="Q5" i="252"/>
  <c r="N5" i="252"/>
  <c r="J5" i="252"/>
  <c r="F5" i="252"/>
  <c r="Q4" i="252"/>
  <c r="N4" i="252"/>
  <c r="J4" i="252"/>
  <c r="F4" i="252"/>
  <c r="Q3" i="252"/>
  <c r="N3" i="252"/>
  <c r="J3" i="252"/>
  <c r="F3" i="252"/>
  <c r="Q2" i="252"/>
  <c r="N2" i="252"/>
  <c r="J2" i="252"/>
  <c r="E2" i="252"/>
  <c r="A1" i="252"/>
  <c r="R114" i="251"/>
  <c r="N114" i="251"/>
  <c r="J114" i="251"/>
  <c r="R113" i="251"/>
  <c r="N113" i="251"/>
  <c r="J113" i="251"/>
  <c r="R112" i="251"/>
  <c r="N112" i="251"/>
  <c r="J112" i="251"/>
  <c r="R111" i="251"/>
  <c r="N111" i="251"/>
  <c r="J111" i="251"/>
  <c r="R110" i="251"/>
  <c r="N110" i="251"/>
  <c r="J110" i="251"/>
  <c r="R109" i="251"/>
  <c r="N109" i="251"/>
  <c r="J109" i="251"/>
  <c r="R108" i="251"/>
  <c r="N108" i="251"/>
  <c r="J108" i="251"/>
  <c r="R107" i="251"/>
  <c r="N107" i="251"/>
  <c r="J107" i="251"/>
  <c r="R106" i="251"/>
  <c r="N106" i="251"/>
  <c r="J106" i="251"/>
  <c r="E106" i="251"/>
  <c r="R105" i="251"/>
  <c r="N105" i="251"/>
  <c r="J105" i="251"/>
  <c r="E105" i="251"/>
  <c r="R104" i="251"/>
  <c r="N104" i="251"/>
  <c r="J104" i="251"/>
  <c r="E104" i="251"/>
  <c r="R103" i="251"/>
  <c r="N103" i="251"/>
  <c r="J103" i="251"/>
  <c r="E103" i="251"/>
  <c r="R102" i="251"/>
  <c r="N102" i="251"/>
  <c r="J102" i="251"/>
  <c r="E102" i="251"/>
  <c r="R101" i="251"/>
  <c r="N101" i="251"/>
  <c r="J101" i="251"/>
  <c r="E101" i="251"/>
  <c r="R100" i="251"/>
  <c r="N100" i="251"/>
  <c r="J100" i="251"/>
  <c r="E100" i="251"/>
  <c r="R99" i="251"/>
  <c r="N99" i="251"/>
  <c r="J99" i="251"/>
  <c r="E99" i="251"/>
  <c r="R98" i="251"/>
  <c r="N98" i="251"/>
  <c r="J98" i="251"/>
  <c r="E98" i="251"/>
  <c r="R97" i="251"/>
  <c r="N97" i="251"/>
  <c r="J97" i="251"/>
  <c r="E97" i="251"/>
  <c r="R96" i="251"/>
  <c r="N96" i="251"/>
  <c r="J96" i="251"/>
  <c r="E96" i="251"/>
  <c r="R95" i="251"/>
  <c r="N95" i="251"/>
  <c r="J95" i="251"/>
  <c r="E95" i="251"/>
  <c r="Q94" i="251"/>
  <c r="M94" i="251"/>
  <c r="I94" i="251"/>
  <c r="E94" i="251"/>
  <c r="R93" i="251"/>
  <c r="N93" i="251"/>
  <c r="J93" i="251"/>
  <c r="E93" i="251"/>
  <c r="R92" i="251"/>
  <c r="N92" i="251"/>
  <c r="J92" i="251"/>
  <c r="E92" i="251"/>
  <c r="R91" i="251"/>
  <c r="N91" i="251"/>
  <c r="J91" i="251"/>
  <c r="E91" i="251"/>
  <c r="R90" i="251"/>
  <c r="N90" i="251"/>
  <c r="J90" i="251"/>
  <c r="E90" i="251"/>
  <c r="R89" i="251"/>
  <c r="N89" i="251"/>
  <c r="J89" i="251"/>
  <c r="E89" i="251"/>
  <c r="R88" i="251"/>
  <c r="N88" i="251"/>
  <c r="J88" i="251"/>
  <c r="E88" i="251"/>
  <c r="R87" i="251"/>
  <c r="N87" i="251"/>
  <c r="J87" i="251"/>
  <c r="E87" i="251"/>
  <c r="R86" i="251"/>
  <c r="N86" i="251"/>
  <c r="J86" i="251"/>
  <c r="E86" i="251"/>
  <c r="R85" i="251"/>
  <c r="N85" i="251"/>
  <c r="J85" i="251"/>
  <c r="E85" i="251"/>
  <c r="R84" i="251"/>
  <c r="N84" i="251"/>
  <c r="J84" i="251"/>
  <c r="E84" i="251"/>
  <c r="R83" i="251"/>
  <c r="N83" i="251"/>
  <c r="J83" i="251"/>
  <c r="E83" i="251"/>
  <c r="R82" i="251"/>
  <c r="N82" i="251"/>
  <c r="J82" i="251"/>
  <c r="E82" i="251"/>
  <c r="R81" i="251"/>
  <c r="N81" i="251"/>
  <c r="J81" i="251"/>
  <c r="E81" i="251"/>
  <c r="R80" i="251"/>
  <c r="N80" i="251"/>
  <c r="J80" i="251"/>
  <c r="E80" i="251"/>
  <c r="R79" i="251"/>
  <c r="N79" i="251"/>
  <c r="J79" i="251"/>
  <c r="E79" i="251"/>
  <c r="R78" i="251"/>
  <c r="N78" i="251"/>
  <c r="J78" i="251"/>
  <c r="E78" i="251"/>
  <c r="A78" i="251"/>
  <c r="R77" i="251"/>
  <c r="N77" i="251"/>
  <c r="J77" i="251"/>
  <c r="E77" i="251"/>
  <c r="A77" i="251"/>
  <c r="R76" i="251"/>
  <c r="N76" i="251"/>
  <c r="J76" i="251"/>
  <c r="E76" i="251"/>
  <c r="A76" i="251"/>
  <c r="R75" i="251"/>
  <c r="N75" i="251"/>
  <c r="J75" i="251"/>
  <c r="E75" i="251"/>
  <c r="A75" i="251"/>
  <c r="R74" i="251"/>
  <c r="N74" i="251"/>
  <c r="J74" i="251"/>
  <c r="E74" i="251"/>
  <c r="A74" i="251"/>
  <c r="Q73" i="251"/>
  <c r="M73" i="251"/>
  <c r="I73" i="251"/>
  <c r="E73" i="251"/>
  <c r="A73" i="251"/>
  <c r="N67" i="251"/>
  <c r="N66" i="251"/>
  <c r="N65" i="251"/>
  <c r="J65" i="251"/>
  <c r="N64" i="251"/>
  <c r="J64" i="251"/>
  <c r="N63" i="251"/>
  <c r="J63" i="251"/>
  <c r="N62" i="251"/>
  <c r="J62" i="251"/>
  <c r="N61" i="251"/>
  <c r="J61" i="251"/>
  <c r="N60" i="251"/>
  <c r="J60" i="251"/>
  <c r="N59" i="251"/>
  <c r="J59" i="251"/>
  <c r="N58" i="251"/>
  <c r="J58" i="251"/>
  <c r="M57" i="251"/>
  <c r="I57" i="251"/>
  <c r="N56" i="251"/>
  <c r="J56" i="251"/>
  <c r="N55" i="251"/>
  <c r="J55" i="251"/>
  <c r="N54" i="251"/>
  <c r="J54" i="251"/>
  <c r="N53" i="251"/>
  <c r="J53" i="251"/>
  <c r="F53" i="251"/>
  <c r="M52" i="251"/>
  <c r="J52" i="251"/>
  <c r="F52" i="251"/>
  <c r="B52" i="251"/>
  <c r="N51" i="251"/>
  <c r="J51" i="251"/>
  <c r="F51" i="251"/>
  <c r="B51" i="251"/>
  <c r="N50" i="251"/>
  <c r="J50" i="251"/>
  <c r="F50" i="251"/>
  <c r="B50" i="251"/>
  <c r="N49" i="251"/>
  <c r="J49" i="251"/>
  <c r="F49" i="251"/>
  <c r="N48" i="251"/>
  <c r="I48" i="251"/>
  <c r="F48" i="251"/>
  <c r="N47" i="251"/>
  <c r="J47" i="251"/>
  <c r="F47" i="251"/>
  <c r="N46" i="251"/>
  <c r="J46" i="251"/>
  <c r="F46" i="251"/>
  <c r="N45" i="251"/>
  <c r="J45" i="251"/>
  <c r="E45" i="251"/>
  <c r="N44" i="251"/>
  <c r="J44" i="251"/>
  <c r="F44" i="251"/>
  <c r="N43" i="251"/>
  <c r="J43" i="251"/>
  <c r="F43" i="251"/>
  <c r="B43" i="251"/>
  <c r="N42" i="251"/>
  <c r="J42" i="251"/>
  <c r="F42" i="251"/>
  <c r="B42" i="251"/>
  <c r="N41" i="251"/>
  <c r="J41" i="251"/>
  <c r="F41" i="251"/>
  <c r="N40" i="251"/>
  <c r="J40" i="251"/>
  <c r="F40" i="251"/>
  <c r="R39" i="251"/>
  <c r="N39" i="251"/>
  <c r="J39" i="251"/>
  <c r="F39" i="251"/>
  <c r="R38" i="251"/>
  <c r="N38" i="251"/>
  <c r="J38" i="251"/>
  <c r="F38" i="251"/>
  <c r="R37" i="251"/>
  <c r="N37" i="251"/>
  <c r="J37" i="251"/>
  <c r="F37" i="251"/>
  <c r="R36" i="251"/>
  <c r="N36" i="251"/>
  <c r="J36" i="251"/>
  <c r="F36" i="251"/>
  <c r="R35" i="251"/>
  <c r="M35" i="251"/>
  <c r="I35" i="251"/>
  <c r="F35" i="251"/>
  <c r="B35" i="251"/>
  <c r="Q34" i="251"/>
  <c r="N34" i="251"/>
  <c r="J34" i="251"/>
  <c r="F34" i="251"/>
  <c r="B34" i="251"/>
  <c r="R33" i="251"/>
  <c r="N33" i="251"/>
  <c r="J33" i="251"/>
  <c r="F33" i="251"/>
  <c r="R32" i="251"/>
  <c r="N32" i="251"/>
  <c r="J32" i="251"/>
  <c r="E32" i="251"/>
  <c r="R31" i="251"/>
  <c r="N31" i="251"/>
  <c r="J31" i="251"/>
  <c r="F31" i="251"/>
  <c r="R30" i="251"/>
  <c r="N30" i="251"/>
  <c r="J30" i="251"/>
  <c r="F30" i="251"/>
  <c r="B30" i="251"/>
  <c r="R29" i="251"/>
  <c r="N29" i="251"/>
  <c r="J29" i="251"/>
  <c r="F29" i="251"/>
  <c r="B29" i="251"/>
  <c r="Q28" i="251"/>
  <c r="N28" i="251"/>
  <c r="J28" i="251"/>
  <c r="F28" i="251"/>
  <c r="R27" i="251"/>
  <c r="N27" i="251"/>
  <c r="J27" i="251"/>
  <c r="F27" i="251"/>
  <c r="R26" i="251"/>
  <c r="N26" i="251"/>
  <c r="J26" i="251"/>
  <c r="F26" i="251"/>
  <c r="R25" i="251"/>
  <c r="N25" i="251"/>
  <c r="J25" i="251"/>
  <c r="F25" i="251"/>
  <c r="R24" i="251"/>
  <c r="N24" i="251"/>
  <c r="J24" i="251"/>
  <c r="F24" i="251"/>
  <c r="R23" i="251"/>
  <c r="N23" i="251"/>
  <c r="J23" i="251"/>
  <c r="E23" i="251"/>
  <c r="Q22" i="251"/>
  <c r="N22" i="251"/>
  <c r="J22" i="251"/>
  <c r="F22" i="251"/>
  <c r="Q21" i="251"/>
  <c r="N21" i="251"/>
  <c r="J21" i="251"/>
  <c r="F21" i="251"/>
  <c r="Q20" i="251"/>
  <c r="N20" i="251"/>
  <c r="J20" i="251"/>
  <c r="F20" i="251"/>
  <c r="Q19" i="251"/>
  <c r="N19" i="251"/>
  <c r="J19" i="251"/>
  <c r="F19" i="251"/>
  <c r="Q18" i="251"/>
  <c r="N18" i="251"/>
  <c r="J18" i="251"/>
  <c r="F18" i="251"/>
  <c r="Q17" i="251"/>
  <c r="N17" i="251"/>
  <c r="J17" i="251"/>
  <c r="F17" i="251"/>
  <c r="Q16" i="251"/>
  <c r="N16" i="251"/>
  <c r="J16" i="251"/>
  <c r="F16" i="251"/>
  <c r="Q15" i="251"/>
  <c r="N15" i="251"/>
  <c r="J15" i="251"/>
  <c r="F15" i="251"/>
  <c r="Q14" i="251"/>
  <c r="M14" i="251"/>
  <c r="I14" i="251"/>
  <c r="F14" i="251"/>
  <c r="Q13" i="251"/>
  <c r="N13" i="251"/>
  <c r="J13" i="251"/>
  <c r="F13" i="251"/>
  <c r="Q12" i="251"/>
  <c r="N12" i="251"/>
  <c r="J12" i="251"/>
  <c r="F12" i="251"/>
  <c r="Q11" i="251"/>
  <c r="N11" i="251"/>
  <c r="J11" i="251"/>
  <c r="F11" i="251"/>
  <c r="Q10" i="251"/>
  <c r="N10" i="251"/>
  <c r="J10" i="251"/>
  <c r="F10" i="251"/>
  <c r="Q9" i="251"/>
  <c r="N9" i="251"/>
  <c r="J9" i="251"/>
  <c r="F9" i="251"/>
  <c r="Q8" i="251"/>
  <c r="N8" i="251"/>
  <c r="J8" i="251"/>
  <c r="F8" i="251"/>
  <c r="Q7" i="251"/>
  <c r="N7" i="251"/>
  <c r="J7" i="251"/>
  <c r="F7" i="251"/>
  <c r="Q6" i="251"/>
  <c r="N6" i="251"/>
  <c r="J6" i="251"/>
  <c r="F6" i="251"/>
  <c r="Q5" i="251"/>
  <c r="N5" i="251"/>
  <c r="J5" i="251"/>
  <c r="F5" i="251"/>
  <c r="Q4" i="251"/>
  <c r="N4" i="251"/>
  <c r="J4" i="251"/>
  <c r="F4" i="251"/>
  <c r="Q3" i="251"/>
  <c r="N3" i="251"/>
  <c r="J3" i="251"/>
  <c r="F3" i="251"/>
  <c r="Q2" i="251"/>
  <c r="N2" i="251"/>
  <c r="J2" i="251"/>
  <c r="E2" i="251"/>
  <c r="A1" i="251"/>
  <c r="R114" i="250"/>
  <c r="N114" i="250"/>
  <c r="J114" i="250"/>
  <c r="R113" i="250"/>
  <c r="N113" i="250"/>
  <c r="J113" i="250"/>
  <c r="R112" i="250"/>
  <c r="N112" i="250"/>
  <c r="J112" i="250"/>
  <c r="R111" i="250"/>
  <c r="N111" i="250"/>
  <c r="J111" i="250"/>
  <c r="R110" i="250"/>
  <c r="N110" i="250"/>
  <c r="J110" i="250"/>
  <c r="R109" i="250"/>
  <c r="N109" i="250"/>
  <c r="J109" i="250"/>
  <c r="R108" i="250"/>
  <c r="N108" i="250"/>
  <c r="J108" i="250"/>
  <c r="R107" i="250"/>
  <c r="N107" i="250"/>
  <c r="J107" i="250"/>
  <c r="R106" i="250"/>
  <c r="N106" i="250"/>
  <c r="J106" i="250"/>
  <c r="E106" i="250"/>
  <c r="R105" i="250"/>
  <c r="N105" i="250"/>
  <c r="J105" i="250"/>
  <c r="E105" i="250"/>
  <c r="R104" i="250"/>
  <c r="N104" i="250"/>
  <c r="J104" i="250"/>
  <c r="E104" i="250"/>
  <c r="R103" i="250"/>
  <c r="N103" i="250"/>
  <c r="J103" i="250"/>
  <c r="E103" i="250"/>
  <c r="R102" i="250"/>
  <c r="N102" i="250"/>
  <c r="J102" i="250"/>
  <c r="E102" i="250"/>
  <c r="R101" i="250"/>
  <c r="N101" i="250"/>
  <c r="J101" i="250"/>
  <c r="E101" i="250"/>
  <c r="R100" i="250"/>
  <c r="N100" i="250"/>
  <c r="J100" i="250"/>
  <c r="E100" i="250"/>
  <c r="R99" i="250"/>
  <c r="N99" i="250"/>
  <c r="J99" i="250"/>
  <c r="E99" i="250"/>
  <c r="R98" i="250"/>
  <c r="N98" i="250"/>
  <c r="J98" i="250"/>
  <c r="E98" i="250"/>
  <c r="R97" i="250"/>
  <c r="N97" i="250"/>
  <c r="J97" i="250"/>
  <c r="E97" i="250"/>
  <c r="R96" i="250"/>
  <c r="N96" i="250"/>
  <c r="J96" i="250"/>
  <c r="E96" i="250"/>
  <c r="R95" i="250"/>
  <c r="N95" i="250"/>
  <c r="J95" i="250"/>
  <c r="E95" i="250"/>
  <c r="Q94" i="250"/>
  <c r="M94" i="250"/>
  <c r="I94" i="250"/>
  <c r="E94" i="250"/>
  <c r="R93" i="250"/>
  <c r="N93" i="250"/>
  <c r="J93" i="250"/>
  <c r="E93" i="250"/>
  <c r="R92" i="250"/>
  <c r="N92" i="250"/>
  <c r="J92" i="250"/>
  <c r="E92" i="250"/>
  <c r="R91" i="250"/>
  <c r="N91" i="250"/>
  <c r="J91" i="250"/>
  <c r="E91" i="250"/>
  <c r="R90" i="250"/>
  <c r="N90" i="250"/>
  <c r="J90" i="250"/>
  <c r="E90" i="250"/>
  <c r="R89" i="250"/>
  <c r="N89" i="250"/>
  <c r="J89" i="250"/>
  <c r="E89" i="250"/>
  <c r="R88" i="250"/>
  <c r="N88" i="250"/>
  <c r="J88" i="250"/>
  <c r="E88" i="250"/>
  <c r="R87" i="250"/>
  <c r="N87" i="250"/>
  <c r="J87" i="250"/>
  <c r="E87" i="250"/>
  <c r="R86" i="250"/>
  <c r="N86" i="250"/>
  <c r="J86" i="250"/>
  <c r="E86" i="250"/>
  <c r="R85" i="250"/>
  <c r="N85" i="250"/>
  <c r="J85" i="250"/>
  <c r="E85" i="250"/>
  <c r="R84" i="250"/>
  <c r="N84" i="250"/>
  <c r="J84" i="250"/>
  <c r="E84" i="250"/>
  <c r="R83" i="250"/>
  <c r="N83" i="250"/>
  <c r="J83" i="250"/>
  <c r="E83" i="250"/>
  <c r="R82" i="250"/>
  <c r="N82" i="250"/>
  <c r="J82" i="250"/>
  <c r="E82" i="250"/>
  <c r="R81" i="250"/>
  <c r="N81" i="250"/>
  <c r="J81" i="250"/>
  <c r="E81" i="250"/>
  <c r="R80" i="250"/>
  <c r="N80" i="250"/>
  <c r="J80" i="250"/>
  <c r="E80" i="250"/>
  <c r="R79" i="250"/>
  <c r="N79" i="250"/>
  <c r="J79" i="250"/>
  <c r="E79" i="250"/>
  <c r="R78" i="250"/>
  <c r="N78" i="250"/>
  <c r="J78" i="250"/>
  <c r="E78" i="250"/>
  <c r="A78" i="250"/>
  <c r="R77" i="250"/>
  <c r="N77" i="250"/>
  <c r="J77" i="250"/>
  <c r="E77" i="250"/>
  <c r="A77" i="250"/>
  <c r="R76" i="250"/>
  <c r="N76" i="250"/>
  <c r="J76" i="250"/>
  <c r="E76" i="250"/>
  <c r="A76" i="250"/>
  <c r="R75" i="250"/>
  <c r="N75" i="250"/>
  <c r="J75" i="250"/>
  <c r="E75" i="250"/>
  <c r="A75" i="250"/>
  <c r="R74" i="250"/>
  <c r="N74" i="250"/>
  <c r="J74" i="250"/>
  <c r="E74" i="250"/>
  <c r="A74" i="250"/>
  <c r="Q73" i="250"/>
  <c r="M73" i="250"/>
  <c r="I73" i="250"/>
  <c r="E73" i="250"/>
  <c r="A73" i="250"/>
  <c r="N67" i="250"/>
  <c r="N66" i="250"/>
  <c r="N65" i="250"/>
  <c r="J65" i="250"/>
  <c r="N64" i="250"/>
  <c r="J64" i="250"/>
  <c r="N63" i="250"/>
  <c r="J63" i="250"/>
  <c r="N62" i="250"/>
  <c r="J62" i="250"/>
  <c r="N61" i="250"/>
  <c r="J61" i="250"/>
  <c r="N60" i="250"/>
  <c r="J60" i="250"/>
  <c r="N59" i="250"/>
  <c r="J59" i="250"/>
  <c r="N58" i="250"/>
  <c r="J58" i="250"/>
  <c r="M57" i="250"/>
  <c r="I57" i="250"/>
  <c r="N56" i="250"/>
  <c r="J56" i="250"/>
  <c r="N55" i="250"/>
  <c r="J55" i="250"/>
  <c r="N54" i="250"/>
  <c r="J54" i="250"/>
  <c r="N53" i="250"/>
  <c r="J53" i="250"/>
  <c r="F53" i="250"/>
  <c r="M52" i="250"/>
  <c r="J52" i="250"/>
  <c r="F52" i="250"/>
  <c r="B52" i="250"/>
  <c r="N51" i="250"/>
  <c r="J51" i="250"/>
  <c r="F51" i="250"/>
  <c r="B51" i="250"/>
  <c r="N50" i="250"/>
  <c r="J50" i="250"/>
  <c r="F50" i="250"/>
  <c r="B50" i="250"/>
  <c r="N49" i="250"/>
  <c r="J49" i="250"/>
  <c r="F49" i="250"/>
  <c r="N48" i="250"/>
  <c r="I48" i="250"/>
  <c r="F48" i="250"/>
  <c r="N47" i="250"/>
  <c r="J47" i="250"/>
  <c r="F47" i="250"/>
  <c r="N46" i="250"/>
  <c r="J46" i="250"/>
  <c r="F46" i="250"/>
  <c r="N45" i="250"/>
  <c r="J45" i="250"/>
  <c r="E45" i="250"/>
  <c r="N44" i="250"/>
  <c r="J44" i="250"/>
  <c r="F44" i="250"/>
  <c r="N43" i="250"/>
  <c r="J43" i="250"/>
  <c r="F43" i="250"/>
  <c r="B43" i="250"/>
  <c r="N42" i="250"/>
  <c r="J42" i="250"/>
  <c r="F42" i="250"/>
  <c r="B42" i="250"/>
  <c r="N41" i="250"/>
  <c r="J41" i="250"/>
  <c r="F41" i="250"/>
  <c r="N40" i="250"/>
  <c r="J40" i="250"/>
  <c r="F40" i="250"/>
  <c r="R39" i="250"/>
  <c r="N39" i="250"/>
  <c r="J39" i="250"/>
  <c r="F39" i="250"/>
  <c r="R38" i="250"/>
  <c r="N38" i="250"/>
  <c r="J38" i="250"/>
  <c r="F38" i="250"/>
  <c r="R37" i="250"/>
  <c r="N37" i="250"/>
  <c r="J37" i="250"/>
  <c r="F37" i="250"/>
  <c r="R36" i="250"/>
  <c r="N36" i="250"/>
  <c r="J36" i="250"/>
  <c r="F36" i="250"/>
  <c r="R35" i="250"/>
  <c r="M35" i="250"/>
  <c r="I35" i="250"/>
  <c r="F35" i="250"/>
  <c r="B35" i="250"/>
  <c r="Q34" i="250"/>
  <c r="N34" i="250"/>
  <c r="J34" i="250"/>
  <c r="F34" i="250"/>
  <c r="B34" i="250"/>
  <c r="R33" i="250"/>
  <c r="N33" i="250"/>
  <c r="J33" i="250"/>
  <c r="F33" i="250"/>
  <c r="R32" i="250"/>
  <c r="N32" i="250"/>
  <c r="J32" i="250"/>
  <c r="E32" i="250"/>
  <c r="R31" i="250"/>
  <c r="N31" i="250"/>
  <c r="J31" i="250"/>
  <c r="F31" i="250"/>
  <c r="R30" i="250"/>
  <c r="N30" i="250"/>
  <c r="J30" i="250"/>
  <c r="F30" i="250"/>
  <c r="B30" i="250"/>
  <c r="R29" i="250"/>
  <c r="N29" i="250"/>
  <c r="J29" i="250"/>
  <c r="F29" i="250"/>
  <c r="B29" i="250"/>
  <c r="Q28" i="250"/>
  <c r="N28" i="250"/>
  <c r="J28" i="250"/>
  <c r="F28" i="250"/>
  <c r="R27" i="250"/>
  <c r="N27" i="250"/>
  <c r="J27" i="250"/>
  <c r="F27" i="250"/>
  <c r="R26" i="250"/>
  <c r="N26" i="250"/>
  <c r="J26" i="250"/>
  <c r="F26" i="250"/>
  <c r="R25" i="250"/>
  <c r="N25" i="250"/>
  <c r="J25" i="250"/>
  <c r="F25" i="250"/>
  <c r="R24" i="250"/>
  <c r="N24" i="250"/>
  <c r="J24" i="250"/>
  <c r="F24" i="250"/>
  <c r="R23" i="250"/>
  <c r="N23" i="250"/>
  <c r="J23" i="250"/>
  <c r="E23" i="250"/>
  <c r="Q22" i="250"/>
  <c r="N22" i="250"/>
  <c r="J22" i="250"/>
  <c r="F22" i="250"/>
  <c r="Q21" i="250"/>
  <c r="N21" i="250"/>
  <c r="J21" i="250"/>
  <c r="F21" i="250"/>
  <c r="Q20" i="250"/>
  <c r="N20" i="250"/>
  <c r="J20" i="250"/>
  <c r="F20" i="250"/>
  <c r="Q19" i="250"/>
  <c r="N19" i="250"/>
  <c r="J19" i="250"/>
  <c r="F19" i="250"/>
  <c r="Q18" i="250"/>
  <c r="N18" i="250"/>
  <c r="J18" i="250"/>
  <c r="F18" i="250"/>
  <c r="Q17" i="250"/>
  <c r="N17" i="250"/>
  <c r="J17" i="250"/>
  <c r="F17" i="250"/>
  <c r="Q16" i="250"/>
  <c r="N16" i="250"/>
  <c r="J16" i="250"/>
  <c r="F16" i="250"/>
  <c r="Q15" i="250"/>
  <c r="N15" i="250"/>
  <c r="J15" i="250"/>
  <c r="F15" i="250"/>
  <c r="Q14" i="250"/>
  <c r="M14" i="250"/>
  <c r="I14" i="250"/>
  <c r="F14" i="250"/>
  <c r="Q13" i="250"/>
  <c r="N13" i="250"/>
  <c r="J13" i="250"/>
  <c r="F13" i="250"/>
  <c r="Q12" i="250"/>
  <c r="N12" i="250"/>
  <c r="J12" i="250"/>
  <c r="F12" i="250"/>
  <c r="Q11" i="250"/>
  <c r="N11" i="250"/>
  <c r="J11" i="250"/>
  <c r="F11" i="250"/>
  <c r="Q10" i="250"/>
  <c r="N10" i="250"/>
  <c r="J10" i="250"/>
  <c r="F10" i="250"/>
  <c r="Q9" i="250"/>
  <c r="N9" i="250"/>
  <c r="J9" i="250"/>
  <c r="F9" i="250"/>
  <c r="Q8" i="250"/>
  <c r="N8" i="250"/>
  <c r="J8" i="250"/>
  <c r="F8" i="250"/>
  <c r="Q7" i="250"/>
  <c r="N7" i="250"/>
  <c r="J7" i="250"/>
  <c r="F7" i="250"/>
  <c r="Q6" i="250"/>
  <c r="N6" i="250"/>
  <c r="J6" i="250"/>
  <c r="F6" i="250"/>
  <c r="Q5" i="250"/>
  <c r="N5" i="250"/>
  <c r="J5" i="250"/>
  <c r="F5" i="250"/>
  <c r="Q4" i="250"/>
  <c r="N4" i="250"/>
  <c r="J4" i="250"/>
  <c r="F4" i="250"/>
  <c r="Q3" i="250"/>
  <c r="N3" i="250"/>
  <c r="J3" i="250"/>
  <c r="F3" i="250"/>
  <c r="Q2" i="250"/>
  <c r="N2" i="250"/>
  <c r="J2" i="250"/>
  <c r="E2" i="250"/>
  <c r="A1" i="250"/>
  <c r="R114" i="249"/>
  <c r="N114" i="249"/>
  <c r="J114" i="249"/>
  <c r="R113" i="249"/>
  <c r="N113" i="249"/>
  <c r="J113" i="249"/>
  <c r="R112" i="249"/>
  <c r="N112" i="249"/>
  <c r="J112" i="249"/>
  <c r="R111" i="249"/>
  <c r="N111" i="249"/>
  <c r="J111" i="249"/>
  <c r="R110" i="249"/>
  <c r="N110" i="249"/>
  <c r="J110" i="249"/>
  <c r="R109" i="249"/>
  <c r="N109" i="249"/>
  <c r="J109" i="249"/>
  <c r="R108" i="249"/>
  <c r="N108" i="249"/>
  <c r="J108" i="249"/>
  <c r="R107" i="249"/>
  <c r="N107" i="249"/>
  <c r="J107" i="249"/>
  <c r="R106" i="249"/>
  <c r="N106" i="249"/>
  <c r="J106" i="249"/>
  <c r="E106" i="249"/>
  <c r="R105" i="249"/>
  <c r="N105" i="249"/>
  <c r="J105" i="249"/>
  <c r="E105" i="249"/>
  <c r="R104" i="249"/>
  <c r="N104" i="249"/>
  <c r="J104" i="249"/>
  <c r="E104" i="249"/>
  <c r="R103" i="249"/>
  <c r="N103" i="249"/>
  <c r="J103" i="249"/>
  <c r="E103" i="249"/>
  <c r="R102" i="249"/>
  <c r="N102" i="249"/>
  <c r="J102" i="249"/>
  <c r="E102" i="249"/>
  <c r="R101" i="249"/>
  <c r="N101" i="249"/>
  <c r="J101" i="249"/>
  <c r="E101" i="249"/>
  <c r="R100" i="249"/>
  <c r="N100" i="249"/>
  <c r="J100" i="249"/>
  <c r="E100" i="249"/>
  <c r="R99" i="249"/>
  <c r="N99" i="249"/>
  <c r="J99" i="249"/>
  <c r="E99" i="249"/>
  <c r="R98" i="249"/>
  <c r="N98" i="249"/>
  <c r="J98" i="249"/>
  <c r="E98" i="249"/>
  <c r="R97" i="249"/>
  <c r="N97" i="249"/>
  <c r="J97" i="249"/>
  <c r="E97" i="249"/>
  <c r="R96" i="249"/>
  <c r="N96" i="249"/>
  <c r="J96" i="249"/>
  <c r="E96" i="249"/>
  <c r="R95" i="249"/>
  <c r="N95" i="249"/>
  <c r="J95" i="249"/>
  <c r="E95" i="249"/>
  <c r="Q94" i="249"/>
  <c r="M94" i="249"/>
  <c r="I94" i="249"/>
  <c r="E94" i="249"/>
  <c r="R93" i="249"/>
  <c r="N93" i="249"/>
  <c r="J93" i="249"/>
  <c r="E93" i="249"/>
  <c r="R92" i="249"/>
  <c r="N92" i="249"/>
  <c r="J92" i="249"/>
  <c r="E92" i="249"/>
  <c r="R91" i="249"/>
  <c r="N91" i="249"/>
  <c r="J91" i="249"/>
  <c r="E91" i="249"/>
  <c r="R90" i="249"/>
  <c r="N90" i="249"/>
  <c r="J90" i="249"/>
  <c r="E90" i="249"/>
  <c r="R89" i="249"/>
  <c r="N89" i="249"/>
  <c r="J89" i="249"/>
  <c r="E89" i="249"/>
  <c r="R88" i="249"/>
  <c r="N88" i="249"/>
  <c r="J88" i="249"/>
  <c r="E88" i="249"/>
  <c r="R87" i="249"/>
  <c r="N87" i="249"/>
  <c r="J87" i="249"/>
  <c r="E87" i="249"/>
  <c r="R86" i="249"/>
  <c r="N86" i="249"/>
  <c r="J86" i="249"/>
  <c r="E86" i="249"/>
  <c r="R85" i="249"/>
  <c r="N85" i="249"/>
  <c r="J85" i="249"/>
  <c r="E85" i="249"/>
  <c r="R84" i="249"/>
  <c r="N84" i="249"/>
  <c r="J84" i="249"/>
  <c r="E84" i="249"/>
  <c r="R83" i="249"/>
  <c r="N83" i="249"/>
  <c r="J83" i="249"/>
  <c r="E83" i="249"/>
  <c r="R82" i="249"/>
  <c r="N82" i="249"/>
  <c r="J82" i="249"/>
  <c r="E82" i="249"/>
  <c r="R81" i="249"/>
  <c r="N81" i="249"/>
  <c r="J81" i="249"/>
  <c r="E81" i="249"/>
  <c r="R80" i="249"/>
  <c r="N80" i="249"/>
  <c r="J80" i="249"/>
  <c r="E80" i="249"/>
  <c r="R79" i="249"/>
  <c r="N79" i="249"/>
  <c r="J79" i="249"/>
  <c r="E79" i="249"/>
  <c r="R78" i="249"/>
  <c r="N78" i="249"/>
  <c r="J78" i="249"/>
  <c r="E78" i="249"/>
  <c r="A78" i="249"/>
  <c r="R77" i="249"/>
  <c r="N77" i="249"/>
  <c r="J77" i="249"/>
  <c r="E77" i="249"/>
  <c r="A77" i="249"/>
  <c r="R76" i="249"/>
  <c r="N76" i="249"/>
  <c r="J76" i="249"/>
  <c r="E76" i="249"/>
  <c r="A76" i="249"/>
  <c r="R75" i="249"/>
  <c r="N75" i="249"/>
  <c r="J75" i="249"/>
  <c r="E75" i="249"/>
  <c r="A75" i="249"/>
  <c r="R74" i="249"/>
  <c r="N74" i="249"/>
  <c r="J74" i="249"/>
  <c r="E74" i="249"/>
  <c r="A74" i="249"/>
  <c r="Q73" i="249"/>
  <c r="M73" i="249"/>
  <c r="I73" i="249"/>
  <c r="E73" i="249"/>
  <c r="A73" i="249"/>
  <c r="N67" i="249"/>
  <c r="N66" i="249"/>
  <c r="N65" i="249"/>
  <c r="J65" i="249"/>
  <c r="N64" i="249"/>
  <c r="J64" i="249"/>
  <c r="N63" i="249"/>
  <c r="J63" i="249"/>
  <c r="N62" i="249"/>
  <c r="J62" i="249"/>
  <c r="N61" i="249"/>
  <c r="J61" i="249"/>
  <c r="N60" i="249"/>
  <c r="J60" i="249"/>
  <c r="N59" i="249"/>
  <c r="J59" i="249"/>
  <c r="N58" i="249"/>
  <c r="J58" i="249"/>
  <c r="M57" i="249"/>
  <c r="I57" i="249"/>
  <c r="N56" i="249"/>
  <c r="J56" i="249"/>
  <c r="N55" i="249"/>
  <c r="J55" i="249"/>
  <c r="N54" i="249"/>
  <c r="J54" i="249"/>
  <c r="N53" i="249"/>
  <c r="J53" i="249"/>
  <c r="F53" i="249"/>
  <c r="M52" i="249"/>
  <c r="J52" i="249"/>
  <c r="F52" i="249"/>
  <c r="B52" i="249"/>
  <c r="N51" i="249"/>
  <c r="J51" i="249"/>
  <c r="F51" i="249"/>
  <c r="B51" i="249"/>
  <c r="N50" i="249"/>
  <c r="J50" i="249"/>
  <c r="F50" i="249"/>
  <c r="B50" i="249"/>
  <c r="N49" i="249"/>
  <c r="J49" i="249"/>
  <c r="F49" i="249"/>
  <c r="N48" i="249"/>
  <c r="I48" i="249"/>
  <c r="F48" i="249"/>
  <c r="N47" i="249"/>
  <c r="J47" i="249"/>
  <c r="F47" i="249"/>
  <c r="N46" i="249"/>
  <c r="J46" i="249"/>
  <c r="F46" i="249"/>
  <c r="N45" i="249"/>
  <c r="J45" i="249"/>
  <c r="E45" i="249"/>
  <c r="N44" i="249"/>
  <c r="J44" i="249"/>
  <c r="F44" i="249"/>
  <c r="N43" i="249"/>
  <c r="J43" i="249"/>
  <c r="F43" i="249"/>
  <c r="B43" i="249"/>
  <c r="N42" i="249"/>
  <c r="J42" i="249"/>
  <c r="F42" i="249"/>
  <c r="B42" i="249"/>
  <c r="N41" i="249"/>
  <c r="J41" i="249"/>
  <c r="F41" i="249"/>
  <c r="N40" i="249"/>
  <c r="J40" i="249"/>
  <c r="F40" i="249"/>
  <c r="R39" i="249"/>
  <c r="N39" i="249"/>
  <c r="J39" i="249"/>
  <c r="F39" i="249"/>
  <c r="R38" i="249"/>
  <c r="N38" i="249"/>
  <c r="J38" i="249"/>
  <c r="F38" i="249"/>
  <c r="R37" i="249"/>
  <c r="N37" i="249"/>
  <c r="J37" i="249"/>
  <c r="F37" i="249"/>
  <c r="R36" i="249"/>
  <c r="N36" i="249"/>
  <c r="J36" i="249"/>
  <c r="F36" i="249"/>
  <c r="R35" i="249"/>
  <c r="M35" i="249"/>
  <c r="I35" i="249"/>
  <c r="F35" i="249"/>
  <c r="B35" i="249"/>
  <c r="Q34" i="249"/>
  <c r="N34" i="249"/>
  <c r="J34" i="249"/>
  <c r="F34" i="249"/>
  <c r="B34" i="249"/>
  <c r="R33" i="249"/>
  <c r="N33" i="249"/>
  <c r="J33" i="249"/>
  <c r="F33" i="249"/>
  <c r="R32" i="249"/>
  <c r="N32" i="249"/>
  <c r="J32" i="249"/>
  <c r="E32" i="249"/>
  <c r="R31" i="249"/>
  <c r="N31" i="249"/>
  <c r="J31" i="249"/>
  <c r="F31" i="249"/>
  <c r="R30" i="249"/>
  <c r="N30" i="249"/>
  <c r="J30" i="249"/>
  <c r="F30" i="249"/>
  <c r="B30" i="249"/>
  <c r="R29" i="249"/>
  <c r="N29" i="249"/>
  <c r="J29" i="249"/>
  <c r="F29" i="249"/>
  <c r="B29" i="249"/>
  <c r="Q28" i="249"/>
  <c r="N28" i="249"/>
  <c r="J28" i="249"/>
  <c r="F28" i="249"/>
  <c r="R27" i="249"/>
  <c r="N27" i="249"/>
  <c r="J27" i="249"/>
  <c r="F27" i="249"/>
  <c r="R26" i="249"/>
  <c r="N26" i="249"/>
  <c r="J26" i="249"/>
  <c r="F26" i="249"/>
  <c r="R25" i="249"/>
  <c r="N25" i="249"/>
  <c r="J25" i="249"/>
  <c r="F25" i="249"/>
  <c r="R24" i="249"/>
  <c r="N24" i="249"/>
  <c r="J24" i="249"/>
  <c r="F24" i="249"/>
  <c r="R23" i="249"/>
  <c r="N23" i="249"/>
  <c r="J23" i="249"/>
  <c r="E23" i="249"/>
  <c r="Q22" i="249"/>
  <c r="N22" i="249"/>
  <c r="J22" i="249"/>
  <c r="F22" i="249"/>
  <c r="Q21" i="249"/>
  <c r="N21" i="249"/>
  <c r="J21" i="249"/>
  <c r="F21" i="249"/>
  <c r="Q20" i="249"/>
  <c r="N20" i="249"/>
  <c r="J20" i="249"/>
  <c r="F20" i="249"/>
  <c r="Q19" i="249"/>
  <c r="N19" i="249"/>
  <c r="J19" i="249"/>
  <c r="F19" i="249"/>
  <c r="Q18" i="249"/>
  <c r="N18" i="249"/>
  <c r="J18" i="249"/>
  <c r="F18" i="249"/>
  <c r="Q17" i="249"/>
  <c r="N17" i="249"/>
  <c r="J17" i="249"/>
  <c r="F17" i="249"/>
  <c r="Q16" i="249"/>
  <c r="N16" i="249"/>
  <c r="J16" i="249"/>
  <c r="F16" i="249"/>
  <c r="Q15" i="249"/>
  <c r="N15" i="249"/>
  <c r="J15" i="249"/>
  <c r="F15" i="249"/>
  <c r="Q14" i="249"/>
  <c r="M14" i="249"/>
  <c r="I14" i="249"/>
  <c r="F14" i="249"/>
  <c r="Q13" i="249"/>
  <c r="N13" i="249"/>
  <c r="J13" i="249"/>
  <c r="F13" i="249"/>
  <c r="Q12" i="249"/>
  <c r="N12" i="249"/>
  <c r="J12" i="249"/>
  <c r="F12" i="249"/>
  <c r="Q11" i="249"/>
  <c r="N11" i="249"/>
  <c r="J11" i="249"/>
  <c r="F11" i="249"/>
  <c r="Q10" i="249"/>
  <c r="N10" i="249"/>
  <c r="J10" i="249"/>
  <c r="F10" i="249"/>
  <c r="Q9" i="249"/>
  <c r="N9" i="249"/>
  <c r="J9" i="249"/>
  <c r="F9" i="249"/>
  <c r="Q8" i="249"/>
  <c r="N8" i="249"/>
  <c r="J8" i="249"/>
  <c r="F8" i="249"/>
  <c r="Q7" i="249"/>
  <c r="N7" i="249"/>
  <c r="J7" i="249"/>
  <c r="F7" i="249"/>
  <c r="Q6" i="249"/>
  <c r="N6" i="249"/>
  <c r="J6" i="249"/>
  <c r="F6" i="249"/>
  <c r="Q5" i="249"/>
  <c r="N5" i="249"/>
  <c r="J5" i="249"/>
  <c r="F5" i="249"/>
  <c r="Q4" i="249"/>
  <c r="N4" i="249"/>
  <c r="J4" i="249"/>
  <c r="F4" i="249"/>
  <c r="Q3" i="249"/>
  <c r="N3" i="249"/>
  <c r="J3" i="249"/>
  <c r="F3" i="249"/>
  <c r="Q2" i="249"/>
  <c r="N2" i="249"/>
  <c r="J2" i="249"/>
  <c r="E2" i="249"/>
  <c r="A1" i="249"/>
  <c r="C47" i="243"/>
  <c r="C46" i="243"/>
  <c r="C45" i="243"/>
  <c r="C44" i="243"/>
  <c r="C41" i="243"/>
  <c r="C40" i="243"/>
  <c r="C39" i="243"/>
  <c r="C38" i="243"/>
  <c r="C37" i="243"/>
  <c r="C36" i="243"/>
  <c r="C33" i="243"/>
  <c r="C32" i="243"/>
  <c r="C31" i="243"/>
  <c r="S114" i="243"/>
  <c r="O114" i="243"/>
  <c r="K114" i="243"/>
  <c r="S113" i="243"/>
  <c r="O113" i="243"/>
  <c r="K113" i="243"/>
  <c r="S112" i="243"/>
  <c r="O112" i="243"/>
  <c r="K112" i="243"/>
  <c r="S110" i="243"/>
  <c r="O110" i="243"/>
  <c r="K110" i="243"/>
  <c r="S109" i="243"/>
  <c r="O109" i="243"/>
  <c r="K109" i="243"/>
  <c r="S108" i="243"/>
  <c r="O108" i="243"/>
  <c r="K108" i="243"/>
  <c r="S106" i="243"/>
  <c r="O106" i="243"/>
  <c r="K106" i="243"/>
  <c r="G106" i="243"/>
  <c r="S105" i="243"/>
  <c r="O105" i="243"/>
  <c r="K105" i="243"/>
  <c r="G105" i="243"/>
  <c r="S104" i="243"/>
  <c r="O104" i="243"/>
  <c r="K104" i="243"/>
  <c r="G104" i="243"/>
  <c r="G103" i="243"/>
  <c r="S102" i="243"/>
  <c r="O102" i="243"/>
  <c r="K102" i="243"/>
  <c r="G102" i="243"/>
  <c r="S101" i="243"/>
  <c r="O101" i="243"/>
  <c r="K101" i="243"/>
  <c r="G101" i="243"/>
  <c r="S100" i="243"/>
  <c r="O100" i="243"/>
  <c r="K100" i="243"/>
  <c r="G100" i="243"/>
  <c r="G99" i="243"/>
  <c r="S98" i="243"/>
  <c r="O98" i="243"/>
  <c r="K98" i="243"/>
  <c r="G98" i="243"/>
  <c r="S97" i="243"/>
  <c r="O97" i="243"/>
  <c r="K97" i="243"/>
  <c r="G97" i="243"/>
  <c r="S96" i="243"/>
  <c r="O96" i="243"/>
  <c r="K96" i="243"/>
  <c r="G96" i="243"/>
  <c r="S95" i="243"/>
  <c r="O95" i="243"/>
  <c r="K95" i="243"/>
  <c r="G95" i="243"/>
  <c r="G94" i="243"/>
  <c r="S93" i="243"/>
  <c r="O93" i="243"/>
  <c r="K93" i="243"/>
  <c r="G93" i="243"/>
  <c r="S92" i="243"/>
  <c r="O92" i="243"/>
  <c r="K92" i="243"/>
  <c r="G92" i="243"/>
  <c r="S91" i="243"/>
  <c r="O91" i="243"/>
  <c r="K91" i="243"/>
  <c r="G91" i="243"/>
  <c r="G90" i="243"/>
  <c r="S89" i="243"/>
  <c r="O89" i="243"/>
  <c r="K89" i="243"/>
  <c r="G89" i="243"/>
  <c r="S88" i="243"/>
  <c r="O88" i="243"/>
  <c r="K88" i="243"/>
  <c r="G88" i="243"/>
  <c r="S87" i="243"/>
  <c r="O87" i="243"/>
  <c r="K87" i="243"/>
  <c r="G87" i="243"/>
  <c r="G86" i="243"/>
  <c r="S85" i="243"/>
  <c r="O85" i="243"/>
  <c r="K85" i="243"/>
  <c r="G85" i="243"/>
  <c r="S84" i="243"/>
  <c r="O84" i="243"/>
  <c r="K84" i="243"/>
  <c r="G84" i="243"/>
  <c r="S83" i="243"/>
  <c r="O83" i="243"/>
  <c r="K83" i="243"/>
  <c r="G83" i="243"/>
  <c r="G82" i="243"/>
  <c r="S81" i="243"/>
  <c r="O81" i="243"/>
  <c r="K81" i="243"/>
  <c r="G81" i="243"/>
  <c r="S80" i="243"/>
  <c r="O80" i="243"/>
  <c r="K80" i="243"/>
  <c r="G80" i="243"/>
  <c r="S79" i="243"/>
  <c r="O79" i="243"/>
  <c r="K79" i="243"/>
  <c r="G79" i="243"/>
  <c r="G78" i="243"/>
  <c r="S77" i="243"/>
  <c r="O77" i="243"/>
  <c r="K77" i="243"/>
  <c r="G77" i="243"/>
  <c r="S76" i="243"/>
  <c r="O76" i="243"/>
  <c r="K76" i="243"/>
  <c r="G76" i="243"/>
  <c r="S75" i="243"/>
  <c r="O75" i="243"/>
  <c r="K75" i="243"/>
  <c r="G75" i="243"/>
  <c r="S74" i="243"/>
  <c r="O74" i="243"/>
  <c r="K74" i="243"/>
  <c r="G74" i="243"/>
  <c r="G73" i="243"/>
  <c r="O67" i="243"/>
  <c r="O65" i="243"/>
  <c r="K65" i="243"/>
  <c r="K64" i="243"/>
  <c r="O63" i="243"/>
  <c r="K63" i="243"/>
  <c r="O61" i="243"/>
  <c r="K61" i="243"/>
  <c r="K60" i="243"/>
  <c r="O59" i="243"/>
  <c r="K59" i="243"/>
  <c r="O56" i="243"/>
  <c r="K56" i="243"/>
  <c r="O55" i="243"/>
  <c r="K55" i="243"/>
  <c r="O54" i="243"/>
  <c r="K54" i="243"/>
  <c r="G53" i="243"/>
  <c r="K52" i="243"/>
  <c r="G52" i="243"/>
  <c r="O51" i="243"/>
  <c r="K51" i="243"/>
  <c r="G51" i="243"/>
  <c r="O50" i="243"/>
  <c r="K50" i="243"/>
  <c r="O49" i="243"/>
  <c r="G49" i="243"/>
  <c r="G48" i="243"/>
  <c r="O47" i="243"/>
  <c r="K47" i="243"/>
  <c r="G47" i="243"/>
  <c r="B47" i="243"/>
  <c r="O46" i="243"/>
  <c r="K46" i="243"/>
  <c r="B46" i="243"/>
  <c r="O45" i="243"/>
  <c r="K45" i="243"/>
  <c r="B45" i="243"/>
  <c r="G44" i="243"/>
  <c r="B44" i="243"/>
  <c r="O43" i="243"/>
  <c r="K43" i="243"/>
  <c r="G43" i="243"/>
  <c r="O42" i="243"/>
  <c r="K42" i="243"/>
  <c r="G42" i="243"/>
  <c r="O41" i="243"/>
  <c r="K41" i="243"/>
  <c r="B41" i="243"/>
  <c r="G40" i="243"/>
  <c r="B40" i="243"/>
  <c r="S39" i="243"/>
  <c r="O39" i="243"/>
  <c r="K39" i="243"/>
  <c r="G39" i="243"/>
  <c r="B39" i="243"/>
  <c r="S38" i="243"/>
  <c r="O38" i="243"/>
  <c r="K38" i="243"/>
  <c r="G38" i="243"/>
  <c r="B38" i="243"/>
  <c r="S37" i="243"/>
  <c r="O37" i="243"/>
  <c r="K37" i="243"/>
  <c r="B37" i="243"/>
  <c r="S36" i="243"/>
  <c r="G36" i="243"/>
  <c r="B36" i="243"/>
  <c r="S35" i="243"/>
  <c r="G35" i="243"/>
  <c r="O34" i="243"/>
  <c r="K34" i="243"/>
  <c r="G34" i="243"/>
  <c r="S33" i="243"/>
  <c r="O33" i="243"/>
  <c r="K33" i="243"/>
  <c r="B33" i="243"/>
  <c r="S32" i="243"/>
  <c r="O32" i="243"/>
  <c r="K32" i="243"/>
  <c r="B32" i="243"/>
  <c r="S31" i="243"/>
  <c r="G31" i="243"/>
  <c r="B31" i="243"/>
  <c r="S30" i="243"/>
  <c r="O30" i="243"/>
  <c r="K30" i="243"/>
  <c r="G30" i="243"/>
  <c r="S29" i="243"/>
  <c r="O29" i="243"/>
  <c r="K29" i="243"/>
  <c r="G29" i="243"/>
  <c r="O28" i="243"/>
  <c r="K28" i="243"/>
  <c r="S27" i="243"/>
  <c r="G27" i="243"/>
  <c r="S26" i="243"/>
  <c r="O26" i="243"/>
  <c r="K26" i="243"/>
  <c r="G26" i="243"/>
  <c r="S25" i="243"/>
  <c r="O25" i="243"/>
  <c r="K25" i="243"/>
  <c r="G25" i="243"/>
  <c r="S24" i="243"/>
  <c r="O24" i="243"/>
  <c r="K24" i="243"/>
  <c r="S23" i="243"/>
  <c r="O22" i="243"/>
  <c r="K22" i="243"/>
  <c r="G22" i="243"/>
  <c r="S21" i="243"/>
  <c r="O21" i="243"/>
  <c r="K21" i="243"/>
  <c r="G21" i="243"/>
  <c r="S20" i="243"/>
  <c r="O20" i="243"/>
  <c r="K20" i="243"/>
  <c r="G20" i="243"/>
  <c r="S19" i="243"/>
  <c r="S18" i="243"/>
  <c r="O18" i="243"/>
  <c r="K18" i="243"/>
  <c r="G18" i="243"/>
  <c r="S17" i="243"/>
  <c r="O17" i="243"/>
  <c r="K17" i="243"/>
  <c r="G17" i="243"/>
  <c r="S16" i="243"/>
  <c r="O16" i="243"/>
  <c r="K16" i="243"/>
  <c r="G16" i="243"/>
  <c r="S15" i="243"/>
  <c r="S14" i="243"/>
  <c r="G14" i="243"/>
  <c r="S13" i="243"/>
  <c r="O13" i="243"/>
  <c r="K13" i="243"/>
  <c r="G13" i="243"/>
  <c r="S12" i="243"/>
  <c r="O12" i="243"/>
  <c r="K12" i="243"/>
  <c r="G12" i="243"/>
  <c r="S11" i="243"/>
  <c r="O11" i="243"/>
  <c r="K11" i="243"/>
  <c r="S10" i="243"/>
  <c r="G10" i="243"/>
  <c r="S9" i="243"/>
  <c r="O9" i="243"/>
  <c r="K9" i="243"/>
  <c r="G9" i="243"/>
  <c r="S8" i="243"/>
  <c r="O8" i="243"/>
  <c r="K8" i="243"/>
  <c r="G8" i="243"/>
  <c r="S7" i="243"/>
  <c r="O7" i="243"/>
  <c r="K7" i="243"/>
  <c r="G6" i="243"/>
  <c r="O5" i="243"/>
  <c r="K5" i="243"/>
  <c r="G5" i="243"/>
  <c r="S4" i="243"/>
  <c r="O4" i="243"/>
  <c r="K4" i="243"/>
  <c r="G4" i="243"/>
  <c r="S3" i="243"/>
  <c r="O3" i="243"/>
  <c r="K3" i="243"/>
  <c r="C47" i="242"/>
  <c r="C46" i="242"/>
  <c r="C45" i="242"/>
  <c r="C44" i="242"/>
  <c r="C41" i="242"/>
  <c r="C40" i="242"/>
  <c r="C39" i="242"/>
  <c r="C38" i="242"/>
  <c r="C37" i="242"/>
  <c r="C36" i="242"/>
  <c r="C33" i="242"/>
  <c r="C32" i="242"/>
  <c r="C31" i="242"/>
  <c r="S114" i="242"/>
  <c r="O114" i="242"/>
  <c r="K114" i="242"/>
  <c r="S113" i="242"/>
  <c r="O113" i="242"/>
  <c r="K113" i="242"/>
  <c r="S112" i="242"/>
  <c r="O112" i="242"/>
  <c r="K112" i="242"/>
  <c r="S110" i="242"/>
  <c r="O110" i="242"/>
  <c r="K110" i="242"/>
  <c r="S109" i="242"/>
  <c r="O109" i="242"/>
  <c r="K109" i="242"/>
  <c r="S108" i="242"/>
  <c r="O108" i="242"/>
  <c r="K108" i="242"/>
  <c r="S106" i="242"/>
  <c r="O106" i="242"/>
  <c r="K106" i="242"/>
  <c r="G106" i="242"/>
  <c r="S105" i="242"/>
  <c r="O105" i="242"/>
  <c r="K105" i="242"/>
  <c r="G105" i="242"/>
  <c r="S104" i="242"/>
  <c r="O104" i="242"/>
  <c r="K104" i="242"/>
  <c r="G104" i="242"/>
  <c r="G103" i="242"/>
  <c r="S102" i="242"/>
  <c r="O102" i="242"/>
  <c r="K102" i="242"/>
  <c r="G102" i="242"/>
  <c r="S101" i="242"/>
  <c r="O101" i="242"/>
  <c r="K101" i="242"/>
  <c r="G101" i="242"/>
  <c r="S100" i="242"/>
  <c r="O100" i="242"/>
  <c r="K100" i="242"/>
  <c r="G100" i="242"/>
  <c r="G99" i="242"/>
  <c r="S98" i="242"/>
  <c r="O98" i="242"/>
  <c r="K98" i="242"/>
  <c r="G98" i="242"/>
  <c r="S97" i="242"/>
  <c r="O97" i="242"/>
  <c r="K97" i="242"/>
  <c r="G97" i="242"/>
  <c r="S96" i="242"/>
  <c r="O96" i="242"/>
  <c r="K96" i="242"/>
  <c r="G96" i="242"/>
  <c r="S95" i="242"/>
  <c r="O95" i="242"/>
  <c r="K95" i="242"/>
  <c r="G95" i="242"/>
  <c r="G94" i="242"/>
  <c r="S93" i="242"/>
  <c r="O93" i="242"/>
  <c r="K93" i="242"/>
  <c r="G93" i="242"/>
  <c r="S92" i="242"/>
  <c r="O92" i="242"/>
  <c r="K92" i="242"/>
  <c r="G92" i="242"/>
  <c r="S91" i="242"/>
  <c r="O91" i="242"/>
  <c r="K91" i="242"/>
  <c r="G91" i="242"/>
  <c r="G90" i="242"/>
  <c r="S89" i="242"/>
  <c r="O89" i="242"/>
  <c r="K89" i="242"/>
  <c r="G89" i="242"/>
  <c r="S88" i="242"/>
  <c r="O88" i="242"/>
  <c r="K88" i="242"/>
  <c r="G88" i="242"/>
  <c r="S87" i="242"/>
  <c r="O87" i="242"/>
  <c r="K87" i="242"/>
  <c r="G87" i="242"/>
  <c r="G86" i="242"/>
  <c r="S85" i="242"/>
  <c r="O85" i="242"/>
  <c r="K85" i="242"/>
  <c r="G85" i="242"/>
  <c r="S84" i="242"/>
  <c r="O84" i="242"/>
  <c r="K84" i="242"/>
  <c r="G84" i="242"/>
  <c r="S83" i="242"/>
  <c r="O83" i="242"/>
  <c r="K83" i="242"/>
  <c r="G83" i="242"/>
  <c r="G82" i="242"/>
  <c r="S81" i="242"/>
  <c r="O81" i="242"/>
  <c r="K81" i="242"/>
  <c r="G81" i="242"/>
  <c r="S80" i="242"/>
  <c r="O80" i="242"/>
  <c r="K80" i="242"/>
  <c r="G80" i="242"/>
  <c r="S79" i="242"/>
  <c r="O79" i="242"/>
  <c r="K79" i="242"/>
  <c r="G79" i="242"/>
  <c r="G78" i="242"/>
  <c r="S77" i="242"/>
  <c r="O77" i="242"/>
  <c r="K77" i="242"/>
  <c r="G77" i="242"/>
  <c r="S76" i="242"/>
  <c r="O76" i="242"/>
  <c r="K76" i="242"/>
  <c r="G76" i="242"/>
  <c r="S75" i="242"/>
  <c r="O75" i="242"/>
  <c r="K75" i="242"/>
  <c r="G75" i="242"/>
  <c r="S74" i="242"/>
  <c r="O74" i="242"/>
  <c r="K74" i="242"/>
  <c r="G74" i="242"/>
  <c r="G73" i="242"/>
  <c r="O67" i="242"/>
  <c r="O65" i="242"/>
  <c r="K65" i="242"/>
  <c r="K64" i="242"/>
  <c r="O63" i="242"/>
  <c r="K63" i="242"/>
  <c r="O61" i="242"/>
  <c r="K61" i="242"/>
  <c r="K60" i="242"/>
  <c r="O59" i="242"/>
  <c r="K59" i="242"/>
  <c r="O56" i="242"/>
  <c r="K56" i="242"/>
  <c r="O55" i="242"/>
  <c r="K55" i="242"/>
  <c r="O54" i="242"/>
  <c r="K54" i="242"/>
  <c r="G53" i="242"/>
  <c r="K52" i="242"/>
  <c r="G52" i="242"/>
  <c r="O51" i="242"/>
  <c r="K51" i="242"/>
  <c r="G51" i="242"/>
  <c r="O50" i="242"/>
  <c r="K50" i="242"/>
  <c r="O49" i="242"/>
  <c r="G49" i="242"/>
  <c r="G48" i="242"/>
  <c r="O47" i="242"/>
  <c r="K47" i="242"/>
  <c r="G47" i="242"/>
  <c r="B47" i="242"/>
  <c r="O46" i="242"/>
  <c r="K46" i="242"/>
  <c r="B46" i="242"/>
  <c r="O45" i="242"/>
  <c r="K45" i="242"/>
  <c r="B45" i="242"/>
  <c r="G44" i="242"/>
  <c r="B44" i="242"/>
  <c r="O43" i="242"/>
  <c r="K43" i="242"/>
  <c r="G43" i="242"/>
  <c r="O42" i="242"/>
  <c r="K42" i="242"/>
  <c r="G42" i="242"/>
  <c r="O41" i="242"/>
  <c r="K41" i="242"/>
  <c r="B41" i="242"/>
  <c r="G40" i="242"/>
  <c r="B40" i="242"/>
  <c r="S39" i="242"/>
  <c r="O39" i="242"/>
  <c r="K39" i="242"/>
  <c r="G39" i="242"/>
  <c r="B39" i="242"/>
  <c r="S38" i="242"/>
  <c r="O38" i="242"/>
  <c r="K38" i="242"/>
  <c r="G38" i="242"/>
  <c r="B38" i="242"/>
  <c r="S37" i="242"/>
  <c r="O37" i="242"/>
  <c r="K37" i="242"/>
  <c r="B37" i="242"/>
  <c r="S36" i="242"/>
  <c r="G36" i="242"/>
  <c r="B36" i="242"/>
  <c r="S35" i="242"/>
  <c r="G35" i="242"/>
  <c r="O34" i="242"/>
  <c r="K34" i="242"/>
  <c r="G34" i="242"/>
  <c r="S33" i="242"/>
  <c r="O33" i="242"/>
  <c r="K33" i="242"/>
  <c r="B33" i="242"/>
  <c r="S32" i="242"/>
  <c r="O32" i="242"/>
  <c r="K32" i="242"/>
  <c r="B32" i="242"/>
  <c r="S31" i="242"/>
  <c r="G31" i="242"/>
  <c r="B31" i="242"/>
  <c r="S30" i="242"/>
  <c r="O30" i="242"/>
  <c r="K30" i="242"/>
  <c r="G30" i="242"/>
  <c r="S29" i="242"/>
  <c r="O29" i="242"/>
  <c r="K29" i="242"/>
  <c r="G29" i="242"/>
  <c r="O28" i="242"/>
  <c r="K28" i="242"/>
  <c r="S27" i="242"/>
  <c r="G27" i="242"/>
  <c r="S26" i="242"/>
  <c r="O26" i="242"/>
  <c r="K26" i="242"/>
  <c r="G26" i="242"/>
  <c r="S25" i="242"/>
  <c r="O25" i="242"/>
  <c r="K25" i="242"/>
  <c r="G25" i="242"/>
  <c r="S24" i="242"/>
  <c r="O24" i="242"/>
  <c r="K24" i="242"/>
  <c r="S23" i="242"/>
  <c r="O22" i="242"/>
  <c r="K22" i="242"/>
  <c r="G22" i="242"/>
  <c r="S21" i="242"/>
  <c r="O21" i="242"/>
  <c r="K21" i="242"/>
  <c r="G21" i="242"/>
  <c r="S20" i="242"/>
  <c r="O20" i="242"/>
  <c r="K20" i="242"/>
  <c r="G20" i="242"/>
  <c r="S19" i="242"/>
  <c r="S18" i="242"/>
  <c r="O18" i="242"/>
  <c r="K18" i="242"/>
  <c r="G18" i="242"/>
  <c r="S17" i="242"/>
  <c r="O17" i="242"/>
  <c r="K17" i="242"/>
  <c r="G17" i="242"/>
  <c r="S16" i="242"/>
  <c r="O16" i="242"/>
  <c r="K16" i="242"/>
  <c r="G16" i="242"/>
  <c r="S15" i="242"/>
  <c r="S14" i="242"/>
  <c r="G14" i="242"/>
  <c r="S13" i="242"/>
  <c r="O13" i="242"/>
  <c r="K13" i="242"/>
  <c r="G13" i="242"/>
  <c r="S12" i="242"/>
  <c r="O12" i="242"/>
  <c r="K12" i="242"/>
  <c r="G12" i="242"/>
  <c r="S11" i="242"/>
  <c r="O11" i="242"/>
  <c r="K11" i="242"/>
  <c r="S10" i="242"/>
  <c r="G10" i="242"/>
  <c r="S9" i="242"/>
  <c r="O9" i="242"/>
  <c r="K9" i="242"/>
  <c r="G9" i="242"/>
  <c r="S8" i="242"/>
  <c r="O8" i="242"/>
  <c r="K8" i="242"/>
  <c r="G8" i="242"/>
  <c r="S7" i="242"/>
  <c r="O7" i="242"/>
  <c r="K7" i="242"/>
  <c r="G6" i="242"/>
  <c r="O5" i="242"/>
  <c r="K5" i="242"/>
  <c r="G5" i="242"/>
  <c r="S4" i="242"/>
  <c r="O4" i="242"/>
  <c r="K4" i="242"/>
  <c r="G4" i="242"/>
  <c r="S3" i="242"/>
  <c r="O3" i="242"/>
  <c r="K3" i="242"/>
  <c r="C47" i="241"/>
  <c r="C46" i="241"/>
  <c r="C45" i="241"/>
  <c r="C44" i="241"/>
  <c r="C41" i="241"/>
  <c r="C40" i="241"/>
  <c r="C39" i="241"/>
  <c r="C38" i="241"/>
  <c r="C37" i="241"/>
  <c r="C36" i="241"/>
  <c r="C33" i="241"/>
  <c r="C32" i="241"/>
  <c r="C31" i="241"/>
  <c r="S114" i="241"/>
  <c r="O114" i="241"/>
  <c r="K114" i="241"/>
  <c r="S113" i="241"/>
  <c r="O113" i="241"/>
  <c r="K113" i="241"/>
  <c r="S112" i="241"/>
  <c r="O112" i="241"/>
  <c r="K112" i="241"/>
  <c r="S110" i="241"/>
  <c r="O110" i="241"/>
  <c r="K110" i="241"/>
  <c r="S109" i="241"/>
  <c r="O109" i="241"/>
  <c r="K109" i="241"/>
  <c r="S108" i="241"/>
  <c r="O108" i="241"/>
  <c r="K108" i="241"/>
  <c r="S106" i="241"/>
  <c r="O106" i="241"/>
  <c r="K106" i="241"/>
  <c r="G106" i="241"/>
  <c r="S105" i="241"/>
  <c r="O105" i="241"/>
  <c r="K105" i="241"/>
  <c r="G105" i="241"/>
  <c r="S104" i="241"/>
  <c r="O104" i="241"/>
  <c r="K104" i="241"/>
  <c r="G104" i="241"/>
  <c r="G103" i="241"/>
  <c r="S102" i="241"/>
  <c r="O102" i="241"/>
  <c r="K102" i="241"/>
  <c r="G102" i="241"/>
  <c r="S101" i="241"/>
  <c r="O101" i="241"/>
  <c r="K101" i="241"/>
  <c r="G101" i="241"/>
  <c r="S100" i="241"/>
  <c r="O100" i="241"/>
  <c r="K100" i="241"/>
  <c r="G100" i="241"/>
  <c r="G99" i="241"/>
  <c r="S98" i="241"/>
  <c r="O98" i="241"/>
  <c r="K98" i="241"/>
  <c r="G98" i="241"/>
  <c r="S97" i="241"/>
  <c r="O97" i="241"/>
  <c r="K97" i="241"/>
  <c r="G97" i="241"/>
  <c r="S96" i="241"/>
  <c r="O96" i="241"/>
  <c r="K96" i="241"/>
  <c r="G96" i="241"/>
  <c r="S95" i="241"/>
  <c r="O95" i="241"/>
  <c r="K95" i="241"/>
  <c r="G95" i="241"/>
  <c r="G94" i="241"/>
  <c r="S93" i="241"/>
  <c r="O93" i="241"/>
  <c r="K93" i="241"/>
  <c r="G93" i="241"/>
  <c r="S92" i="241"/>
  <c r="O92" i="241"/>
  <c r="K92" i="241"/>
  <c r="G92" i="241"/>
  <c r="S91" i="241"/>
  <c r="O91" i="241"/>
  <c r="K91" i="241"/>
  <c r="G91" i="241"/>
  <c r="G90" i="241"/>
  <c r="S89" i="241"/>
  <c r="O89" i="241"/>
  <c r="K89" i="241"/>
  <c r="G89" i="241"/>
  <c r="S88" i="241"/>
  <c r="O88" i="241"/>
  <c r="K88" i="241"/>
  <c r="G88" i="241"/>
  <c r="S87" i="241"/>
  <c r="O87" i="241"/>
  <c r="K87" i="241"/>
  <c r="G87" i="241"/>
  <c r="G86" i="241"/>
  <c r="S85" i="241"/>
  <c r="O85" i="241"/>
  <c r="K85" i="241"/>
  <c r="G85" i="241"/>
  <c r="S84" i="241"/>
  <c r="O84" i="241"/>
  <c r="K84" i="241"/>
  <c r="G84" i="241"/>
  <c r="S83" i="241"/>
  <c r="O83" i="241"/>
  <c r="K83" i="241"/>
  <c r="G83" i="241"/>
  <c r="G82" i="241"/>
  <c r="S81" i="241"/>
  <c r="O81" i="241"/>
  <c r="K81" i="241"/>
  <c r="G81" i="241"/>
  <c r="S80" i="241"/>
  <c r="O80" i="241"/>
  <c r="K80" i="241"/>
  <c r="G80" i="241"/>
  <c r="S79" i="241"/>
  <c r="O79" i="241"/>
  <c r="K79" i="241"/>
  <c r="G79" i="241"/>
  <c r="G78" i="241"/>
  <c r="S77" i="241"/>
  <c r="O77" i="241"/>
  <c r="K77" i="241"/>
  <c r="G77" i="241"/>
  <c r="S76" i="241"/>
  <c r="O76" i="241"/>
  <c r="K76" i="241"/>
  <c r="G76" i="241"/>
  <c r="S75" i="241"/>
  <c r="O75" i="241"/>
  <c r="K75" i="241"/>
  <c r="G75" i="241"/>
  <c r="S74" i="241"/>
  <c r="O74" i="241"/>
  <c r="K74" i="241"/>
  <c r="G74" i="241"/>
  <c r="G73" i="241"/>
  <c r="O67" i="241"/>
  <c r="O65" i="241"/>
  <c r="K65" i="241"/>
  <c r="K64" i="241"/>
  <c r="O63" i="241"/>
  <c r="K63" i="241"/>
  <c r="O61" i="241"/>
  <c r="K61" i="241"/>
  <c r="K60" i="241"/>
  <c r="O59" i="241"/>
  <c r="K59" i="241"/>
  <c r="O56" i="241"/>
  <c r="K56" i="241"/>
  <c r="O55" i="241"/>
  <c r="K55" i="241"/>
  <c r="O54" i="241"/>
  <c r="K54" i="241"/>
  <c r="G53" i="241"/>
  <c r="K52" i="241"/>
  <c r="G52" i="241"/>
  <c r="O51" i="241"/>
  <c r="K51" i="241"/>
  <c r="G51" i="241"/>
  <c r="O50" i="241"/>
  <c r="K50" i="241"/>
  <c r="O49" i="241"/>
  <c r="G49" i="241"/>
  <c r="G48" i="241"/>
  <c r="O47" i="241"/>
  <c r="K47" i="241"/>
  <c r="G47" i="241"/>
  <c r="B47" i="241"/>
  <c r="O46" i="241"/>
  <c r="K46" i="241"/>
  <c r="B46" i="241"/>
  <c r="O45" i="241"/>
  <c r="K45" i="241"/>
  <c r="B45" i="241"/>
  <c r="G44" i="241"/>
  <c r="B44" i="241"/>
  <c r="O43" i="241"/>
  <c r="K43" i="241"/>
  <c r="G43" i="241"/>
  <c r="O42" i="241"/>
  <c r="K42" i="241"/>
  <c r="G42" i="241"/>
  <c r="O41" i="241"/>
  <c r="K41" i="241"/>
  <c r="B41" i="241"/>
  <c r="G40" i="241"/>
  <c r="B40" i="241"/>
  <c r="S39" i="241"/>
  <c r="O39" i="241"/>
  <c r="K39" i="241"/>
  <c r="G39" i="241"/>
  <c r="B39" i="241"/>
  <c r="S38" i="241"/>
  <c r="O38" i="241"/>
  <c r="K38" i="241"/>
  <c r="G38" i="241"/>
  <c r="B38" i="241"/>
  <c r="S37" i="241"/>
  <c r="O37" i="241"/>
  <c r="K37" i="241"/>
  <c r="B37" i="241"/>
  <c r="S36" i="241"/>
  <c r="G36" i="241"/>
  <c r="B36" i="241"/>
  <c r="S35" i="241"/>
  <c r="G35" i="241"/>
  <c r="O34" i="241"/>
  <c r="K34" i="241"/>
  <c r="G34" i="241"/>
  <c r="S33" i="241"/>
  <c r="O33" i="241"/>
  <c r="K33" i="241"/>
  <c r="B33" i="241"/>
  <c r="S32" i="241"/>
  <c r="O32" i="241"/>
  <c r="K32" i="241"/>
  <c r="B32" i="241"/>
  <c r="S31" i="241"/>
  <c r="G31" i="241"/>
  <c r="B31" i="241"/>
  <c r="S30" i="241"/>
  <c r="O30" i="241"/>
  <c r="K30" i="241"/>
  <c r="G30" i="241"/>
  <c r="S29" i="241"/>
  <c r="O29" i="241"/>
  <c r="K29" i="241"/>
  <c r="G29" i="241"/>
  <c r="O28" i="241"/>
  <c r="K28" i="241"/>
  <c r="S27" i="241"/>
  <c r="G27" i="241"/>
  <c r="S26" i="241"/>
  <c r="O26" i="241"/>
  <c r="K26" i="241"/>
  <c r="G26" i="241"/>
  <c r="S25" i="241"/>
  <c r="O25" i="241"/>
  <c r="K25" i="241"/>
  <c r="G25" i="241"/>
  <c r="S24" i="241"/>
  <c r="O24" i="241"/>
  <c r="K24" i="241"/>
  <c r="S23" i="241"/>
  <c r="O22" i="241"/>
  <c r="K22" i="241"/>
  <c r="G22" i="241"/>
  <c r="S21" i="241"/>
  <c r="O21" i="241"/>
  <c r="K21" i="241"/>
  <c r="G21" i="241"/>
  <c r="S20" i="241"/>
  <c r="O20" i="241"/>
  <c r="K20" i="241"/>
  <c r="G20" i="241"/>
  <c r="S19" i="241"/>
  <c r="S18" i="241"/>
  <c r="O18" i="241"/>
  <c r="K18" i="241"/>
  <c r="G18" i="241"/>
  <c r="S17" i="241"/>
  <c r="O17" i="241"/>
  <c r="K17" i="241"/>
  <c r="G17" i="241"/>
  <c r="S16" i="241"/>
  <c r="O16" i="241"/>
  <c r="K16" i="241"/>
  <c r="G16" i="241"/>
  <c r="S15" i="241"/>
  <c r="S14" i="241"/>
  <c r="G14" i="241"/>
  <c r="S13" i="241"/>
  <c r="O13" i="241"/>
  <c r="K13" i="241"/>
  <c r="G13" i="241"/>
  <c r="S12" i="241"/>
  <c r="O12" i="241"/>
  <c r="K12" i="241"/>
  <c r="G12" i="241"/>
  <c r="S11" i="241"/>
  <c r="O11" i="241"/>
  <c r="K11" i="241"/>
  <c r="S10" i="241"/>
  <c r="G10" i="241"/>
  <c r="S9" i="241"/>
  <c r="O9" i="241"/>
  <c r="K9" i="241"/>
  <c r="G9" i="241"/>
  <c r="S8" i="241"/>
  <c r="O8" i="241"/>
  <c r="K8" i="241"/>
  <c r="G8" i="241"/>
  <c r="S7" i="241"/>
  <c r="O7" i="241"/>
  <c r="K7" i="241"/>
  <c r="G6" i="241"/>
  <c r="O5" i="241"/>
  <c r="K5" i="241"/>
  <c r="G5" i="241"/>
  <c r="S4" i="241"/>
  <c r="O4" i="241"/>
  <c r="K4" i="241"/>
  <c r="G4" i="241"/>
  <c r="S3" i="241"/>
  <c r="O3" i="241"/>
  <c r="K3" i="241"/>
  <c r="C47" i="240"/>
  <c r="C46" i="240"/>
  <c r="C45" i="240"/>
  <c r="C44" i="240"/>
  <c r="C41" i="240"/>
  <c r="C40" i="240"/>
  <c r="C39" i="240"/>
  <c r="C38" i="240"/>
  <c r="C37" i="240"/>
  <c r="C36" i="240"/>
  <c r="C33" i="240"/>
  <c r="C32" i="240"/>
  <c r="C31" i="240"/>
  <c r="S114" i="240"/>
  <c r="O114" i="240"/>
  <c r="K114" i="240"/>
  <c r="S113" i="240"/>
  <c r="O113" i="240"/>
  <c r="K113" i="240"/>
  <c r="S112" i="240"/>
  <c r="O112" i="240"/>
  <c r="K112" i="240"/>
  <c r="S110" i="240"/>
  <c r="O110" i="240"/>
  <c r="K110" i="240"/>
  <c r="S109" i="240"/>
  <c r="O109" i="240"/>
  <c r="K109" i="240"/>
  <c r="S108" i="240"/>
  <c r="O108" i="240"/>
  <c r="K108" i="240"/>
  <c r="S106" i="240"/>
  <c r="O106" i="240"/>
  <c r="K106" i="240"/>
  <c r="G106" i="240"/>
  <c r="S105" i="240"/>
  <c r="O105" i="240"/>
  <c r="K105" i="240"/>
  <c r="G105" i="240"/>
  <c r="S104" i="240"/>
  <c r="O104" i="240"/>
  <c r="K104" i="240"/>
  <c r="G104" i="240"/>
  <c r="G103" i="240"/>
  <c r="S102" i="240"/>
  <c r="O102" i="240"/>
  <c r="K102" i="240"/>
  <c r="G102" i="240"/>
  <c r="S101" i="240"/>
  <c r="O101" i="240"/>
  <c r="K101" i="240"/>
  <c r="G101" i="240"/>
  <c r="S100" i="240"/>
  <c r="O100" i="240"/>
  <c r="K100" i="240"/>
  <c r="G100" i="240"/>
  <c r="G99" i="240"/>
  <c r="S98" i="240"/>
  <c r="O98" i="240"/>
  <c r="K98" i="240"/>
  <c r="G98" i="240"/>
  <c r="S97" i="240"/>
  <c r="O97" i="240"/>
  <c r="K97" i="240"/>
  <c r="G97" i="240"/>
  <c r="S96" i="240"/>
  <c r="O96" i="240"/>
  <c r="K96" i="240"/>
  <c r="G96" i="240"/>
  <c r="S95" i="240"/>
  <c r="O95" i="240"/>
  <c r="K95" i="240"/>
  <c r="G95" i="240"/>
  <c r="G94" i="240"/>
  <c r="S93" i="240"/>
  <c r="O93" i="240"/>
  <c r="K93" i="240"/>
  <c r="G93" i="240"/>
  <c r="S92" i="240"/>
  <c r="O92" i="240"/>
  <c r="K92" i="240"/>
  <c r="G92" i="240"/>
  <c r="S91" i="240"/>
  <c r="O91" i="240"/>
  <c r="K91" i="240"/>
  <c r="G91" i="240"/>
  <c r="G90" i="240"/>
  <c r="S89" i="240"/>
  <c r="O89" i="240"/>
  <c r="K89" i="240"/>
  <c r="G89" i="240"/>
  <c r="S88" i="240"/>
  <c r="O88" i="240"/>
  <c r="K88" i="240"/>
  <c r="G88" i="240"/>
  <c r="S87" i="240"/>
  <c r="O87" i="240"/>
  <c r="K87" i="240"/>
  <c r="G87" i="240"/>
  <c r="G86" i="240"/>
  <c r="S85" i="240"/>
  <c r="O85" i="240"/>
  <c r="K85" i="240"/>
  <c r="G85" i="240"/>
  <c r="S84" i="240"/>
  <c r="O84" i="240"/>
  <c r="K84" i="240"/>
  <c r="G84" i="240"/>
  <c r="S83" i="240"/>
  <c r="O83" i="240"/>
  <c r="K83" i="240"/>
  <c r="G83" i="240"/>
  <c r="G82" i="240"/>
  <c r="S81" i="240"/>
  <c r="O81" i="240"/>
  <c r="K81" i="240"/>
  <c r="G81" i="240"/>
  <c r="S80" i="240"/>
  <c r="O80" i="240"/>
  <c r="K80" i="240"/>
  <c r="G80" i="240"/>
  <c r="S79" i="240"/>
  <c r="O79" i="240"/>
  <c r="K79" i="240"/>
  <c r="G79" i="240"/>
  <c r="G78" i="240"/>
  <c r="S77" i="240"/>
  <c r="O77" i="240"/>
  <c r="K77" i="240"/>
  <c r="G77" i="240"/>
  <c r="S76" i="240"/>
  <c r="O76" i="240"/>
  <c r="K76" i="240"/>
  <c r="G76" i="240"/>
  <c r="S75" i="240"/>
  <c r="O75" i="240"/>
  <c r="K75" i="240"/>
  <c r="G75" i="240"/>
  <c r="S74" i="240"/>
  <c r="O74" i="240"/>
  <c r="K74" i="240"/>
  <c r="G74" i="240"/>
  <c r="G73" i="240"/>
  <c r="O67" i="240"/>
  <c r="O65" i="240"/>
  <c r="K65" i="240"/>
  <c r="K64" i="240"/>
  <c r="O63" i="240"/>
  <c r="K63" i="240"/>
  <c r="O61" i="240"/>
  <c r="K61" i="240"/>
  <c r="K60" i="240"/>
  <c r="O59" i="240"/>
  <c r="K59" i="240"/>
  <c r="O56" i="240"/>
  <c r="K56" i="240"/>
  <c r="O55" i="240"/>
  <c r="K55" i="240"/>
  <c r="O54" i="240"/>
  <c r="K54" i="240"/>
  <c r="G53" i="240"/>
  <c r="K52" i="240"/>
  <c r="G52" i="240"/>
  <c r="O51" i="240"/>
  <c r="K51" i="240"/>
  <c r="G51" i="240"/>
  <c r="O50" i="240"/>
  <c r="K50" i="240"/>
  <c r="O49" i="240"/>
  <c r="G49" i="240"/>
  <c r="G48" i="240"/>
  <c r="O47" i="240"/>
  <c r="K47" i="240"/>
  <c r="G47" i="240"/>
  <c r="B47" i="240"/>
  <c r="O46" i="240"/>
  <c r="K46" i="240"/>
  <c r="B46" i="240"/>
  <c r="O45" i="240"/>
  <c r="K45" i="240"/>
  <c r="B45" i="240"/>
  <c r="G44" i="240"/>
  <c r="B44" i="240"/>
  <c r="O43" i="240"/>
  <c r="K43" i="240"/>
  <c r="G43" i="240"/>
  <c r="O42" i="240"/>
  <c r="K42" i="240"/>
  <c r="G42" i="240"/>
  <c r="O41" i="240"/>
  <c r="K41" i="240"/>
  <c r="B41" i="240"/>
  <c r="G40" i="240"/>
  <c r="B40" i="240"/>
  <c r="S39" i="240"/>
  <c r="O39" i="240"/>
  <c r="K39" i="240"/>
  <c r="G39" i="240"/>
  <c r="B39" i="240"/>
  <c r="S38" i="240"/>
  <c r="O38" i="240"/>
  <c r="K38" i="240"/>
  <c r="G38" i="240"/>
  <c r="B38" i="240"/>
  <c r="S37" i="240"/>
  <c r="O37" i="240"/>
  <c r="K37" i="240"/>
  <c r="B37" i="240"/>
  <c r="S36" i="240"/>
  <c r="G36" i="240"/>
  <c r="B36" i="240"/>
  <c r="S35" i="240"/>
  <c r="G35" i="240"/>
  <c r="O34" i="240"/>
  <c r="K34" i="240"/>
  <c r="G34" i="240"/>
  <c r="S33" i="240"/>
  <c r="O33" i="240"/>
  <c r="K33" i="240"/>
  <c r="B33" i="240"/>
  <c r="S32" i="240"/>
  <c r="O32" i="240"/>
  <c r="K32" i="240"/>
  <c r="B32" i="240"/>
  <c r="S31" i="240"/>
  <c r="G31" i="240"/>
  <c r="B31" i="240"/>
  <c r="S30" i="240"/>
  <c r="O30" i="240"/>
  <c r="K30" i="240"/>
  <c r="G30" i="240"/>
  <c r="S29" i="240"/>
  <c r="O29" i="240"/>
  <c r="K29" i="240"/>
  <c r="G29" i="240"/>
  <c r="O28" i="240"/>
  <c r="K28" i="240"/>
  <c r="S27" i="240"/>
  <c r="G27" i="240"/>
  <c r="S26" i="240"/>
  <c r="O26" i="240"/>
  <c r="K26" i="240"/>
  <c r="G26" i="240"/>
  <c r="S25" i="240"/>
  <c r="O25" i="240"/>
  <c r="K25" i="240"/>
  <c r="G25" i="240"/>
  <c r="S24" i="240"/>
  <c r="O24" i="240"/>
  <c r="K24" i="240"/>
  <c r="S23" i="240"/>
  <c r="O22" i="240"/>
  <c r="K22" i="240"/>
  <c r="G22" i="240"/>
  <c r="S21" i="240"/>
  <c r="O21" i="240"/>
  <c r="K21" i="240"/>
  <c r="G21" i="240"/>
  <c r="S20" i="240"/>
  <c r="O20" i="240"/>
  <c r="K20" i="240"/>
  <c r="G20" i="240"/>
  <c r="S19" i="240"/>
  <c r="S18" i="240"/>
  <c r="O18" i="240"/>
  <c r="K18" i="240"/>
  <c r="G18" i="240"/>
  <c r="S17" i="240"/>
  <c r="O17" i="240"/>
  <c r="K17" i="240"/>
  <c r="G17" i="240"/>
  <c r="S16" i="240"/>
  <c r="O16" i="240"/>
  <c r="K16" i="240"/>
  <c r="G16" i="240"/>
  <c r="S15" i="240"/>
  <c r="S14" i="240"/>
  <c r="G14" i="240"/>
  <c r="S13" i="240"/>
  <c r="O13" i="240"/>
  <c r="K13" i="240"/>
  <c r="G13" i="240"/>
  <c r="S12" i="240"/>
  <c r="O12" i="240"/>
  <c r="K12" i="240"/>
  <c r="G12" i="240"/>
  <c r="S11" i="240"/>
  <c r="O11" i="240"/>
  <c r="K11" i="240"/>
  <c r="S10" i="240"/>
  <c r="G10" i="240"/>
  <c r="S9" i="240"/>
  <c r="O9" i="240"/>
  <c r="K9" i="240"/>
  <c r="G9" i="240"/>
  <c r="S8" i="240"/>
  <c r="O8" i="240"/>
  <c r="K8" i="240"/>
  <c r="G8" i="240"/>
  <c r="S7" i="240"/>
  <c r="O7" i="240"/>
  <c r="K7" i="240"/>
  <c r="G6" i="240"/>
  <c r="O5" i="240"/>
  <c r="K5" i="240"/>
  <c r="G5" i="240"/>
  <c r="S4" i="240"/>
  <c r="O4" i="240"/>
  <c r="K4" i="240"/>
  <c r="G4" i="240"/>
  <c r="S3" i="240"/>
  <c r="O3" i="240"/>
  <c r="K3" i="240"/>
  <c r="C47" i="239"/>
  <c r="C46" i="239"/>
  <c r="C45" i="239"/>
  <c r="C44" i="239"/>
  <c r="C41" i="239"/>
  <c r="C40" i="239"/>
  <c r="C39" i="239"/>
  <c r="C38" i="239"/>
  <c r="C37" i="239"/>
  <c r="C36" i="239"/>
  <c r="C33" i="239"/>
  <c r="C32" i="239"/>
  <c r="C31" i="239"/>
  <c r="S114" i="239"/>
  <c r="O114" i="239"/>
  <c r="K114" i="239"/>
  <c r="S113" i="239"/>
  <c r="O113" i="239"/>
  <c r="K113" i="239"/>
  <c r="S112" i="239"/>
  <c r="O112" i="239"/>
  <c r="K112" i="239"/>
  <c r="S110" i="239"/>
  <c r="O110" i="239"/>
  <c r="K110" i="239"/>
  <c r="S109" i="239"/>
  <c r="O109" i="239"/>
  <c r="K109" i="239"/>
  <c r="S108" i="239"/>
  <c r="O108" i="239"/>
  <c r="K108" i="239"/>
  <c r="S106" i="239"/>
  <c r="O106" i="239"/>
  <c r="K106" i="239"/>
  <c r="G106" i="239"/>
  <c r="S105" i="239"/>
  <c r="O105" i="239"/>
  <c r="K105" i="239"/>
  <c r="G105" i="239"/>
  <c r="S104" i="239"/>
  <c r="O104" i="239"/>
  <c r="K104" i="239"/>
  <c r="G104" i="239"/>
  <c r="G103" i="239"/>
  <c r="S102" i="239"/>
  <c r="O102" i="239"/>
  <c r="K102" i="239"/>
  <c r="G102" i="239"/>
  <c r="S101" i="239"/>
  <c r="O101" i="239"/>
  <c r="K101" i="239"/>
  <c r="G101" i="239"/>
  <c r="S100" i="239"/>
  <c r="O100" i="239"/>
  <c r="K100" i="239"/>
  <c r="G100" i="239"/>
  <c r="G99" i="239"/>
  <c r="S98" i="239"/>
  <c r="O98" i="239"/>
  <c r="K98" i="239"/>
  <c r="G98" i="239"/>
  <c r="S97" i="239"/>
  <c r="O97" i="239"/>
  <c r="K97" i="239"/>
  <c r="G97" i="239"/>
  <c r="S96" i="239"/>
  <c r="O96" i="239"/>
  <c r="K96" i="239"/>
  <c r="G96" i="239"/>
  <c r="S95" i="239"/>
  <c r="O95" i="239"/>
  <c r="K95" i="239"/>
  <c r="G95" i="239"/>
  <c r="G94" i="239"/>
  <c r="S93" i="239"/>
  <c r="O93" i="239"/>
  <c r="K93" i="239"/>
  <c r="G93" i="239"/>
  <c r="S92" i="239"/>
  <c r="O92" i="239"/>
  <c r="K92" i="239"/>
  <c r="G92" i="239"/>
  <c r="S91" i="239"/>
  <c r="O91" i="239"/>
  <c r="K91" i="239"/>
  <c r="G91" i="239"/>
  <c r="G90" i="239"/>
  <c r="S89" i="239"/>
  <c r="O89" i="239"/>
  <c r="K89" i="239"/>
  <c r="G89" i="239"/>
  <c r="S88" i="239"/>
  <c r="O88" i="239"/>
  <c r="K88" i="239"/>
  <c r="G88" i="239"/>
  <c r="S87" i="239"/>
  <c r="O87" i="239"/>
  <c r="K87" i="239"/>
  <c r="G87" i="239"/>
  <c r="G86" i="239"/>
  <c r="S85" i="239"/>
  <c r="O85" i="239"/>
  <c r="K85" i="239"/>
  <c r="G85" i="239"/>
  <c r="S84" i="239"/>
  <c r="O84" i="239"/>
  <c r="K84" i="239"/>
  <c r="G84" i="239"/>
  <c r="S83" i="239"/>
  <c r="O83" i="239"/>
  <c r="K83" i="239"/>
  <c r="G83" i="239"/>
  <c r="G82" i="239"/>
  <c r="S81" i="239"/>
  <c r="O81" i="239"/>
  <c r="K81" i="239"/>
  <c r="G81" i="239"/>
  <c r="S80" i="239"/>
  <c r="O80" i="239"/>
  <c r="K80" i="239"/>
  <c r="G80" i="239"/>
  <c r="S79" i="239"/>
  <c r="O79" i="239"/>
  <c r="K79" i="239"/>
  <c r="G79" i="239"/>
  <c r="G78" i="239"/>
  <c r="S77" i="239"/>
  <c r="O77" i="239"/>
  <c r="K77" i="239"/>
  <c r="G77" i="239"/>
  <c r="S76" i="239"/>
  <c r="O76" i="239"/>
  <c r="K76" i="239"/>
  <c r="G76" i="239"/>
  <c r="S75" i="239"/>
  <c r="O75" i="239"/>
  <c r="K75" i="239"/>
  <c r="G75" i="239"/>
  <c r="S74" i="239"/>
  <c r="O74" i="239"/>
  <c r="K74" i="239"/>
  <c r="G74" i="239"/>
  <c r="G73" i="239"/>
  <c r="O67" i="239"/>
  <c r="O65" i="239"/>
  <c r="K65" i="239"/>
  <c r="K64" i="239"/>
  <c r="O63" i="239"/>
  <c r="K63" i="239"/>
  <c r="O61" i="239"/>
  <c r="K61" i="239"/>
  <c r="K60" i="239"/>
  <c r="O59" i="239"/>
  <c r="K59" i="239"/>
  <c r="O56" i="239"/>
  <c r="K56" i="239"/>
  <c r="O55" i="239"/>
  <c r="K55" i="239"/>
  <c r="O54" i="239"/>
  <c r="K54" i="239"/>
  <c r="G53" i="239"/>
  <c r="K52" i="239"/>
  <c r="G52" i="239"/>
  <c r="O51" i="239"/>
  <c r="K51" i="239"/>
  <c r="G51" i="239"/>
  <c r="O50" i="239"/>
  <c r="K50" i="239"/>
  <c r="O49" i="239"/>
  <c r="G49" i="239"/>
  <c r="G48" i="239"/>
  <c r="O47" i="239"/>
  <c r="K47" i="239"/>
  <c r="G47" i="239"/>
  <c r="B47" i="239"/>
  <c r="O46" i="239"/>
  <c r="K46" i="239"/>
  <c r="B46" i="239"/>
  <c r="O45" i="239"/>
  <c r="K45" i="239"/>
  <c r="B45" i="239"/>
  <c r="G44" i="239"/>
  <c r="B44" i="239"/>
  <c r="O43" i="239"/>
  <c r="K43" i="239"/>
  <c r="G43" i="239"/>
  <c r="O42" i="239"/>
  <c r="K42" i="239"/>
  <c r="G42" i="239"/>
  <c r="O41" i="239"/>
  <c r="K41" i="239"/>
  <c r="B41" i="239"/>
  <c r="G40" i="239"/>
  <c r="B40" i="239"/>
  <c r="S39" i="239"/>
  <c r="O39" i="239"/>
  <c r="K39" i="239"/>
  <c r="G39" i="239"/>
  <c r="B39" i="239"/>
  <c r="S38" i="239"/>
  <c r="O38" i="239"/>
  <c r="K38" i="239"/>
  <c r="G38" i="239"/>
  <c r="B38" i="239"/>
  <c r="S37" i="239"/>
  <c r="O37" i="239"/>
  <c r="K37" i="239"/>
  <c r="B37" i="239"/>
  <c r="S36" i="239"/>
  <c r="G36" i="239"/>
  <c r="B36" i="239"/>
  <c r="S35" i="239"/>
  <c r="G35" i="239"/>
  <c r="O34" i="239"/>
  <c r="K34" i="239"/>
  <c r="G34" i="239"/>
  <c r="S33" i="239"/>
  <c r="O33" i="239"/>
  <c r="K33" i="239"/>
  <c r="B33" i="239"/>
  <c r="S32" i="239"/>
  <c r="O32" i="239"/>
  <c r="K32" i="239"/>
  <c r="B32" i="239"/>
  <c r="S31" i="239"/>
  <c r="G31" i="239"/>
  <c r="B31" i="239"/>
  <c r="S30" i="239"/>
  <c r="O30" i="239"/>
  <c r="K30" i="239"/>
  <c r="G30" i="239"/>
  <c r="S29" i="239"/>
  <c r="O29" i="239"/>
  <c r="K29" i="239"/>
  <c r="G29" i="239"/>
  <c r="O28" i="239"/>
  <c r="K28" i="239"/>
  <c r="S27" i="239"/>
  <c r="G27" i="239"/>
  <c r="S26" i="239"/>
  <c r="O26" i="239"/>
  <c r="K26" i="239"/>
  <c r="G26" i="239"/>
  <c r="S25" i="239"/>
  <c r="O25" i="239"/>
  <c r="K25" i="239"/>
  <c r="G25" i="239"/>
  <c r="S24" i="239"/>
  <c r="O24" i="239"/>
  <c r="K24" i="239"/>
  <c r="S23" i="239"/>
  <c r="O22" i="239"/>
  <c r="K22" i="239"/>
  <c r="G22" i="239"/>
  <c r="S21" i="239"/>
  <c r="O21" i="239"/>
  <c r="K21" i="239"/>
  <c r="G21" i="239"/>
  <c r="S20" i="239"/>
  <c r="O20" i="239"/>
  <c r="K20" i="239"/>
  <c r="G20" i="239"/>
  <c r="S19" i="239"/>
  <c r="S18" i="239"/>
  <c r="O18" i="239"/>
  <c r="K18" i="239"/>
  <c r="G18" i="239"/>
  <c r="S17" i="239"/>
  <c r="O17" i="239"/>
  <c r="K17" i="239"/>
  <c r="G17" i="239"/>
  <c r="S16" i="239"/>
  <c r="O16" i="239"/>
  <c r="K16" i="239"/>
  <c r="G16" i="239"/>
  <c r="S15" i="239"/>
  <c r="S14" i="239"/>
  <c r="G14" i="239"/>
  <c r="S13" i="239"/>
  <c r="O13" i="239"/>
  <c r="K13" i="239"/>
  <c r="G13" i="239"/>
  <c r="S12" i="239"/>
  <c r="O12" i="239"/>
  <c r="K12" i="239"/>
  <c r="G12" i="239"/>
  <c r="S11" i="239"/>
  <c r="O11" i="239"/>
  <c r="K11" i="239"/>
  <c r="S10" i="239"/>
  <c r="G10" i="239"/>
  <c r="S9" i="239"/>
  <c r="O9" i="239"/>
  <c r="K9" i="239"/>
  <c r="G9" i="239"/>
  <c r="S8" i="239"/>
  <c r="O8" i="239"/>
  <c r="K8" i="239"/>
  <c r="G8" i="239"/>
  <c r="S7" i="239"/>
  <c r="O7" i="239"/>
  <c r="K7" i="239"/>
  <c r="G6" i="239"/>
  <c r="O5" i="239"/>
  <c r="K5" i="239"/>
  <c r="G5" i="239"/>
  <c r="S4" i="239"/>
  <c r="O4" i="239"/>
  <c r="K4" i="239"/>
  <c r="G4" i="239"/>
  <c r="S3" i="239"/>
  <c r="O3" i="239"/>
  <c r="K3" i="239"/>
  <c r="C47" i="238"/>
  <c r="C46" i="238"/>
  <c r="C45" i="238"/>
  <c r="C44" i="238"/>
  <c r="C41" i="238"/>
  <c r="C40" i="238"/>
  <c r="C39" i="238"/>
  <c r="C38" i="238"/>
  <c r="C37" i="238"/>
  <c r="C36" i="238"/>
  <c r="C33" i="238"/>
  <c r="C32" i="238"/>
  <c r="C31" i="238"/>
  <c r="S114" i="238"/>
  <c r="O114" i="238"/>
  <c r="K114" i="238"/>
  <c r="S113" i="238"/>
  <c r="O113" i="238"/>
  <c r="K113" i="238"/>
  <c r="S112" i="238"/>
  <c r="O112" i="238"/>
  <c r="K112" i="238"/>
  <c r="S110" i="238"/>
  <c r="O110" i="238"/>
  <c r="K110" i="238"/>
  <c r="S109" i="238"/>
  <c r="O109" i="238"/>
  <c r="K109" i="238"/>
  <c r="S108" i="238"/>
  <c r="O108" i="238"/>
  <c r="K108" i="238"/>
  <c r="S106" i="238"/>
  <c r="O106" i="238"/>
  <c r="K106" i="238"/>
  <c r="G106" i="238"/>
  <c r="S105" i="238"/>
  <c r="O105" i="238"/>
  <c r="K105" i="238"/>
  <c r="G105" i="238"/>
  <c r="S104" i="238"/>
  <c r="O104" i="238"/>
  <c r="K104" i="238"/>
  <c r="G104" i="238"/>
  <c r="G103" i="238"/>
  <c r="S102" i="238"/>
  <c r="O102" i="238"/>
  <c r="K102" i="238"/>
  <c r="G102" i="238"/>
  <c r="S101" i="238"/>
  <c r="O101" i="238"/>
  <c r="K101" i="238"/>
  <c r="G101" i="238"/>
  <c r="S100" i="238"/>
  <c r="O100" i="238"/>
  <c r="K100" i="238"/>
  <c r="G100" i="238"/>
  <c r="G99" i="238"/>
  <c r="S98" i="238"/>
  <c r="O98" i="238"/>
  <c r="K98" i="238"/>
  <c r="G98" i="238"/>
  <c r="S97" i="238"/>
  <c r="O97" i="238"/>
  <c r="K97" i="238"/>
  <c r="G97" i="238"/>
  <c r="S96" i="238"/>
  <c r="O96" i="238"/>
  <c r="K96" i="238"/>
  <c r="G96" i="238"/>
  <c r="S95" i="238"/>
  <c r="O95" i="238"/>
  <c r="K95" i="238"/>
  <c r="G95" i="238"/>
  <c r="G94" i="238"/>
  <c r="S93" i="238"/>
  <c r="O93" i="238"/>
  <c r="K93" i="238"/>
  <c r="G93" i="238"/>
  <c r="S92" i="238"/>
  <c r="O92" i="238"/>
  <c r="K92" i="238"/>
  <c r="G92" i="238"/>
  <c r="S91" i="238"/>
  <c r="O91" i="238"/>
  <c r="K91" i="238"/>
  <c r="G91" i="238"/>
  <c r="G90" i="238"/>
  <c r="S89" i="238"/>
  <c r="O89" i="238"/>
  <c r="K89" i="238"/>
  <c r="G89" i="238"/>
  <c r="S88" i="238"/>
  <c r="O88" i="238"/>
  <c r="K88" i="238"/>
  <c r="G88" i="238"/>
  <c r="S87" i="238"/>
  <c r="O87" i="238"/>
  <c r="K87" i="238"/>
  <c r="G87" i="238"/>
  <c r="G86" i="238"/>
  <c r="S85" i="238"/>
  <c r="O85" i="238"/>
  <c r="K85" i="238"/>
  <c r="G85" i="238"/>
  <c r="S84" i="238"/>
  <c r="O84" i="238"/>
  <c r="K84" i="238"/>
  <c r="G84" i="238"/>
  <c r="S83" i="238"/>
  <c r="O83" i="238"/>
  <c r="K83" i="238"/>
  <c r="G83" i="238"/>
  <c r="G82" i="238"/>
  <c r="S81" i="238"/>
  <c r="O81" i="238"/>
  <c r="K81" i="238"/>
  <c r="G81" i="238"/>
  <c r="S80" i="238"/>
  <c r="O80" i="238"/>
  <c r="K80" i="238"/>
  <c r="G80" i="238"/>
  <c r="S79" i="238"/>
  <c r="O79" i="238"/>
  <c r="K79" i="238"/>
  <c r="G79" i="238"/>
  <c r="G78" i="238"/>
  <c r="S77" i="238"/>
  <c r="O77" i="238"/>
  <c r="K77" i="238"/>
  <c r="G77" i="238"/>
  <c r="S76" i="238"/>
  <c r="O76" i="238"/>
  <c r="K76" i="238"/>
  <c r="G76" i="238"/>
  <c r="S75" i="238"/>
  <c r="O75" i="238"/>
  <c r="K75" i="238"/>
  <c r="G75" i="238"/>
  <c r="S74" i="238"/>
  <c r="O74" i="238"/>
  <c r="K74" i="238"/>
  <c r="G74" i="238"/>
  <c r="G73" i="238"/>
  <c r="O67" i="238"/>
  <c r="O65" i="238"/>
  <c r="K65" i="238"/>
  <c r="K64" i="238"/>
  <c r="O63" i="238"/>
  <c r="K63" i="238"/>
  <c r="O61" i="238"/>
  <c r="K61" i="238"/>
  <c r="K60" i="238"/>
  <c r="O59" i="238"/>
  <c r="K59" i="238"/>
  <c r="O56" i="238"/>
  <c r="K56" i="238"/>
  <c r="O55" i="238"/>
  <c r="K55" i="238"/>
  <c r="O54" i="238"/>
  <c r="K54" i="238"/>
  <c r="G53" i="238"/>
  <c r="K52" i="238"/>
  <c r="G52" i="238"/>
  <c r="O51" i="238"/>
  <c r="K51" i="238"/>
  <c r="G51" i="238"/>
  <c r="O50" i="238"/>
  <c r="K50" i="238"/>
  <c r="O49" i="238"/>
  <c r="G49" i="238"/>
  <c r="G48" i="238"/>
  <c r="O47" i="238"/>
  <c r="K47" i="238"/>
  <c r="G47" i="238"/>
  <c r="B47" i="238"/>
  <c r="O46" i="238"/>
  <c r="K46" i="238"/>
  <c r="B46" i="238"/>
  <c r="O45" i="238"/>
  <c r="K45" i="238"/>
  <c r="B45" i="238"/>
  <c r="G44" i="238"/>
  <c r="B44" i="238"/>
  <c r="O43" i="238"/>
  <c r="K43" i="238"/>
  <c r="G43" i="238"/>
  <c r="O42" i="238"/>
  <c r="K42" i="238"/>
  <c r="G42" i="238"/>
  <c r="O41" i="238"/>
  <c r="K41" i="238"/>
  <c r="B41" i="238"/>
  <c r="G40" i="238"/>
  <c r="B40" i="238"/>
  <c r="S39" i="238"/>
  <c r="O39" i="238"/>
  <c r="K39" i="238"/>
  <c r="G39" i="238"/>
  <c r="B39" i="238"/>
  <c r="S38" i="238"/>
  <c r="O38" i="238"/>
  <c r="K38" i="238"/>
  <c r="G38" i="238"/>
  <c r="B38" i="238"/>
  <c r="S37" i="238"/>
  <c r="O37" i="238"/>
  <c r="K37" i="238"/>
  <c r="B37" i="238"/>
  <c r="S36" i="238"/>
  <c r="G36" i="238"/>
  <c r="B36" i="238"/>
  <c r="S35" i="238"/>
  <c r="G35" i="238"/>
  <c r="O34" i="238"/>
  <c r="K34" i="238"/>
  <c r="G34" i="238"/>
  <c r="S33" i="238"/>
  <c r="O33" i="238"/>
  <c r="K33" i="238"/>
  <c r="B33" i="238"/>
  <c r="S32" i="238"/>
  <c r="O32" i="238"/>
  <c r="K32" i="238"/>
  <c r="B32" i="238"/>
  <c r="S31" i="238"/>
  <c r="G31" i="238"/>
  <c r="B31" i="238"/>
  <c r="S30" i="238"/>
  <c r="O30" i="238"/>
  <c r="K30" i="238"/>
  <c r="G30" i="238"/>
  <c r="S29" i="238"/>
  <c r="O29" i="238"/>
  <c r="K29" i="238"/>
  <c r="G29" i="238"/>
  <c r="O28" i="238"/>
  <c r="K28" i="238"/>
  <c r="S27" i="238"/>
  <c r="G27" i="238"/>
  <c r="S26" i="238"/>
  <c r="O26" i="238"/>
  <c r="K26" i="238"/>
  <c r="G26" i="238"/>
  <c r="S25" i="238"/>
  <c r="O25" i="238"/>
  <c r="K25" i="238"/>
  <c r="G25" i="238"/>
  <c r="S24" i="238"/>
  <c r="O24" i="238"/>
  <c r="K24" i="238"/>
  <c r="S23" i="238"/>
  <c r="O22" i="238"/>
  <c r="K22" i="238"/>
  <c r="G22" i="238"/>
  <c r="S21" i="238"/>
  <c r="O21" i="238"/>
  <c r="K21" i="238"/>
  <c r="G21" i="238"/>
  <c r="S20" i="238"/>
  <c r="O20" i="238"/>
  <c r="K20" i="238"/>
  <c r="G20" i="238"/>
  <c r="S19" i="238"/>
  <c r="S18" i="238"/>
  <c r="O18" i="238"/>
  <c r="K18" i="238"/>
  <c r="G18" i="238"/>
  <c r="S17" i="238"/>
  <c r="O17" i="238"/>
  <c r="K17" i="238"/>
  <c r="G17" i="238"/>
  <c r="S16" i="238"/>
  <c r="O16" i="238"/>
  <c r="K16" i="238"/>
  <c r="G16" i="238"/>
  <c r="S15" i="238"/>
  <c r="S14" i="238"/>
  <c r="G14" i="238"/>
  <c r="S13" i="238"/>
  <c r="O13" i="238"/>
  <c r="K13" i="238"/>
  <c r="G13" i="238"/>
  <c r="S12" i="238"/>
  <c r="O12" i="238"/>
  <c r="K12" i="238"/>
  <c r="G12" i="238"/>
  <c r="S11" i="238"/>
  <c r="O11" i="238"/>
  <c r="K11" i="238"/>
  <c r="S10" i="238"/>
  <c r="G10" i="238"/>
  <c r="S9" i="238"/>
  <c r="O9" i="238"/>
  <c r="K9" i="238"/>
  <c r="G9" i="238"/>
  <c r="S8" i="238"/>
  <c r="O8" i="238"/>
  <c r="K8" i="238"/>
  <c r="G8" i="238"/>
  <c r="S7" i="238"/>
  <c r="O7" i="238"/>
  <c r="K7" i="238"/>
  <c r="G6" i="238"/>
  <c r="O5" i="238"/>
  <c r="K5" i="238"/>
  <c r="G5" i="238"/>
  <c r="S4" i="238"/>
  <c r="O4" i="238"/>
  <c r="K4" i="238"/>
  <c r="G4" i="238"/>
  <c r="S3" i="238"/>
  <c r="O3" i="238"/>
  <c r="K3" i="238"/>
  <c r="R114" i="243"/>
  <c r="N114" i="243"/>
  <c r="J114" i="243"/>
  <c r="R113" i="243"/>
  <c r="N113" i="243"/>
  <c r="J113" i="243"/>
  <c r="R112" i="243"/>
  <c r="N112" i="243"/>
  <c r="J112" i="243"/>
  <c r="R111" i="243"/>
  <c r="N111" i="243"/>
  <c r="J111" i="243"/>
  <c r="R110" i="243"/>
  <c r="N110" i="243"/>
  <c r="J110" i="243"/>
  <c r="R109" i="243"/>
  <c r="N109" i="243"/>
  <c r="J109" i="243"/>
  <c r="R108" i="243"/>
  <c r="N108" i="243"/>
  <c r="J108" i="243"/>
  <c r="R107" i="243"/>
  <c r="N107" i="243"/>
  <c r="J107" i="243"/>
  <c r="R106" i="243"/>
  <c r="N106" i="243"/>
  <c r="J106" i="243"/>
  <c r="E106" i="243"/>
  <c r="R105" i="243"/>
  <c r="N105" i="243"/>
  <c r="J105" i="243"/>
  <c r="E105" i="243"/>
  <c r="R104" i="243"/>
  <c r="N104" i="243"/>
  <c r="J104" i="243"/>
  <c r="E104" i="243"/>
  <c r="R103" i="243"/>
  <c r="N103" i="243"/>
  <c r="J103" i="243"/>
  <c r="E103" i="243"/>
  <c r="R102" i="243"/>
  <c r="N102" i="243"/>
  <c r="J102" i="243"/>
  <c r="E102" i="243"/>
  <c r="R101" i="243"/>
  <c r="N101" i="243"/>
  <c r="J101" i="243"/>
  <c r="E101" i="243"/>
  <c r="R100" i="243"/>
  <c r="N100" i="243"/>
  <c r="J100" i="243"/>
  <c r="E100" i="243"/>
  <c r="R99" i="243"/>
  <c r="N99" i="243"/>
  <c r="J99" i="243"/>
  <c r="E99" i="243"/>
  <c r="R98" i="243"/>
  <c r="N98" i="243"/>
  <c r="J98" i="243"/>
  <c r="E98" i="243"/>
  <c r="R97" i="243"/>
  <c r="N97" i="243"/>
  <c r="J97" i="243"/>
  <c r="E97" i="243"/>
  <c r="R96" i="243"/>
  <c r="N96" i="243"/>
  <c r="J96" i="243"/>
  <c r="E96" i="243"/>
  <c r="R95" i="243"/>
  <c r="N95" i="243"/>
  <c r="J95" i="243"/>
  <c r="E95" i="243"/>
  <c r="Q94" i="243"/>
  <c r="M94" i="243"/>
  <c r="I94" i="243"/>
  <c r="E94" i="243"/>
  <c r="R93" i="243"/>
  <c r="N93" i="243"/>
  <c r="J93" i="243"/>
  <c r="E93" i="243"/>
  <c r="R92" i="243"/>
  <c r="N92" i="243"/>
  <c r="J92" i="243"/>
  <c r="E92" i="243"/>
  <c r="R91" i="243"/>
  <c r="N91" i="243"/>
  <c r="J91" i="243"/>
  <c r="E91" i="243"/>
  <c r="R90" i="243"/>
  <c r="N90" i="243"/>
  <c r="J90" i="243"/>
  <c r="E90" i="243"/>
  <c r="R89" i="243"/>
  <c r="N89" i="243"/>
  <c r="J89" i="243"/>
  <c r="E89" i="243"/>
  <c r="R88" i="243"/>
  <c r="N88" i="243"/>
  <c r="J88" i="243"/>
  <c r="E88" i="243"/>
  <c r="R87" i="243"/>
  <c r="N87" i="243"/>
  <c r="J87" i="243"/>
  <c r="E87" i="243"/>
  <c r="R86" i="243"/>
  <c r="N86" i="243"/>
  <c r="J86" i="243"/>
  <c r="E86" i="243"/>
  <c r="R85" i="243"/>
  <c r="N85" i="243"/>
  <c r="J85" i="243"/>
  <c r="E85" i="243"/>
  <c r="R84" i="243"/>
  <c r="N84" i="243"/>
  <c r="J84" i="243"/>
  <c r="E84" i="243"/>
  <c r="R83" i="243"/>
  <c r="N83" i="243"/>
  <c r="J83" i="243"/>
  <c r="E83" i="243"/>
  <c r="R82" i="243"/>
  <c r="N82" i="243"/>
  <c r="J82" i="243"/>
  <c r="E82" i="243"/>
  <c r="R81" i="243"/>
  <c r="N81" i="243"/>
  <c r="J81" i="243"/>
  <c r="E81" i="243"/>
  <c r="R80" i="243"/>
  <c r="N80" i="243"/>
  <c r="J80" i="243"/>
  <c r="E80" i="243"/>
  <c r="R79" i="243"/>
  <c r="N79" i="243"/>
  <c r="J79" i="243"/>
  <c r="E79" i="243"/>
  <c r="R78" i="243"/>
  <c r="N78" i="243"/>
  <c r="J78" i="243"/>
  <c r="E78" i="243"/>
  <c r="A78" i="243"/>
  <c r="R77" i="243"/>
  <c r="N77" i="243"/>
  <c r="J77" i="243"/>
  <c r="E77" i="243"/>
  <c r="A77" i="243"/>
  <c r="R76" i="243"/>
  <c r="N76" i="243"/>
  <c r="J76" i="243"/>
  <c r="E76" i="243"/>
  <c r="A76" i="243"/>
  <c r="R75" i="243"/>
  <c r="N75" i="243"/>
  <c r="J75" i="243"/>
  <c r="E75" i="243"/>
  <c r="A75" i="243"/>
  <c r="R74" i="243"/>
  <c r="N74" i="243"/>
  <c r="J74" i="243"/>
  <c r="E74" i="243"/>
  <c r="A74" i="243"/>
  <c r="Q73" i="243"/>
  <c r="M73" i="243"/>
  <c r="I73" i="243"/>
  <c r="E73" i="243"/>
  <c r="A73" i="243"/>
  <c r="N67" i="243"/>
  <c r="N66" i="243"/>
  <c r="N65" i="243"/>
  <c r="J65" i="243"/>
  <c r="N64" i="243"/>
  <c r="J64" i="243"/>
  <c r="N63" i="243"/>
  <c r="J63" i="243"/>
  <c r="N62" i="243"/>
  <c r="J62" i="243"/>
  <c r="N61" i="243"/>
  <c r="J61" i="243"/>
  <c r="N60" i="243"/>
  <c r="J60" i="243"/>
  <c r="N59" i="243"/>
  <c r="J59" i="243"/>
  <c r="N58" i="243"/>
  <c r="J58" i="243"/>
  <c r="M57" i="243"/>
  <c r="I57" i="243"/>
  <c r="N56" i="243"/>
  <c r="J56" i="243"/>
  <c r="N55" i="243"/>
  <c r="J55" i="243"/>
  <c r="N54" i="243"/>
  <c r="J54" i="243"/>
  <c r="N53" i="243"/>
  <c r="J53" i="243"/>
  <c r="F53" i="243"/>
  <c r="M52" i="243"/>
  <c r="J52" i="243"/>
  <c r="F52" i="243"/>
  <c r="B52" i="243"/>
  <c r="N51" i="243"/>
  <c r="J51" i="243"/>
  <c r="F51" i="243"/>
  <c r="B51" i="243"/>
  <c r="N50" i="243"/>
  <c r="J50" i="243"/>
  <c r="F50" i="243"/>
  <c r="B50" i="243"/>
  <c r="N49" i="243"/>
  <c r="J49" i="243"/>
  <c r="F49" i="243"/>
  <c r="N48" i="243"/>
  <c r="I48" i="243"/>
  <c r="F48" i="243"/>
  <c r="N47" i="243"/>
  <c r="J47" i="243"/>
  <c r="F47" i="243"/>
  <c r="N46" i="243"/>
  <c r="J46" i="243"/>
  <c r="F46" i="243"/>
  <c r="N45" i="243"/>
  <c r="J45" i="243"/>
  <c r="E45" i="243"/>
  <c r="N44" i="243"/>
  <c r="J44" i="243"/>
  <c r="F44" i="243"/>
  <c r="N43" i="243"/>
  <c r="J43" i="243"/>
  <c r="F43" i="243"/>
  <c r="B43" i="243"/>
  <c r="N42" i="243"/>
  <c r="J42" i="243"/>
  <c r="F42" i="243"/>
  <c r="B42" i="243"/>
  <c r="N41" i="243"/>
  <c r="J41" i="243"/>
  <c r="F41" i="243"/>
  <c r="N40" i="243"/>
  <c r="J40" i="243"/>
  <c r="F40" i="243"/>
  <c r="R39" i="243"/>
  <c r="N39" i="243"/>
  <c r="J39" i="243"/>
  <c r="F39" i="243"/>
  <c r="R38" i="243"/>
  <c r="N38" i="243"/>
  <c r="J38" i="243"/>
  <c r="F38" i="243"/>
  <c r="R37" i="243"/>
  <c r="N37" i="243"/>
  <c r="J37" i="243"/>
  <c r="F37" i="243"/>
  <c r="R36" i="243"/>
  <c r="N36" i="243"/>
  <c r="J36" i="243"/>
  <c r="F36" i="243"/>
  <c r="R35" i="243"/>
  <c r="M35" i="243"/>
  <c r="I35" i="243"/>
  <c r="F35" i="243"/>
  <c r="B35" i="243"/>
  <c r="Q34" i="243"/>
  <c r="N34" i="243"/>
  <c r="J34" i="243"/>
  <c r="F34" i="243"/>
  <c r="B34" i="243"/>
  <c r="R33" i="243"/>
  <c r="N33" i="243"/>
  <c r="J33" i="243"/>
  <c r="F33" i="243"/>
  <c r="R32" i="243"/>
  <c r="N32" i="243"/>
  <c r="J32" i="243"/>
  <c r="E32" i="243"/>
  <c r="R31" i="243"/>
  <c r="N31" i="243"/>
  <c r="J31" i="243"/>
  <c r="F31" i="243"/>
  <c r="R30" i="243"/>
  <c r="N30" i="243"/>
  <c r="J30" i="243"/>
  <c r="F30" i="243"/>
  <c r="B30" i="243"/>
  <c r="R29" i="243"/>
  <c r="N29" i="243"/>
  <c r="J29" i="243"/>
  <c r="F29" i="243"/>
  <c r="B29" i="243"/>
  <c r="Q28" i="243"/>
  <c r="N28" i="243"/>
  <c r="J28" i="243"/>
  <c r="F28" i="243"/>
  <c r="R27" i="243"/>
  <c r="N27" i="243"/>
  <c r="J27" i="243"/>
  <c r="F27" i="243"/>
  <c r="R26" i="243"/>
  <c r="N26" i="243"/>
  <c r="J26" i="243"/>
  <c r="F26" i="243"/>
  <c r="R25" i="243"/>
  <c r="N25" i="243"/>
  <c r="J25" i="243"/>
  <c r="F25" i="243"/>
  <c r="R24" i="243"/>
  <c r="N24" i="243"/>
  <c r="J24" i="243"/>
  <c r="F24" i="243"/>
  <c r="R23" i="243"/>
  <c r="N23" i="243"/>
  <c r="J23" i="243"/>
  <c r="E23" i="243"/>
  <c r="Q22" i="243"/>
  <c r="N22" i="243"/>
  <c r="J22" i="243"/>
  <c r="F22" i="243"/>
  <c r="Q21" i="243"/>
  <c r="N21" i="243"/>
  <c r="J21" i="243"/>
  <c r="F21" i="243"/>
  <c r="Q20" i="243"/>
  <c r="N20" i="243"/>
  <c r="J20" i="243"/>
  <c r="F20" i="243"/>
  <c r="Q19" i="243"/>
  <c r="N19" i="243"/>
  <c r="J19" i="243"/>
  <c r="F19" i="243"/>
  <c r="Q18" i="243"/>
  <c r="N18" i="243"/>
  <c r="J18" i="243"/>
  <c r="F18" i="243"/>
  <c r="Q17" i="243"/>
  <c r="N17" i="243"/>
  <c r="J17" i="243"/>
  <c r="F17" i="243"/>
  <c r="Q16" i="243"/>
  <c r="N16" i="243"/>
  <c r="J16" i="243"/>
  <c r="F16" i="243"/>
  <c r="Q15" i="243"/>
  <c r="N15" i="243"/>
  <c r="J15" i="243"/>
  <c r="F15" i="243"/>
  <c r="Q14" i="243"/>
  <c r="M14" i="243"/>
  <c r="I14" i="243"/>
  <c r="F14" i="243"/>
  <c r="Q13" i="243"/>
  <c r="N13" i="243"/>
  <c r="J13" i="243"/>
  <c r="F13" i="243"/>
  <c r="Q12" i="243"/>
  <c r="N12" i="243"/>
  <c r="J12" i="243"/>
  <c r="F12" i="243"/>
  <c r="Q11" i="243"/>
  <c r="N11" i="243"/>
  <c r="J11" i="243"/>
  <c r="F11" i="243"/>
  <c r="Q10" i="243"/>
  <c r="N10" i="243"/>
  <c r="J10" i="243"/>
  <c r="F10" i="243"/>
  <c r="Q9" i="243"/>
  <c r="N9" i="243"/>
  <c r="J9" i="243"/>
  <c r="F9" i="243"/>
  <c r="Q8" i="243"/>
  <c r="N8" i="243"/>
  <c r="J8" i="243"/>
  <c r="F8" i="243"/>
  <c r="Q7" i="243"/>
  <c r="N7" i="243"/>
  <c r="J7" i="243"/>
  <c r="F7" i="243"/>
  <c r="Q6" i="243"/>
  <c r="N6" i="243"/>
  <c r="J6" i="243"/>
  <c r="F6" i="243"/>
  <c r="Q5" i="243"/>
  <c r="N5" i="243"/>
  <c r="J5" i="243"/>
  <c r="F5" i="243"/>
  <c r="Q4" i="243"/>
  <c r="N4" i="243"/>
  <c r="J4" i="243"/>
  <c r="F4" i="243"/>
  <c r="Q3" i="243"/>
  <c r="N3" i="243"/>
  <c r="J3" i="243"/>
  <c r="F3" i="243"/>
  <c r="Q2" i="243"/>
  <c r="N2" i="243"/>
  <c r="J2" i="243"/>
  <c r="E2" i="243"/>
  <c r="A1" i="243"/>
  <c r="R114" i="242"/>
  <c r="N114" i="242"/>
  <c r="J114" i="242"/>
  <c r="R113" i="242"/>
  <c r="N113" i="242"/>
  <c r="J113" i="242"/>
  <c r="R112" i="242"/>
  <c r="N112" i="242"/>
  <c r="J112" i="242"/>
  <c r="R111" i="242"/>
  <c r="N111" i="242"/>
  <c r="J111" i="242"/>
  <c r="R110" i="242"/>
  <c r="N110" i="242"/>
  <c r="J110" i="242"/>
  <c r="R109" i="242"/>
  <c r="N109" i="242"/>
  <c r="J109" i="242"/>
  <c r="R108" i="242"/>
  <c r="N108" i="242"/>
  <c r="J108" i="242"/>
  <c r="R107" i="242"/>
  <c r="N107" i="242"/>
  <c r="J107" i="242"/>
  <c r="R106" i="242"/>
  <c r="N106" i="242"/>
  <c r="J106" i="242"/>
  <c r="E106" i="242"/>
  <c r="R105" i="242"/>
  <c r="N105" i="242"/>
  <c r="J105" i="242"/>
  <c r="E105" i="242"/>
  <c r="R104" i="242"/>
  <c r="N104" i="242"/>
  <c r="J104" i="242"/>
  <c r="E104" i="242"/>
  <c r="R103" i="242"/>
  <c r="N103" i="242"/>
  <c r="J103" i="242"/>
  <c r="E103" i="242"/>
  <c r="R102" i="242"/>
  <c r="N102" i="242"/>
  <c r="J102" i="242"/>
  <c r="E102" i="242"/>
  <c r="R101" i="242"/>
  <c r="N101" i="242"/>
  <c r="J101" i="242"/>
  <c r="E101" i="242"/>
  <c r="R100" i="242"/>
  <c r="N100" i="242"/>
  <c r="J100" i="242"/>
  <c r="E100" i="242"/>
  <c r="R99" i="242"/>
  <c r="N99" i="242"/>
  <c r="J99" i="242"/>
  <c r="E99" i="242"/>
  <c r="R98" i="242"/>
  <c r="N98" i="242"/>
  <c r="J98" i="242"/>
  <c r="E98" i="242"/>
  <c r="R97" i="242"/>
  <c r="N97" i="242"/>
  <c r="J97" i="242"/>
  <c r="E97" i="242"/>
  <c r="R96" i="242"/>
  <c r="N96" i="242"/>
  <c r="J96" i="242"/>
  <c r="E96" i="242"/>
  <c r="R95" i="242"/>
  <c r="N95" i="242"/>
  <c r="J95" i="242"/>
  <c r="E95" i="242"/>
  <c r="Q94" i="242"/>
  <c r="M94" i="242"/>
  <c r="I94" i="242"/>
  <c r="E94" i="242"/>
  <c r="R93" i="242"/>
  <c r="N93" i="242"/>
  <c r="J93" i="242"/>
  <c r="E93" i="242"/>
  <c r="R92" i="242"/>
  <c r="N92" i="242"/>
  <c r="J92" i="242"/>
  <c r="E92" i="242"/>
  <c r="R91" i="242"/>
  <c r="N91" i="242"/>
  <c r="J91" i="242"/>
  <c r="E91" i="242"/>
  <c r="R90" i="242"/>
  <c r="N90" i="242"/>
  <c r="J90" i="242"/>
  <c r="E90" i="242"/>
  <c r="R89" i="242"/>
  <c r="N89" i="242"/>
  <c r="J89" i="242"/>
  <c r="E89" i="242"/>
  <c r="R88" i="242"/>
  <c r="N88" i="242"/>
  <c r="J88" i="242"/>
  <c r="E88" i="242"/>
  <c r="R87" i="242"/>
  <c r="N87" i="242"/>
  <c r="J87" i="242"/>
  <c r="E87" i="242"/>
  <c r="R86" i="242"/>
  <c r="N86" i="242"/>
  <c r="J86" i="242"/>
  <c r="E86" i="242"/>
  <c r="R85" i="242"/>
  <c r="N85" i="242"/>
  <c r="J85" i="242"/>
  <c r="E85" i="242"/>
  <c r="R84" i="242"/>
  <c r="N84" i="242"/>
  <c r="J84" i="242"/>
  <c r="E84" i="242"/>
  <c r="R83" i="242"/>
  <c r="N83" i="242"/>
  <c r="J83" i="242"/>
  <c r="E83" i="242"/>
  <c r="R82" i="242"/>
  <c r="N82" i="242"/>
  <c r="J82" i="242"/>
  <c r="E82" i="242"/>
  <c r="R81" i="242"/>
  <c r="N81" i="242"/>
  <c r="J81" i="242"/>
  <c r="E81" i="242"/>
  <c r="R80" i="242"/>
  <c r="N80" i="242"/>
  <c r="J80" i="242"/>
  <c r="E80" i="242"/>
  <c r="R79" i="242"/>
  <c r="N79" i="242"/>
  <c r="J79" i="242"/>
  <c r="E79" i="242"/>
  <c r="R78" i="242"/>
  <c r="N78" i="242"/>
  <c r="J78" i="242"/>
  <c r="E78" i="242"/>
  <c r="A78" i="242"/>
  <c r="R77" i="242"/>
  <c r="N77" i="242"/>
  <c r="J77" i="242"/>
  <c r="E77" i="242"/>
  <c r="A77" i="242"/>
  <c r="R76" i="242"/>
  <c r="N76" i="242"/>
  <c r="J76" i="242"/>
  <c r="E76" i="242"/>
  <c r="A76" i="242"/>
  <c r="R75" i="242"/>
  <c r="N75" i="242"/>
  <c r="J75" i="242"/>
  <c r="E75" i="242"/>
  <c r="A75" i="242"/>
  <c r="R74" i="242"/>
  <c r="N74" i="242"/>
  <c r="J74" i="242"/>
  <c r="E74" i="242"/>
  <c r="A74" i="242"/>
  <c r="Q73" i="242"/>
  <c r="M73" i="242"/>
  <c r="I73" i="242"/>
  <c r="E73" i="242"/>
  <c r="A73" i="242"/>
  <c r="N67" i="242"/>
  <c r="N66" i="242"/>
  <c r="N65" i="242"/>
  <c r="J65" i="242"/>
  <c r="N64" i="242"/>
  <c r="J64" i="242"/>
  <c r="N63" i="242"/>
  <c r="J63" i="242"/>
  <c r="N62" i="242"/>
  <c r="J62" i="242"/>
  <c r="N61" i="242"/>
  <c r="J61" i="242"/>
  <c r="N60" i="242"/>
  <c r="J60" i="242"/>
  <c r="N59" i="242"/>
  <c r="J59" i="242"/>
  <c r="N58" i="242"/>
  <c r="J58" i="242"/>
  <c r="M57" i="242"/>
  <c r="I57" i="242"/>
  <c r="N56" i="242"/>
  <c r="J56" i="242"/>
  <c r="N55" i="242"/>
  <c r="J55" i="242"/>
  <c r="N54" i="242"/>
  <c r="J54" i="242"/>
  <c r="N53" i="242"/>
  <c r="J53" i="242"/>
  <c r="F53" i="242"/>
  <c r="M52" i="242"/>
  <c r="J52" i="242"/>
  <c r="F52" i="242"/>
  <c r="B52" i="242"/>
  <c r="N51" i="242"/>
  <c r="J51" i="242"/>
  <c r="F51" i="242"/>
  <c r="B51" i="242"/>
  <c r="N50" i="242"/>
  <c r="J50" i="242"/>
  <c r="F50" i="242"/>
  <c r="B50" i="242"/>
  <c r="N49" i="242"/>
  <c r="J49" i="242"/>
  <c r="F49" i="242"/>
  <c r="N48" i="242"/>
  <c r="I48" i="242"/>
  <c r="F48" i="242"/>
  <c r="N47" i="242"/>
  <c r="J47" i="242"/>
  <c r="F47" i="242"/>
  <c r="N46" i="242"/>
  <c r="J46" i="242"/>
  <c r="F46" i="242"/>
  <c r="N45" i="242"/>
  <c r="J45" i="242"/>
  <c r="E45" i="242"/>
  <c r="N44" i="242"/>
  <c r="J44" i="242"/>
  <c r="F44" i="242"/>
  <c r="N43" i="242"/>
  <c r="J43" i="242"/>
  <c r="F43" i="242"/>
  <c r="B43" i="242"/>
  <c r="N42" i="242"/>
  <c r="J42" i="242"/>
  <c r="F42" i="242"/>
  <c r="B42" i="242"/>
  <c r="N41" i="242"/>
  <c r="J41" i="242"/>
  <c r="F41" i="242"/>
  <c r="N40" i="242"/>
  <c r="J40" i="242"/>
  <c r="F40" i="242"/>
  <c r="R39" i="242"/>
  <c r="N39" i="242"/>
  <c r="J39" i="242"/>
  <c r="F39" i="242"/>
  <c r="R38" i="242"/>
  <c r="N38" i="242"/>
  <c r="J38" i="242"/>
  <c r="F38" i="242"/>
  <c r="R37" i="242"/>
  <c r="N37" i="242"/>
  <c r="J37" i="242"/>
  <c r="F37" i="242"/>
  <c r="R36" i="242"/>
  <c r="N36" i="242"/>
  <c r="J36" i="242"/>
  <c r="F36" i="242"/>
  <c r="R35" i="242"/>
  <c r="M35" i="242"/>
  <c r="I35" i="242"/>
  <c r="F35" i="242"/>
  <c r="B35" i="242"/>
  <c r="Q34" i="242"/>
  <c r="N34" i="242"/>
  <c r="J34" i="242"/>
  <c r="F34" i="242"/>
  <c r="B34" i="242"/>
  <c r="R33" i="242"/>
  <c r="N33" i="242"/>
  <c r="J33" i="242"/>
  <c r="F33" i="242"/>
  <c r="R32" i="242"/>
  <c r="N32" i="242"/>
  <c r="J32" i="242"/>
  <c r="E32" i="242"/>
  <c r="R31" i="242"/>
  <c r="N31" i="242"/>
  <c r="J31" i="242"/>
  <c r="F31" i="242"/>
  <c r="R30" i="242"/>
  <c r="N30" i="242"/>
  <c r="J30" i="242"/>
  <c r="F30" i="242"/>
  <c r="B30" i="242"/>
  <c r="R29" i="242"/>
  <c r="N29" i="242"/>
  <c r="J29" i="242"/>
  <c r="F29" i="242"/>
  <c r="B29" i="242"/>
  <c r="Q28" i="242"/>
  <c r="N28" i="242"/>
  <c r="J28" i="242"/>
  <c r="F28" i="242"/>
  <c r="R27" i="242"/>
  <c r="N27" i="242"/>
  <c r="J27" i="242"/>
  <c r="F27" i="242"/>
  <c r="R26" i="242"/>
  <c r="N26" i="242"/>
  <c r="J26" i="242"/>
  <c r="F26" i="242"/>
  <c r="R25" i="242"/>
  <c r="N25" i="242"/>
  <c r="J25" i="242"/>
  <c r="F25" i="242"/>
  <c r="R24" i="242"/>
  <c r="N24" i="242"/>
  <c r="J24" i="242"/>
  <c r="F24" i="242"/>
  <c r="R23" i="242"/>
  <c r="N23" i="242"/>
  <c r="J23" i="242"/>
  <c r="E23" i="242"/>
  <c r="Q22" i="242"/>
  <c r="N22" i="242"/>
  <c r="J22" i="242"/>
  <c r="F22" i="242"/>
  <c r="Q21" i="242"/>
  <c r="N21" i="242"/>
  <c r="J21" i="242"/>
  <c r="F21" i="242"/>
  <c r="Q20" i="242"/>
  <c r="N20" i="242"/>
  <c r="J20" i="242"/>
  <c r="F20" i="242"/>
  <c r="Q19" i="242"/>
  <c r="N19" i="242"/>
  <c r="J19" i="242"/>
  <c r="F19" i="242"/>
  <c r="Q18" i="242"/>
  <c r="N18" i="242"/>
  <c r="J18" i="242"/>
  <c r="F18" i="242"/>
  <c r="Q17" i="242"/>
  <c r="N17" i="242"/>
  <c r="J17" i="242"/>
  <c r="F17" i="242"/>
  <c r="Q16" i="242"/>
  <c r="N16" i="242"/>
  <c r="J16" i="242"/>
  <c r="F16" i="242"/>
  <c r="Q15" i="242"/>
  <c r="N15" i="242"/>
  <c r="J15" i="242"/>
  <c r="F15" i="242"/>
  <c r="Q14" i="242"/>
  <c r="M14" i="242"/>
  <c r="I14" i="242"/>
  <c r="F14" i="242"/>
  <c r="Q13" i="242"/>
  <c r="N13" i="242"/>
  <c r="J13" i="242"/>
  <c r="F13" i="242"/>
  <c r="Q12" i="242"/>
  <c r="N12" i="242"/>
  <c r="J12" i="242"/>
  <c r="F12" i="242"/>
  <c r="Q11" i="242"/>
  <c r="N11" i="242"/>
  <c r="J11" i="242"/>
  <c r="F11" i="242"/>
  <c r="Q10" i="242"/>
  <c r="N10" i="242"/>
  <c r="J10" i="242"/>
  <c r="F10" i="242"/>
  <c r="Q9" i="242"/>
  <c r="N9" i="242"/>
  <c r="J9" i="242"/>
  <c r="F9" i="242"/>
  <c r="Q8" i="242"/>
  <c r="N8" i="242"/>
  <c r="J8" i="242"/>
  <c r="F8" i="242"/>
  <c r="Q7" i="242"/>
  <c r="N7" i="242"/>
  <c r="J7" i="242"/>
  <c r="F7" i="242"/>
  <c r="Q6" i="242"/>
  <c r="N6" i="242"/>
  <c r="J6" i="242"/>
  <c r="F6" i="242"/>
  <c r="Q5" i="242"/>
  <c r="N5" i="242"/>
  <c r="J5" i="242"/>
  <c r="F5" i="242"/>
  <c r="Q4" i="242"/>
  <c r="N4" i="242"/>
  <c r="J4" i="242"/>
  <c r="F4" i="242"/>
  <c r="Q3" i="242"/>
  <c r="N3" i="242"/>
  <c r="J3" i="242"/>
  <c r="F3" i="242"/>
  <c r="Q2" i="242"/>
  <c r="N2" i="242"/>
  <c r="J2" i="242"/>
  <c r="E2" i="242"/>
  <c r="A1" i="242"/>
  <c r="L1" i="229" s="1"/>
  <c r="R114" i="241"/>
  <c r="N114" i="241"/>
  <c r="J114" i="241"/>
  <c r="R113" i="241"/>
  <c r="N113" i="241"/>
  <c r="J113" i="241"/>
  <c r="R112" i="241"/>
  <c r="N112" i="241"/>
  <c r="J112" i="241"/>
  <c r="R111" i="241"/>
  <c r="N111" i="241"/>
  <c r="J111" i="241"/>
  <c r="R110" i="241"/>
  <c r="N110" i="241"/>
  <c r="J110" i="241"/>
  <c r="R109" i="241"/>
  <c r="N109" i="241"/>
  <c r="J109" i="241"/>
  <c r="R108" i="241"/>
  <c r="N108" i="241"/>
  <c r="J108" i="241"/>
  <c r="R107" i="241"/>
  <c r="N107" i="241"/>
  <c r="J107" i="241"/>
  <c r="R106" i="241"/>
  <c r="N106" i="241"/>
  <c r="J106" i="241"/>
  <c r="E106" i="241"/>
  <c r="R105" i="241"/>
  <c r="N105" i="241"/>
  <c r="J105" i="241"/>
  <c r="E105" i="241"/>
  <c r="R104" i="241"/>
  <c r="N104" i="241"/>
  <c r="J104" i="241"/>
  <c r="E104" i="241"/>
  <c r="R103" i="241"/>
  <c r="N103" i="241"/>
  <c r="J103" i="241"/>
  <c r="E103" i="241"/>
  <c r="R102" i="241"/>
  <c r="N102" i="241"/>
  <c r="J102" i="241"/>
  <c r="E102" i="241"/>
  <c r="R101" i="241"/>
  <c r="N101" i="241"/>
  <c r="J101" i="241"/>
  <c r="E101" i="241"/>
  <c r="R100" i="241"/>
  <c r="N100" i="241"/>
  <c r="J100" i="241"/>
  <c r="E100" i="241"/>
  <c r="R99" i="241"/>
  <c r="N99" i="241"/>
  <c r="J99" i="241"/>
  <c r="E99" i="241"/>
  <c r="R98" i="241"/>
  <c r="N98" i="241"/>
  <c r="J98" i="241"/>
  <c r="E98" i="241"/>
  <c r="R97" i="241"/>
  <c r="N97" i="241"/>
  <c r="J97" i="241"/>
  <c r="E97" i="241"/>
  <c r="R96" i="241"/>
  <c r="N96" i="241"/>
  <c r="J96" i="241"/>
  <c r="E96" i="241"/>
  <c r="R95" i="241"/>
  <c r="N95" i="241"/>
  <c r="J95" i="241"/>
  <c r="E95" i="241"/>
  <c r="Q94" i="241"/>
  <c r="M94" i="241"/>
  <c r="I94" i="241"/>
  <c r="E94" i="241"/>
  <c r="R93" i="241"/>
  <c r="N93" i="241"/>
  <c r="J93" i="241"/>
  <c r="E93" i="241"/>
  <c r="R92" i="241"/>
  <c r="N92" i="241"/>
  <c r="J92" i="241"/>
  <c r="E92" i="241"/>
  <c r="R91" i="241"/>
  <c r="N91" i="241"/>
  <c r="J91" i="241"/>
  <c r="E91" i="241"/>
  <c r="R90" i="241"/>
  <c r="N90" i="241"/>
  <c r="J90" i="241"/>
  <c r="E90" i="241"/>
  <c r="R89" i="241"/>
  <c r="N89" i="241"/>
  <c r="J89" i="241"/>
  <c r="E89" i="241"/>
  <c r="R88" i="241"/>
  <c r="N88" i="241"/>
  <c r="J88" i="241"/>
  <c r="E88" i="241"/>
  <c r="R87" i="241"/>
  <c r="N87" i="241"/>
  <c r="J87" i="241"/>
  <c r="E87" i="241"/>
  <c r="R86" i="241"/>
  <c r="N86" i="241"/>
  <c r="J86" i="241"/>
  <c r="E86" i="241"/>
  <c r="R85" i="241"/>
  <c r="N85" i="241"/>
  <c r="J85" i="241"/>
  <c r="E85" i="241"/>
  <c r="R84" i="241"/>
  <c r="N84" i="241"/>
  <c r="J84" i="241"/>
  <c r="E84" i="241"/>
  <c r="R83" i="241"/>
  <c r="N83" i="241"/>
  <c r="J83" i="241"/>
  <c r="E83" i="241"/>
  <c r="R82" i="241"/>
  <c r="N82" i="241"/>
  <c r="J82" i="241"/>
  <c r="E82" i="241"/>
  <c r="R81" i="241"/>
  <c r="N81" i="241"/>
  <c r="J81" i="241"/>
  <c r="E81" i="241"/>
  <c r="R80" i="241"/>
  <c r="N80" i="241"/>
  <c r="J80" i="241"/>
  <c r="E80" i="241"/>
  <c r="R79" i="241"/>
  <c r="N79" i="241"/>
  <c r="J79" i="241"/>
  <c r="E79" i="241"/>
  <c r="R78" i="241"/>
  <c r="N78" i="241"/>
  <c r="J78" i="241"/>
  <c r="E78" i="241"/>
  <c r="A78" i="241"/>
  <c r="R77" i="241"/>
  <c r="N77" i="241"/>
  <c r="J77" i="241"/>
  <c r="E77" i="241"/>
  <c r="A77" i="241"/>
  <c r="R76" i="241"/>
  <c r="N76" i="241"/>
  <c r="J76" i="241"/>
  <c r="E76" i="241"/>
  <c r="A76" i="241"/>
  <c r="R75" i="241"/>
  <c r="N75" i="241"/>
  <c r="J75" i="241"/>
  <c r="E75" i="241"/>
  <c r="A75" i="241"/>
  <c r="R74" i="241"/>
  <c r="N74" i="241"/>
  <c r="J74" i="241"/>
  <c r="E74" i="241"/>
  <c r="A74" i="241"/>
  <c r="Q73" i="241"/>
  <c r="M73" i="241"/>
  <c r="I73" i="241"/>
  <c r="E73" i="241"/>
  <c r="A73" i="241"/>
  <c r="N67" i="241"/>
  <c r="N66" i="241"/>
  <c r="N65" i="241"/>
  <c r="J65" i="241"/>
  <c r="N64" i="241"/>
  <c r="J64" i="241"/>
  <c r="N63" i="241"/>
  <c r="J63" i="241"/>
  <c r="N62" i="241"/>
  <c r="J62" i="241"/>
  <c r="N61" i="241"/>
  <c r="J61" i="241"/>
  <c r="N60" i="241"/>
  <c r="J60" i="241"/>
  <c r="N59" i="241"/>
  <c r="J59" i="241"/>
  <c r="N58" i="241"/>
  <c r="J58" i="241"/>
  <c r="M57" i="241"/>
  <c r="I57" i="241"/>
  <c r="N56" i="241"/>
  <c r="J56" i="241"/>
  <c r="N55" i="241"/>
  <c r="J55" i="241"/>
  <c r="N54" i="241"/>
  <c r="J54" i="241"/>
  <c r="N53" i="241"/>
  <c r="J53" i="241"/>
  <c r="F53" i="241"/>
  <c r="M52" i="241"/>
  <c r="J52" i="241"/>
  <c r="F52" i="241"/>
  <c r="B52" i="241"/>
  <c r="N51" i="241"/>
  <c r="J51" i="241"/>
  <c r="F51" i="241"/>
  <c r="B51" i="241"/>
  <c r="N50" i="241"/>
  <c r="J50" i="241"/>
  <c r="F50" i="241"/>
  <c r="B50" i="241"/>
  <c r="N49" i="241"/>
  <c r="J49" i="241"/>
  <c r="F49" i="241"/>
  <c r="N48" i="241"/>
  <c r="I48" i="241"/>
  <c r="F48" i="241"/>
  <c r="N47" i="241"/>
  <c r="J47" i="241"/>
  <c r="F47" i="241"/>
  <c r="N46" i="241"/>
  <c r="J46" i="241"/>
  <c r="F46" i="241"/>
  <c r="N45" i="241"/>
  <c r="J45" i="241"/>
  <c r="E45" i="241"/>
  <c r="N44" i="241"/>
  <c r="J44" i="241"/>
  <c r="F44" i="241"/>
  <c r="N43" i="241"/>
  <c r="J43" i="241"/>
  <c r="F43" i="241"/>
  <c r="B43" i="241"/>
  <c r="N42" i="241"/>
  <c r="J42" i="241"/>
  <c r="F42" i="241"/>
  <c r="B42" i="241"/>
  <c r="N41" i="241"/>
  <c r="J41" i="241"/>
  <c r="F41" i="241"/>
  <c r="N40" i="241"/>
  <c r="J40" i="241"/>
  <c r="F40" i="241"/>
  <c r="R39" i="241"/>
  <c r="N39" i="241"/>
  <c r="J39" i="241"/>
  <c r="F39" i="241"/>
  <c r="R38" i="241"/>
  <c r="N38" i="241"/>
  <c r="J38" i="241"/>
  <c r="F38" i="241"/>
  <c r="R37" i="241"/>
  <c r="N37" i="241"/>
  <c r="J37" i="241"/>
  <c r="F37" i="241"/>
  <c r="R36" i="241"/>
  <c r="N36" i="241"/>
  <c r="J36" i="241"/>
  <c r="F36" i="241"/>
  <c r="R35" i="241"/>
  <c r="M35" i="241"/>
  <c r="I35" i="241"/>
  <c r="F35" i="241"/>
  <c r="B35" i="241"/>
  <c r="Q34" i="241"/>
  <c r="N34" i="241"/>
  <c r="J34" i="241"/>
  <c r="F34" i="241"/>
  <c r="B34" i="241"/>
  <c r="R33" i="241"/>
  <c r="N33" i="241"/>
  <c r="J33" i="241"/>
  <c r="F33" i="241"/>
  <c r="R32" i="241"/>
  <c r="N32" i="241"/>
  <c r="J32" i="241"/>
  <c r="E32" i="241"/>
  <c r="R31" i="241"/>
  <c r="N31" i="241"/>
  <c r="J31" i="241"/>
  <c r="F31" i="241"/>
  <c r="R30" i="241"/>
  <c r="N30" i="241"/>
  <c r="J30" i="241"/>
  <c r="F30" i="241"/>
  <c r="B30" i="241"/>
  <c r="R29" i="241"/>
  <c r="N29" i="241"/>
  <c r="J29" i="241"/>
  <c r="F29" i="241"/>
  <c r="B29" i="241"/>
  <c r="Q28" i="241"/>
  <c r="N28" i="241"/>
  <c r="J28" i="241"/>
  <c r="F28" i="241"/>
  <c r="R27" i="241"/>
  <c r="N27" i="241"/>
  <c r="J27" i="241"/>
  <c r="F27" i="241"/>
  <c r="R26" i="241"/>
  <c r="N26" i="241"/>
  <c r="J26" i="241"/>
  <c r="F26" i="241"/>
  <c r="R25" i="241"/>
  <c r="N25" i="241"/>
  <c r="J25" i="241"/>
  <c r="F25" i="241"/>
  <c r="R24" i="241"/>
  <c r="N24" i="241"/>
  <c r="J24" i="241"/>
  <c r="F24" i="241"/>
  <c r="R23" i="241"/>
  <c r="N23" i="241"/>
  <c r="J23" i="241"/>
  <c r="E23" i="241"/>
  <c r="Q22" i="241"/>
  <c r="N22" i="241"/>
  <c r="J22" i="241"/>
  <c r="F22" i="241"/>
  <c r="Q21" i="241"/>
  <c r="N21" i="241"/>
  <c r="J21" i="241"/>
  <c r="F21" i="241"/>
  <c r="Q20" i="241"/>
  <c r="N20" i="241"/>
  <c r="J20" i="241"/>
  <c r="F20" i="241"/>
  <c r="Q19" i="241"/>
  <c r="N19" i="241"/>
  <c r="J19" i="241"/>
  <c r="F19" i="241"/>
  <c r="Q18" i="241"/>
  <c r="N18" i="241"/>
  <c r="J18" i="241"/>
  <c r="F18" i="241"/>
  <c r="Q17" i="241"/>
  <c r="N17" i="241"/>
  <c r="J17" i="241"/>
  <c r="F17" i="241"/>
  <c r="Q16" i="241"/>
  <c r="N16" i="241"/>
  <c r="J16" i="241"/>
  <c r="F16" i="241"/>
  <c r="Q15" i="241"/>
  <c r="N15" i="241"/>
  <c r="J15" i="241"/>
  <c r="F15" i="241"/>
  <c r="Q14" i="241"/>
  <c r="M14" i="241"/>
  <c r="I14" i="241"/>
  <c r="F14" i="241"/>
  <c r="Q13" i="241"/>
  <c r="N13" i="241"/>
  <c r="J13" i="241"/>
  <c r="F13" i="241"/>
  <c r="Q12" i="241"/>
  <c r="N12" i="241"/>
  <c r="J12" i="241"/>
  <c r="F12" i="241"/>
  <c r="Q11" i="241"/>
  <c r="N11" i="241"/>
  <c r="J11" i="241"/>
  <c r="F11" i="241"/>
  <c r="Q10" i="241"/>
  <c r="N10" i="241"/>
  <c r="J10" i="241"/>
  <c r="F10" i="241"/>
  <c r="Q9" i="241"/>
  <c r="N9" i="241"/>
  <c r="J9" i="241"/>
  <c r="F9" i="241"/>
  <c r="Q8" i="241"/>
  <c r="N8" i="241"/>
  <c r="J8" i="241"/>
  <c r="F8" i="241"/>
  <c r="Q7" i="241"/>
  <c r="N7" i="241"/>
  <c r="J7" i="241"/>
  <c r="F7" i="241"/>
  <c r="Q6" i="241"/>
  <c r="N6" i="241"/>
  <c r="J6" i="241"/>
  <c r="F6" i="241"/>
  <c r="Q5" i="241"/>
  <c r="N5" i="241"/>
  <c r="J5" i="241"/>
  <c r="F5" i="241"/>
  <c r="Q4" i="241"/>
  <c r="N4" i="241"/>
  <c r="J4" i="241"/>
  <c r="F4" i="241"/>
  <c r="Q3" i="241"/>
  <c r="N3" i="241"/>
  <c r="J3" i="241"/>
  <c r="F3" i="241"/>
  <c r="Q2" i="241"/>
  <c r="N2" i="241"/>
  <c r="J2" i="241"/>
  <c r="E2" i="241"/>
  <c r="A1" i="241"/>
  <c r="K1" i="229" s="1"/>
  <c r="R114" i="240"/>
  <c r="N114" i="240"/>
  <c r="J114" i="240"/>
  <c r="R113" i="240"/>
  <c r="N113" i="240"/>
  <c r="J113" i="240"/>
  <c r="R112" i="240"/>
  <c r="N112" i="240"/>
  <c r="J112" i="240"/>
  <c r="R111" i="240"/>
  <c r="N111" i="240"/>
  <c r="J111" i="240"/>
  <c r="R110" i="240"/>
  <c r="N110" i="240"/>
  <c r="J110" i="240"/>
  <c r="R109" i="240"/>
  <c r="N109" i="240"/>
  <c r="J109" i="240"/>
  <c r="R108" i="240"/>
  <c r="N108" i="240"/>
  <c r="J108" i="240"/>
  <c r="R107" i="240"/>
  <c r="N107" i="240"/>
  <c r="J107" i="240"/>
  <c r="R106" i="240"/>
  <c r="N106" i="240"/>
  <c r="J106" i="240"/>
  <c r="E106" i="240"/>
  <c r="R105" i="240"/>
  <c r="N105" i="240"/>
  <c r="J105" i="240"/>
  <c r="E105" i="240"/>
  <c r="R104" i="240"/>
  <c r="N104" i="240"/>
  <c r="J104" i="240"/>
  <c r="E104" i="240"/>
  <c r="R103" i="240"/>
  <c r="N103" i="240"/>
  <c r="J103" i="240"/>
  <c r="E103" i="240"/>
  <c r="R102" i="240"/>
  <c r="N102" i="240"/>
  <c r="J102" i="240"/>
  <c r="E102" i="240"/>
  <c r="R101" i="240"/>
  <c r="N101" i="240"/>
  <c r="J101" i="240"/>
  <c r="E101" i="240"/>
  <c r="R100" i="240"/>
  <c r="N100" i="240"/>
  <c r="J100" i="240"/>
  <c r="E100" i="240"/>
  <c r="R99" i="240"/>
  <c r="N99" i="240"/>
  <c r="J99" i="240"/>
  <c r="E99" i="240"/>
  <c r="R98" i="240"/>
  <c r="N98" i="240"/>
  <c r="J98" i="240"/>
  <c r="E98" i="240"/>
  <c r="R97" i="240"/>
  <c r="N97" i="240"/>
  <c r="J97" i="240"/>
  <c r="E97" i="240"/>
  <c r="R96" i="240"/>
  <c r="N96" i="240"/>
  <c r="J96" i="240"/>
  <c r="E96" i="240"/>
  <c r="R95" i="240"/>
  <c r="N95" i="240"/>
  <c r="J95" i="240"/>
  <c r="E95" i="240"/>
  <c r="Q94" i="240"/>
  <c r="M94" i="240"/>
  <c r="I94" i="240"/>
  <c r="E94" i="240"/>
  <c r="R93" i="240"/>
  <c r="N93" i="240"/>
  <c r="J93" i="240"/>
  <c r="E93" i="240"/>
  <c r="R92" i="240"/>
  <c r="N92" i="240"/>
  <c r="J92" i="240"/>
  <c r="E92" i="240"/>
  <c r="R91" i="240"/>
  <c r="N91" i="240"/>
  <c r="J91" i="240"/>
  <c r="E91" i="240"/>
  <c r="R90" i="240"/>
  <c r="N90" i="240"/>
  <c r="J90" i="240"/>
  <c r="E90" i="240"/>
  <c r="R89" i="240"/>
  <c r="N89" i="240"/>
  <c r="J89" i="240"/>
  <c r="E89" i="240"/>
  <c r="R88" i="240"/>
  <c r="N88" i="240"/>
  <c r="J88" i="240"/>
  <c r="E88" i="240"/>
  <c r="R87" i="240"/>
  <c r="N87" i="240"/>
  <c r="J87" i="240"/>
  <c r="E87" i="240"/>
  <c r="R86" i="240"/>
  <c r="N86" i="240"/>
  <c r="J86" i="240"/>
  <c r="E86" i="240"/>
  <c r="R85" i="240"/>
  <c r="N85" i="240"/>
  <c r="J85" i="240"/>
  <c r="E85" i="240"/>
  <c r="R84" i="240"/>
  <c r="N84" i="240"/>
  <c r="J84" i="240"/>
  <c r="E84" i="240"/>
  <c r="R83" i="240"/>
  <c r="N83" i="240"/>
  <c r="J83" i="240"/>
  <c r="E83" i="240"/>
  <c r="R82" i="240"/>
  <c r="N82" i="240"/>
  <c r="J82" i="240"/>
  <c r="E82" i="240"/>
  <c r="R81" i="240"/>
  <c r="N81" i="240"/>
  <c r="J81" i="240"/>
  <c r="E81" i="240"/>
  <c r="R80" i="240"/>
  <c r="N80" i="240"/>
  <c r="J80" i="240"/>
  <c r="E80" i="240"/>
  <c r="R79" i="240"/>
  <c r="N79" i="240"/>
  <c r="J79" i="240"/>
  <c r="E79" i="240"/>
  <c r="R78" i="240"/>
  <c r="N78" i="240"/>
  <c r="J78" i="240"/>
  <c r="E78" i="240"/>
  <c r="A78" i="240"/>
  <c r="R77" i="240"/>
  <c r="N77" i="240"/>
  <c r="J77" i="240"/>
  <c r="E77" i="240"/>
  <c r="A77" i="240"/>
  <c r="R76" i="240"/>
  <c r="N76" i="240"/>
  <c r="J76" i="240"/>
  <c r="E76" i="240"/>
  <c r="A76" i="240"/>
  <c r="R75" i="240"/>
  <c r="N75" i="240"/>
  <c r="J75" i="240"/>
  <c r="E75" i="240"/>
  <c r="A75" i="240"/>
  <c r="R74" i="240"/>
  <c r="N74" i="240"/>
  <c r="J74" i="240"/>
  <c r="E74" i="240"/>
  <c r="A74" i="240"/>
  <c r="Q73" i="240"/>
  <c r="M73" i="240"/>
  <c r="I73" i="240"/>
  <c r="E73" i="240"/>
  <c r="A73" i="240"/>
  <c r="N67" i="240"/>
  <c r="N66" i="240"/>
  <c r="N65" i="240"/>
  <c r="J65" i="240"/>
  <c r="N64" i="240"/>
  <c r="J64" i="240"/>
  <c r="N63" i="240"/>
  <c r="J63" i="240"/>
  <c r="N62" i="240"/>
  <c r="J62" i="240"/>
  <c r="N61" i="240"/>
  <c r="J61" i="240"/>
  <c r="N60" i="240"/>
  <c r="J60" i="240"/>
  <c r="N59" i="240"/>
  <c r="J59" i="240"/>
  <c r="N58" i="240"/>
  <c r="J58" i="240"/>
  <c r="M57" i="240"/>
  <c r="I57" i="240"/>
  <c r="N56" i="240"/>
  <c r="J56" i="240"/>
  <c r="N55" i="240"/>
  <c r="J55" i="240"/>
  <c r="N54" i="240"/>
  <c r="J54" i="240"/>
  <c r="N53" i="240"/>
  <c r="J53" i="240"/>
  <c r="F53" i="240"/>
  <c r="M52" i="240"/>
  <c r="J52" i="240"/>
  <c r="F52" i="240"/>
  <c r="B52" i="240"/>
  <c r="N51" i="240"/>
  <c r="J51" i="240"/>
  <c r="F51" i="240"/>
  <c r="B51" i="240"/>
  <c r="N50" i="240"/>
  <c r="J50" i="240"/>
  <c r="F50" i="240"/>
  <c r="B50" i="240"/>
  <c r="N49" i="240"/>
  <c r="J49" i="240"/>
  <c r="F49" i="240"/>
  <c r="N48" i="240"/>
  <c r="I48" i="240"/>
  <c r="F48" i="240"/>
  <c r="N47" i="240"/>
  <c r="J47" i="240"/>
  <c r="F47" i="240"/>
  <c r="N46" i="240"/>
  <c r="J46" i="240"/>
  <c r="F46" i="240"/>
  <c r="N45" i="240"/>
  <c r="J45" i="240"/>
  <c r="E45" i="240"/>
  <c r="N44" i="240"/>
  <c r="J44" i="240"/>
  <c r="F44" i="240"/>
  <c r="N43" i="240"/>
  <c r="J43" i="240"/>
  <c r="F43" i="240"/>
  <c r="B43" i="240"/>
  <c r="N42" i="240"/>
  <c r="J42" i="240"/>
  <c r="F42" i="240"/>
  <c r="B42" i="240"/>
  <c r="N41" i="240"/>
  <c r="J41" i="240"/>
  <c r="F41" i="240"/>
  <c r="N40" i="240"/>
  <c r="J40" i="240"/>
  <c r="F40" i="240"/>
  <c r="R39" i="240"/>
  <c r="N39" i="240"/>
  <c r="J39" i="240"/>
  <c r="F39" i="240"/>
  <c r="R38" i="240"/>
  <c r="N38" i="240"/>
  <c r="J38" i="240"/>
  <c r="F38" i="240"/>
  <c r="R37" i="240"/>
  <c r="N37" i="240"/>
  <c r="J37" i="240"/>
  <c r="F37" i="240"/>
  <c r="R36" i="240"/>
  <c r="N36" i="240"/>
  <c r="J36" i="240"/>
  <c r="F36" i="240"/>
  <c r="R35" i="240"/>
  <c r="M35" i="240"/>
  <c r="I35" i="240"/>
  <c r="F35" i="240"/>
  <c r="B35" i="240"/>
  <c r="Q34" i="240"/>
  <c r="N34" i="240"/>
  <c r="J34" i="240"/>
  <c r="F34" i="240"/>
  <c r="B34" i="240"/>
  <c r="R33" i="240"/>
  <c r="N33" i="240"/>
  <c r="J33" i="240"/>
  <c r="F33" i="240"/>
  <c r="R32" i="240"/>
  <c r="N32" i="240"/>
  <c r="J32" i="240"/>
  <c r="E32" i="240"/>
  <c r="R31" i="240"/>
  <c r="N31" i="240"/>
  <c r="J31" i="240"/>
  <c r="F31" i="240"/>
  <c r="R30" i="240"/>
  <c r="N30" i="240"/>
  <c r="J30" i="240"/>
  <c r="F30" i="240"/>
  <c r="B30" i="240"/>
  <c r="R29" i="240"/>
  <c r="N29" i="240"/>
  <c r="J29" i="240"/>
  <c r="F29" i="240"/>
  <c r="B29" i="240"/>
  <c r="Q28" i="240"/>
  <c r="N28" i="240"/>
  <c r="J28" i="240"/>
  <c r="F28" i="240"/>
  <c r="R27" i="240"/>
  <c r="N27" i="240"/>
  <c r="J27" i="240"/>
  <c r="F27" i="240"/>
  <c r="R26" i="240"/>
  <c r="N26" i="240"/>
  <c r="J26" i="240"/>
  <c r="F26" i="240"/>
  <c r="R25" i="240"/>
  <c r="N25" i="240"/>
  <c r="J25" i="240"/>
  <c r="F25" i="240"/>
  <c r="R24" i="240"/>
  <c r="N24" i="240"/>
  <c r="J24" i="240"/>
  <c r="F24" i="240"/>
  <c r="R23" i="240"/>
  <c r="N23" i="240"/>
  <c r="J23" i="240"/>
  <c r="E23" i="240"/>
  <c r="Q22" i="240"/>
  <c r="N22" i="240"/>
  <c r="J22" i="240"/>
  <c r="F22" i="240"/>
  <c r="Q21" i="240"/>
  <c r="N21" i="240"/>
  <c r="J21" i="240"/>
  <c r="F21" i="240"/>
  <c r="Q20" i="240"/>
  <c r="N20" i="240"/>
  <c r="J20" i="240"/>
  <c r="F20" i="240"/>
  <c r="Q19" i="240"/>
  <c r="N19" i="240"/>
  <c r="J19" i="240"/>
  <c r="F19" i="240"/>
  <c r="Q18" i="240"/>
  <c r="N18" i="240"/>
  <c r="J18" i="240"/>
  <c r="F18" i="240"/>
  <c r="Q17" i="240"/>
  <c r="N17" i="240"/>
  <c r="J17" i="240"/>
  <c r="F17" i="240"/>
  <c r="Q16" i="240"/>
  <c r="N16" i="240"/>
  <c r="J16" i="240"/>
  <c r="F16" i="240"/>
  <c r="Q15" i="240"/>
  <c r="N15" i="240"/>
  <c r="J15" i="240"/>
  <c r="F15" i="240"/>
  <c r="Q14" i="240"/>
  <c r="M14" i="240"/>
  <c r="I14" i="240"/>
  <c r="F14" i="240"/>
  <c r="Q13" i="240"/>
  <c r="N13" i="240"/>
  <c r="J13" i="240"/>
  <c r="F13" i="240"/>
  <c r="Q12" i="240"/>
  <c r="N12" i="240"/>
  <c r="J12" i="240"/>
  <c r="F12" i="240"/>
  <c r="Q11" i="240"/>
  <c r="N11" i="240"/>
  <c r="J11" i="240"/>
  <c r="F11" i="240"/>
  <c r="Q10" i="240"/>
  <c r="N10" i="240"/>
  <c r="J10" i="240"/>
  <c r="F10" i="240"/>
  <c r="Q9" i="240"/>
  <c r="N9" i="240"/>
  <c r="J9" i="240"/>
  <c r="F9" i="240"/>
  <c r="Q8" i="240"/>
  <c r="N8" i="240"/>
  <c r="J8" i="240"/>
  <c r="F8" i="240"/>
  <c r="Q7" i="240"/>
  <c r="N7" i="240"/>
  <c r="J7" i="240"/>
  <c r="F7" i="240"/>
  <c r="Q6" i="240"/>
  <c r="N6" i="240"/>
  <c r="J6" i="240"/>
  <c r="F6" i="240"/>
  <c r="Q5" i="240"/>
  <c r="N5" i="240"/>
  <c r="J5" i="240"/>
  <c r="F5" i="240"/>
  <c r="Q4" i="240"/>
  <c r="N4" i="240"/>
  <c r="J4" i="240"/>
  <c r="F4" i="240"/>
  <c r="Q3" i="240"/>
  <c r="N3" i="240"/>
  <c r="J3" i="240"/>
  <c r="F3" i="240"/>
  <c r="Q2" i="240"/>
  <c r="N2" i="240"/>
  <c r="J2" i="240"/>
  <c r="E2" i="240"/>
  <c r="A1" i="240"/>
  <c r="J1" i="229" s="1"/>
  <c r="R114" i="239"/>
  <c r="N114" i="239"/>
  <c r="J114" i="239"/>
  <c r="R113" i="239"/>
  <c r="N113" i="239"/>
  <c r="J113" i="239"/>
  <c r="R112" i="239"/>
  <c r="N112" i="239"/>
  <c r="J112" i="239"/>
  <c r="R111" i="239"/>
  <c r="N111" i="239"/>
  <c r="J111" i="239"/>
  <c r="R110" i="239"/>
  <c r="N110" i="239"/>
  <c r="J110" i="239"/>
  <c r="R109" i="239"/>
  <c r="N109" i="239"/>
  <c r="J109" i="239"/>
  <c r="R108" i="239"/>
  <c r="N108" i="239"/>
  <c r="J108" i="239"/>
  <c r="R107" i="239"/>
  <c r="N107" i="239"/>
  <c r="J107" i="239"/>
  <c r="R106" i="239"/>
  <c r="N106" i="239"/>
  <c r="J106" i="239"/>
  <c r="E106" i="239"/>
  <c r="R105" i="239"/>
  <c r="N105" i="239"/>
  <c r="J105" i="239"/>
  <c r="E105" i="239"/>
  <c r="R104" i="239"/>
  <c r="N104" i="239"/>
  <c r="J104" i="239"/>
  <c r="E104" i="239"/>
  <c r="R103" i="239"/>
  <c r="N103" i="239"/>
  <c r="J103" i="239"/>
  <c r="E103" i="239"/>
  <c r="R102" i="239"/>
  <c r="N102" i="239"/>
  <c r="J102" i="239"/>
  <c r="E102" i="239"/>
  <c r="R101" i="239"/>
  <c r="N101" i="239"/>
  <c r="J101" i="239"/>
  <c r="E101" i="239"/>
  <c r="R100" i="239"/>
  <c r="N100" i="239"/>
  <c r="J100" i="239"/>
  <c r="E100" i="239"/>
  <c r="R99" i="239"/>
  <c r="N99" i="239"/>
  <c r="J99" i="239"/>
  <c r="E99" i="239"/>
  <c r="R98" i="239"/>
  <c r="N98" i="239"/>
  <c r="J98" i="239"/>
  <c r="E98" i="239"/>
  <c r="R97" i="239"/>
  <c r="N97" i="239"/>
  <c r="J97" i="239"/>
  <c r="E97" i="239"/>
  <c r="R96" i="239"/>
  <c r="N96" i="239"/>
  <c r="J96" i="239"/>
  <c r="E96" i="239"/>
  <c r="R95" i="239"/>
  <c r="N95" i="239"/>
  <c r="J95" i="239"/>
  <c r="E95" i="239"/>
  <c r="Q94" i="239"/>
  <c r="M94" i="239"/>
  <c r="I94" i="239"/>
  <c r="E94" i="239"/>
  <c r="R93" i="239"/>
  <c r="N93" i="239"/>
  <c r="J93" i="239"/>
  <c r="E93" i="239"/>
  <c r="R92" i="239"/>
  <c r="N92" i="239"/>
  <c r="J92" i="239"/>
  <c r="E92" i="239"/>
  <c r="R91" i="239"/>
  <c r="N91" i="239"/>
  <c r="J91" i="239"/>
  <c r="E91" i="239"/>
  <c r="R90" i="239"/>
  <c r="N90" i="239"/>
  <c r="J90" i="239"/>
  <c r="E90" i="239"/>
  <c r="R89" i="239"/>
  <c r="N89" i="239"/>
  <c r="J89" i="239"/>
  <c r="E89" i="239"/>
  <c r="R88" i="239"/>
  <c r="N88" i="239"/>
  <c r="J88" i="239"/>
  <c r="E88" i="239"/>
  <c r="R87" i="239"/>
  <c r="N87" i="239"/>
  <c r="J87" i="239"/>
  <c r="E87" i="239"/>
  <c r="R86" i="239"/>
  <c r="N86" i="239"/>
  <c r="J86" i="239"/>
  <c r="E86" i="239"/>
  <c r="R85" i="239"/>
  <c r="N85" i="239"/>
  <c r="J85" i="239"/>
  <c r="E85" i="239"/>
  <c r="R84" i="239"/>
  <c r="N84" i="239"/>
  <c r="J84" i="239"/>
  <c r="E84" i="239"/>
  <c r="R83" i="239"/>
  <c r="N83" i="239"/>
  <c r="J83" i="239"/>
  <c r="E83" i="239"/>
  <c r="R82" i="239"/>
  <c r="N82" i="239"/>
  <c r="J82" i="239"/>
  <c r="E82" i="239"/>
  <c r="R81" i="239"/>
  <c r="N81" i="239"/>
  <c r="J81" i="239"/>
  <c r="E81" i="239"/>
  <c r="R80" i="239"/>
  <c r="N80" i="239"/>
  <c r="J80" i="239"/>
  <c r="E80" i="239"/>
  <c r="R79" i="239"/>
  <c r="N79" i="239"/>
  <c r="J79" i="239"/>
  <c r="E79" i="239"/>
  <c r="R78" i="239"/>
  <c r="N78" i="239"/>
  <c r="J78" i="239"/>
  <c r="E78" i="239"/>
  <c r="A78" i="239"/>
  <c r="R77" i="239"/>
  <c r="N77" i="239"/>
  <c r="J77" i="239"/>
  <c r="E77" i="239"/>
  <c r="A77" i="239"/>
  <c r="R76" i="239"/>
  <c r="N76" i="239"/>
  <c r="J76" i="239"/>
  <c r="E76" i="239"/>
  <c r="A76" i="239"/>
  <c r="R75" i="239"/>
  <c r="N75" i="239"/>
  <c r="J75" i="239"/>
  <c r="E75" i="239"/>
  <c r="A75" i="239"/>
  <c r="R74" i="239"/>
  <c r="N74" i="239"/>
  <c r="J74" i="239"/>
  <c r="E74" i="239"/>
  <c r="A74" i="239"/>
  <c r="Q73" i="239"/>
  <c r="M73" i="239"/>
  <c r="I73" i="239"/>
  <c r="E73" i="239"/>
  <c r="A73" i="239"/>
  <c r="N67" i="239"/>
  <c r="N66" i="239"/>
  <c r="N65" i="239"/>
  <c r="J65" i="239"/>
  <c r="N64" i="239"/>
  <c r="J64" i="239"/>
  <c r="N63" i="239"/>
  <c r="J63" i="239"/>
  <c r="N62" i="239"/>
  <c r="J62" i="239"/>
  <c r="N61" i="239"/>
  <c r="J61" i="239"/>
  <c r="N60" i="239"/>
  <c r="J60" i="239"/>
  <c r="N59" i="239"/>
  <c r="J59" i="239"/>
  <c r="N58" i="239"/>
  <c r="J58" i="239"/>
  <c r="M57" i="239"/>
  <c r="I57" i="239"/>
  <c r="N56" i="239"/>
  <c r="J56" i="239"/>
  <c r="N55" i="239"/>
  <c r="J55" i="239"/>
  <c r="N54" i="239"/>
  <c r="J54" i="239"/>
  <c r="N53" i="239"/>
  <c r="J53" i="239"/>
  <c r="F53" i="239"/>
  <c r="M52" i="239"/>
  <c r="J52" i="239"/>
  <c r="F52" i="239"/>
  <c r="B52" i="239"/>
  <c r="N51" i="239"/>
  <c r="J51" i="239"/>
  <c r="F51" i="239"/>
  <c r="B51" i="239"/>
  <c r="N50" i="239"/>
  <c r="J50" i="239"/>
  <c r="F50" i="239"/>
  <c r="B50" i="239"/>
  <c r="N49" i="239"/>
  <c r="J49" i="239"/>
  <c r="F49" i="239"/>
  <c r="N48" i="239"/>
  <c r="I48" i="239"/>
  <c r="F48" i="239"/>
  <c r="N47" i="239"/>
  <c r="J47" i="239"/>
  <c r="F47" i="239"/>
  <c r="N46" i="239"/>
  <c r="J46" i="239"/>
  <c r="F46" i="239"/>
  <c r="N45" i="239"/>
  <c r="J45" i="239"/>
  <c r="E45" i="239"/>
  <c r="N44" i="239"/>
  <c r="J44" i="239"/>
  <c r="F44" i="239"/>
  <c r="N43" i="239"/>
  <c r="J43" i="239"/>
  <c r="F43" i="239"/>
  <c r="B43" i="239"/>
  <c r="N42" i="239"/>
  <c r="J42" i="239"/>
  <c r="F42" i="239"/>
  <c r="B42" i="239"/>
  <c r="N41" i="239"/>
  <c r="J41" i="239"/>
  <c r="F41" i="239"/>
  <c r="N40" i="239"/>
  <c r="J40" i="239"/>
  <c r="F40" i="239"/>
  <c r="R39" i="239"/>
  <c r="N39" i="239"/>
  <c r="J39" i="239"/>
  <c r="F39" i="239"/>
  <c r="R38" i="239"/>
  <c r="N38" i="239"/>
  <c r="J38" i="239"/>
  <c r="F38" i="239"/>
  <c r="R37" i="239"/>
  <c r="N37" i="239"/>
  <c r="J37" i="239"/>
  <c r="F37" i="239"/>
  <c r="R36" i="239"/>
  <c r="N36" i="239"/>
  <c r="J36" i="239"/>
  <c r="F36" i="239"/>
  <c r="R35" i="239"/>
  <c r="M35" i="239"/>
  <c r="I35" i="239"/>
  <c r="F35" i="239"/>
  <c r="B35" i="239"/>
  <c r="Q34" i="239"/>
  <c r="N34" i="239"/>
  <c r="J34" i="239"/>
  <c r="F34" i="239"/>
  <c r="B34" i="239"/>
  <c r="R33" i="239"/>
  <c r="N33" i="239"/>
  <c r="J33" i="239"/>
  <c r="F33" i="239"/>
  <c r="R32" i="239"/>
  <c r="N32" i="239"/>
  <c r="J32" i="239"/>
  <c r="E32" i="239"/>
  <c r="R31" i="239"/>
  <c r="N31" i="239"/>
  <c r="J31" i="239"/>
  <c r="F31" i="239"/>
  <c r="R30" i="239"/>
  <c r="N30" i="239"/>
  <c r="J30" i="239"/>
  <c r="F30" i="239"/>
  <c r="B30" i="239"/>
  <c r="R29" i="239"/>
  <c r="N29" i="239"/>
  <c r="J29" i="239"/>
  <c r="F29" i="239"/>
  <c r="B29" i="239"/>
  <c r="Q28" i="239"/>
  <c r="N28" i="239"/>
  <c r="J28" i="239"/>
  <c r="F28" i="239"/>
  <c r="R27" i="239"/>
  <c r="N27" i="239"/>
  <c r="J27" i="239"/>
  <c r="F27" i="239"/>
  <c r="R26" i="239"/>
  <c r="N26" i="239"/>
  <c r="J26" i="239"/>
  <c r="F26" i="239"/>
  <c r="R25" i="239"/>
  <c r="N25" i="239"/>
  <c r="J25" i="239"/>
  <c r="F25" i="239"/>
  <c r="R24" i="239"/>
  <c r="N24" i="239"/>
  <c r="J24" i="239"/>
  <c r="F24" i="239"/>
  <c r="R23" i="239"/>
  <c r="N23" i="239"/>
  <c r="J23" i="239"/>
  <c r="E23" i="239"/>
  <c r="Q22" i="239"/>
  <c r="N22" i="239"/>
  <c r="J22" i="239"/>
  <c r="F22" i="239"/>
  <c r="Q21" i="239"/>
  <c r="N21" i="239"/>
  <c r="J21" i="239"/>
  <c r="F21" i="239"/>
  <c r="Q20" i="239"/>
  <c r="N20" i="239"/>
  <c r="J20" i="239"/>
  <c r="F20" i="239"/>
  <c r="Q19" i="239"/>
  <c r="N19" i="239"/>
  <c r="J19" i="239"/>
  <c r="F19" i="239"/>
  <c r="Q18" i="239"/>
  <c r="N18" i="239"/>
  <c r="J18" i="239"/>
  <c r="F18" i="239"/>
  <c r="Q17" i="239"/>
  <c r="N17" i="239"/>
  <c r="J17" i="239"/>
  <c r="F17" i="239"/>
  <c r="Q16" i="239"/>
  <c r="N16" i="239"/>
  <c r="J16" i="239"/>
  <c r="F16" i="239"/>
  <c r="Q15" i="239"/>
  <c r="N15" i="239"/>
  <c r="J15" i="239"/>
  <c r="F15" i="239"/>
  <c r="Q14" i="239"/>
  <c r="M14" i="239"/>
  <c r="I14" i="239"/>
  <c r="F14" i="239"/>
  <c r="Q13" i="239"/>
  <c r="N13" i="239"/>
  <c r="J13" i="239"/>
  <c r="F13" i="239"/>
  <c r="Q12" i="239"/>
  <c r="N12" i="239"/>
  <c r="J12" i="239"/>
  <c r="F12" i="239"/>
  <c r="Q11" i="239"/>
  <c r="N11" i="239"/>
  <c r="J11" i="239"/>
  <c r="F11" i="239"/>
  <c r="Q10" i="239"/>
  <c r="N10" i="239"/>
  <c r="J10" i="239"/>
  <c r="F10" i="239"/>
  <c r="Q9" i="239"/>
  <c r="N9" i="239"/>
  <c r="J9" i="239"/>
  <c r="F9" i="239"/>
  <c r="Q8" i="239"/>
  <c r="N8" i="239"/>
  <c r="J8" i="239"/>
  <c r="F8" i="239"/>
  <c r="Q7" i="239"/>
  <c r="N7" i="239"/>
  <c r="J7" i="239"/>
  <c r="F7" i="239"/>
  <c r="Q6" i="239"/>
  <c r="N6" i="239"/>
  <c r="J6" i="239"/>
  <c r="F6" i="239"/>
  <c r="Q5" i="239"/>
  <c r="N5" i="239"/>
  <c r="J5" i="239"/>
  <c r="F5" i="239"/>
  <c r="Q4" i="239"/>
  <c r="N4" i="239"/>
  <c r="J4" i="239"/>
  <c r="F4" i="239"/>
  <c r="Q3" i="239"/>
  <c r="N3" i="239"/>
  <c r="J3" i="239"/>
  <c r="F3" i="239"/>
  <c r="Q2" i="239"/>
  <c r="N2" i="239"/>
  <c r="J2" i="239"/>
  <c r="E2" i="239"/>
  <c r="A1" i="239"/>
  <c r="I1" i="229" s="1"/>
  <c r="R114" i="238"/>
  <c r="N114" i="238"/>
  <c r="J114" i="238"/>
  <c r="R113" i="238"/>
  <c r="N113" i="238"/>
  <c r="J113" i="238"/>
  <c r="R112" i="238"/>
  <c r="N112" i="238"/>
  <c r="J112" i="238"/>
  <c r="R111" i="238"/>
  <c r="N111" i="238"/>
  <c r="J111" i="238"/>
  <c r="R110" i="238"/>
  <c r="N110" i="238"/>
  <c r="J110" i="238"/>
  <c r="R109" i="238"/>
  <c r="N109" i="238"/>
  <c r="J109" i="238"/>
  <c r="R108" i="238"/>
  <c r="N108" i="238"/>
  <c r="J108" i="238"/>
  <c r="R107" i="238"/>
  <c r="N107" i="238"/>
  <c r="J107" i="238"/>
  <c r="R106" i="238"/>
  <c r="N106" i="238"/>
  <c r="J106" i="238"/>
  <c r="E106" i="238"/>
  <c r="R105" i="238"/>
  <c r="N105" i="238"/>
  <c r="J105" i="238"/>
  <c r="E105" i="238"/>
  <c r="R104" i="238"/>
  <c r="N104" i="238"/>
  <c r="J104" i="238"/>
  <c r="E104" i="238"/>
  <c r="R103" i="238"/>
  <c r="N103" i="238"/>
  <c r="J103" i="238"/>
  <c r="E103" i="238"/>
  <c r="R102" i="238"/>
  <c r="N102" i="238"/>
  <c r="J102" i="238"/>
  <c r="E102" i="238"/>
  <c r="R101" i="238"/>
  <c r="N101" i="238"/>
  <c r="J101" i="238"/>
  <c r="E101" i="238"/>
  <c r="R100" i="238"/>
  <c r="N100" i="238"/>
  <c r="J100" i="238"/>
  <c r="E100" i="238"/>
  <c r="R99" i="238"/>
  <c r="N99" i="238"/>
  <c r="J99" i="238"/>
  <c r="E99" i="238"/>
  <c r="R98" i="238"/>
  <c r="N98" i="238"/>
  <c r="J98" i="238"/>
  <c r="E98" i="238"/>
  <c r="R97" i="238"/>
  <c r="N97" i="238"/>
  <c r="J97" i="238"/>
  <c r="E97" i="238"/>
  <c r="R96" i="238"/>
  <c r="N96" i="238"/>
  <c r="J96" i="238"/>
  <c r="E96" i="238"/>
  <c r="R95" i="238"/>
  <c r="N95" i="238"/>
  <c r="J95" i="238"/>
  <c r="E95" i="238"/>
  <c r="Q94" i="238"/>
  <c r="M94" i="238"/>
  <c r="I94" i="238"/>
  <c r="E94" i="238"/>
  <c r="R93" i="238"/>
  <c r="N93" i="238"/>
  <c r="J93" i="238"/>
  <c r="E93" i="238"/>
  <c r="R92" i="238"/>
  <c r="N92" i="238"/>
  <c r="J92" i="238"/>
  <c r="E92" i="238"/>
  <c r="R91" i="238"/>
  <c r="N91" i="238"/>
  <c r="J91" i="238"/>
  <c r="E91" i="238"/>
  <c r="R90" i="238"/>
  <c r="N90" i="238"/>
  <c r="J90" i="238"/>
  <c r="E90" i="238"/>
  <c r="R89" i="238"/>
  <c r="N89" i="238"/>
  <c r="J89" i="238"/>
  <c r="E89" i="238"/>
  <c r="R88" i="238"/>
  <c r="N88" i="238"/>
  <c r="J88" i="238"/>
  <c r="E88" i="238"/>
  <c r="R87" i="238"/>
  <c r="N87" i="238"/>
  <c r="J87" i="238"/>
  <c r="E87" i="238"/>
  <c r="R86" i="238"/>
  <c r="N86" i="238"/>
  <c r="J86" i="238"/>
  <c r="E86" i="238"/>
  <c r="R85" i="238"/>
  <c r="N85" i="238"/>
  <c r="J85" i="238"/>
  <c r="E85" i="238"/>
  <c r="R84" i="238"/>
  <c r="N84" i="238"/>
  <c r="J84" i="238"/>
  <c r="E84" i="238"/>
  <c r="R83" i="238"/>
  <c r="N83" i="238"/>
  <c r="J83" i="238"/>
  <c r="E83" i="238"/>
  <c r="R82" i="238"/>
  <c r="N82" i="238"/>
  <c r="J82" i="238"/>
  <c r="E82" i="238"/>
  <c r="R81" i="238"/>
  <c r="N81" i="238"/>
  <c r="J81" i="238"/>
  <c r="E81" i="238"/>
  <c r="R80" i="238"/>
  <c r="N80" i="238"/>
  <c r="J80" i="238"/>
  <c r="E80" i="238"/>
  <c r="R79" i="238"/>
  <c r="N79" i="238"/>
  <c r="J79" i="238"/>
  <c r="E79" i="238"/>
  <c r="R78" i="238"/>
  <c r="N78" i="238"/>
  <c r="J78" i="238"/>
  <c r="E78" i="238"/>
  <c r="A78" i="238"/>
  <c r="R77" i="238"/>
  <c r="N77" i="238"/>
  <c r="J77" i="238"/>
  <c r="E77" i="238"/>
  <c r="A77" i="238"/>
  <c r="R76" i="238"/>
  <c r="N76" i="238"/>
  <c r="J76" i="238"/>
  <c r="E76" i="238"/>
  <c r="A76" i="238"/>
  <c r="R75" i="238"/>
  <c r="N75" i="238"/>
  <c r="J75" i="238"/>
  <c r="E75" i="238"/>
  <c r="A75" i="238"/>
  <c r="R74" i="238"/>
  <c r="N74" i="238"/>
  <c r="J74" i="238"/>
  <c r="E74" i="238"/>
  <c r="A74" i="238"/>
  <c r="Q73" i="238"/>
  <c r="M73" i="238"/>
  <c r="I73" i="238"/>
  <c r="E73" i="238"/>
  <c r="A73" i="238"/>
  <c r="N67" i="238"/>
  <c r="N66" i="238"/>
  <c r="N65" i="238"/>
  <c r="J65" i="238"/>
  <c r="N64" i="238"/>
  <c r="J64" i="238"/>
  <c r="N63" i="238"/>
  <c r="J63" i="238"/>
  <c r="N62" i="238"/>
  <c r="J62" i="238"/>
  <c r="N61" i="238"/>
  <c r="J61" i="238"/>
  <c r="N60" i="238"/>
  <c r="J60" i="238"/>
  <c r="N59" i="238"/>
  <c r="J59" i="238"/>
  <c r="N58" i="238"/>
  <c r="J58" i="238"/>
  <c r="M57" i="238"/>
  <c r="I57" i="238"/>
  <c r="N56" i="238"/>
  <c r="J56" i="238"/>
  <c r="N55" i="238"/>
  <c r="J55" i="238"/>
  <c r="N54" i="238"/>
  <c r="J54" i="238"/>
  <c r="N53" i="238"/>
  <c r="J53" i="238"/>
  <c r="F53" i="238"/>
  <c r="M52" i="238"/>
  <c r="J52" i="238"/>
  <c r="F52" i="238"/>
  <c r="B52" i="238"/>
  <c r="N51" i="238"/>
  <c r="J51" i="238"/>
  <c r="F51" i="238"/>
  <c r="B51" i="238"/>
  <c r="N50" i="238"/>
  <c r="J50" i="238"/>
  <c r="F50" i="238"/>
  <c r="B50" i="238"/>
  <c r="N49" i="238"/>
  <c r="J49" i="238"/>
  <c r="F49" i="238"/>
  <c r="N48" i="238"/>
  <c r="I48" i="238"/>
  <c r="F48" i="238"/>
  <c r="N47" i="238"/>
  <c r="J47" i="238"/>
  <c r="F47" i="238"/>
  <c r="N46" i="238"/>
  <c r="J46" i="238"/>
  <c r="F46" i="238"/>
  <c r="N45" i="238"/>
  <c r="J45" i="238"/>
  <c r="E45" i="238"/>
  <c r="N44" i="238"/>
  <c r="J44" i="238"/>
  <c r="F44" i="238"/>
  <c r="N43" i="238"/>
  <c r="J43" i="238"/>
  <c r="F43" i="238"/>
  <c r="B43" i="238"/>
  <c r="N42" i="238"/>
  <c r="J42" i="238"/>
  <c r="F42" i="238"/>
  <c r="B42" i="238"/>
  <c r="N41" i="238"/>
  <c r="J41" i="238"/>
  <c r="F41" i="238"/>
  <c r="N40" i="238"/>
  <c r="J40" i="238"/>
  <c r="F40" i="238"/>
  <c r="R39" i="238"/>
  <c r="N39" i="238"/>
  <c r="J39" i="238"/>
  <c r="F39" i="238"/>
  <c r="R38" i="238"/>
  <c r="N38" i="238"/>
  <c r="J38" i="238"/>
  <c r="F38" i="238"/>
  <c r="R37" i="238"/>
  <c r="N37" i="238"/>
  <c r="J37" i="238"/>
  <c r="F37" i="238"/>
  <c r="R36" i="238"/>
  <c r="N36" i="238"/>
  <c r="J36" i="238"/>
  <c r="F36" i="238"/>
  <c r="R35" i="238"/>
  <c r="M35" i="238"/>
  <c r="I35" i="238"/>
  <c r="F35" i="238"/>
  <c r="B35" i="238"/>
  <c r="Q34" i="238"/>
  <c r="N34" i="238"/>
  <c r="J34" i="238"/>
  <c r="F34" i="238"/>
  <c r="B34" i="238"/>
  <c r="R33" i="238"/>
  <c r="N33" i="238"/>
  <c r="J33" i="238"/>
  <c r="F33" i="238"/>
  <c r="R32" i="238"/>
  <c r="N32" i="238"/>
  <c r="J32" i="238"/>
  <c r="E32" i="238"/>
  <c r="R31" i="238"/>
  <c r="N31" i="238"/>
  <c r="J31" i="238"/>
  <c r="F31" i="238"/>
  <c r="R30" i="238"/>
  <c r="N30" i="238"/>
  <c r="J30" i="238"/>
  <c r="F30" i="238"/>
  <c r="B30" i="238"/>
  <c r="R29" i="238"/>
  <c r="N29" i="238"/>
  <c r="J29" i="238"/>
  <c r="F29" i="238"/>
  <c r="B29" i="238"/>
  <c r="Q28" i="238"/>
  <c r="N28" i="238"/>
  <c r="J28" i="238"/>
  <c r="F28" i="238"/>
  <c r="R27" i="238"/>
  <c r="N27" i="238"/>
  <c r="J27" i="238"/>
  <c r="F27" i="238"/>
  <c r="R26" i="238"/>
  <c r="N26" i="238"/>
  <c r="J26" i="238"/>
  <c r="F26" i="238"/>
  <c r="R25" i="238"/>
  <c r="N25" i="238"/>
  <c r="J25" i="238"/>
  <c r="F25" i="238"/>
  <c r="R24" i="238"/>
  <c r="N24" i="238"/>
  <c r="J24" i="238"/>
  <c r="F24" i="238"/>
  <c r="R23" i="238"/>
  <c r="N23" i="238"/>
  <c r="J23" i="238"/>
  <c r="E23" i="238"/>
  <c r="Q22" i="238"/>
  <c r="N22" i="238"/>
  <c r="J22" i="238"/>
  <c r="F22" i="238"/>
  <c r="Q21" i="238"/>
  <c r="N21" i="238"/>
  <c r="J21" i="238"/>
  <c r="F21" i="238"/>
  <c r="Q20" i="238"/>
  <c r="N20" i="238"/>
  <c r="J20" i="238"/>
  <c r="F20" i="238"/>
  <c r="Q19" i="238"/>
  <c r="N19" i="238"/>
  <c r="J19" i="238"/>
  <c r="F19" i="238"/>
  <c r="Q18" i="238"/>
  <c r="N18" i="238"/>
  <c r="J18" i="238"/>
  <c r="F18" i="238"/>
  <c r="Q17" i="238"/>
  <c r="N17" i="238"/>
  <c r="J17" i="238"/>
  <c r="F17" i="238"/>
  <c r="Q16" i="238"/>
  <c r="N16" i="238"/>
  <c r="J16" i="238"/>
  <c r="F16" i="238"/>
  <c r="Q15" i="238"/>
  <c r="N15" i="238"/>
  <c r="J15" i="238"/>
  <c r="F15" i="238"/>
  <c r="Q14" i="238"/>
  <c r="M14" i="238"/>
  <c r="I14" i="238"/>
  <c r="F14" i="238"/>
  <c r="Q13" i="238"/>
  <c r="N13" i="238"/>
  <c r="J13" i="238"/>
  <c r="F13" i="238"/>
  <c r="Q12" i="238"/>
  <c r="N12" i="238"/>
  <c r="J12" i="238"/>
  <c r="F12" i="238"/>
  <c r="Q11" i="238"/>
  <c r="N11" i="238"/>
  <c r="J11" i="238"/>
  <c r="F11" i="238"/>
  <c r="Q10" i="238"/>
  <c r="N10" i="238"/>
  <c r="J10" i="238"/>
  <c r="F10" i="238"/>
  <c r="Q9" i="238"/>
  <c r="N9" i="238"/>
  <c r="J9" i="238"/>
  <c r="F9" i="238"/>
  <c r="Q8" i="238"/>
  <c r="N8" i="238"/>
  <c r="J8" i="238"/>
  <c r="F8" i="238"/>
  <c r="Q7" i="238"/>
  <c r="N7" i="238"/>
  <c r="J7" i="238"/>
  <c r="F7" i="238"/>
  <c r="Q6" i="238"/>
  <c r="N6" i="238"/>
  <c r="J6" i="238"/>
  <c r="F6" i="238"/>
  <c r="Q5" i="238"/>
  <c r="N5" i="238"/>
  <c r="J5" i="238"/>
  <c r="F5" i="238"/>
  <c r="Q4" i="238"/>
  <c r="N4" i="238"/>
  <c r="J4" i="238"/>
  <c r="F4" i="238"/>
  <c r="Q3" i="238"/>
  <c r="N3" i="238"/>
  <c r="J3" i="238"/>
  <c r="F3" i="238"/>
  <c r="Q2" i="238"/>
  <c r="N2" i="238"/>
  <c r="J2" i="238"/>
  <c r="E2" i="238"/>
  <c r="A1" i="238"/>
  <c r="H1" i="229" s="1"/>
  <c r="C47" i="237"/>
  <c r="C46" i="237"/>
  <c r="C45" i="237"/>
  <c r="C44" i="237"/>
  <c r="C41" i="237"/>
  <c r="C40" i="237"/>
  <c r="C39" i="237"/>
  <c r="C38" i="237"/>
  <c r="C37" i="237"/>
  <c r="C36" i="237"/>
  <c r="C33" i="237"/>
  <c r="C32" i="237"/>
  <c r="C31" i="237"/>
  <c r="S114" i="237"/>
  <c r="O114" i="237"/>
  <c r="K114" i="237"/>
  <c r="S113" i="237"/>
  <c r="O113" i="237"/>
  <c r="K113" i="237"/>
  <c r="S112" i="237"/>
  <c r="O112" i="237"/>
  <c r="K112" i="237"/>
  <c r="S110" i="237"/>
  <c r="O110" i="237"/>
  <c r="K110" i="237"/>
  <c r="S109" i="237"/>
  <c r="O109" i="237"/>
  <c r="K109" i="237"/>
  <c r="S108" i="237"/>
  <c r="O108" i="237"/>
  <c r="K108" i="237"/>
  <c r="S106" i="237"/>
  <c r="O106" i="237"/>
  <c r="K106" i="237"/>
  <c r="G106" i="237"/>
  <c r="S105" i="237"/>
  <c r="O105" i="237"/>
  <c r="K105" i="237"/>
  <c r="G105" i="237"/>
  <c r="S104" i="237"/>
  <c r="O104" i="237"/>
  <c r="K104" i="237"/>
  <c r="G104" i="237"/>
  <c r="G103" i="237"/>
  <c r="S102" i="237"/>
  <c r="O102" i="237"/>
  <c r="K102" i="237"/>
  <c r="G102" i="237"/>
  <c r="S101" i="237"/>
  <c r="O101" i="237"/>
  <c r="K101" i="237"/>
  <c r="G101" i="237"/>
  <c r="S100" i="237"/>
  <c r="O100" i="237"/>
  <c r="K100" i="237"/>
  <c r="G100" i="237"/>
  <c r="G99" i="237"/>
  <c r="S98" i="237"/>
  <c r="O98" i="237"/>
  <c r="K98" i="237"/>
  <c r="G98" i="237"/>
  <c r="S97" i="237"/>
  <c r="O97" i="237"/>
  <c r="K97" i="237"/>
  <c r="G97" i="237"/>
  <c r="S96" i="237"/>
  <c r="O96" i="237"/>
  <c r="K96" i="237"/>
  <c r="G96" i="237"/>
  <c r="S95" i="237"/>
  <c r="O95" i="237"/>
  <c r="K95" i="237"/>
  <c r="G95" i="237"/>
  <c r="G94" i="237"/>
  <c r="S93" i="237"/>
  <c r="O93" i="237"/>
  <c r="K93" i="237"/>
  <c r="G93" i="237"/>
  <c r="S92" i="237"/>
  <c r="O92" i="237"/>
  <c r="K92" i="237"/>
  <c r="G92" i="237"/>
  <c r="S91" i="237"/>
  <c r="O91" i="237"/>
  <c r="K91" i="237"/>
  <c r="G91" i="237"/>
  <c r="G90" i="237"/>
  <c r="S89" i="237"/>
  <c r="O89" i="237"/>
  <c r="K89" i="237"/>
  <c r="G89" i="237"/>
  <c r="S88" i="237"/>
  <c r="O88" i="237"/>
  <c r="K88" i="237"/>
  <c r="G88" i="237"/>
  <c r="S87" i="237"/>
  <c r="O87" i="237"/>
  <c r="K87" i="237"/>
  <c r="G87" i="237"/>
  <c r="G86" i="237"/>
  <c r="S85" i="237"/>
  <c r="O85" i="237"/>
  <c r="K85" i="237"/>
  <c r="G85" i="237"/>
  <c r="S84" i="237"/>
  <c r="O84" i="237"/>
  <c r="K84" i="237"/>
  <c r="G84" i="237"/>
  <c r="S83" i="237"/>
  <c r="O83" i="237"/>
  <c r="K83" i="237"/>
  <c r="G83" i="237"/>
  <c r="G82" i="237"/>
  <c r="S81" i="237"/>
  <c r="O81" i="237"/>
  <c r="K81" i="237"/>
  <c r="G81" i="237"/>
  <c r="S80" i="237"/>
  <c r="O80" i="237"/>
  <c r="K80" i="237"/>
  <c r="G80" i="237"/>
  <c r="S79" i="237"/>
  <c r="O79" i="237"/>
  <c r="K79" i="237"/>
  <c r="G79" i="237"/>
  <c r="G78" i="237"/>
  <c r="S77" i="237"/>
  <c r="O77" i="237"/>
  <c r="K77" i="237"/>
  <c r="G77" i="237"/>
  <c r="S76" i="237"/>
  <c r="O76" i="237"/>
  <c r="K76" i="237"/>
  <c r="G76" i="237"/>
  <c r="S75" i="237"/>
  <c r="O75" i="237"/>
  <c r="K75" i="237"/>
  <c r="G75" i="237"/>
  <c r="S74" i="237"/>
  <c r="O74" i="237"/>
  <c r="K74" i="237"/>
  <c r="G74" i="237"/>
  <c r="G73" i="237"/>
  <c r="O67" i="237"/>
  <c r="O65" i="237"/>
  <c r="K65" i="237"/>
  <c r="K64" i="237"/>
  <c r="O63" i="237"/>
  <c r="K63" i="237"/>
  <c r="O61" i="237"/>
  <c r="K61" i="237"/>
  <c r="K60" i="237"/>
  <c r="O59" i="237"/>
  <c r="K59" i="237"/>
  <c r="O56" i="237"/>
  <c r="K56" i="237"/>
  <c r="O55" i="237"/>
  <c r="K55" i="237"/>
  <c r="O54" i="237"/>
  <c r="K54" i="237"/>
  <c r="G53" i="237"/>
  <c r="K52" i="237"/>
  <c r="G52" i="237"/>
  <c r="O51" i="237"/>
  <c r="K51" i="237"/>
  <c r="G51" i="237"/>
  <c r="O50" i="237"/>
  <c r="K50" i="237"/>
  <c r="O49" i="237"/>
  <c r="G49" i="237"/>
  <c r="G48" i="237"/>
  <c r="O47" i="237"/>
  <c r="K47" i="237"/>
  <c r="G47" i="237"/>
  <c r="B47" i="237"/>
  <c r="O46" i="237"/>
  <c r="K46" i="237"/>
  <c r="B46" i="237"/>
  <c r="O45" i="237"/>
  <c r="K45" i="237"/>
  <c r="B45" i="237"/>
  <c r="G44" i="237"/>
  <c r="B44" i="237"/>
  <c r="O43" i="237"/>
  <c r="K43" i="237"/>
  <c r="G43" i="237"/>
  <c r="O42" i="237"/>
  <c r="K42" i="237"/>
  <c r="G42" i="237"/>
  <c r="O41" i="237"/>
  <c r="K41" i="237"/>
  <c r="B41" i="237"/>
  <c r="G40" i="237"/>
  <c r="B40" i="237"/>
  <c r="S39" i="237"/>
  <c r="O39" i="237"/>
  <c r="K39" i="237"/>
  <c r="G39" i="237"/>
  <c r="B39" i="237"/>
  <c r="S38" i="237"/>
  <c r="O38" i="237"/>
  <c r="K38" i="237"/>
  <c r="G38" i="237"/>
  <c r="B38" i="237"/>
  <c r="S37" i="237"/>
  <c r="O37" i="237"/>
  <c r="K37" i="237"/>
  <c r="B37" i="237"/>
  <c r="S36" i="237"/>
  <c r="G36" i="237"/>
  <c r="B36" i="237"/>
  <c r="S35" i="237"/>
  <c r="G35" i="237"/>
  <c r="O34" i="237"/>
  <c r="K34" i="237"/>
  <c r="G34" i="237"/>
  <c r="S33" i="237"/>
  <c r="O33" i="237"/>
  <c r="K33" i="237"/>
  <c r="B33" i="237"/>
  <c r="S32" i="237"/>
  <c r="O32" i="237"/>
  <c r="K32" i="237"/>
  <c r="B32" i="237"/>
  <c r="S31" i="237"/>
  <c r="G31" i="237"/>
  <c r="B31" i="237"/>
  <c r="S30" i="237"/>
  <c r="O30" i="237"/>
  <c r="K30" i="237"/>
  <c r="G30" i="237"/>
  <c r="S29" i="237"/>
  <c r="O29" i="237"/>
  <c r="K29" i="237"/>
  <c r="G29" i="237"/>
  <c r="O28" i="237"/>
  <c r="K28" i="237"/>
  <c r="S27" i="237"/>
  <c r="G27" i="237"/>
  <c r="S26" i="237"/>
  <c r="O26" i="237"/>
  <c r="K26" i="237"/>
  <c r="G26" i="237"/>
  <c r="S25" i="237"/>
  <c r="O25" i="237"/>
  <c r="K25" i="237"/>
  <c r="G25" i="237"/>
  <c r="S24" i="237"/>
  <c r="O24" i="237"/>
  <c r="K24" i="237"/>
  <c r="S23" i="237"/>
  <c r="O22" i="237"/>
  <c r="K22" i="237"/>
  <c r="G22" i="237"/>
  <c r="S21" i="237"/>
  <c r="O21" i="237"/>
  <c r="K21" i="237"/>
  <c r="G21" i="237"/>
  <c r="S20" i="237"/>
  <c r="O20" i="237"/>
  <c r="K20" i="237"/>
  <c r="G20" i="237"/>
  <c r="S19" i="237"/>
  <c r="S18" i="237"/>
  <c r="O18" i="237"/>
  <c r="K18" i="237"/>
  <c r="G18" i="237"/>
  <c r="S17" i="237"/>
  <c r="O17" i="237"/>
  <c r="K17" i="237"/>
  <c r="G17" i="237"/>
  <c r="S16" i="237"/>
  <c r="O16" i="237"/>
  <c r="K16" i="237"/>
  <c r="G16" i="237"/>
  <c r="S15" i="237"/>
  <c r="S14" i="237"/>
  <c r="G14" i="237"/>
  <c r="S13" i="237"/>
  <c r="O13" i="237"/>
  <c r="K13" i="237"/>
  <c r="G13" i="237"/>
  <c r="S12" i="237"/>
  <c r="O12" i="237"/>
  <c r="K12" i="237"/>
  <c r="G12" i="237"/>
  <c r="S11" i="237"/>
  <c r="O11" i="237"/>
  <c r="K11" i="237"/>
  <c r="S10" i="237"/>
  <c r="G10" i="237"/>
  <c r="S9" i="237"/>
  <c r="O9" i="237"/>
  <c r="K9" i="237"/>
  <c r="G9" i="237"/>
  <c r="S8" i="237"/>
  <c r="O8" i="237"/>
  <c r="K8" i="237"/>
  <c r="G8" i="237"/>
  <c r="S7" i="237"/>
  <c r="O7" i="237"/>
  <c r="K7" i="237"/>
  <c r="G6" i="237"/>
  <c r="O5" i="237"/>
  <c r="K5" i="237"/>
  <c r="G5" i="237"/>
  <c r="S4" i="237"/>
  <c r="O4" i="237"/>
  <c r="K4" i="237"/>
  <c r="G4" i="237"/>
  <c r="S3" i="237"/>
  <c r="O3" i="237"/>
  <c r="K3" i="237"/>
  <c r="S114" i="236"/>
  <c r="O114" i="236"/>
  <c r="K114" i="236"/>
  <c r="S113" i="236"/>
  <c r="O113" i="236"/>
  <c r="K113" i="236"/>
  <c r="S112" i="236"/>
  <c r="O112" i="236"/>
  <c r="K112" i="236"/>
  <c r="S110" i="236"/>
  <c r="O110" i="236"/>
  <c r="K110" i="236"/>
  <c r="S109" i="236"/>
  <c r="O109" i="236"/>
  <c r="K109" i="236"/>
  <c r="S108" i="236"/>
  <c r="O108" i="236"/>
  <c r="K108" i="236"/>
  <c r="S106" i="236"/>
  <c r="O106" i="236"/>
  <c r="K106" i="236"/>
  <c r="G106" i="236"/>
  <c r="S105" i="236"/>
  <c r="O105" i="236"/>
  <c r="K105" i="236"/>
  <c r="G105" i="236"/>
  <c r="S104" i="236"/>
  <c r="O104" i="236"/>
  <c r="K104" i="236"/>
  <c r="G104" i="236"/>
  <c r="G103" i="236"/>
  <c r="S102" i="236"/>
  <c r="O102" i="236"/>
  <c r="K102" i="236"/>
  <c r="G102" i="236"/>
  <c r="S101" i="236"/>
  <c r="O101" i="236"/>
  <c r="K101" i="236"/>
  <c r="G101" i="236"/>
  <c r="S100" i="236"/>
  <c r="O100" i="236"/>
  <c r="K100" i="236"/>
  <c r="G100" i="236"/>
  <c r="G99" i="236"/>
  <c r="S98" i="236"/>
  <c r="O98" i="236"/>
  <c r="K98" i="236"/>
  <c r="G98" i="236"/>
  <c r="S97" i="236"/>
  <c r="O97" i="236"/>
  <c r="K97" i="236"/>
  <c r="G97" i="236"/>
  <c r="S96" i="236"/>
  <c r="O96" i="236"/>
  <c r="K96" i="236"/>
  <c r="G96" i="236"/>
  <c r="S95" i="236"/>
  <c r="O95" i="236"/>
  <c r="K95" i="236"/>
  <c r="G95" i="236"/>
  <c r="G94" i="236"/>
  <c r="S93" i="236"/>
  <c r="O93" i="236"/>
  <c r="K93" i="236"/>
  <c r="G93" i="236"/>
  <c r="S92" i="236"/>
  <c r="O92" i="236"/>
  <c r="K92" i="236"/>
  <c r="G92" i="236"/>
  <c r="S91" i="236"/>
  <c r="O91" i="236"/>
  <c r="K91" i="236"/>
  <c r="G91" i="236"/>
  <c r="G90" i="236"/>
  <c r="S89" i="236"/>
  <c r="O89" i="236"/>
  <c r="K89" i="236"/>
  <c r="G89" i="236"/>
  <c r="S88" i="236"/>
  <c r="O88" i="236"/>
  <c r="K88" i="236"/>
  <c r="G88" i="236"/>
  <c r="S87" i="236"/>
  <c r="O87" i="236"/>
  <c r="K87" i="236"/>
  <c r="G87" i="236"/>
  <c r="G86" i="236"/>
  <c r="S85" i="236"/>
  <c r="O85" i="236"/>
  <c r="K85" i="236"/>
  <c r="G85" i="236"/>
  <c r="S84" i="236"/>
  <c r="O84" i="236"/>
  <c r="K84" i="236"/>
  <c r="G84" i="236"/>
  <c r="S83" i="236"/>
  <c r="O83" i="236"/>
  <c r="K83" i="236"/>
  <c r="G83" i="236"/>
  <c r="G82" i="236"/>
  <c r="S81" i="236"/>
  <c r="O81" i="236"/>
  <c r="K81" i="236"/>
  <c r="G81" i="236"/>
  <c r="S80" i="236"/>
  <c r="O80" i="236"/>
  <c r="K80" i="236"/>
  <c r="G80" i="236"/>
  <c r="S79" i="236"/>
  <c r="O79" i="236"/>
  <c r="K79" i="236"/>
  <c r="G79" i="236"/>
  <c r="G78" i="236"/>
  <c r="S77" i="236"/>
  <c r="O77" i="236"/>
  <c r="K77" i="236"/>
  <c r="G77" i="236"/>
  <c r="S76" i="236"/>
  <c r="O76" i="236"/>
  <c r="K76" i="236"/>
  <c r="G76" i="236"/>
  <c r="S75" i="236"/>
  <c r="O75" i="236"/>
  <c r="K75" i="236"/>
  <c r="G75" i="236"/>
  <c r="S74" i="236"/>
  <c r="O74" i="236"/>
  <c r="K74" i="236"/>
  <c r="G74" i="236"/>
  <c r="G73" i="236"/>
  <c r="O67" i="236"/>
  <c r="O65" i="236"/>
  <c r="K65" i="236"/>
  <c r="K64" i="236"/>
  <c r="O63" i="236"/>
  <c r="K63" i="236"/>
  <c r="O61" i="236"/>
  <c r="K61" i="236"/>
  <c r="K60" i="236"/>
  <c r="O59" i="236"/>
  <c r="K59" i="236"/>
  <c r="O56" i="236"/>
  <c r="K56" i="236"/>
  <c r="O55" i="236"/>
  <c r="K55" i="236"/>
  <c r="O54" i="236"/>
  <c r="K54" i="236"/>
  <c r="G53" i="236"/>
  <c r="K52" i="236"/>
  <c r="G52" i="236"/>
  <c r="O51" i="236"/>
  <c r="K51" i="236"/>
  <c r="G51" i="236"/>
  <c r="O50" i="236"/>
  <c r="K50" i="236"/>
  <c r="O49" i="236"/>
  <c r="G49" i="236"/>
  <c r="G48" i="236"/>
  <c r="O47" i="236"/>
  <c r="K47" i="236"/>
  <c r="G47" i="236"/>
  <c r="B47" i="236"/>
  <c r="O46" i="236"/>
  <c r="K46" i="236"/>
  <c r="B46" i="236"/>
  <c r="O45" i="236"/>
  <c r="K45" i="236"/>
  <c r="B45" i="236"/>
  <c r="G44" i="236"/>
  <c r="B44" i="236"/>
  <c r="O43" i="236"/>
  <c r="K43" i="236"/>
  <c r="G43" i="236"/>
  <c r="O42" i="236"/>
  <c r="K42" i="236"/>
  <c r="G42" i="236"/>
  <c r="O41" i="236"/>
  <c r="K41" i="236"/>
  <c r="B41" i="236"/>
  <c r="G40" i="236"/>
  <c r="B40" i="236"/>
  <c r="S39" i="236"/>
  <c r="O39" i="236"/>
  <c r="K39" i="236"/>
  <c r="G39" i="236"/>
  <c r="B39" i="236"/>
  <c r="S38" i="236"/>
  <c r="O38" i="236"/>
  <c r="K38" i="236"/>
  <c r="G38" i="236"/>
  <c r="B38" i="236"/>
  <c r="S37" i="236"/>
  <c r="O37" i="236"/>
  <c r="K37" i="236"/>
  <c r="B37" i="236"/>
  <c r="S36" i="236"/>
  <c r="G36" i="236"/>
  <c r="B36" i="236"/>
  <c r="S35" i="236"/>
  <c r="G35" i="236"/>
  <c r="O34" i="236"/>
  <c r="K34" i="236"/>
  <c r="G34" i="236"/>
  <c r="S33" i="236"/>
  <c r="O33" i="236"/>
  <c r="K33" i="236"/>
  <c r="B33" i="236"/>
  <c r="S32" i="236"/>
  <c r="O32" i="236"/>
  <c r="K32" i="236"/>
  <c r="B32" i="236"/>
  <c r="S31" i="236"/>
  <c r="G31" i="236"/>
  <c r="B31" i="236"/>
  <c r="S30" i="236"/>
  <c r="O30" i="236"/>
  <c r="K30" i="236"/>
  <c r="G30" i="236"/>
  <c r="S29" i="236"/>
  <c r="O29" i="236"/>
  <c r="K29" i="236"/>
  <c r="G29" i="236"/>
  <c r="O28" i="236"/>
  <c r="K28" i="236"/>
  <c r="S27" i="236"/>
  <c r="G27" i="236"/>
  <c r="S26" i="236"/>
  <c r="O26" i="236"/>
  <c r="K26" i="236"/>
  <c r="G26" i="236"/>
  <c r="S25" i="236"/>
  <c r="O25" i="236"/>
  <c r="K25" i="236"/>
  <c r="G25" i="236"/>
  <c r="S24" i="236"/>
  <c r="O24" i="236"/>
  <c r="K24" i="236"/>
  <c r="S23" i="236"/>
  <c r="O22" i="236"/>
  <c r="K22" i="236"/>
  <c r="G22" i="236"/>
  <c r="S21" i="236"/>
  <c r="O21" i="236"/>
  <c r="K21" i="236"/>
  <c r="G21" i="236"/>
  <c r="S20" i="236"/>
  <c r="O20" i="236"/>
  <c r="K20" i="236"/>
  <c r="G20" i="236"/>
  <c r="S19" i="236"/>
  <c r="S18" i="236"/>
  <c r="O18" i="236"/>
  <c r="K18" i="236"/>
  <c r="G18" i="236"/>
  <c r="S17" i="236"/>
  <c r="O17" i="236"/>
  <c r="K17" i="236"/>
  <c r="G17" i="236"/>
  <c r="S16" i="236"/>
  <c r="O16" i="236"/>
  <c r="K16" i="236"/>
  <c r="G16" i="236"/>
  <c r="S15" i="236"/>
  <c r="S14" i="236"/>
  <c r="G14" i="236"/>
  <c r="S13" i="236"/>
  <c r="O13" i="236"/>
  <c r="K13" i="236"/>
  <c r="G13" i="236"/>
  <c r="S12" i="236"/>
  <c r="O12" i="236"/>
  <c r="K12" i="236"/>
  <c r="G12" i="236"/>
  <c r="S11" i="236"/>
  <c r="O11" i="236"/>
  <c r="K11" i="236"/>
  <c r="S10" i="236"/>
  <c r="G10" i="236"/>
  <c r="S9" i="236"/>
  <c r="O9" i="236"/>
  <c r="K9" i="236"/>
  <c r="G9" i="236"/>
  <c r="S8" i="236"/>
  <c r="O8" i="236"/>
  <c r="K8" i="236"/>
  <c r="G8" i="236"/>
  <c r="S7" i="236"/>
  <c r="O7" i="236"/>
  <c r="K7" i="236"/>
  <c r="G6" i="236"/>
  <c r="O5" i="236"/>
  <c r="K5" i="236"/>
  <c r="G5" i="236"/>
  <c r="S4" i="236"/>
  <c r="O4" i="236"/>
  <c r="K4" i="236"/>
  <c r="G4" i="236"/>
  <c r="S3" i="236"/>
  <c r="O3" i="236"/>
  <c r="K3" i="236"/>
  <c r="C47" i="236"/>
  <c r="C46" i="236"/>
  <c r="C45" i="236"/>
  <c r="C44" i="236"/>
  <c r="C41" i="236"/>
  <c r="C40" i="236"/>
  <c r="C39" i="236"/>
  <c r="C38" i="236"/>
  <c r="C37" i="236"/>
  <c r="C36" i="236"/>
  <c r="C33" i="236"/>
  <c r="C32" i="236"/>
  <c r="C31" i="236"/>
  <c r="S114" i="235"/>
  <c r="O114" i="235"/>
  <c r="K114" i="235"/>
  <c r="S113" i="235"/>
  <c r="O113" i="235"/>
  <c r="K113" i="235"/>
  <c r="S112" i="235"/>
  <c r="O112" i="235"/>
  <c r="K112" i="235"/>
  <c r="S110" i="235"/>
  <c r="O110" i="235"/>
  <c r="K110" i="235"/>
  <c r="S109" i="235"/>
  <c r="O109" i="235"/>
  <c r="K109" i="235"/>
  <c r="S108" i="235"/>
  <c r="O108" i="235"/>
  <c r="K108" i="235"/>
  <c r="S106" i="235"/>
  <c r="O106" i="235"/>
  <c r="K106" i="235"/>
  <c r="G106" i="235"/>
  <c r="S105" i="235"/>
  <c r="O105" i="235"/>
  <c r="K105" i="235"/>
  <c r="G105" i="235"/>
  <c r="S104" i="235"/>
  <c r="O104" i="235"/>
  <c r="K104" i="235"/>
  <c r="G104" i="235"/>
  <c r="G103" i="235"/>
  <c r="S102" i="235"/>
  <c r="O102" i="235"/>
  <c r="K102" i="235"/>
  <c r="G102" i="235"/>
  <c r="S101" i="235"/>
  <c r="O101" i="235"/>
  <c r="K101" i="235"/>
  <c r="G101" i="235"/>
  <c r="S100" i="235"/>
  <c r="O100" i="235"/>
  <c r="K100" i="235"/>
  <c r="G100" i="235"/>
  <c r="G99" i="235"/>
  <c r="S98" i="235"/>
  <c r="O98" i="235"/>
  <c r="K98" i="235"/>
  <c r="G98" i="235"/>
  <c r="S97" i="235"/>
  <c r="O97" i="235"/>
  <c r="K97" i="235"/>
  <c r="G97" i="235"/>
  <c r="S96" i="235"/>
  <c r="O96" i="235"/>
  <c r="K96" i="235"/>
  <c r="G96" i="235"/>
  <c r="S95" i="235"/>
  <c r="O95" i="235"/>
  <c r="K95" i="235"/>
  <c r="G95" i="235"/>
  <c r="G94" i="235"/>
  <c r="S93" i="235"/>
  <c r="O93" i="235"/>
  <c r="K93" i="235"/>
  <c r="G93" i="235"/>
  <c r="S92" i="235"/>
  <c r="O92" i="235"/>
  <c r="K92" i="235"/>
  <c r="G92" i="235"/>
  <c r="S91" i="235"/>
  <c r="O91" i="235"/>
  <c r="K91" i="235"/>
  <c r="G91" i="235"/>
  <c r="G90" i="235"/>
  <c r="S89" i="235"/>
  <c r="O89" i="235"/>
  <c r="K89" i="235"/>
  <c r="G89" i="235"/>
  <c r="S88" i="235"/>
  <c r="O88" i="235"/>
  <c r="K88" i="235"/>
  <c r="G88" i="235"/>
  <c r="S87" i="235"/>
  <c r="O87" i="235"/>
  <c r="K87" i="235"/>
  <c r="G87" i="235"/>
  <c r="G86" i="235"/>
  <c r="S85" i="235"/>
  <c r="O85" i="235"/>
  <c r="K85" i="235"/>
  <c r="G85" i="235"/>
  <c r="S84" i="235"/>
  <c r="O84" i="235"/>
  <c r="K84" i="235"/>
  <c r="G84" i="235"/>
  <c r="S83" i="235"/>
  <c r="O83" i="235"/>
  <c r="K83" i="235"/>
  <c r="G83" i="235"/>
  <c r="G82" i="235"/>
  <c r="S81" i="235"/>
  <c r="O81" i="235"/>
  <c r="K81" i="235"/>
  <c r="G81" i="235"/>
  <c r="S80" i="235"/>
  <c r="O80" i="235"/>
  <c r="K80" i="235"/>
  <c r="G80" i="235"/>
  <c r="S79" i="235"/>
  <c r="O79" i="235"/>
  <c r="K79" i="235"/>
  <c r="G79" i="235"/>
  <c r="G78" i="235"/>
  <c r="S77" i="235"/>
  <c r="O77" i="235"/>
  <c r="K77" i="235"/>
  <c r="G77" i="235"/>
  <c r="S76" i="235"/>
  <c r="O76" i="235"/>
  <c r="K76" i="235"/>
  <c r="G76" i="235"/>
  <c r="S75" i="235"/>
  <c r="O75" i="235"/>
  <c r="K75" i="235"/>
  <c r="G75" i="235"/>
  <c r="S74" i="235"/>
  <c r="O74" i="235"/>
  <c r="K74" i="235"/>
  <c r="G74" i="235"/>
  <c r="G73" i="235"/>
  <c r="O67" i="235"/>
  <c r="O65" i="235"/>
  <c r="K65" i="235"/>
  <c r="K64" i="235"/>
  <c r="O63" i="235"/>
  <c r="K63" i="235"/>
  <c r="O61" i="235"/>
  <c r="K61" i="235"/>
  <c r="K60" i="235"/>
  <c r="O59" i="235"/>
  <c r="K59" i="235"/>
  <c r="O56" i="235"/>
  <c r="K56" i="235"/>
  <c r="O55" i="235"/>
  <c r="K55" i="235"/>
  <c r="O54" i="235"/>
  <c r="K54" i="235"/>
  <c r="G53" i="235"/>
  <c r="K52" i="235"/>
  <c r="G52" i="235"/>
  <c r="O51" i="235"/>
  <c r="K51" i="235"/>
  <c r="G51" i="235"/>
  <c r="O50" i="235"/>
  <c r="K50" i="235"/>
  <c r="O49" i="235"/>
  <c r="G49" i="235"/>
  <c r="G48" i="235"/>
  <c r="O47" i="235"/>
  <c r="K47" i="235"/>
  <c r="G47" i="235"/>
  <c r="B47" i="235"/>
  <c r="O46" i="235"/>
  <c r="K46" i="235"/>
  <c r="B46" i="235"/>
  <c r="O45" i="235"/>
  <c r="K45" i="235"/>
  <c r="B45" i="235"/>
  <c r="G44" i="235"/>
  <c r="B44" i="235"/>
  <c r="O43" i="235"/>
  <c r="K43" i="235"/>
  <c r="G43" i="235"/>
  <c r="O42" i="235"/>
  <c r="K42" i="235"/>
  <c r="G42" i="235"/>
  <c r="O41" i="235"/>
  <c r="K41" i="235"/>
  <c r="B41" i="235"/>
  <c r="G40" i="235"/>
  <c r="B40" i="235"/>
  <c r="S39" i="235"/>
  <c r="O39" i="235"/>
  <c r="K39" i="235"/>
  <c r="G39" i="235"/>
  <c r="B39" i="235"/>
  <c r="S38" i="235"/>
  <c r="O38" i="235"/>
  <c r="K38" i="235"/>
  <c r="G38" i="235"/>
  <c r="B38" i="235"/>
  <c r="S37" i="235"/>
  <c r="O37" i="235"/>
  <c r="K37" i="235"/>
  <c r="B37" i="235"/>
  <c r="S36" i="235"/>
  <c r="G36" i="235"/>
  <c r="B36" i="235"/>
  <c r="S35" i="235"/>
  <c r="G35" i="235"/>
  <c r="O34" i="235"/>
  <c r="K34" i="235"/>
  <c r="G34" i="235"/>
  <c r="S33" i="235"/>
  <c r="O33" i="235"/>
  <c r="K33" i="235"/>
  <c r="B33" i="235"/>
  <c r="S32" i="235"/>
  <c r="O32" i="235"/>
  <c r="K32" i="235"/>
  <c r="B32" i="235"/>
  <c r="S31" i="235"/>
  <c r="G31" i="235"/>
  <c r="B31" i="235"/>
  <c r="S30" i="235"/>
  <c r="O30" i="235"/>
  <c r="K30" i="235"/>
  <c r="G30" i="235"/>
  <c r="S29" i="235"/>
  <c r="O29" i="235"/>
  <c r="K29" i="235"/>
  <c r="G29" i="235"/>
  <c r="O28" i="235"/>
  <c r="K28" i="235"/>
  <c r="S27" i="235"/>
  <c r="G27" i="235"/>
  <c r="S26" i="235"/>
  <c r="O26" i="235"/>
  <c r="K26" i="235"/>
  <c r="G26" i="235"/>
  <c r="S25" i="235"/>
  <c r="O25" i="235"/>
  <c r="K25" i="235"/>
  <c r="G25" i="235"/>
  <c r="S24" i="235"/>
  <c r="O24" i="235"/>
  <c r="K24" i="235"/>
  <c r="S23" i="235"/>
  <c r="O22" i="235"/>
  <c r="K22" i="235"/>
  <c r="G22" i="235"/>
  <c r="S21" i="235"/>
  <c r="O21" i="235"/>
  <c r="K21" i="235"/>
  <c r="G21" i="235"/>
  <c r="S20" i="235"/>
  <c r="O20" i="235"/>
  <c r="K20" i="235"/>
  <c r="G20" i="235"/>
  <c r="S19" i="235"/>
  <c r="S18" i="235"/>
  <c r="O18" i="235"/>
  <c r="K18" i="235"/>
  <c r="G18" i="235"/>
  <c r="S17" i="235"/>
  <c r="O17" i="235"/>
  <c r="K17" i="235"/>
  <c r="G17" i="235"/>
  <c r="S16" i="235"/>
  <c r="O16" i="235"/>
  <c r="K16" i="235"/>
  <c r="G16" i="235"/>
  <c r="S15" i="235"/>
  <c r="S14" i="235"/>
  <c r="G14" i="235"/>
  <c r="S13" i="235"/>
  <c r="O13" i="235"/>
  <c r="K13" i="235"/>
  <c r="G13" i="235"/>
  <c r="S12" i="235"/>
  <c r="O12" i="235"/>
  <c r="K12" i="235"/>
  <c r="G12" i="235"/>
  <c r="S11" i="235"/>
  <c r="O11" i="235"/>
  <c r="K11" i="235"/>
  <c r="S10" i="235"/>
  <c r="G10" i="235"/>
  <c r="S9" i="235"/>
  <c r="O9" i="235"/>
  <c r="K9" i="235"/>
  <c r="G9" i="235"/>
  <c r="S8" i="235"/>
  <c r="O8" i="235"/>
  <c r="K8" i="235"/>
  <c r="G8" i="235"/>
  <c r="S7" i="235"/>
  <c r="O7" i="235"/>
  <c r="K7" i="235"/>
  <c r="G6" i="235"/>
  <c r="O5" i="235"/>
  <c r="K5" i="235"/>
  <c r="G5" i="235"/>
  <c r="S4" i="235"/>
  <c r="O4" i="235"/>
  <c r="K4" i="235"/>
  <c r="G4" i="235"/>
  <c r="S3" i="235"/>
  <c r="O3" i="235"/>
  <c r="K3" i="235"/>
  <c r="C47" i="235"/>
  <c r="C46" i="235"/>
  <c r="C45" i="235"/>
  <c r="C44" i="235"/>
  <c r="C41" i="235"/>
  <c r="C40" i="235"/>
  <c r="C39" i="235"/>
  <c r="C38" i="235"/>
  <c r="C37" i="235"/>
  <c r="C36" i="235"/>
  <c r="C33" i="235"/>
  <c r="C32" i="235"/>
  <c r="C31" i="235"/>
  <c r="R114" i="237"/>
  <c r="N114" i="237"/>
  <c r="J114" i="237"/>
  <c r="R113" i="237"/>
  <c r="N113" i="237"/>
  <c r="J113" i="237"/>
  <c r="R112" i="237"/>
  <c r="N112" i="237"/>
  <c r="J112" i="237"/>
  <c r="R111" i="237"/>
  <c r="N111" i="237"/>
  <c r="J111" i="237"/>
  <c r="R110" i="237"/>
  <c r="N110" i="237"/>
  <c r="J110" i="237"/>
  <c r="R109" i="237"/>
  <c r="N109" i="237"/>
  <c r="J109" i="237"/>
  <c r="R108" i="237"/>
  <c r="N108" i="237"/>
  <c r="J108" i="237"/>
  <c r="R107" i="237"/>
  <c r="N107" i="237"/>
  <c r="J107" i="237"/>
  <c r="R106" i="237"/>
  <c r="N106" i="237"/>
  <c r="J106" i="237"/>
  <c r="E106" i="237"/>
  <c r="R105" i="237"/>
  <c r="N105" i="237"/>
  <c r="J105" i="237"/>
  <c r="E105" i="237"/>
  <c r="R104" i="237"/>
  <c r="N104" i="237"/>
  <c r="J104" i="237"/>
  <c r="E104" i="237"/>
  <c r="R103" i="237"/>
  <c r="N103" i="237"/>
  <c r="J103" i="237"/>
  <c r="E103" i="237"/>
  <c r="R102" i="237"/>
  <c r="N102" i="237"/>
  <c r="J102" i="237"/>
  <c r="E102" i="237"/>
  <c r="R101" i="237"/>
  <c r="N101" i="237"/>
  <c r="J101" i="237"/>
  <c r="E101" i="237"/>
  <c r="R100" i="237"/>
  <c r="N100" i="237"/>
  <c r="J100" i="237"/>
  <c r="E100" i="237"/>
  <c r="R99" i="237"/>
  <c r="N99" i="237"/>
  <c r="J99" i="237"/>
  <c r="E99" i="237"/>
  <c r="R98" i="237"/>
  <c r="N98" i="237"/>
  <c r="J98" i="237"/>
  <c r="E98" i="237"/>
  <c r="R97" i="237"/>
  <c r="N97" i="237"/>
  <c r="J97" i="237"/>
  <c r="E97" i="237"/>
  <c r="R96" i="237"/>
  <c r="N96" i="237"/>
  <c r="J96" i="237"/>
  <c r="E96" i="237"/>
  <c r="R95" i="237"/>
  <c r="N95" i="237"/>
  <c r="J95" i="237"/>
  <c r="E95" i="237"/>
  <c r="Q94" i="237"/>
  <c r="M94" i="237"/>
  <c r="I94" i="237"/>
  <c r="E94" i="237"/>
  <c r="R93" i="237"/>
  <c r="N93" i="237"/>
  <c r="J93" i="237"/>
  <c r="E93" i="237"/>
  <c r="R92" i="237"/>
  <c r="N92" i="237"/>
  <c r="J92" i="237"/>
  <c r="E92" i="237"/>
  <c r="R91" i="237"/>
  <c r="N91" i="237"/>
  <c r="J91" i="237"/>
  <c r="E91" i="237"/>
  <c r="R90" i="237"/>
  <c r="N90" i="237"/>
  <c r="J90" i="237"/>
  <c r="E90" i="237"/>
  <c r="R89" i="237"/>
  <c r="N89" i="237"/>
  <c r="J89" i="237"/>
  <c r="E89" i="237"/>
  <c r="R88" i="237"/>
  <c r="N88" i="237"/>
  <c r="J88" i="237"/>
  <c r="E88" i="237"/>
  <c r="R87" i="237"/>
  <c r="N87" i="237"/>
  <c r="J87" i="237"/>
  <c r="E87" i="237"/>
  <c r="R86" i="237"/>
  <c r="N86" i="237"/>
  <c r="J86" i="237"/>
  <c r="E86" i="237"/>
  <c r="R85" i="237"/>
  <c r="N85" i="237"/>
  <c r="J85" i="237"/>
  <c r="E85" i="237"/>
  <c r="R84" i="237"/>
  <c r="N84" i="237"/>
  <c r="J84" i="237"/>
  <c r="E84" i="237"/>
  <c r="R83" i="237"/>
  <c r="N83" i="237"/>
  <c r="J83" i="237"/>
  <c r="E83" i="237"/>
  <c r="R82" i="237"/>
  <c r="N82" i="237"/>
  <c r="J82" i="237"/>
  <c r="E82" i="237"/>
  <c r="R81" i="237"/>
  <c r="N81" i="237"/>
  <c r="J81" i="237"/>
  <c r="E81" i="237"/>
  <c r="R80" i="237"/>
  <c r="N80" i="237"/>
  <c r="J80" i="237"/>
  <c r="E80" i="237"/>
  <c r="R79" i="237"/>
  <c r="N79" i="237"/>
  <c r="J79" i="237"/>
  <c r="E79" i="237"/>
  <c r="R78" i="237"/>
  <c r="N78" i="237"/>
  <c r="J78" i="237"/>
  <c r="E78" i="237"/>
  <c r="A78" i="237"/>
  <c r="R77" i="237"/>
  <c r="N77" i="237"/>
  <c r="J77" i="237"/>
  <c r="E77" i="237"/>
  <c r="A77" i="237"/>
  <c r="R76" i="237"/>
  <c r="N76" i="237"/>
  <c r="J76" i="237"/>
  <c r="E76" i="237"/>
  <c r="A76" i="237"/>
  <c r="R75" i="237"/>
  <c r="N75" i="237"/>
  <c r="J75" i="237"/>
  <c r="E75" i="237"/>
  <c r="A75" i="237"/>
  <c r="R74" i="237"/>
  <c r="N74" i="237"/>
  <c r="J74" i="237"/>
  <c r="E74" i="237"/>
  <c r="A74" i="237"/>
  <c r="Q73" i="237"/>
  <c r="M73" i="237"/>
  <c r="I73" i="237"/>
  <c r="E73" i="237"/>
  <c r="A73" i="237"/>
  <c r="N67" i="237"/>
  <c r="N66" i="237"/>
  <c r="N65" i="237"/>
  <c r="J65" i="237"/>
  <c r="N64" i="237"/>
  <c r="J64" i="237"/>
  <c r="N63" i="237"/>
  <c r="J63" i="237"/>
  <c r="N62" i="237"/>
  <c r="J62" i="237"/>
  <c r="N61" i="237"/>
  <c r="J61" i="237"/>
  <c r="N60" i="237"/>
  <c r="J60" i="237"/>
  <c r="N59" i="237"/>
  <c r="J59" i="237"/>
  <c r="N58" i="237"/>
  <c r="J58" i="237"/>
  <c r="M57" i="237"/>
  <c r="I57" i="237"/>
  <c r="N56" i="237"/>
  <c r="J56" i="237"/>
  <c r="N55" i="237"/>
  <c r="J55" i="237"/>
  <c r="N54" i="237"/>
  <c r="J54" i="237"/>
  <c r="N53" i="237"/>
  <c r="J53" i="237"/>
  <c r="F53" i="237"/>
  <c r="M52" i="237"/>
  <c r="J52" i="237"/>
  <c r="F52" i="237"/>
  <c r="B52" i="237"/>
  <c r="N51" i="237"/>
  <c r="J51" i="237"/>
  <c r="F51" i="237"/>
  <c r="B51" i="237"/>
  <c r="N50" i="237"/>
  <c r="J50" i="237"/>
  <c r="F50" i="237"/>
  <c r="B50" i="237"/>
  <c r="N49" i="237"/>
  <c r="J49" i="237"/>
  <c r="F49" i="237"/>
  <c r="N48" i="237"/>
  <c r="I48" i="237"/>
  <c r="F48" i="237"/>
  <c r="N47" i="237"/>
  <c r="J47" i="237"/>
  <c r="F47" i="237"/>
  <c r="N46" i="237"/>
  <c r="J46" i="237"/>
  <c r="F46" i="237"/>
  <c r="N45" i="237"/>
  <c r="J45" i="237"/>
  <c r="E45" i="237"/>
  <c r="N44" i="237"/>
  <c r="J44" i="237"/>
  <c r="F44" i="237"/>
  <c r="N43" i="237"/>
  <c r="J43" i="237"/>
  <c r="F43" i="237"/>
  <c r="B43" i="237"/>
  <c r="N42" i="237"/>
  <c r="J42" i="237"/>
  <c r="F42" i="237"/>
  <c r="B42" i="237"/>
  <c r="N41" i="237"/>
  <c r="J41" i="237"/>
  <c r="F41" i="237"/>
  <c r="N40" i="237"/>
  <c r="J40" i="237"/>
  <c r="F40" i="237"/>
  <c r="R39" i="237"/>
  <c r="N39" i="237"/>
  <c r="J39" i="237"/>
  <c r="F39" i="237"/>
  <c r="R38" i="237"/>
  <c r="N38" i="237"/>
  <c r="J38" i="237"/>
  <c r="F38" i="237"/>
  <c r="R37" i="237"/>
  <c r="N37" i="237"/>
  <c r="J37" i="237"/>
  <c r="F37" i="237"/>
  <c r="R36" i="237"/>
  <c r="N36" i="237"/>
  <c r="J36" i="237"/>
  <c r="F36" i="237"/>
  <c r="R35" i="237"/>
  <c r="M35" i="237"/>
  <c r="I35" i="237"/>
  <c r="F35" i="237"/>
  <c r="B35" i="237"/>
  <c r="Q34" i="237"/>
  <c r="N34" i="237"/>
  <c r="J34" i="237"/>
  <c r="F34" i="237"/>
  <c r="B34" i="237"/>
  <c r="R33" i="237"/>
  <c r="N33" i="237"/>
  <c r="J33" i="237"/>
  <c r="F33" i="237"/>
  <c r="R32" i="237"/>
  <c r="N32" i="237"/>
  <c r="J32" i="237"/>
  <c r="E32" i="237"/>
  <c r="R31" i="237"/>
  <c r="N31" i="237"/>
  <c r="J31" i="237"/>
  <c r="F31" i="237"/>
  <c r="R30" i="237"/>
  <c r="N30" i="237"/>
  <c r="J30" i="237"/>
  <c r="F30" i="237"/>
  <c r="B30" i="237"/>
  <c r="R29" i="237"/>
  <c r="N29" i="237"/>
  <c r="J29" i="237"/>
  <c r="F29" i="237"/>
  <c r="B29" i="237"/>
  <c r="Q28" i="237"/>
  <c r="N28" i="237"/>
  <c r="J28" i="237"/>
  <c r="F28" i="237"/>
  <c r="R27" i="237"/>
  <c r="N27" i="237"/>
  <c r="J27" i="237"/>
  <c r="F27" i="237"/>
  <c r="R26" i="237"/>
  <c r="N26" i="237"/>
  <c r="J26" i="237"/>
  <c r="F26" i="237"/>
  <c r="R25" i="237"/>
  <c r="N25" i="237"/>
  <c r="J25" i="237"/>
  <c r="F25" i="237"/>
  <c r="R24" i="237"/>
  <c r="N24" i="237"/>
  <c r="J24" i="237"/>
  <c r="F24" i="237"/>
  <c r="R23" i="237"/>
  <c r="N23" i="237"/>
  <c r="J23" i="237"/>
  <c r="E23" i="237"/>
  <c r="Q22" i="237"/>
  <c r="N22" i="237"/>
  <c r="J22" i="237"/>
  <c r="F22" i="237"/>
  <c r="Q21" i="237"/>
  <c r="N21" i="237"/>
  <c r="J21" i="237"/>
  <c r="F21" i="237"/>
  <c r="Q20" i="237"/>
  <c r="N20" i="237"/>
  <c r="J20" i="237"/>
  <c r="F20" i="237"/>
  <c r="Q19" i="237"/>
  <c r="N19" i="237"/>
  <c r="J19" i="237"/>
  <c r="F19" i="237"/>
  <c r="Q18" i="237"/>
  <c r="N18" i="237"/>
  <c r="J18" i="237"/>
  <c r="F18" i="237"/>
  <c r="Q17" i="237"/>
  <c r="N17" i="237"/>
  <c r="J17" i="237"/>
  <c r="F17" i="237"/>
  <c r="Q16" i="237"/>
  <c r="N16" i="237"/>
  <c r="J16" i="237"/>
  <c r="F16" i="237"/>
  <c r="Q15" i="237"/>
  <c r="N15" i="237"/>
  <c r="J15" i="237"/>
  <c r="F15" i="237"/>
  <c r="Q14" i="237"/>
  <c r="M14" i="237"/>
  <c r="I14" i="237"/>
  <c r="F14" i="237"/>
  <c r="Q13" i="237"/>
  <c r="N13" i="237"/>
  <c r="J13" i="237"/>
  <c r="F13" i="237"/>
  <c r="Q12" i="237"/>
  <c r="N12" i="237"/>
  <c r="J12" i="237"/>
  <c r="F12" i="237"/>
  <c r="Q11" i="237"/>
  <c r="N11" i="237"/>
  <c r="J11" i="237"/>
  <c r="F11" i="237"/>
  <c r="Q10" i="237"/>
  <c r="N10" i="237"/>
  <c r="J10" i="237"/>
  <c r="F10" i="237"/>
  <c r="Q9" i="237"/>
  <c r="N9" i="237"/>
  <c r="J9" i="237"/>
  <c r="F9" i="237"/>
  <c r="Q8" i="237"/>
  <c r="N8" i="237"/>
  <c r="J8" i="237"/>
  <c r="F8" i="237"/>
  <c r="Q7" i="237"/>
  <c r="N7" i="237"/>
  <c r="J7" i="237"/>
  <c r="F7" i="237"/>
  <c r="Q6" i="237"/>
  <c r="N6" i="237"/>
  <c r="J6" i="237"/>
  <c r="F6" i="237"/>
  <c r="Q5" i="237"/>
  <c r="N5" i="237"/>
  <c r="J5" i="237"/>
  <c r="F5" i="237"/>
  <c r="Q4" i="237"/>
  <c r="N4" i="237"/>
  <c r="J4" i="237"/>
  <c r="F4" i="237"/>
  <c r="Q3" i="237"/>
  <c r="N3" i="237"/>
  <c r="J3" i="237"/>
  <c r="F3" i="237"/>
  <c r="Q2" i="237"/>
  <c r="N2" i="237"/>
  <c r="J2" i="237"/>
  <c r="E2" i="237"/>
  <c r="A1" i="237"/>
  <c r="G1" i="229" s="1"/>
  <c r="R114" i="236"/>
  <c r="N114" i="236"/>
  <c r="J114" i="236"/>
  <c r="R113" i="236"/>
  <c r="N113" i="236"/>
  <c r="J113" i="236"/>
  <c r="R112" i="236"/>
  <c r="N112" i="236"/>
  <c r="J112" i="236"/>
  <c r="R111" i="236"/>
  <c r="N111" i="236"/>
  <c r="J111" i="236"/>
  <c r="R110" i="236"/>
  <c r="N110" i="236"/>
  <c r="J110" i="236"/>
  <c r="R109" i="236"/>
  <c r="N109" i="236"/>
  <c r="J109" i="236"/>
  <c r="R108" i="236"/>
  <c r="N108" i="236"/>
  <c r="J108" i="236"/>
  <c r="R107" i="236"/>
  <c r="N107" i="236"/>
  <c r="J107" i="236"/>
  <c r="R106" i="236"/>
  <c r="N106" i="236"/>
  <c r="J106" i="236"/>
  <c r="E106" i="236"/>
  <c r="R105" i="236"/>
  <c r="N105" i="236"/>
  <c r="J105" i="236"/>
  <c r="E105" i="236"/>
  <c r="R104" i="236"/>
  <c r="N104" i="236"/>
  <c r="J104" i="236"/>
  <c r="E104" i="236"/>
  <c r="R103" i="236"/>
  <c r="N103" i="236"/>
  <c r="J103" i="236"/>
  <c r="E103" i="236"/>
  <c r="R102" i="236"/>
  <c r="N102" i="236"/>
  <c r="J102" i="236"/>
  <c r="E102" i="236"/>
  <c r="R101" i="236"/>
  <c r="N101" i="236"/>
  <c r="J101" i="236"/>
  <c r="E101" i="236"/>
  <c r="R100" i="236"/>
  <c r="N100" i="236"/>
  <c r="J100" i="236"/>
  <c r="E100" i="236"/>
  <c r="R99" i="236"/>
  <c r="N99" i="236"/>
  <c r="J99" i="236"/>
  <c r="E99" i="236"/>
  <c r="R98" i="236"/>
  <c r="N98" i="236"/>
  <c r="J98" i="236"/>
  <c r="E98" i="236"/>
  <c r="R97" i="236"/>
  <c r="N97" i="236"/>
  <c r="J97" i="236"/>
  <c r="E97" i="236"/>
  <c r="R96" i="236"/>
  <c r="N96" i="236"/>
  <c r="J96" i="236"/>
  <c r="E96" i="236"/>
  <c r="R95" i="236"/>
  <c r="N95" i="236"/>
  <c r="J95" i="236"/>
  <c r="E95" i="236"/>
  <c r="Q94" i="236"/>
  <c r="M94" i="236"/>
  <c r="I94" i="236"/>
  <c r="E94" i="236"/>
  <c r="R93" i="236"/>
  <c r="N93" i="236"/>
  <c r="J93" i="236"/>
  <c r="E93" i="236"/>
  <c r="R92" i="236"/>
  <c r="N92" i="236"/>
  <c r="J92" i="236"/>
  <c r="E92" i="236"/>
  <c r="R91" i="236"/>
  <c r="N91" i="236"/>
  <c r="J91" i="236"/>
  <c r="E91" i="236"/>
  <c r="R90" i="236"/>
  <c r="N90" i="236"/>
  <c r="J90" i="236"/>
  <c r="E90" i="236"/>
  <c r="R89" i="236"/>
  <c r="N89" i="236"/>
  <c r="J89" i="236"/>
  <c r="E89" i="236"/>
  <c r="R88" i="236"/>
  <c r="N88" i="236"/>
  <c r="J88" i="236"/>
  <c r="E88" i="236"/>
  <c r="R87" i="236"/>
  <c r="N87" i="236"/>
  <c r="J87" i="236"/>
  <c r="E87" i="236"/>
  <c r="R86" i="236"/>
  <c r="N86" i="236"/>
  <c r="J86" i="236"/>
  <c r="E86" i="236"/>
  <c r="R85" i="236"/>
  <c r="N85" i="236"/>
  <c r="J85" i="236"/>
  <c r="E85" i="236"/>
  <c r="R84" i="236"/>
  <c r="N84" i="236"/>
  <c r="J84" i="236"/>
  <c r="E84" i="236"/>
  <c r="R83" i="236"/>
  <c r="N83" i="236"/>
  <c r="J83" i="236"/>
  <c r="E83" i="236"/>
  <c r="R82" i="236"/>
  <c r="N82" i="236"/>
  <c r="J82" i="236"/>
  <c r="E82" i="236"/>
  <c r="R81" i="236"/>
  <c r="N81" i="236"/>
  <c r="J81" i="236"/>
  <c r="E81" i="236"/>
  <c r="R80" i="236"/>
  <c r="N80" i="236"/>
  <c r="J80" i="236"/>
  <c r="E80" i="236"/>
  <c r="R79" i="236"/>
  <c r="N79" i="236"/>
  <c r="J79" i="236"/>
  <c r="E79" i="236"/>
  <c r="R78" i="236"/>
  <c r="N78" i="236"/>
  <c r="J78" i="236"/>
  <c r="E78" i="236"/>
  <c r="A78" i="236"/>
  <c r="R77" i="236"/>
  <c r="N77" i="236"/>
  <c r="J77" i="236"/>
  <c r="E77" i="236"/>
  <c r="A77" i="236"/>
  <c r="R76" i="236"/>
  <c r="N76" i="236"/>
  <c r="J76" i="236"/>
  <c r="E76" i="236"/>
  <c r="A76" i="236"/>
  <c r="R75" i="236"/>
  <c r="N75" i="236"/>
  <c r="J75" i="236"/>
  <c r="E75" i="236"/>
  <c r="A75" i="236"/>
  <c r="R74" i="236"/>
  <c r="N74" i="236"/>
  <c r="J74" i="236"/>
  <c r="E74" i="236"/>
  <c r="A74" i="236"/>
  <c r="Q73" i="236"/>
  <c r="M73" i="236"/>
  <c r="I73" i="236"/>
  <c r="E73" i="236"/>
  <c r="A73" i="236"/>
  <c r="N67" i="236"/>
  <c r="N66" i="236"/>
  <c r="N65" i="236"/>
  <c r="J65" i="236"/>
  <c r="N64" i="236"/>
  <c r="J64" i="236"/>
  <c r="N63" i="236"/>
  <c r="J63" i="236"/>
  <c r="N62" i="236"/>
  <c r="J62" i="236"/>
  <c r="N61" i="236"/>
  <c r="J61" i="236"/>
  <c r="N60" i="236"/>
  <c r="J60" i="236"/>
  <c r="N59" i="236"/>
  <c r="J59" i="236"/>
  <c r="N58" i="236"/>
  <c r="J58" i="236"/>
  <c r="M57" i="236"/>
  <c r="I57" i="236"/>
  <c r="N56" i="236"/>
  <c r="J56" i="236"/>
  <c r="N55" i="236"/>
  <c r="J55" i="236"/>
  <c r="N54" i="236"/>
  <c r="J54" i="236"/>
  <c r="N53" i="236"/>
  <c r="J53" i="236"/>
  <c r="F53" i="236"/>
  <c r="M52" i="236"/>
  <c r="J52" i="236"/>
  <c r="F52" i="236"/>
  <c r="B52" i="236"/>
  <c r="N51" i="236"/>
  <c r="J51" i="236"/>
  <c r="F51" i="236"/>
  <c r="B51" i="236"/>
  <c r="N50" i="236"/>
  <c r="J50" i="236"/>
  <c r="F50" i="236"/>
  <c r="B50" i="236"/>
  <c r="N49" i="236"/>
  <c r="J49" i="236"/>
  <c r="F49" i="236"/>
  <c r="N48" i="236"/>
  <c r="I48" i="236"/>
  <c r="F48" i="236"/>
  <c r="N47" i="236"/>
  <c r="J47" i="236"/>
  <c r="F47" i="236"/>
  <c r="N46" i="236"/>
  <c r="J46" i="236"/>
  <c r="F46" i="236"/>
  <c r="N45" i="236"/>
  <c r="J45" i="236"/>
  <c r="E45" i="236"/>
  <c r="N44" i="236"/>
  <c r="J44" i="236"/>
  <c r="F44" i="236"/>
  <c r="N43" i="236"/>
  <c r="J43" i="236"/>
  <c r="F43" i="236"/>
  <c r="B43" i="236"/>
  <c r="N42" i="236"/>
  <c r="J42" i="236"/>
  <c r="F42" i="236"/>
  <c r="B42" i="236"/>
  <c r="N41" i="236"/>
  <c r="J41" i="236"/>
  <c r="F41" i="236"/>
  <c r="N40" i="236"/>
  <c r="J40" i="236"/>
  <c r="F40" i="236"/>
  <c r="R39" i="236"/>
  <c r="N39" i="236"/>
  <c r="J39" i="236"/>
  <c r="F39" i="236"/>
  <c r="R38" i="236"/>
  <c r="N38" i="236"/>
  <c r="J38" i="236"/>
  <c r="F38" i="236"/>
  <c r="R37" i="236"/>
  <c r="N37" i="236"/>
  <c r="J37" i="236"/>
  <c r="F37" i="236"/>
  <c r="R36" i="236"/>
  <c r="N36" i="236"/>
  <c r="J36" i="236"/>
  <c r="F36" i="236"/>
  <c r="R35" i="236"/>
  <c r="M35" i="236"/>
  <c r="I35" i="236"/>
  <c r="F35" i="236"/>
  <c r="B35" i="236"/>
  <c r="Q34" i="236"/>
  <c r="N34" i="236"/>
  <c r="J34" i="236"/>
  <c r="F34" i="236"/>
  <c r="B34" i="236"/>
  <c r="R33" i="236"/>
  <c r="N33" i="236"/>
  <c r="J33" i="236"/>
  <c r="F33" i="236"/>
  <c r="R32" i="236"/>
  <c r="N32" i="236"/>
  <c r="J32" i="236"/>
  <c r="E32" i="236"/>
  <c r="R31" i="236"/>
  <c r="N31" i="236"/>
  <c r="J31" i="236"/>
  <c r="F31" i="236"/>
  <c r="R30" i="236"/>
  <c r="N30" i="236"/>
  <c r="J30" i="236"/>
  <c r="F30" i="236"/>
  <c r="B30" i="236"/>
  <c r="R29" i="236"/>
  <c r="N29" i="236"/>
  <c r="J29" i="236"/>
  <c r="F29" i="236"/>
  <c r="B29" i="236"/>
  <c r="Q28" i="236"/>
  <c r="N28" i="236"/>
  <c r="J28" i="236"/>
  <c r="F28" i="236"/>
  <c r="R27" i="236"/>
  <c r="N27" i="236"/>
  <c r="J27" i="236"/>
  <c r="F27" i="236"/>
  <c r="R26" i="236"/>
  <c r="N26" i="236"/>
  <c r="J26" i="236"/>
  <c r="F26" i="236"/>
  <c r="R25" i="236"/>
  <c r="N25" i="236"/>
  <c r="J25" i="236"/>
  <c r="F25" i="236"/>
  <c r="R24" i="236"/>
  <c r="N24" i="236"/>
  <c r="J24" i="236"/>
  <c r="F24" i="236"/>
  <c r="R23" i="236"/>
  <c r="N23" i="236"/>
  <c r="J23" i="236"/>
  <c r="E23" i="236"/>
  <c r="Q22" i="236"/>
  <c r="N22" i="236"/>
  <c r="J22" i="236"/>
  <c r="F22" i="236"/>
  <c r="Q21" i="236"/>
  <c r="N21" i="236"/>
  <c r="J21" i="236"/>
  <c r="F21" i="236"/>
  <c r="Q20" i="236"/>
  <c r="N20" i="236"/>
  <c r="J20" i="236"/>
  <c r="F20" i="236"/>
  <c r="Q19" i="236"/>
  <c r="N19" i="236"/>
  <c r="J19" i="236"/>
  <c r="F19" i="236"/>
  <c r="Q18" i="236"/>
  <c r="N18" i="236"/>
  <c r="J18" i="236"/>
  <c r="F18" i="236"/>
  <c r="Q17" i="236"/>
  <c r="N17" i="236"/>
  <c r="J17" i="236"/>
  <c r="F17" i="236"/>
  <c r="Q16" i="236"/>
  <c r="N16" i="236"/>
  <c r="J16" i="236"/>
  <c r="F16" i="236"/>
  <c r="Q15" i="236"/>
  <c r="N15" i="236"/>
  <c r="J15" i="236"/>
  <c r="F15" i="236"/>
  <c r="Q14" i="236"/>
  <c r="M14" i="236"/>
  <c r="I14" i="236"/>
  <c r="F14" i="236"/>
  <c r="Q13" i="236"/>
  <c r="N13" i="236"/>
  <c r="J13" i="236"/>
  <c r="F13" i="236"/>
  <c r="Q12" i="236"/>
  <c r="N12" i="236"/>
  <c r="J12" i="236"/>
  <c r="F12" i="236"/>
  <c r="Q11" i="236"/>
  <c r="N11" i="236"/>
  <c r="J11" i="236"/>
  <c r="F11" i="236"/>
  <c r="Q10" i="236"/>
  <c r="N10" i="236"/>
  <c r="J10" i="236"/>
  <c r="F10" i="236"/>
  <c r="Q9" i="236"/>
  <c r="N9" i="236"/>
  <c r="J9" i="236"/>
  <c r="F9" i="236"/>
  <c r="Q8" i="236"/>
  <c r="N8" i="236"/>
  <c r="J8" i="236"/>
  <c r="F8" i="236"/>
  <c r="Q7" i="236"/>
  <c r="N7" i="236"/>
  <c r="J7" i="236"/>
  <c r="F7" i="236"/>
  <c r="Q6" i="236"/>
  <c r="N6" i="236"/>
  <c r="J6" i="236"/>
  <c r="F6" i="236"/>
  <c r="Q5" i="236"/>
  <c r="N5" i="236"/>
  <c r="J5" i="236"/>
  <c r="F5" i="236"/>
  <c r="Q4" i="236"/>
  <c r="N4" i="236"/>
  <c r="J4" i="236"/>
  <c r="F4" i="236"/>
  <c r="Q3" i="236"/>
  <c r="N3" i="236"/>
  <c r="J3" i="236"/>
  <c r="F3" i="236"/>
  <c r="Q2" i="236"/>
  <c r="N2" i="236"/>
  <c r="J2" i="236"/>
  <c r="E2" i="236"/>
  <c r="A1" i="236"/>
  <c r="F1" i="229" s="1"/>
  <c r="R114" i="235"/>
  <c r="N114" i="235"/>
  <c r="J114" i="235"/>
  <c r="R113" i="235"/>
  <c r="N113" i="235"/>
  <c r="J113" i="235"/>
  <c r="R112" i="235"/>
  <c r="N112" i="235"/>
  <c r="J112" i="235"/>
  <c r="R111" i="235"/>
  <c r="N111" i="235"/>
  <c r="J111" i="235"/>
  <c r="R110" i="235"/>
  <c r="N110" i="235"/>
  <c r="J110" i="235"/>
  <c r="R109" i="235"/>
  <c r="N109" i="235"/>
  <c r="J109" i="235"/>
  <c r="R108" i="235"/>
  <c r="N108" i="235"/>
  <c r="J108" i="235"/>
  <c r="R107" i="235"/>
  <c r="N107" i="235"/>
  <c r="J107" i="235"/>
  <c r="R106" i="235"/>
  <c r="N106" i="235"/>
  <c r="J106" i="235"/>
  <c r="E106" i="235"/>
  <c r="R105" i="235"/>
  <c r="N105" i="235"/>
  <c r="J105" i="235"/>
  <c r="E105" i="235"/>
  <c r="R104" i="235"/>
  <c r="N104" i="235"/>
  <c r="J104" i="235"/>
  <c r="E104" i="235"/>
  <c r="R103" i="235"/>
  <c r="N103" i="235"/>
  <c r="J103" i="235"/>
  <c r="E103" i="235"/>
  <c r="R102" i="235"/>
  <c r="N102" i="235"/>
  <c r="J102" i="235"/>
  <c r="E102" i="235"/>
  <c r="R101" i="235"/>
  <c r="N101" i="235"/>
  <c r="J101" i="235"/>
  <c r="E101" i="235"/>
  <c r="R100" i="235"/>
  <c r="N100" i="235"/>
  <c r="J100" i="235"/>
  <c r="E100" i="235"/>
  <c r="R99" i="235"/>
  <c r="N99" i="235"/>
  <c r="J99" i="235"/>
  <c r="E99" i="235"/>
  <c r="R98" i="235"/>
  <c r="N98" i="235"/>
  <c r="J98" i="235"/>
  <c r="E98" i="235"/>
  <c r="R97" i="235"/>
  <c r="N97" i="235"/>
  <c r="J97" i="235"/>
  <c r="E97" i="235"/>
  <c r="R96" i="235"/>
  <c r="N96" i="235"/>
  <c r="J96" i="235"/>
  <c r="E96" i="235"/>
  <c r="R95" i="235"/>
  <c r="N95" i="235"/>
  <c r="J95" i="235"/>
  <c r="E95" i="235"/>
  <c r="Q94" i="235"/>
  <c r="M94" i="235"/>
  <c r="I94" i="235"/>
  <c r="E94" i="235"/>
  <c r="R93" i="235"/>
  <c r="N93" i="235"/>
  <c r="J93" i="235"/>
  <c r="E93" i="235"/>
  <c r="R92" i="235"/>
  <c r="N92" i="235"/>
  <c r="J92" i="235"/>
  <c r="E92" i="235"/>
  <c r="R91" i="235"/>
  <c r="N91" i="235"/>
  <c r="J91" i="235"/>
  <c r="E91" i="235"/>
  <c r="R90" i="235"/>
  <c r="N90" i="235"/>
  <c r="J90" i="235"/>
  <c r="E90" i="235"/>
  <c r="R89" i="235"/>
  <c r="N89" i="235"/>
  <c r="J89" i="235"/>
  <c r="E89" i="235"/>
  <c r="R88" i="235"/>
  <c r="N88" i="235"/>
  <c r="J88" i="235"/>
  <c r="E88" i="235"/>
  <c r="R87" i="235"/>
  <c r="N87" i="235"/>
  <c r="J87" i="235"/>
  <c r="E87" i="235"/>
  <c r="R86" i="235"/>
  <c r="N86" i="235"/>
  <c r="J86" i="235"/>
  <c r="E86" i="235"/>
  <c r="R85" i="235"/>
  <c r="N85" i="235"/>
  <c r="J85" i="235"/>
  <c r="E85" i="235"/>
  <c r="R84" i="235"/>
  <c r="N84" i="235"/>
  <c r="J84" i="235"/>
  <c r="E84" i="235"/>
  <c r="R83" i="235"/>
  <c r="N83" i="235"/>
  <c r="J83" i="235"/>
  <c r="E83" i="235"/>
  <c r="R82" i="235"/>
  <c r="N82" i="235"/>
  <c r="J82" i="235"/>
  <c r="E82" i="235"/>
  <c r="R81" i="235"/>
  <c r="N81" i="235"/>
  <c r="J81" i="235"/>
  <c r="E81" i="235"/>
  <c r="R80" i="235"/>
  <c r="N80" i="235"/>
  <c r="J80" i="235"/>
  <c r="E80" i="235"/>
  <c r="R79" i="235"/>
  <c r="N79" i="235"/>
  <c r="J79" i="235"/>
  <c r="E79" i="235"/>
  <c r="R78" i="235"/>
  <c r="N78" i="235"/>
  <c r="J78" i="235"/>
  <c r="E78" i="235"/>
  <c r="A78" i="235"/>
  <c r="R77" i="235"/>
  <c r="N77" i="235"/>
  <c r="J77" i="235"/>
  <c r="E77" i="235"/>
  <c r="A77" i="235"/>
  <c r="R76" i="235"/>
  <c r="N76" i="235"/>
  <c r="J76" i="235"/>
  <c r="E76" i="235"/>
  <c r="A76" i="235"/>
  <c r="R75" i="235"/>
  <c r="N75" i="235"/>
  <c r="J75" i="235"/>
  <c r="E75" i="235"/>
  <c r="A75" i="235"/>
  <c r="R74" i="235"/>
  <c r="N74" i="235"/>
  <c r="J74" i="235"/>
  <c r="E74" i="235"/>
  <c r="A74" i="235"/>
  <c r="Q73" i="235"/>
  <c r="M73" i="235"/>
  <c r="I73" i="235"/>
  <c r="E73" i="235"/>
  <c r="A73" i="235"/>
  <c r="N67" i="235"/>
  <c r="N66" i="235"/>
  <c r="N65" i="235"/>
  <c r="J65" i="235"/>
  <c r="N64" i="235"/>
  <c r="J64" i="235"/>
  <c r="N63" i="235"/>
  <c r="J63" i="235"/>
  <c r="N62" i="235"/>
  <c r="J62" i="235"/>
  <c r="N61" i="235"/>
  <c r="J61" i="235"/>
  <c r="N60" i="235"/>
  <c r="J60" i="235"/>
  <c r="N59" i="235"/>
  <c r="J59" i="235"/>
  <c r="N58" i="235"/>
  <c r="J58" i="235"/>
  <c r="M57" i="235"/>
  <c r="I57" i="235"/>
  <c r="N56" i="235"/>
  <c r="J56" i="235"/>
  <c r="N55" i="235"/>
  <c r="J55" i="235"/>
  <c r="N54" i="235"/>
  <c r="J54" i="235"/>
  <c r="N53" i="235"/>
  <c r="J53" i="235"/>
  <c r="F53" i="235"/>
  <c r="M52" i="235"/>
  <c r="J52" i="235"/>
  <c r="F52" i="235"/>
  <c r="B52" i="235"/>
  <c r="N51" i="235"/>
  <c r="J51" i="235"/>
  <c r="F51" i="235"/>
  <c r="B51" i="235"/>
  <c r="N50" i="235"/>
  <c r="J50" i="235"/>
  <c r="F50" i="235"/>
  <c r="B50" i="235"/>
  <c r="N49" i="235"/>
  <c r="J49" i="235"/>
  <c r="F49" i="235"/>
  <c r="N48" i="235"/>
  <c r="I48" i="235"/>
  <c r="F48" i="235"/>
  <c r="N47" i="235"/>
  <c r="J47" i="235"/>
  <c r="F47" i="235"/>
  <c r="N46" i="235"/>
  <c r="J46" i="235"/>
  <c r="F46" i="235"/>
  <c r="N45" i="235"/>
  <c r="J45" i="235"/>
  <c r="E45" i="235"/>
  <c r="N44" i="235"/>
  <c r="J44" i="235"/>
  <c r="F44" i="235"/>
  <c r="N43" i="235"/>
  <c r="J43" i="235"/>
  <c r="F43" i="235"/>
  <c r="B43" i="235"/>
  <c r="N42" i="235"/>
  <c r="J42" i="235"/>
  <c r="F42" i="235"/>
  <c r="B42" i="235"/>
  <c r="N41" i="235"/>
  <c r="J41" i="235"/>
  <c r="F41" i="235"/>
  <c r="N40" i="235"/>
  <c r="J40" i="235"/>
  <c r="F40" i="235"/>
  <c r="R39" i="235"/>
  <c r="N39" i="235"/>
  <c r="J39" i="235"/>
  <c r="F39" i="235"/>
  <c r="R38" i="235"/>
  <c r="N38" i="235"/>
  <c r="J38" i="235"/>
  <c r="F38" i="235"/>
  <c r="R37" i="235"/>
  <c r="N37" i="235"/>
  <c r="J37" i="235"/>
  <c r="F37" i="235"/>
  <c r="R36" i="235"/>
  <c r="N36" i="235"/>
  <c r="J36" i="235"/>
  <c r="F36" i="235"/>
  <c r="R35" i="235"/>
  <c r="M35" i="235"/>
  <c r="I35" i="235"/>
  <c r="F35" i="235"/>
  <c r="B35" i="235"/>
  <c r="Q34" i="235"/>
  <c r="N34" i="235"/>
  <c r="J34" i="235"/>
  <c r="F34" i="235"/>
  <c r="B34" i="235"/>
  <c r="R33" i="235"/>
  <c r="N33" i="235"/>
  <c r="J33" i="235"/>
  <c r="F33" i="235"/>
  <c r="R32" i="235"/>
  <c r="N32" i="235"/>
  <c r="J32" i="235"/>
  <c r="E32" i="235"/>
  <c r="R31" i="235"/>
  <c r="N31" i="235"/>
  <c r="J31" i="235"/>
  <c r="F31" i="235"/>
  <c r="R30" i="235"/>
  <c r="N30" i="235"/>
  <c r="J30" i="235"/>
  <c r="F30" i="235"/>
  <c r="B30" i="235"/>
  <c r="R29" i="235"/>
  <c r="N29" i="235"/>
  <c r="J29" i="235"/>
  <c r="F29" i="235"/>
  <c r="B29" i="235"/>
  <c r="Q28" i="235"/>
  <c r="N28" i="235"/>
  <c r="J28" i="235"/>
  <c r="F28" i="235"/>
  <c r="R27" i="235"/>
  <c r="N27" i="235"/>
  <c r="J27" i="235"/>
  <c r="F27" i="235"/>
  <c r="R26" i="235"/>
  <c r="N26" i="235"/>
  <c r="J26" i="235"/>
  <c r="F26" i="235"/>
  <c r="R25" i="235"/>
  <c r="N25" i="235"/>
  <c r="J25" i="235"/>
  <c r="F25" i="235"/>
  <c r="R24" i="235"/>
  <c r="N24" i="235"/>
  <c r="J24" i="235"/>
  <c r="F24" i="235"/>
  <c r="R23" i="235"/>
  <c r="N23" i="235"/>
  <c r="J23" i="235"/>
  <c r="E23" i="235"/>
  <c r="Q22" i="235"/>
  <c r="N22" i="235"/>
  <c r="J22" i="235"/>
  <c r="F22" i="235"/>
  <c r="Q21" i="235"/>
  <c r="N21" i="235"/>
  <c r="J21" i="235"/>
  <c r="F21" i="235"/>
  <c r="Q20" i="235"/>
  <c r="N20" i="235"/>
  <c r="J20" i="235"/>
  <c r="F20" i="235"/>
  <c r="Q19" i="235"/>
  <c r="N19" i="235"/>
  <c r="J19" i="235"/>
  <c r="F19" i="235"/>
  <c r="Q18" i="235"/>
  <c r="N18" i="235"/>
  <c r="J18" i="235"/>
  <c r="F18" i="235"/>
  <c r="Q17" i="235"/>
  <c r="N17" i="235"/>
  <c r="J17" i="235"/>
  <c r="F17" i="235"/>
  <c r="Q16" i="235"/>
  <c r="N16" i="235"/>
  <c r="J16" i="235"/>
  <c r="F16" i="235"/>
  <c r="Q15" i="235"/>
  <c r="N15" i="235"/>
  <c r="J15" i="235"/>
  <c r="F15" i="235"/>
  <c r="Q14" i="235"/>
  <c r="M14" i="235"/>
  <c r="I14" i="235"/>
  <c r="F14" i="235"/>
  <c r="Q13" i="235"/>
  <c r="N13" i="235"/>
  <c r="J13" i="235"/>
  <c r="F13" i="235"/>
  <c r="Q12" i="235"/>
  <c r="N12" i="235"/>
  <c r="J12" i="235"/>
  <c r="F12" i="235"/>
  <c r="Q11" i="235"/>
  <c r="N11" i="235"/>
  <c r="J11" i="235"/>
  <c r="F11" i="235"/>
  <c r="Q10" i="235"/>
  <c r="N10" i="235"/>
  <c r="J10" i="235"/>
  <c r="F10" i="235"/>
  <c r="Q9" i="235"/>
  <c r="N9" i="235"/>
  <c r="J9" i="235"/>
  <c r="F9" i="235"/>
  <c r="Q8" i="235"/>
  <c r="N8" i="235"/>
  <c r="J8" i="235"/>
  <c r="F8" i="235"/>
  <c r="Q7" i="235"/>
  <c r="N7" i="235"/>
  <c r="J7" i="235"/>
  <c r="F7" i="235"/>
  <c r="Q6" i="235"/>
  <c r="N6" i="235"/>
  <c r="J6" i="235"/>
  <c r="F6" i="235"/>
  <c r="Q5" i="235"/>
  <c r="N5" i="235"/>
  <c r="J5" i="235"/>
  <c r="F5" i="235"/>
  <c r="Q4" i="235"/>
  <c r="N4" i="235"/>
  <c r="J4" i="235"/>
  <c r="F4" i="235"/>
  <c r="Q3" i="235"/>
  <c r="N3" i="235"/>
  <c r="J3" i="235"/>
  <c r="F3" i="235"/>
  <c r="Q2" i="235"/>
  <c r="N2" i="235"/>
  <c r="J2" i="235"/>
  <c r="E2" i="235"/>
  <c r="A1" i="235"/>
  <c r="E1" i="229" s="1"/>
  <c r="D119" i="208"/>
  <c r="D19" i="208"/>
  <c r="D15" i="208"/>
  <c r="F9" i="214"/>
  <c r="F10" i="214"/>
  <c r="D42" i="208"/>
  <c r="D57" i="208"/>
  <c r="B42" i="214"/>
  <c r="C41" i="214"/>
  <c r="C31" i="214"/>
  <c r="C32" i="214"/>
  <c r="C33" i="214"/>
  <c r="C37" i="214"/>
  <c r="C38" i="214"/>
  <c r="C39" i="214"/>
  <c r="C40" i="214"/>
  <c r="C36" i="214"/>
  <c r="B45" i="214"/>
  <c r="B46" i="214"/>
  <c r="B47" i="214"/>
  <c r="B44" i="214"/>
  <c r="C45" i="214"/>
  <c r="C46" i="214"/>
  <c r="C47" i="214"/>
  <c r="C44" i="214"/>
  <c r="B43" i="214"/>
  <c r="N60" i="214"/>
  <c r="B35" i="214"/>
  <c r="B34" i="214"/>
  <c r="B39" i="214"/>
  <c r="B40" i="214"/>
  <c r="B41" i="214"/>
  <c r="B37" i="214"/>
  <c r="B38" i="214"/>
  <c r="B36" i="214"/>
  <c r="B32" i="214"/>
  <c r="B33" i="214"/>
  <c r="B31" i="214"/>
  <c r="B30" i="214"/>
  <c r="B29" i="214"/>
  <c r="L1" i="207" l="1"/>
  <c r="M1" i="54"/>
  <c r="N1" i="207"/>
  <c r="O1" i="54"/>
  <c r="P1" i="207"/>
  <c r="Q1" i="54"/>
  <c r="M1" i="207"/>
  <c r="N1" i="54"/>
  <c r="O1" i="207"/>
  <c r="P1" i="54"/>
  <c r="R1" i="208"/>
  <c r="R1" i="72"/>
  <c r="Q1" i="208"/>
  <c r="Q1" i="72"/>
  <c r="P1" i="208"/>
  <c r="P1" i="72"/>
  <c r="O1" i="208"/>
  <c r="O1" i="72"/>
  <c r="N1" i="208"/>
  <c r="N1" i="72"/>
  <c r="M1" i="208"/>
  <c r="A133" i="75"/>
  <c r="A145" i="75"/>
  <c r="A157" i="75"/>
  <c r="A169" i="75"/>
  <c r="A121" i="75"/>
  <c r="AD1" i="210"/>
  <c r="AB1" i="210"/>
  <c r="Z1" i="210"/>
  <c r="X1" i="210"/>
  <c r="V1" i="210"/>
  <c r="T1" i="210"/>
  <c r="E1" i="177"/>
  <c r="G1" i="177"/>
  <c r="I1" i="177"/>
  <c r="K1" i="177"/>
  <c r="M1" i="177"/>
  <c r="O1" i="177"/>
  <c r="Q1" i="177"/>
  <c r="F1" i="177"/>
  <c r="H1" i="177"/>
  <c r="J1" i="177"/>
  <c r="L1" i="177"/>
  <c r="N1" i="177"/>
  <c r="P1" i="177"/>
  <c r="R1" i="177"/>
  <c r="E1" i="230"/>
  <c r="G1" i="230"/>
  <c r="I1" i="230"/>
  <c r="K1" i="230"/>
  <c r="M1" i="230"/>
  <c r="O1" i="230"/>
  <c r="Q1" i="230"/>
  <c r="F1" i="230"/>
  <c r="H1" i="230"/>
  <c r="J1" i="230"/>
  <c r="L1" i="230"/>
  <c r="N1" i="230"/>
  <c r="P1" i="230"/>
  <c r="R1" i="230"/>
  <c r="E1" i="232"/>
  <c r="G1" i="232"/>
  <c r="I1" i="232"/>
  <c r="K1" i="232"/>
  <c r="M1" i="232"/>
  <c r="O1" i="232"/>
  <c r="Q1" i="232"/>
  <c r="F1" i="232"/>
  <c r="H1" i="232"/>
  <c r="J1" i="232"/>
  <c r="L1" i="232"/>
  <c r="N1" i="232"/>
  <c r="P1" i="232"/>
  <c r="R1" i="232"/>
  <c r="E1" i="76"/>
  <c r="G1" i="76"/>
  <c r="I1" i="76"/>
  <c r="K1" i="76"/>
  <c r="M1" i="76"/>
  <c r="O1" i="76"/>
  <c r="Q1" i="76"/>
  <c r="F1" i="76"/>
  <c r="H1" i="76"/>
  <c r="J1" i="76"/>
  <c r="L1" i="76"/>
  <c r="N1" i="76"/>
  <c r="P1" i="76"/>
  <c r="R1" i="76"/>
  <c r="E1" i="213"/>
  <c r="G1" i="213"/>
  <c r="I1" i="213"/>
  <c r="K1" i="213"/>
  <c r="M1" i="213"/>
  <c r="O1" i="213"/>
  <c r="Q1" i="213"/>
  <c r="F1" i="213"/>
  <c r="H1" i="213"/>
  <c r="J1" i="213"/>
  <c r="L1" i="213"/>
  <c r="N1" i="213"/>
  <c r="P1" i="213"/>
  <c r="R1" i="213"/>
  <c r="M1" i="229"/>
  <c r="O1" i="229"/>
  <c r="Q1" i="229"/>
  <c r="N1" i="229"/>
  <c r="P1" i="229"/>
  <c r="R1" i="229"/>
  <c r="A84" i="210"/>
  <c r="B84" i="210"/>
  <c r="D84" i="210"/>
  <c r="F84" i="210"/>
  <c r="H84" i="210"/>
  <c r="J84" i="210"/>
  <c r="L84" i="210"/>
  <c r="N84" i="210"/>
  <c r="P84" i="210"/>
  <c r="R84" i="210"/>
  <c r="T84" i="210"/>
  <c r="V84" i="210"/>
  <c r="X84" i="210"/>
  <c r="Z84" i="210"/>
  <c r="AB84" i="210"/>
  <c r="AD84" i="210"/>
  <c r="A85" i="210"/>
  <c r="B85" i="210"/>
  <c r="D85" i="210"/>
  <c r="F85" i="210"/>
  <c r="H85" i="210"/>
  <c r="J85" i="210"/>
  <c r="L85" i="210"/>
  <c r="N85" i="210"/>
  <c r="P85" i="210"/>
  <c r="R85" i="210"/>
  <c r="T85" i="210"/>
  <c r="V85" i="210"/>
  <c r="X85" i="210"/>
  <c r="Z85" i="210"/>
  <c r="AB85" i="210"/>
  <c r="AD85" i="210"/>
  <c r="A86" i="210"/>
  <c r="B86" i="210"/>
  <c r="D86" i="210"/>
  <c r="F86" i="210"/>
  <c r="H86" i="210"/>
  <c r="J86" i="210"/>
  <c r="L86" i="210"/>
  <c r="N86" i="210"/>
  <c r="P86" i="210"/>
  <c r="R86" i="210"/>
  <c r="T86" i="210"/>
  <c r="V86" i="210"/>
  <c r="X86" i="210"/>
  <c r="Z86" i="210"/>
  <c r="AB86" i="210"/>
  <c r="AD86" i="210"/>
  <c r="A87" i="210"/>
  <c r="B87" i="210"/>
  <c r="D87" i="210"/>
  <c r="F87" i="210"/>
  <c r="H87" i="210"/>
  <c r="J87" i="210"/>
  <c r="L87" i="210"/>
  <c r="N87" i="210"/>
  <c r="P87" i="210"/>
  <c r="R87" i="210"/>
  <c r="T87" i="210"/>
  <c r="V87" i="210"/>
  <c r="X87" i="210"/>
  <c r="Z87" i="210"/>
  <c r="AB87" i="210"/>
  <c r="AD87" i="210"/>
  <c r="A18" i="210"/>
  <c r="A20" i="210"/>
  <c r="A19" i="210"/>
  <c r="A17" i="211" s="1"/>
  <c r="A57" i="210" l="1"/>
  <c r="R31" i="229" l="1"/>
  <c r="AD20" i="210" s="1"/>
  <c r="Q31" i="229"/>
  <c r="AB20" i="210" s="1"/>
  <c r="P31" i="229"/>
  <c r="Z20" i="210" s="1"/>
  <c r="O31" i="229"/>
  <c r="X20" i="210" s="1"/>
  <c r="N31" i="229"/>
  <c r="V20" i="210" s="1"/>
  <c r="M31" i="229"/>
  <c r="T20" i="210" s="1"/>
  <c r="L31" i="229"/>
  <c r="R20" i="210" s="1"/>
  <c r="K31" i="229"/>
  <c r="P20" i="210" s="1"/>
  <c r="J31" i="229"/>
  <c r="N20" i="210" s="1"/>
  <c r="I31" i="229"/>
  <c r="L20" i="210" s="1"/>
  <c r="H31" i="229"/>
  <c r="J20" i="210" s="1"/>
  <c r="G31" i="229"/>
  <c r="H20" i="210" s="1"/>
  <c r="F31" i="229"/>
  <c r="F20" i="210" s="1"/>
  <c r="E31" i="229"/>
  <c r="D20" i="210" s="1"/>
  <c r="D31" i="229"/>
  <c r="B20" i="210" s="1"/>
  <c r="R22" i="229"/>
  <c r="AD19" i="210" s="1"/>
  <c r="Q22" i="229"/>
  <c r="AB19" i="210" s="1"/>
  <c r="P22" i="229"/>
  <c r="Z19" i="210" s="1"/>
  <c r="O22" i="229"/>
  <c r="X19" i="210" s="1"/>
  <c r="N22" i="229"/>
  <c r="V19" i="210" s="1"/>
  <c r="M22" i="229"/>
  <c r="T19" i="210" s="1"/>
  <c r="L22" i="229"/>
  <c r="R19" i="210" s="1"/>
  <c r="K22" i="229"/>
  <c r="P19" i="210" s="1"/>
  <c r="J22" i="229"/>
  <c r="N19" i="210" s="1"/>
  <c r="I22" i="229"/>
  <c r="L19" i="210" s="1"/>
  <c r="H22" i="229"/>
  <c r="J19" i="210" s="1"/>
  <c r="G22" i="229"/>
  <c r="H19" i="210" s="1"/>
  <c r="F22" i="229"/>
  <c r="F19" i="210" s="1"/>
  <c r="E22" i="229"/>
  <c r="D19" i="210" s="1"/>
  <c r="D22" i="229"/>
  <c r="B19" i="210" s="1"/>
  <c r="R11" i="229"/>
  <c r="AD18" i="210" s="1"/>
  <c r="Q11" i="229"/>
  <c r="AB18" i="210" s="1"/>
  <c r="P11" i="229"/>
  <c r="Z18" i="210" s="1"/>
  <c r="O11" i="229"/>
  <c r="X18" i="210" s="1"/>
  <c r="N11" i="229"/>
  <c r="V18" i="210" s="1"/>
  <c r="M11" i="229"/>
  <c r="T18" i="210" s="1"/>
  <c r="L11" i="229"/>
  <c r="R18" i="210" s="1"/>
  <c r="K11" i="229"/>
  <c r="P18" i="210" s="1"/>
  <c r="J11" i="229"/>
  <c r="N18" i="210" s="1"/>
  <c r="I11" i="229"/>
  <c r="L18" i="210" s="1"/>
  <c r="H11" i="229"/>
  <c r="J18" i="210" s="1"/>
  <c r="G11" i="229"/>
  <c r="H18" i="210" s="1"/>
  <c r="F11" i="229"/>
  <c r="F18" i="210" s="1"/>
  <c r="E11" i="229"/>
  <c r="D18" i="210" s="1"/>
  <c r="D11" i="229"/>
  <c r="B18" i="210" s="1"/>
  <c r="B18" i="211" l="1"/>
  <c r="B19" i="211"/>
  <c r="B17" i="211"/>
  <c r="R92" i="208"/>
  <c r="Q92" i="208"/>
  <c r="P92" i="208"/>
  <c r="O92" i="208"/>
  <c r="N92" i="208"/>
  <c r="M92" i="208"/>
  <c r="L92" i="208"/>
  <c r="K92" i="208"/>
  <c r="J92" i="208"/>
  <c r="I92" i="208"/>
  <c r="H92" i="208"/>
  <c r="G92" i="208"/>
  <c r="F92" i="208"/>
  <c r="E92" i="208"/>
  <c r="D92" i="208"/>
  <c r="R88" i="208"/>
  <c r="Q88" i="208"/>
  <c r="P88" i="208"/>
  <c r="O88" i="208"/>
  <c r="N88" i="208"/>
  <c r="M88" i="208"/>
  <c r="L88" i="208"/>
  <c r="K88" i="208"/>
  <c r="J88" i="208"/>
  <c r="I88" i="208"/>
  <c r="H88" i="208"/>
  <c r="G88" i="208"/>
  <c r="F88" i="208"/>
  <c r="E88" i="208"/>
  <c r="D88" i="208"/>
  <c r="R84" i="208"/>
  <c r="Q84" i="208"/>
  <c r="P84" i="208"/>
  <c r="O84" i="208"/>
  <c r="N84" i="208"/>
  <c r="M84" i="208"/>
  <c r="L84" i="208"/>
  <c r="K84" i="208"/>
  <c r="J84" i="208"/>
  <c r="I84" i="208"/>
  <c r="H84" i="208"/>
  <c r="G84" i="208"/>
  <c r="F84" i="208"/>
  <c r="E84" i="208"/>
  <c r="D84" i="208"/>
  <c r="R80" i="208"/>
  <c r="Q80" i="208"/>
  <c r="P80" i="208"/>
  <c r="O80" i="208"/>
  <c r="N80" i="208"/>
  <c r="M80" i="208"/>
  <c r="L80" i="208"/>
  <c r="K80" i="208"/>
  <c r="J80" i="208"/>
  <c r="I80" i="208"/>
  <c r="H80" i="208"/>
  <c r="G80" i="208"/>
  <c r="F80" i="208"/>
  <c r="E80" i="208"/>
  <c r="D80" i="208"/>
  <c r="D34" i="208"/>
  <c r="E14" i="76" l="1"/>
  <c r="D31" i="210" s="1"/>
  <c r="F14" i="76"/>
  <c r="F31" i="210" s="1"/>
  <c r="G14" i="76"/>
  <c r="H31" i="210" s="1"/>
  <c r="H14" i="76"/>
  <c r="J31" i="210" s="1"/>
  <c r="I14" i="76"/>
  <c r="J14" i="76"/>
  <c r="K14" i="76"/>
  <c r="L14" i="76"/>
  <c r="M14" i="76"/>
  <c r="N14" i="76"/>
  <c r="O14" i="76"/>
  <c r="P14" i="76"/>
  <c r="Q14" i="76"/>
  <c r="R14" i="76"/>
  <c r="E11" i="76"/>
  <c r="D30" i="210" s="1"/>
  <c r="F11" i="76"/>
  <c r="F30" i="210" s="1"/>
  <c r="G11" i="76"/>
  <c r="H30" i="210" s="1"/>
  <c r="H11" i="76"/>
  <c r="J30" i="210" s="1"/>
  <c r="I11" i="76"/>
  <c r="J11" i="76"/>
  <c r="K11" i="76"/>
  <c r="L11" i="76"/>
  <c r="M11" i="76"/>
  <c r="N11" i="76"/>
  <c r="O11" i="76"/>
  <c r="P11" i="76"/>
  <c r="Q11" i="76"/>
  <c r="R11" i="76"/>
  <c r="D14" i="76"/>
  <c r="B31" i="210" s="1"/>
  <c r="D11" i="76"/>
  <c r="B30" i="210" s="1"/>
  <c r="C1" i="232" l="1"/>
  <c r="C2" i="232"/>
  <c r="C1" i="213"/>
  <c r="C2" i="213"/>
  <c r="C2" i="208"/>
  <c r="C1" i="208"/>
  <c r="R48" i="210" l="1"/>
  <c r="R47" i="210"/>
  <c r="R46" i="210"/>
  <c r="R45" i="210"/>
  <c r="R44" i="210"/>
  <c r="R43" i="210"/>
  <c r="R42" i="210"/>
  <c r="R41" i="210"/>
  <c r="R40" i="210"/>
  <c r="R39" i="210"/>
  <c r="R38" i="210"/>
  <c r="R37" i="210"/>
  <c r="R36" i="210"/>
  <c r="R35" i="210"/>
  <c r="R34" i="210"/>
  <c r="R31" i="210"/>
  <c r="R30" i="210"/>
  <c r="Q6" i="214"/>
  <c r="A33" i="210"/>
  <c r="A32" i="211" s="1"/>
  <c r="D1" i="210" l="1"/>
  <c r="F1" i="210"/>
  <c r="L1" i="210"/>
  <c r="N1" i="210"/>
  <c r="P1" i="210"/>
  <c r="R1" i="210"/>
  <c r="H1" i="210"/>
  <c r="J1" i="210"/>
  <c r="A109" i="75"/>
  <c r="A97" i="75"/>
  <c r="A85" i="75"/>
  <c r="A73" i="75"/>
  <c r="A61" i="75"/>
  <c r="A49" i="75"/>
  <c r="A37" i="75"/>
  <c r="A25" i="75"/>
  <c r="D1" i="54"/>
  <c r="A13" i="75"/>
  <c r="E1" i="72"/>
  <c r="C1" i="207"/>
  <c r="G1" i="72"/>
  <c r="G1" i="207"/>
  <c r="I1" i="72"/>
  <c r="K1" i="72"/>
  <c r="E1" i="207"/>
  <c r="H1" i="72"/>
  <c r="L1" i="72"/>
  <c r="M1" i="72"/>
  <c r="F1" i="72"/>
  <c r="J1" i="72"/>
  <c r="I1" i="207"/>
  <c r="F1" i="207"/>
  <c r="J1" i="207"/>
  <c r="K1" i="207"/>
  <c r="H1" i="54"/>
  <c r="D1" i="207"/>
  <c r="H1" i="207"/>
  <c r="L1" i="54"/>
  <c r="F1" i="54"/>
  <c r="J1" i="54"/>
  <c r="G1" i="54"/>
  <c r="K1" i="54"/>
  <c r="K1" i="208"/>
  <c r="E1" i="54"/>
  <c r="I1" i="54"/>
  <c r="G1" i="208"/>
  <c r="H1" i="208"/>
  <c r="L1" i="208"/>
  <c r="E1" i="208"/>
  <c r="I1" i="208"/>
  <c r="F1" i="208"/>
  <c r="J1" i="208"/>
  <c r="P48" i="210"/>
  <c r="P47" i="210"/>
  <c r="P46" i="210"/>
  <c r="P45" i="210"/>
  <c r="P44" i="210"/>
  <c r="P43" i="210"/>
  <c r="P42" i="210"/>
  <c r="P41" i="210"/>
  <c r="P40" i="210"/>
  <c r="P39" i="210"/>
  <c r="P38" i="210"/>
  <c r="P37" i="210"/>
  <c r="P36" i="210"/>
  <c r="P35" i="210"/>
  <c r="P34" i="210"/>
  <c r="P31" i="210"/>
  <c r="P30" i="210"/>
  <c r="N48" i="210"/>
  <c r="N47" i="210"/>
  <c r="N46" i="210"/>
  <c r="N45" i="210"/>
  <c r="N44" i="210"/>
  <c r="N43" i="210"/>
  <c r="N42" i="210"/>
  <c r="N41" i="210"/>
  <c r="N40" i="210"/>
  <c r="N39" i="210"/>
  <c r="N38" i="210"/>
  <c r="N37" i="210"/>
  <c r="N36" i="210"/>
  <c r="N35" i="210"/>
  <c r="N34" i="210"/>
  <c r="N31" i="210"/>
  <c r="N30" i="210"/>
  <c r="L48" i="210"/>
  <c r="L47" i="210"/>
  <c r="L46" i="210"/>
  <c r="L45" i="210"/>
  <c r="L44" i="210"/>
  <c r="L43" i="210"/>
  <c r="L42" i="210"/>
  <c r="L41" i="210"/>
  <c r="L40" i="210"/>
  <c r="L39" i="210"/>
  <c r="L38" i="210"/>
  <c r="L37" i="210"/>
  <c r="L36" i="210"/>
  <c r="L35" i="210"/>
  <c r="L34" i="210"/>
  <c r="L31" i="210"/>
  <c r="L30" i="210"/>
  <c r="J48" i="210"/>
  <c r="J47" i="210"/>
  <c r="J46" i="210"/>
  <c r="J45" i="210"/>
  <c r="J44" i="210"/>
  <c r="J43" i="210"/>
  <c r="J42" i="210"/>
  <c r="J41" i="210"/>
  <c r="J40" i="210"/>
  <c r="J39" i="210"/>
  <c r="J38" i="210"/>
  <c r="J37" i="210"/>
  <c r="J36" i="210"/>
  <c r="J35" i="210"/>
  <c r="J34" i="210"/>
  <c r="H48" i="210"/>
  <c r="H47" i="210"/>
  <c r="H46" i="210"/>
  <c r="H45" i="210"/>
  <c r="H44" i="210"/>
  <c r="H43" i="210"/>
  <c r="H42" i="210"/>
  <c r="H41" i="210"/>
  <c r="H40" i="210"/>
  <c r="H39" i="210"/>
  <c r="H38" i="210"/>
  <c r="H37" i="210"/>
  <c r="H36" i="210"/>
  <c r="H35" i="210"/>
  <c r="H34" i="210"/>
  <c r="N83" i="210"/>
  <c r="N82" i="210"/>
  <c r="N81" i="210"/>
  <c r="N80" i="210"/>
  <c r="N79" i="210"/>
  <c r="N78" i="210"/>
  <c r="N77" i="210"/>
  <c r="N76" i="210"/>
  <c r="N75" i="210"/>
  <c r="N74" i="210"/>
  <c r="N73" i="210"/>
  <c r="N72" i="210"/>
  <c r="N71" i="210"/>
  <c r="N70" i="210"/>
  <c r="N69" i="210"/>
  <c r="N68" i="210"/>
  <c r="N67" i="210"/>
  <c r="N66" i="210"/>
  <c r="N65" i="210"/>
  <c r="N64" i="210"/>
  <c r="N63" i="210"/>
  <c r="N62" i="210"/>
  <c r="N61" i="210"/>
  <c r="N60" i="210"/>
  <c r="N59" i="210"/>
  <c r="N58" i="210"/>
  <c r="N57" i="210"/>
  <c r="N56" i="210"/>
  <c r="N55" i="210"/>
  <c r="N54" i="210"/>
  <c r="F48" i="210"/>
  <c r="F47" i="210"/>
  <c r="F46" i="210"/>
  <c r="F45" i="210"/>
  <c r="F44" i="210"/>
  <c r="F43" i="210"/>
  <c r="F42" i="210"/>
  <c r="F41" i="210"/>
  <c r="F40" i="210"/>
  <c r="F39" i="210"/>
  <c r="F38" i="210"/>
  <c r="F37" i="210"/>
  <c r="F36" i="210"/>
  <c r="F35" i="210"/>
  <c r="F34" i="210"/>
  <c r="J83" i="210"/>
  <c r="J82" i="210"/>
  <c r="J81" i="210"/>
  <c r="J80" i="210"/>
  <c r="J79" i="210"/>
  <c r="J78" i="210"/>
  <c r="J77" i="210"/>
  <c r="J76" i="210"/>
  <c r="J75" i="210"/>
  <c r="J74" i="210"/>
  <c r="J73" i="210"/>
  <c r="J72" i="210"/>
  <c r="J71" i="210"/>
  <c r="J70" i="210"/>
  <c r="J69" i="210"/>
  <c r="J68" i="210"/>
  <c r="J67" i="210"/>
  <c r="J66" i="210"/>
  <c r="J65" i="210"/>
  <c r="J64" i="210"/>
  <c r="J63" i="210"/>
  <c r="J62" i="210"/>
  <c r="J61" i="210"/>
  <c r="J60" i="210"/>
  <c r="J59" i="210"/>
  <c r="J58" i="210"/>
  <c r="J57" i="210"/>
  <c r="J56" i="210"/>
  <c r="J55" i="210"/>
  <c r="J54" i="210"/>
  <c r="D48" i="210"/>
  <c r="D47" i="210"/>
  <c r="D46" i="210"/>
  <c r="D45" i="210"/>
  <c r="D44" i="210"/>
  <c r="D43" i="210"/>
  <c r="D42" i="210"/>
  <c r="D41" i="210"/>
  <c r="D40" i="210"/>
  <c r="D39" i="210"/>
  <c r="D38" i="210"/>
  <c r="D37" i="210"/>
  <c r="D36" i="210"/>
  <c r="D35" i="210"/>
  <c r="D34" i="210"/>
  <c r="T48" i="210"/>
  <c r="T47" i="210"/>
  <c r="T46" i="210"/>
  <c r="T45" i="210"/>
  <c r="T44" i="210"/>
  <c r="T43" i="210"/>
  <c r="T42" i="210"/>
  <c r="T41" i="210"/>
  <c r="T40" i="210"/>
  <c r="T39" i="210"/>
  <c r="T38" i="210"/>
  <c r="T37" i="210"/>
  <c r="T36" i="210"/>
  <c r="T35" i="210"/>
  <c r="T34" i="210"/>
  <c r="T31" i="210"/>
  <c r="T30" i="210"/>
  <c r="V48" i="210"/>
  <c r="V47" i="210"/>
  <c r="V46" i="210"/>
  <c r="V45" i="210"/>
  <c r="V44" i="210"/>
  <c r="V43" i="210"/>
  <c r="V42" i="210"/>
  <c r="V41" i="210"/>
  <c r="V40" i="210"/>
  <c r="V39" i="210"/>
  <c r="V38" i="210"/>
  <c r="V37" i="210"/>
  <c r="V36" i="210"/>
  <c r="V35" i="210"/>
  <c r="V34" i="210"/>
  <c r="V31" i="210"/>
  <c r="V30" i="210"/>
  <c r="X48" i="210"/>
  <c r="X47" i="210"/>
  <c r="X46" i="210"/>
  <c r="X45" i="210"/>
  <c r="X44" i="210"/>
  <c r="X43" i="210"/>
  <c r="X42" i="210"/>
  <c r="X41" i="210"/>
  <c r="X40" i="210"/>
  <c r="X39" i="210"/>
  <c r="X38" i="210"/>
  <c r="X37" i="210"/>
  <c r="X36" i="210"/>
  <c r="X35" i="210"/>
  <c r="X34" i="210"/>
  <c r="X31" i="210"/>
  <c r="X30" i="210"/>
  <c r="Z48" i="210"/>
  <c r="Z47" i="210"/>
  <c r="Z46" i="210"/>
  <c r="Z45" i="210"/>
  <c r="Z44" i="210"/>
  <c r="Z43" i="210"/>
  <c r="Z42" i="210"/>
  <c r="Z41" i="210"/>
  <c r="Z40" i="210"/>
  <c r="Z39" i="210"/>
  <c r="Z38" i="210"/>
  <c r="Z37" i="210"/>
  <c r="Z36" i="210"/>
  <c r="Z35" i="210"/>
  <c r="Z34" i="210"/>
  <c r="Z31" i="210"/>
  <c r="Z30" i="210"/>
  <c r="AB48" i="210"/>
  <c r="AB47" i="210"/>
  <c r="AB46" i="210"/>
  <c r="AB45" i="210"/>
  <c r="AB44" i="210"/>
  <c r="AB43" i="210"/>
  <c r="AB42" i="210"/>
  <c r="AB41" i="210"/>
  <c r="AB40" i="210"/>
  <c r="AB39" i="210"/>
  <c r="AB38" i="210"/>
  <c r="AB37" i="210"/>
  <c r="AB36" i="210"/>
  <c r="AB35" i="210"/>
  <c r="AB34" i="210"/>
  <c r="AB31" i="210"/>
  <c r="AB30" i="210"/>
  <c r="AD48" i="210"/>
  <c r="AD47" i="210"/>
  <c r="AD46" i="210"/>
  <c r="AD45" i="210"/>
  <c r="AD44" i="210"/>
  <c r="AD43" i="210"/>
  <c r="AD42" i="210"/>
  <c r="AD41" i="210"/>
  <c r="AD40" i="210"/>
  <c r="AD39" i="210"/>
  <c r="AD38" i="210"/>
  <c r="AD37" i="210"/>
  <c r="AD36" i="210"/>
  <c r="AD35" i="210"/>
  <c r="AD34" i="210"/>
  <c r="AD31" i="210"/>
  <c r="AD30" i="210"/>
  <c r="E73" i="214"/>
  <c r="G73" i="214"/>
  <c r="I73" i="214"/>
  <c r="M73" i="214"/>
  <c r="Q73" i="214"/>
  <c r="E74" i="214"/>
  <c r="G74" i="214"/>
  <c r="J74" i="214"/>
  <c r="K74" i="214"/>
  <c r="N74" i="214"/>
  <c r="O74" i="214"/>
  <c r="R74" i="214"/>
  <c r="S74" i="214"/>
  <c r="A73" i="214"/>
  <c r="E75" i="214"/>
  <c r="G75" i="214"/>
  <c r="J75" i="214"/>
  <c r="K75" i="214"/>
  <c r="N75" i="214"/>
  <c r="O75" i="214"/>
  <c r="R75" i="214"/>
  <c r="S75" i="214"/>
  <c r="A74" i="214"/>
  <c r="E76" i="214"/>
  <c r="G76" i="214"/>
  <c r="J76" i="214"/>
  <c r="K76" i="214"/>
  <c r="N76" i="214"/>
  <c r="O76" i="214"/>
  <c r="R76" i="214"/>
  <c r="S76" i="214"/>
  <c r="A75" i="214"/>
  <c r="E77" i="214"/>
  <c r="G77" i="214"/>
  <c r="J77" i="214"/>
  <c r="K77" i="214"/>
  <c r="N77" i="214"/>
  <c r="O77" i="214"/>
  <c r="R77" i="214"/>
  <c r="S77" i="214"/>
  <c r="A76" i="214"/>
  <c r="E78" i="214"/>
  <c r="G78" i="214"/>
  <c r="J78" i="214"/>
  <c r="N78" i="214"/>
  <c r="R78" i="214"/>
  <c r="A77" i="214"/>
  <c r="E79" i="214"/>
  <c r="G79" i="214"/>
  <c r="J79" i="214"/>
  <c r="K79" i="214"/>
  <c r="N79" i="214"/>
  <c r="O79" i="214"/>
  <c r="R79" i="214"/>
  <c r="S79" i="214"/>
  <c r="A78" i="214"/>
  <c r="E80" i="214"/>
  <c r="G80" i="214"/>
  <c r="J80" i="214"/>
  <c r="K80" i="214"/>
  <c r="N80" i="214"/>
  <c r="O80" i="214"/>
  <c r="R80" i="214"/>
  <c r="S80" i="214"/>
  <c r="E81" i="214"/>
  <c r="G81" i="214"/>
  <c r="J81" i="214"/>
  <c r="K81" i="214"/>
  <c r="N81" i="214"/>
  <c r="O81" i="214"/>
  <c r="R81" i="214"/>
  <c r="S81" i="214"/>
  <c r="E82" i="214"/>
  <c r="G82" i="214"/>
  <c r="J82" i="214"/>
  <c r="N82" i="214"/>
  <c r="R82" i="214"/>
  <c r="E83" i="214"/>
  <c r="G83" i="214"/>
  <c r="J83" i="214"/>
  <c r="K83" i="214"/>
  <c r="N83" i="214"/>
  <c r="O83" i="214"/>
  <c r="R83" i="214"/>
  <c r="S83" i="214"/>
  <c r="E84" i="214"/>
  <c r="G84" i="214"/>
  <c r="J84" i="214"/>
  <c r="K84" i="214"/>
  <c r="N84" i="214"/>
  <c r="O84" i="214"/>
  <c r="R84" i="214"/>
  <c r="S84" i="214"/>
  <c r="E85" i="214"/>
  <c r="G85" i="214"/>
  <c r="J85" i="214"/>
  <c r="K85" i="214"/>
  <c r="N85" i="214"/>
  <c r="O85" i="214"/>
  <c r="R85" i="214"/>
  <c r="S85" i="214"/>
  <c r="E86" i="214"/>
  <c r="G86" i="214"/>
  <c r="J86" i="214"/>
  <c r="N86" i="214"/>
  <c r="R86" i="214"/>
  <c r="E87" i="214"/>
  <c r="G87" i="214"/>
  <c r="J87" i="214"/>
  <c r="K87" i="214"/>
  <c r="N87" i="214"/>
  <c r="O87" i="214"/>
  <c r="R87" i="214"/>
  <c r="S87" i="214"/>
  <c r="E88" i="214"/>
  <c r="G88" i="214"/>
  <c r="J88" i="214"/>
  <c r="K88" i="214"/>
  <c r="N88" i="214"/>
  <c r="O88" i="214"/>
  <c r="R88" i="214"/>
  <c r="S88" i="214"/>
  <c r="E89" i="214"/>
  <c r="G89" i="214"/>
  <c r="J89" i="214"/>
  <c r="K89" i="214"/>
  <c r="N89" i="214"/>
  <c r="O89" i="214"/>
  <c r="R89" i="214"/>
  <c r="S89" i="214"/>
  <c r="E90" i="214"/>
  <c r="G90" i="214"/>
  <c r="J90" i="214"/>
  <c r="N90" i="214"/>
  <c r="R90" i="214"/>
  <c r="E91" i="214"/>
  <c r="G91" i="214"/>
  <c r="J91" i="214"/>
  <c r="K91" i="214"/>
  <c r="N91" i="214"/>
  <c r="O91" i="214"/>
  <c r="R91" i="214"/>
  <c r="S91" i="214"/>
  <c r="E92" i="214"/>
  <c r="G92" i="214"/>
  <c r="J92" i="214"/>
  <c r="K92" i="214"/>
  <c r="N92" i="214"/>
  <c r="O92" i="214"/>
  <c r="R92" i="214"/>
  <c r="S92" i="214"/>
  <c r="E93" i="214"/>
  <c r="G93" i="214"/>
  <c r="J93" i="214"/>
  <c r="K93" i="214"/>
  <c r="N93" i="214"/>
  <c r="O93" i="214"/>
  <c r="R93" i="214"/>
  <c r="S93" i="214"/>
  <c r="E94" i="214"/>
  <c r="G94" i="214"/>
  <c r="I94" i="214"/>
  <c r="M94" i="214"/>
  <c r="Q94" i="214"/>
  <c r="E95" i="214"/>
  <c r="G95" i="214"/>
  <c r="J95" i="214"/>
  <c r="K95" i="214"/>
  <c r="N95" i="214"/>
  <c r="O95" i="214"/>
  <c r="R95" i="214"/>
  <c r="S95" i="214"/>
  <c r="E96" i="214"/>
  <c r="G96" i="214"/>
  <c r="J96" i="214"/>
  <c r="K96" i="214"/>
  <c r="N96" i="214"/>
  <c r="O96" i="214"/>
  <c r="R96" i="214"/>
  <c r="S96" i="214"/>
  <c r="E97" i="214"/>
  <c r="G97" i="214"/>
  <c r="J97" i="214"/>
  <c r="K97" i="214"/>
  <c r="N97" i="214"/>
  <c r="O97" i="214"/>
  <c r="R97" i="214"/>
  <c r="S97" i="214"/>
  <c r="E98" i="214"/>
  <c r="G98" i="214"/>
  <c r="J98" i="214"/>
  <c r="K98" i="214"/>
  <c r="N98" i="214"/>
  <c r="O98" i="214"/>
  <c r="R98" i="214"/>
  <c r="S98" i="214"/>
  <c r="E99" i="214"/>
  <c r="G99" i="214"/>
  <c r="J99" i="214"/>
  <c r="N99" i="214"/>
  <c r="R99" i="214"/>
  <c r="E100" i="214"/>
  <c r="G100" i="214"/>
  <c r="J100" i="214"/>
  <c r="K100" i="214"/>
  <c r="N100" i="214"/>
  <c r="O100" i="214"/>
  <c r="R100" i="214"/>
  <c r="S100" i="214"/>
  <c r="E101" i="214"/>
  <c r="G101" i="214"/>
  <c r="J101" i="214"/>
  <c r="K101" i="214"/>
  <c r="N101" i="214"/>
  <c r="O101" i="214"/>
  <c r="R101" i="214"/>
  <c r="S101" i="214"/>
  <c r="E102" i="214"/>
  <c r="G102" i="214"/>
  <c r="J102" i="214"/>
  <c r="K102" i="214"/>
  <c r="N102" i="214"/>
  <c r="O102" i="214"/>
  <c r="R102" i="214"/>
  <c r="S102" i="214"/>
  <c r="E103" i="214"/>
  <c r="G103" i="214"/>
  <c r="J103" i="214"/>
  <c r="N103" i="214"/>
  <c r="R103" i="214"/>
  <c r="E104" i="214"/>
  <c r="G104" i="214"/>
  <c r="J104" i="214"/>
  <c r="K104" i="214"/>
  <c r="N104" i="214"/>
  <c r="O104" i="214"/>
  <c r="R104" i="214"/>
  <c r="S104" i="214"/>
  <c r="E105" i="214"/>
  <c r="G105" i="214"/>
  <c r="J105" i="214"/>
  <c r="K105" i="214"/>
  <c r="N105" i="214"/>
  <c r="O105" i="214"/>
  <c r="R105" i="214"/>
  <c r="S105" i="214"/>
  <c r="E106" i="214"/>
  <c r="G106" i="214"/>
  <c r="J106" i="214"/>
  <c r="K106" i="214"/>
  <c r="N106" i="214"/>
  <c r="O106" i="214"/>
  <c r="R106" i="214"/>
  <c r="S106" i="214"/>
  <c r="J107" i="214"/>
  <c r="N107" i="214"/>
  <c r="R107" i="214"/>
  <c r="J108" i="214"/>
  <c r="K108" i="214"/>
  <c r="N108" i="214"/>
  <c r="O108" i="214"/>
  <c r="R108" i="214"/>
  <c r="S108" i="214"/>
  <c r="J109" i="214"/>
  <c r="K109" i="214"/>
  <c r="N109" i="214"/>
  <c r="O109" i="214"/>
  <c r="R109" i="214"/>
  <c r="S109" i="214"/>
  <c r="J110" i="214"/>
  <c r="K110" i="214"/>
  <c r="N110" i="214"/>
  <c r="O110" i="214"/>
  <c r="R110" i="214"/>
  <c r="S110" i="214"/>
  <c r="J111" i="214"/>
  <c r="N111" i="214"/>
  <c r="R111" i="214"/>
  <c r="J112" i="214"/>
  <c r="K112" i="214"/>
  <c r="N112" i="214"/>
  <c r="O112" i="214"/>
  <c r="R112" i="214"/>
  <c r="S112" i="214"/>
  <c r="J113" i="214"/>
  <c r="K113" i="214"/>
  <c r="N113" i="214"/>
  <c r="O113" i="214"/>
  <c r="R113" i="214"/>
  <c r="S113" i="214"/>
  <c r="J114" i="214"/>
  <c r="K114" i="214"/>
  <c r="N114" i="214"/>
  <c r="O114" i="214"/>
  <c r="R114" i="214"/>
  <c r="S114" i="214"/>
  <c r="A27" i="210" l="1"/>
  <c r="A26" i="211" s="1"/>
  <c r="R147" i="213"/>
  <c r="Q147" i="213"/>
  <c r="P147" i="213"/>
  <c r="O147" i="213"/>
  <c r="N147" i="213"/>
  <c r="M147" i="213"/>
  <c r="L147" i="213"/>
  <c r="K147" i="213"/>
  <c r="J147" i="213"/>
  <c r="I147" i="213"/>
  <c r="H147" i="213"/>
  <c r="G147" i="213"/>
  <c r="F147" i="213"/>
  <c r="E147" i="213"/>
  <c r="D147" i="213"/>
  <c r="R143" i="213"/>
  <c r="S111" i="253" s="1"/>
  <c r="Q143" i="213"/>
  <c r="S111" i="252" s="1"/>
  <c r="P143" i="213"/>
  <c r="S111" i="251" s="1"/>
  <c r="O143" i="213"/>
  <c r="S111" i="250" s="1"/>
  <c r="N143" i="213"/>
  <c r="S111" i="249" s="1"/>
  <c r="M143" i="213"/>
  <c r="S111" i="243" s="1"/>
  <c r="L143" i="213"/>
  <c r="S111" i="242" s="1"/>
  <c r="K143" i="213"/>
  <c r="S111" i="241" s="1"/>
  <c r="J143" i="213"/>
  <c r="S111" i="240" s="1"/>
  <c r="I143" i="213"/>
  <c r="S111" i="239" s="1"/>
  <c r="H143" i="213"/>
  <c r="S111" i="238" s="1"/>
  <c r="G143" i="213"/>
  <c r="S111" i="237" s="1"/>
  <c r="F143" i="213"/>
  <c r="S111" i="236" s="1"/>
  <c r="E143" i="213"/>
  <c r="S111" i="235" s="1"/>
  <c r="D143" i="213"/>
  <c r="S111" i="214" s="1"/>
  <c r="R139" i="213"/>
  <c r="S107" i="253" s="1"/>
  <c r="Q139" i="213"/>
  <c r="S107" i="252" s="1"/>
  <c r="P139" i="213"/>
  <c r="S107" i="251" s="1"/>
  <c r="O139" i="213"/>
  <c r="S107" i="250" s="1"/>
  <c r="N139" i="213"/>
  <c r="S107" i="249" s="1"/>
  <c r="M139" i="213"/>
  <c r="S107" i="243" s="1"/>
  <c r="L139" i="213"/>
  <c r="S107" i="242" s="1"/>
  <c r="K139" i="213"/>
  <c r="S107" i="241" s="1"/>
  <c r="J139" i="213"/>
  <c r="S107" i="240" s="1"/>
  <c r="I139" i="213"/>
  <c r="S107" i="239" s="1"/>
  <c r="H139" i="213"/>
  <c r="S107" i="238" s="1"/>
  <c r="G139" i="213"/>
  <c r="S107" i="237" s="1"/>
  <c r="F139" i="213"/>
  <c r="S107" i="236" s="1"/>
  <c r="E139" i="213"/>
  <c r="S107" i="235" s="1"/>
  <c r="D139" i="213"/>
  <c r="S107" i="214" s="1"/>
  <c r="R135" i="213"/>
  <c r="S103" i="253" s="1"/>
  <c r="Q135" i="213"/>
  <c r="S103" i="252" s="1"/>
  <c r="P135" i="213"/>
  <c r="O135" i="213"/>
  <c r="N135" i="213"/>
  <c r="S103" i="249" s="1"/>
  <c r="M135" i="213"/>
  <c r="S103" i="243" s="1"/>
  <c r="L135" i="213"/>
  <c r="K135" i="213"/>
  <c r="J135" i="213"/>
  <c r="S103" i="240" s="1"/>
  <c r="I135" i="213"/>
  <c r="S103" i="239" s="1"/>
  <c r="H135" i="213"/>
  <c r="G135" i="213"/>
  <c r="F135" i="213"/>
  <c r="S103" i="236" s="1"/>
  <c r="E135" i="213"/>
  <c r="S103" i="235" s="1"/>
  <c r="D135" i="213"/>
  <c r="R131" i="213"/>
  <c r="Q131" i="213"/>
  <c r="P131" i="213"/>
  <c r="S99" i="251" s="1"/>
  <c r="O131" i="213"/>
  <c r="S99" i="250" s="1"/>
  <c r="N131" i="213"/>
  <c r="M131" i="213"/>
  <c r="L131" i="213"/>
  <c r="S99" i="242" s="1"/>
  <c r="K131" i="213"/>
  <c r="S99" i="241" s="1"/>
  <c r="J131" i="213"/>
  <c r="I131" i="213"/>
  <c r="H131" i="213"/>
  <c r="S99" i="238" s="1"/>
  <c r="G131" i="213"/>
  <c r="S99" i="237" s="1"/>
  <c r="F131" i="213"/>
  <c r="E131" i="213"/>
  <c r="D131" i="213"/>
  <c r="S99" i="214" s="1"/>
  <c r="B52" i="214"/>
  <c r="B51" i="214"/>
  <c r="B50" i="214"/>
  <c r="N148" i="213" l="1"/>
  <c r="S99" i="249"/>
  <c r="O148" i="213"/>
  <c r="S103" i="250"/>
  <c r="D148" i="213"/>
  <c r="S103" i="214"/>
  <c r="L148" i="213"/>
  <c r="S103" i="242"/>
  <c r="E148" i="213"/>
  <c r="S99" i="235"/>
  <c r="I148" i="213"/>
  <c r="S99" i="239"/>
  <c r="M148" i="213"/>
  <c r="S99" i="243"/>
  <c r="Q148" i="213"/>
  <c r="S99" i="252"/>
  <c r="F148" i="213"/>
  <c r="S99" i="236"/>
  <c r="J148" i="213"/>
  <c r="S99" i="240"/>
  <c r="R148" i="213"/>
  <c r="S99" i="253"/>
  <c r="G148" i="213"/>
  <c r="S103" i="237"/>
  <c r="K148" i="213"/>
  <c r="S103" i="241"/>
  <c r="H148" i="213"/>
  <c r="S103" i="238"/>
  <c r="P148" i="213"/>
  <c r="S103" i="251"/>
  <c r="R30" i="214"/>
  <c r="R31" i="214"/>
  <c r="R32" i="214"/>
  <c r="R33" i="214"/>
  <c r="S30" i="214"/>
  <c r="S31" i="214"/>
  <c r="S32" i="214"/>
  <c r="S33" i="214"/>
  <c r="S29" i="214"/>
  <c r="R29" i="214"/>
  <c r="Q28" i="214"/>
  <c r="S16" i="214"/>
  <c r="Q16" i="214"/>
  <c r="S14" i="214"/>
  <c r="Q14" i="214"/>
  <c r="S8" i="214"/>
  <c r="S9" i="214"/>
  <c r="S10" i="214"/>
  <c r="S11" i="214"/>
  <c r="S12" i="214"/>
  <c r="Q8" i="214"/>
  <c r="Q9" i="214"/>
  <c r="Q10" i="214"/>
  <c r="Q11" i="214"/>
  <c r="Q12" i="214"/>
  <c r="S3" i="214"/>
  <c r="S4" i="214"/>
  <c r="Q5" i="214"/>
  <c r="Q4" i="214"/>
  <c r="Q3" i="214"/>
  <c r="B47" i="210"/>
  <c r="B48" i="210"/>
  <c r="B46" i="210"/>
  <c r="B45" i="210"/>
  <c r="B44" i="210"/>
  <c r="A50" i="210"/>
  <c r="D9" i="211" s="1"/>
  <c r="A49" i="210"/>
  <c r="D8" i="211" s="1"/>
  <c r="A47" i="210"/>
  <c r="D6" i="211" s="1"/>
  <c r="A48" i="210"/>
  <c r="D7" i="211" s="1"/>
  <c r="A46" i="210"/>
  <c r="D5" i="211" s="1"/>
  <c r="A45" i="210"/>
  <c r="D4" i="211" s="1"/>
  <c r="A44" i="210"/>
  <c r="D3" i="211" s="1"/>
  <c r="B43" i="210"/>
  <c r="A43" i="210"/>
  <c r="A42" i="211" s="1"/>
  <c r="B42" i="210"/>
  <c r="B41" i="211" s="1"/>
  <c r="A42" i="210"/>
  <c r="A41" i="211" s="1"/>
  <c r="B41" i="210"/>
  <c r="A41" i="210"/>
  <c r="B40" i="210"/>
  <c r="A40" i="210"/>
  <c r="B35" i="210"/>
  <c r="B36" i="210"/>
  <c r="B37" i="210"/>
  <c r="B38" i="210"/>
  <c r="B39" i="210"/>
  <c r="B34" i="210"/>
  <c r="A35" i="210"/>
  <c r="A36" i="210"/>
  <c r="A37" i="210"/>
  <c r="A38" i="210"/>
  <c r="A39" i="210"/>
  <c r="A34" i="210"/>
  <c r="A32" i="210"/>
  <c r="A31" i="210"/>
  <c r="A30" i="210"/>
  <c r="A18" i="211"/>
  <c r="A16" i="210"/>
  <c r="A13" i="210"/>
  <c r="R239" i="208"/>
  <c r="Q239" i="208"/>
  <c r="P239" i="208"/>
  <c r="O239" i="208"/>
  <c r="N239" i="208"/>
  <c r="M239" i="208"/>
  <c r="L239" i="208"/>
  <c r="K239" i="208"/>
  <c r="J239" i="208"/>
  <c r="I239" i="208"/>
  <c r="H239" i="208"/>
  <c r="G239" i="208"/>
  <c r="F239" i="208"/>
  <c r="E239" i="208"/>
  <c r="D239" i="208"/>
  <c r="R237" i="208"/>
  <c r="Q237" i="208"/>
  <c r="P237" i="208"/>
  <c r="O237" i="208"/>
  <c r="N237" i="208"/>
  <c r="M237" i="208"/>
  <c r="L237" i="208"/>
  <c r="K237" i="208"/>
  <c r="J237" i="208"/>
  <c r="I237" i="208"/>
  <c r="H237" i="208"/>
  <c r="G237" i="208"/>
  <c r="F237" i="208"/>
  <c r="E237" i="208"/>
  <c r="R235" i="208"/>
  <c r="Q235" i="208"/>
  <c r="P235" i="208"/>
  <c r="O235" i="208"/>
  <c r="N235" i="208"/>
  <c r="M235" i="208"/>
  <c r="L235" i="208"/>
  <c r="K235" i="208"/>
  <c r="J235" i="208"/>
  <c r="I235" i="208"/>
  <c r="H235" i="208"/>
  <c r="G235" i="208"/>
  <c r="F235" i="208"/>
  <c r="E235" i="208"/>
  <c r="R233" i="208"/>
  <c r="Q233" i="208"/>
  <c r="P233" i="208"/>
  <c r="O233" i="208"/>
  <c r="N233" i="208"/>
  <c r="M233" i="208"/>
  <c r="L233" i="208"/>
  <c r="K233" i="208"/>
  <c r="J233" i="208"/>
  <c r="I233" i="208"/>
  <c r="H233" i="208"/>
  <c r="G233" i="208"/>
  <c r="F233" i="208"/>
  <c r="E233" i="208"/>
  <c r="R231" i="208"/>
  <c r="Q231" i="208"/>
  <c r="P231" i="208"/>
  <c r="P240" i="208" s="1"/>
  <c r="O231" i="208"/>
  <c r="N231" i="208"/>
  <c r="M231" i="208"/>
  <c r="L231" i="208"/>
  <c r="L240" i="208" s="1"/>
  <c r="K231" i="208"/>
  <c r="J231" i="208"/>
  <c r="I231" i="208"/>
  <c r="H231" i="208"/>
  <c r="H240" i="208" s="1"/>
  <c r="G231" i="208"/>
  <c r="F231" i="208"/>
  <c r="E231" i="208"/>
  <c r="R212" i="208"/>
  <c r="Q212" i="208"/>
  <c r="P212" i="208"/>
  <c r="O212" i="208"/>
  <c r="N212" i="208"/>
  <c r="M212" i="208"/>
  <c r="L212" i="208"/>
  <c r="K212" i="208"/>
  <c r="J212" i="208"/>
  <c r="I212" i="208"/>
  <c r="H212" i="208"/>
  <c r="G212" i="208"/>
  <c r="F212" i="208"/>
  <c r="E212" i="208"/>
  <c r="D212" i="208"/>
  <c r="R208" i="208"/>
  <c r="Q208" i="208"/>
  <c r="P208" i="208"/>
  <c r="O208" i="208"/>
  <c r="N208" i="208"/>
  <c r="M208" i="208"/>
  <c r="L208" i="208"/>
  <c r="K208" i="208"/>
  <c r="J208" i="208"/>
  <c r="I208" i="208"/>
  <c r="H208" i="208"/>
  <c r="G208" i="208"/>
  <c r="F208" i="208"/>
  <c r="E208" i="208"/>
  <c r="D208" i="208"/>
  <c r="R204" i="208"/>
  <c r="Q204" i="208"/>
  <c r="P204" i="208"/>
  <c r="O204" i="208"/>
  <c r="N204" i="208"/>
  <c r="M204" i="208"/>
  <c r="L204" i="208"/>
  <c r="K204" i="208"/>
  <c r="J204" i="208"/>
  <c r="I204" i="208"/>
  <c r="H204" i="208"/>
  <c r="G204" i="208"/>
  <c r="F204" i="208"/>
  <c r="E204" i="208"/>
  <c r="D204" i="208"/>
  <c r="R200" i="208"/>
  <c r="Q200" i="208"/>
  <c r="P200" i="208"/>
  <c r="O200" i="208"/>
  <c r="N200" i="208"/>
  <c r="M200" i="208"/>
  <c r="L200" i="208"/>
  <c r="K200" i="208"/>
  <c r="J200" i="208"/>
  <c r="I200" i="208"/>
  <c r="H200" i="208"/>
  <c r="G200" i="208"/>
  <c r="F200" i="208"/>
  <c r="E200" i="208"/>
  <c r="D200" i="208"/>
  <c r="R196" i="208"/>
  <c r="Q196" i="208"/>
  <c r="P196" i="208"/>
  <c r="O196" i="208"/>
  <c r="N196" i="208"/>
  <c r="M196" i="208"/>
  <c r="L196" i="208"/>
  <c r="K196" i="208"/>
  <c r="J196" i="208"/>
  <c r="I196" i="208"/>
  <c r="H196" i="208"/>
  <c r="G196" i="208"/>
  <c r="F196" i="208"/>
  <c r="E196" i="208"/>
  <c r="D196" i="208"/>
  <c r="D10" i="232"/>
  <c r="E10" i="232"/>
  <c r="C50" i="235" s="1"/>
  <c r="F10" i="232"/>
  <c r="C50" i="236" s="1"/>
  <c r="G10" i="232"/>
  <c r="C50" i="237" s="1"/>
  <c r="H10" i="232"/>
  <c r="I10" i="232"/>
  <c r="C50" i="239" s="1"/>
  <c r="J10" i="232"/>
  <c r="C50" i="240" s="1"/>
  <c r="K10" i="232"/>
  <c r="C50" i="241" s="1"/>
  <c r="L10" i="232"/>
  <c r="M10" i="232"/>
  <c r="C50" i="243" s="1"/>
  <c r="N10" i="232"/>
  <c r="C50" i="249" s="1"/>
  <c r="O10" i="232"/>
  <c r="C50" i="250" s="1"/>
  <c r="P10" i="232"/>
  <c r="Q10" i="232"/>
  <c r="C50" i="252" s="1"/>
  <c r="R10" i="232"/>
  <c r="C50" i="253" s="1"/>
  <c r="D15" i="232"/>
  <c r="C51" i="214" s="1"/>
  <c r="E15" i="232"/>
  <c r="F15" i="232"/>
  <c r="C51" i="236" s="1"/>
  <c r="G15" i="232"/>
  <c r="C51" i="237" s="1"/>
  <c r="H15" i="232"/>
  <c r="C51" i="238" s="1"/>
  <c r="I15" i="232"/>
  <c r="J15" i="232"/>
  <c r="C51" i="240" s="1"/>
  <c r="K15" i="232"/>
  <c r="C51" i="241" s="1"/>
  <c r="L15" i="232"/>
  <c r="C51" i="242" s="1"/>
  <c r="M15" i="232"/>
  <c r="N15" i="232"/>
  <c r="C51" i="249" s="1"/>
  <c r="O15" i="232"/>
  <c r="C51" i="250" s="1"/>
  <c r="P15" i="232"/>
  <c r="C51" i="251" s="1"/>
  <c r="Q15" i="232"/>
  <c r="R15" i="232"/>
  <c r="C51" i="253" s="1"/>
  <c r="D17" i="232"/>
  <c r="C52" i="214" s="1"/>
  <c r="E17" i="232"/>
  <c r="C52" i="235" s="1"/>
  <c r="F17" i="232"/>
  <c r="G17" i="232"/>
  <c r="C52" i="237" s="1"/>
  <c r="H17" i="232"/>
  <c r="C52" i="238" s="1"/>
  <c r="I17" i="232"/>
  <c r="C52" i="239" s="1"/>
  <c r="J17" i="232"/>
  <c r="K17" i="232"/>
  <c r="C52" i="241" s="1"/>
  <c r="L17" i="232"/>
  <c r="C52" i="242" s="1"/>
  <c r="M17" i="232"/>
  <c r="C52" i="243" s="1"/>
  <c r="N17" i="232"/>
  <c r="O17" i="232"/>
  <c r="C52" i="250" s="1"/>
  <c r="P17" i="232"/>
  <c r="C52" i="251" s="1"/>
  <c r="Q17" i="232"/>
  <c r="C52" i="252" s="1"/>
  <c r="R17" i="232"/>
  <c r="K18" i="232"/>
  <c r="E19" i="76"/>
  <c r="S5" i="235" s="1"/>
  <c r="F19" i="76"/>
  <c r="S5" i="236" s="1"/>
  <c r="G19" i="76"/>
  <c r="S5" i="237" s="1"/>
  <c r="H19" i="76"/>
  <c r="S5" i="238" s="1"/>
  <c r="I19" i="76"/>
  <c r="S5" i="239" s="1"/>
  <c r="J19" i="76"/>
  <c r="S5" i="240" s="1"/>
  <c r="K19" i="76"/>
  <c r="S5" i="241" s="1"/>
  <c r="L19" i="76"/>
  <c r="S5" i="242" s="1"/>
  <c r="M19" i="76"/>
  <c r="S5" i="243" s="1"/>
  <c r="N19" i="76"/>
  <c r="S5" i="249" s="1"/>
  <c r="O19" i="76"/>
  <c r="S5" i="250" s="1"/>
  <c r="P19" i="76"/>
  <c r="S5" i="251" s="1"/>
  <c r="Q19" i="76"/>
  <c r="S5" i="252" s="1"/>
  <c r="R19" i="76"/>
  <c r="S5" i="253" s="1"/>
  <c r="D19" i="76"/>
  <c r="S5" i="214" s="1"/>
  <c r="E8" i="76"/>
  <c r="F8" i="76"/>
  <c r="G8" i="76"/>
  <c r="H8" i="76"/>
  <c r="I8" i="76"/>
  <c r="S2" i="239" s="1"/>
  <c r="J8" i="76"/>
  <c r="S2" i="240" s="1"/>
  <c r="K8" i="76"/>
  <c r="S2" i="241" s="1"/>
  <c r="L8" i="76"/>
  <c r="S2" i="242" s="1"/>
  <c r="M8" i="76"/>
  <c r="S2" i="243" s="1"/>
  <c r="N8" i="76"/>
  <c r="S2" i="249" s="1"/>
  <c r="O8" i="76"/>
  <c r="S2" i="250" s="1"/>
  <c r="P8" i="76"/>
  <c r="S2" i="251" s="1"/>
  <c r="Q8" i="76"/>
  <c r="S2" i="252" s="1"/>
  <c r="R8" i="76"/>
  <c r="S2" i="253" s="1"/>
  <c r="D8" i="76"/>
  <c r="P48" i="207"/>
  <c r="O48" i="207"/>
  <c r="N48" i="207"/>
  <c r="M48" i="207"/>
  <c r="L48" i="207"/>
  <c r="K48" i="207"/>
  <c r="J48" i="207"/>
  <c r="I48" i="207"/>
  <c r="H48" i="207"/>
  <c r="G48" i="207"/>
  <c r="F48" i="207"/>
  <c r="E48" i="207"/>
  <c r="D48" i="207"/>
  <c r="C48" i="207"/>
  <c r="B48" i="207"/>
  <c r="Q47" i="207"/>
  <c r="Q46" i="207"/>
  <c r="Q45" i="207"/>
  <c r="Q44" i="207"/>
  <c r="Q43" i="207"/>
  <c r="Q42" i="207"/>
  <c r="Q41" i="207"/>
  <c r="Q40" i="207"/>
  <c r="Q39" i="207"/>
  <c r="Q38" i="207"/>
  <c r="Q37" i="207"/>
  <c r="Q36" i="207"/>
  <c r="Q35" i="207"/>
  <c r="Q34" i="207"/>
  <c r="Q33" i="207"/>
  <c r="Q32" i="207"/>
  <c r="Q31" i="207"/>
  <c r="Q30" i="207"/>
  <c r="Q29" i="207"/>
  <c r="Q28" i="207"/>
  <c r="C53" i="241" l="1"/>
  <c r="P52" i="210"/>
  <c r="H29" i="210"/>
  <c r="S2" i="237"/>
  <c r="C26" i="242"/>
  <c r="R16" i="210"/>
  <c r="C78" i="237"/>
  <c r="H27" i="210"/>
  <c r="C78" i="240"/>
  <c r="N27" i="210"/>
  <c r="C78" i="252"/>
  <c r="AB27" i="210"/>
  <c r="C78" i="239"/>
  <c r="L27" i="210"/>
  <c r="C78" i="242"/>
  <c r="R27" i="210"/>
  <c r="C78" i="250"/>
  <c r="X27" i="210"/>
  <c r="F29" i="210"/>
  <c r="S2" i="236"/>
  <c r="R18" i="232"/>
  <c r="C52" i="253"/>
  <c r="N18" i="232"/>
  <c r="C52" i="249"/>
  <c r="J18" i="232"/>
  <c r="C52" i="240"/>
  <c r="F18" i="232"/>
  <c r="C52" i="236"/>
  <c r="Q18" i="232"/>
  <c r="C51" i="252"/>
  <c r="M18" i="232"/>
  <c r="C51" i="243"/>
  <c r="I18" i="232"/>
  <c r="C51" i="239"/>
  <c r="E18" i="232"/>
  <c r="C51" i="235"/>
  <c r="P18" i="232"/>
  <c r="C50" i="251"/>
  <c r="L18" i="232"/>
  <c r="C50" i="242"/>
  <c r="H18" i="232"/>
  <c r="C50" i="238"/>
  <c r="D18" i="232"/>
  <c r="C50" i="214"/>
  <c r="A15" i="211"/>
  <c r="A26" i="251"/>
  <c r="A26" i="252"/>
  <c r="A26" i="253"/>
  <c r="A26" i="250"/>
  <c r="A26" i="243"/>
  <c r="A26" i="249"/>
  <c r="A26" i="240"/>
  <c r="A26" i="237"/>
  <c r="A26" i="214"/>
  <c r="A26" i="241"/>
  <c r="A26" i="242"/>
  <c r="A26" i="239"/>
  <c r="A26" i="236"/>
  <c r="A26" i="235"/>
  <c r="A26" i="238"/>
  <c r="J29" i="210"/>
  <c r="S2" i="238"/>
  <c r="G18" i="232"/>
  <c r="C53" i="237" s="1"/>
  <c r="C26" i="238"/>
  <c r="J16" i="210"/>
  <c r="C26" i="251"/>
  <c r="Z16" i="210"/>
  <c r="A12" i="211"/>
  <c r="A23" i="252"/>
  <c r="A23" i="253"/>
  <c r="A23" i="251"/>
  <c r="A23" i="250"/>
  <c r="A23" i="249"/>
  <c r="A23" i="241"/>
  <c r="A23" i="243"/>
  <c r="A23" i="235"/>
  <c r="A23" i="238"/>
  <c r="A23" i="242"/>
  <c r="A23" i="240"/>
  <c r="A23" i="237"/>
  <c r="A23" i="236"/>
  <c r="A23" i="214"/>
  <c r="A23" i="239"/>
  <c r="C78" i="238"/>
  <c r="J27" i="210"/>
  <c r="D29" i="210"/>
  <c r="S2" i="235"/>
  <c r="O18" i="232"/>
  <c r="C78" i="251"/>
  <c r="Z27" i="210"/>
  <c r="C78" i="241"/>
  <c r="P27" i="210"/>
  <c r="C78" i="253"/>
  <c r="AD27" i="210"/>
  <c r="C78" i="236"/>
  <c r="F27" i="210"/>
  <c r="C78" i="243"/>
  <c r="T27" i="210"/>
  <c r="C78" i="235"/>
  <c r="D27" i="210"/>
  <c r="C78" i="214"/>
  <c r="B27" i="210"/>
  <c r="C78" i="249"/>
  <c r="V27" i="210"/>
  <c r="Q48" i="207"/>
  <c r="E240" i="208"/>
  <c r="I240" i="208"/>
  <c r="M240" i="208"/>
  <c r="Q240" i="208"/>
  <c r="F213" i="208"/>
  <c r="J213" i="208"/>
  <c r="N213" i="208"/>
  <c r="R213" i="208"/>
  <c r="G240" i="208"/>
  <c r="K240" i="208"/>
  <c r="O240" i="208"/>
  <c r="G213" i="208"/>
  <c r="K213" i="208"/>
  <c r="O213" i="208"/>
  <c r="D240" i="208"/>
  <c r="F240" i="208"/>
  <c r="J240" i="208"/>
  <c r="N240" i="208"/>
  <c r="R240" i="208"/>
  <c r="AB29" i="210"/>
  <c r="X29" i="210"/>
  <c r="P29" i="210"/>
  <c r="AD29" i="210"/>
  <c r="Z29" i="210"/>
  <c r="V29" i="210"/>
  <c r="R29" i="210"/>
  <c r="N29" i="210"/>
  <c r="AB32" i="210"/>
  <c r="X32" i="210"/>
  <c r="T32" i="210"/>
  <c r="P32" i="210"/>
  <c r="L32" i="210"/>
  <c r="T29" i="210"/>
  <c r="L29" i="210"/>
  <c r="AD32" i="210"/>
  <c r="Z32" i="210"/>
  <c r="V32" i="210"/>
  <c r="R32" i="210"/>
  <c r="N32" i="210"/>
  <c r="J32" i="210"/>
  <c r="H32" i="210"/>
  <c r="F32" i="210"/>
  <c r="D32" i="210"/>
  <c r="E6" i="211"/>
  <c r="B32" i="210"/>
  <c r="E3" i="211"/>
  <c r="E7" i="211"/>
  <c r="E5" i="211"/>
  <c r="B42" i="211"/>
  <c r="E4" i="211"/>
  <c r="D213" i="208"/>
  <c r="H213" i="208"/>
  <c r="L213" i="208"/>
  <c r="P213" i="208"/>
  <c r="E213" i="208"/>
  <c r="I213" i="208"/>
  <c r="M213" i="208"/>
  <c r="Q213" i="208"/>
  <c r="C26" i="250" l="1"/>
  <c r="X16" i="210"/>
  <c r="C23" i="249"/>
  <c r="V13" i="210"/>
  <c r="C26" i="243"/>
  <c r="T16" i="210"/>
  <c r="C53" i="250"/>
  <c r="X52" i="210"/>
  <c r="C23" i="252"/>
  <c r="AB13" i="210"/>
  <c r="C26" i="249"/>
  <c r="V16" i="210"/>
  <c r="C26" i="241"/>
  <c r="P16" i="210"/>
  <c r="C26" i="239"/>
  <c r="L16" i="210"/>
  <c r="C53" i="242"/>
  <c r="R52" i="210"/>
  <c r="C53" i="235"/>
  <c r="D52" i="210"/>
  <c r="C53" i="243"/>
  <c r="T52" i="210"/>
  <c r="C53" i="249"/>
  <c r="V52" i="210"/>
  <c r="C23" i="243"/>
  <c r="T13" i="210"/>
  <c r="C23" i="242"/>
  <c r="R13" i="210"/>
  <c r="C26" i="240"/>
  <c r="N16" i="210"/>
  <c r="C23" i="241"/>
  <c r="P13" i="210"/>
  <c r="C26" i="237"/>
  <c r="H16" i="210"/>
  <c r="C23" i="236"/>
  <c r="F13" i="210"/>
  <c r="B26" i="211"/>
  <c r="C23" i="235"/>
  <c r="D13" i="210"/>
  <c r="C26" i="253"/>
  <c r="AD16" i="210"/>
  <c r="C23" i="251"/>
  <c r="Z13" i="210"/>
  <c r="C23" i="250"/>
  <c r="X13" i="210"/>
  <c r="C23" i="240"/>
  <c r="N13" i="210"/>
  <c r="C53" i="214"/>
  <c r="B52" i="210"/>
  <c r="C53" i="236"/>
  <c r="F52" i="210"/>
  <c r="C23" i="239"/>
  <c r="L13" i="210"/>
  <c r="C23" i="238"/>
  <c r="J13" i="210"/>
  <c r="C26" i="236"/>
  <c r="F16" i="210"/>
  <c r="C23" i="237"/>
  <c r="H13" i="210"/>
  <c r="C23" i="253"/>
  <c r="AD13" i="210"/>
  <c r="C26" i="252"/>
  <c r="AB16" i="210"/>
  <c r="C53" i="238"/>
  <c r="J52" i="210"/>
  <c r="C53" i="251"/>
  <c r="Z52" i="210"/>
  <c r="C53" i="239"/>
  <c r="L52" i="210"/>
  <c r="C53" i="252"/>
  <c r="AB52" i="210"/>
  <c r="C53" i="240"/>
  <c r="H52" i="210"/>
  <c r="N52" i="210"/>
  <c r="C53" i="253"/>
  <c r="AD52" i="210"/>
  <c r="C26" i="235"/>
  <c r="D16" i="210"/>
  <c r="C26" i="214"/>
  <c r="B16" i="210"/>
  <c r="C23" i="214"/>
  <c r="B13" i="210"/>
  <c r="L21" i="76"/>
  <c r="S6" i="242" s="1"/>
  <c r="H21" i="76"/>
  <c r="S6" i="238" s="1"/>
  <c r="N21" i="76"/>
  <c r="S6" i="249" s="1"/>
  <c r="O21" i="76"/>
  <c r="S6" i="250" s="1"/>
  <c r="M21" i="76"/>
  <c r="S6" i="243" s="1"/>
  <c r="P21" i="76"/>
  <c r="S6" i="251" s="1"/>
  <c r="K21" i="76"/>
  <c r="S6" i="241" s="1"/>
  <c r="Q21" i="76"/>
  <c r="S6" i="252" s="1"/>
  <c r="R21" i="76"/>
  <c r="S6" i="253" s="1"/>
  <c r="E21" i="76"/>
  <c r="J21" i="76"/>
  <c r="S6" i="240" s="1"/>
  <c r="I21" i="76"/>
  <c r="S6" i="239" s="1"/>
  <c r="G21" i="76"/>
  <c r="S6" i="237" s="1"/>
  <c r="F21" i="76"/>
  <c r="S6" i="236" s="1"/>
  <c r="D21" i="76"/>
  <c r="D33" i="210" l="1"/>
  <c r="S6" i="235"/>
  <c r="J33" i="210"/>
  <c r="Z33" i="210"/>
  <c r="AB33" i="210"/>
  <c r="P33" i="210"/>
  <c r="AD33" i="210"/>
  <c r="X33" i="210"/>
  <c r="V33" i="210"/>
  <c r="R33" i="210"/>
  <c r="T33" i="210"/>
  <c r="N33" i="210"/>
  <c r="L33" i="210"/>
  <c r="H33" i="210"/>
  <c r="F33" i="210"/>
  <c r="B33" i="210"/>
  <c r="S6" i="214"/>
  <c r="R36" i="214"/>
  <c r="R37" i="214"/>
  <c r="R38" i="214"/>
  <c r="R39" i="214"/>
  <c r="S36" i="214"/>
  <c r="S37" i="214"/>
  <c r="S38" i="214"/>
  <c r="S39" i="214"/>
  <c r="S35" i="214"/>
  <c r="R35" i="214"/>
  <c r="Q34" i="214"/>
  <c r="S24" i="214"/>
  <c r="S25" i="214"/>
  <c r="S26" i="214"/>
  <c r="S27" i="214"/>
  <c r="S23" i="214"/>
  <c r="R24" i="214"/>
  <c r="R25" i="214"/>
  <c r="R26" i="214"/>
  <c r="R27" i="214"/>
  <c r="R23" i="214"/>
  <c r="Q22" i="214"/>
  <c r="S21" i="214"/>
  <c r="Q20" i="214"/>
  <c r="Q21" i="214"/>
  <c r="S19" i="214"/>
  <c r="S18" i="214"/>
  <c r="S17" i="214"/>
  <c r="Q19" i="214"/>
  <c r="Q18" i="214"/>
  <c r="Q17" i="214"/>
  <c r="S15" i="214"/>
  <c r="S13" i="214"/>
  <c r="Q15" i="214"/>
  <c r="Q13" i="214"/>
  <c r="S7" i="214"/>
  <c r="Q7" i="214"/>
  <c r="Q2" i="214"/>
  <c r="S20" i="214"/>
  <c r="F31" i="214"/>
  <c r="F30" i="214"/>
  <c r="F29" i="214"/>
  <c r="F28" i="214"/>
  <c r="F27" i="214"/>
  <c r="F26" i="214"/>
  <c r="F25" i="214"/>
  <c r="F24" i="214"/>
  <c r="F22" i="214"/>
  <c r="F21" i="214"/>
  <c r="F20" i="214"/>
  <c r="F19" i="214"/>
  <c r="F18" i="214"/>
  <c r="F17" i="214"/>
  <c r="F16" i="214"/>
  <c r="F15" i="214"/>
  <c r="F14" i="214"/>
  <c r="F13" i="214"/>
  <c r="F12" i="214"/>
  <c r="F11" i="214"/>
  <c r="F8" i="214"/>
  <c r="F7" i="214"/>
  <c r="F6" i="214"/>
  <c r="F5" i="214"/>
  <c r="F4" i="214"/>
  <c r="F3" i="214"/>
  <c r="O67" i="214"/>
  <c r="O65" i="214"/>
  <c r="O63" i="214"/>
  <c r="O61" i="214"/>
  <c r="O59" i="214"/>
  <c r="O56" i="214"/>
  <c r="O55" i="214"/>
  <c r="O54" i="214"/>
  <c r="N67" i="214"/>
  <c r="N66" i="214"/>
  <c r="N65" i="214"/>
  <c r="N64" i="214"/>
  <c r="N63" i="214"/>
  <c r="N62" i="214"/>
  <c r="N61" i="214"/>
  <c r="N59" i="214"/>
  <c r="N58" i="214"/>
  <c r="N56" i="214"/>
  <c r="N55" i="214"/>
  <c r="N54" i="214"/>
  <c r="N53" i="214"/>
  <c r="M57" i="214"/>
  <c r="M52" i="214"/>
  <c r="O51" i="214"/>
  <c r="O50" i="214"/>
  <c r="O49" i="214"/>
  <c r="O47" i="214"/>
  <c r="O46" i="214"/>
  <c r="O45" i="214"/>
  <c r="O43" i="214"/>
  <c r="O42" i="214"/>
  <c r="O41" i="214"/>
  <c r="O39" i="214"/>
  <c r="O38" i="214"/>
  <c r="O37" i="214"/>
  <c r="O34" i="214"/>
  <c r="O33" i="214"/>
  <c r="O32" i="214"/>
  <c r="O30" i="214"/>
  <c r="O29" i="214"/>
  <c r="O28" i="214"/>
  <c r="O26" i="214"/>
  <c r="O25" i="214"/>
  <c r="O24" i="214"/>
  <c r="O22" i="214"/>
  <c r="O21" i="214"/>
  <c r="O20" i="214"/>
  <c r="O18" i="214"/>
  <c r="O17" i="214"/>
  <c r="O16" i="214"/>
  <c r="O13" i="214"/>
  <c r="O12" i="214"/>
  <c r="O11" i="214"/>
  <c r="O9" i="214"/>
  <c r="O8" i="214"/>
  <c r="O7" i="214"/>
  <c r="O5" i="214"/>
  <c r="O4" i="214"/>
  <c r="O3" i="214"/>
  <c r="K65" i="214"/>
  <c r="K64" i="214"/>
  <c r="K63" i="214"/>
  <c r="K61" i="214"/>
  <c r="K60" i="214"/>
  <c r="K59" i="214"/>
  <c r="K56" i="214"/>
  <c r="K55" i="214"/>
  <c r="K54" i="214"/>
  <c r="K52" i="214"/>
  <c r="K51" i="214"/>
  <c r="K50" i="214"/>
  <c r="N51" i="214"/>
  <c r="N50" i="214"/>
  <c r="N49" i="214"/>
  <c r="N48" i="214"/>
  <c r="N47" i="214"/>
  <c r="N46" i="214"/>
  <c r="N45" i="214"/>
  <c r="N44" i="214"/>
  <c r="N43" i="214"/>
  <c r="N42" i="214"/>
  <c r="N41" i="214"/>
  <c r="N40" i="214"/>
  <c r="N39" i="214"/>
  <c r="N38" i="214"/>
  <c r="N37" i="214"/>
  <c r="N36" i="214"/>
  <c r="N34" i="214"/>
  <c r="N33" i="214"/>
  <c r="N32" i="214"/>
  <c r="N31" i="214"/>
  <c r="N30" i="214"/>
  <c r="N29" i="214"/>
  <c r="N28" i="214"/>
  <c r="N27" i="214"/>
  <c r="N26" i="214"/>
  <c r="N25" i="214"/>
  <c r="N24" i="214"/>
  <c r="N23" i="214"/>
  <c r="N22" i="214"/>
  <c r="N21" i="214"/>
  <c r="N20" i="214"/>
  <c r="N19" i="214"/>
  <c r="N18" i="214"/>
  <c r="N17" i="214"/>
  <c r="N16" i="214"/>
  <c r="N15" i="214"/>
  <c r="N13" i="214"/>
  <c r="N12" i="214"/>
  <c r="N11" i="214"/>
  <c r="N10" i="214"/>
  <c r="N9" i="214"/>
  <c r="N8" i="214"/>
  <c r="N7" i="214"/>
  <c r="N6" i="214"/>
  <c r="N5" i="214"/>
  <c r="N4" i="214"/>
  <c r="N3" i="214"/>
  <c r="N2" i="214"/>
  <c r="J65" i="214"/>
  <c r="J64" i="214"/>
  <c r="J63" i="214"/>
  <c r="J62" i="214"/>
  <c r="J61" i="214"/>
  <c r="J60" i="214"/>
  <c r="J59" i="214"/>
  <c r="J58" i="214"/>
  <c r="J56" i="214"/>
  <c r="J55" i="214"/>
  <c r="J54" i="214"/>
  <c r="J53" i="214"/>
  <c r="J52" i="214"/>
  <c r="J51" i="214"/>
  <c r="J50" i="214"/>
  <c r="J49" i="214"/>
  <c r="M35" i="214"/>
  <c r="M14" i="214"/>
  <c r="I57" i="214"/>
  <c r="I48" i="214"/>
  <c r="K47" i="214"/>
  <c r="K46" i="214"/>
  <c r="K45" i="214"/>
  <c r="K43" i="214"/>
  <c r="K42" i="214"/>
  <c r="K41" i="214"/>
  <c r="K39" i="214"/>
  <c r="K38" i="214"/>
  <c r="K37" i="214"/>
  <c r="K34" i="214"/>
  <c r="K33" i="214"/>
  <c r="K32" i="214"/>
  <c r="K30" i="214"/>
  <c r="K29" i="214"/>
  <c r="K28" i="214"/>
  <c r="K26" i="214"/>
  <c r="K25" i="214"/>
  <c r="K24" i="214"/>
  <c r="K22" i="214"/>
  <c r="K21" i="214"/>
  <c r="K20" i="214"/>
  <c r="K18" i="214"/>
  <c r="K17" i="214"/>
  <c r="K16" i="214"/>
  <c r="K13" i="214"/>
  <c r="K12" i="214"/>
  <c r="K11" i="214"/>
  <c r="K9" i="214"/>
  <c r="K8" i="214"/>
  <c r="K7" i="214"/>
  <c r="K5" i="214"/>
  <c r="K4" i="214"/>
  <c r="K3" i="214"/>
  <c r="G53" i="214"/>
  <c r="G52" i="214"/>
  <c r="G51" i="214"/>
  <c r="G49" i="214"/>
  <c r="G48" i="214"/>
  <c r="G47" i="214"/>
  <c r="G44" i="214"/>
  <c r="G43" i="214"/>
  <c r="G42" i="214"/>
  <c r="G40" i="214"/>
  <c r="G39" i="214"/>
  <c r="G38" i="214"/>
  <c r="G36" i="214"/>
  <c r="G35" i="214"/>
  <c r="G34" i="214"/>
  <c r="J47" i="214"/>
  <c r="J46" i="214"/>
  <c r="J45" i="214"/>
  <c r="J44" i="214"/>
  <c r="J43" i="214"/>
  <c r="J42" i="214"/>
  <c r="J41" i="214"/>
  <c r="J40" i="214"/>
  <c r="J39" i="214"/>
  <c r="J38" i="214"/>
  <c r="J37" i="214"/>
  <c r="J36" i="214"/>
  <c r="J34" i="214"/>
  <c r="J33" i="214"/>
  <c r="J32" i="214"/>
  <c r="J31" i="214"/>
  <c r="J30" i="214"/>
  <c r="J29" i="214"/>
  <c r="J28" i="214"/>
  <c r="J27" i="214"/>
  <c r="J26" i="214"/>
  <c r="J25" i="214"/>
  <c r="J24" i="214"/>
  <c r="J23" i="214"/>
  <c r="J22" i="214"/>
  <c r="J21" i="214"/>
  <c r="J20" i="214"/>
  <c r="J19" i="214"/>
  <c r="J18" i="214"/>
  <c r="J17" i="214"/>
  <c r="J16" i="214"/>
  <c r="J15" i="214"/>
  <c r="J13" i="214"/>
  <c r="J12" i="214"/>
  <c r="J11" i="214"/>
  <c r="J10" i="214"/>
  <c r="J9" i="214"/>
  <c r="J8" i="214"/>
  <c r="J7" i="214"/>
  <c r="J6" i="214"/>
  <c r="J5" i="214"/>
  <c r="J4" i="214"/>
  <c r="J3" i="214"/>
  <c r="J2" i="214"/>
  <c r="F53" i="214"/>
  <c r="F52" i="214"/>
  <c r="F51" i="214"/>
  <c r="F50" i="214"/>
  <c r="F49" i="214"/>
  <c r="F48" i="214"/>
  <c r="F47" i="214"/>
  <c r="F46" i="214"/>
  <c r="F44" i="214"/>
  <c r="F43" i="214"/>
  <c r="F42" i="214"/>
  <c r="F41" i="214"/>
  <c r="F40" i="214"/>
  <c r="F39" i="214"/>
  <c r="F38" i="214"/>
  <c r="F37" i="214"/>
  <c r="F36" i="214"/>
  <c r="F35" i="214"/>
  <c r="F34" i="214"/>
  <c r="F33" i="214"/>
  <c r="I35" i="214"/>
  <c r="I14" i="214"/>
  <c r="E45" i="214"/>
  <c r="E32" i="214"/>
  <c r="G31" i="214"/>
  <c r="G30" i="214"/>
  <c r="G29" i="214"/>
  <c r="G27" i="214"/>
  <c r="G26" i="214"/>
  <c r="G25" i="214"/>
  <c r="G22" i="214"/>
  <c r="G21" i="214"/>
  <c r="G20" i="214"/>
  <c r="G18" i="214"/>
  <c r="G17" i="214"/>
  <c r="G16" i="214"/>
  <c r="G14" i="214"/>
  <c r="G13" i="214"/>
  <c r="G12" i="214"/>
  <c r="G10" i="214"/>
  <c r="G9" i="214"/>
  <c r="G8" i="214"/>
  <c r="G6" i="214"/>
  <c r="G5" i="214"/>
  <c r="G4" i="214"/>
  <c r="E23" i="214"/>
  <c r="E2" i="214"/>
  <c r="A1" i="214"/>
  <c r="A26" i="210"/>
  <c r="A25" i="210"/>
  <c r="A24" i="210"/>
  <c r="A23" i="210"/>
  <c r="A22" i="210"/>
  <c r="A21" i="210"/>
  <c r="A19" i="211" s="1"/>
  <c r="R123" i="213"/>
  <c r="Q123" i="213"/>
  <c r="P123" i="213"/>
  <c r="O123" i="213"/>
  <c r="N123" i="213"/>
  <c r="M123" i="213"/>
  <c r="L123" i="213"/>
  <c r="K123" i="213"/>
  <c r="J123" i="213"/>
  <c r="I123" i="213"/>
  <c r="H123" i="213"/>
  <c r="G123" i="213"/>
  <c r="F123" i="213"/>
  <c r="E123" i="213"/>
  <c r="D123" i="213"/>
  <c r="R119" i="213"/>
  <c r="S90" i="253" s="1"/>
  <c r="Q119" i="213"/>
  <c r="S90" i="252" s="1"/>
  <c r="P119" i="213"/>
  <c r="S90" i="251" s="1"/>
  <c r="O119" i="213"/>
  <c r="S90" i="250" s="1"/>
  <c r="N119" i="213"/>
  <c r="S90" i="249" s="1"/>
  <c r="M119" i="213"/>
  <c r="S90" i="243" s="1"/>
  <c r="L119" i="213"/>
  <c r="S90" i="242" s="1"/>
  <c r="K119" i="213"/>
  <c r="S90" i="241" s="1"/>
  <c r="J119" i="213"/>
  <c r="S90" i="240" s="1"/>
  <c r="I119" i="213"/>
  <c r="S90" i="239" s="1"/>
  <c r="H119" i="213"/>
  <c r="S90" i="238" s="1"/>
  <c r="G119" i="213"/>
  <c r="S90" i="237" s="1"/>
  <c r="F119" i="213"/>
  <c r="S90" i="236" s="1"/>
  <c r="E119" i="213"/>
  <c r="S90" i="235" s="1"/>
  <c r="D119" i="213"/>
  <c r="S90" i="214" s="1"/>
  <c r="R115" i="213"/>
  <c r="S86" i="253" s="1"/>
  <c r="Q115" i="213"/>
  <c r="S86" i="252" s="1"/>
  <c r="P115" i="213"/>
  <c r="S86" i="251" s="1"/>
  <c r="O115" i="213"/>
  <c r="S86" i="250" s="1"/>
  <c r="N115" i="213"/>
  <c r="S86" i="249" s="1"/>
  <c r="M115" i="213"/>
  <c r="S86" i="243" s="1"/>
  <c r="L115" i="213"/>
  <c r="S86" i="242" s="1"/>
  <c r="K115" i="213"/>
  <c r="S86" i="241" s="1"/>
  <c r="J115" i="213"/>
  <c r="S86" i="240" s="1"/>
  <c r="I115" i="213"/>
  <c r="S86" i="239" s="1"/>
  <c r="H115" i="213"/>
  <c r="S86" i="238" s="1"/>
  <c r="G115" i="213"/>
  <c r="S86" i="237" s="1"/>
  <c r="F115" i="213"/>
  <c r="S86" i="236" s="1"/>
  <c r="E115" i="213"/>
  <c r="S86" i="235" s="1"/>
  <c r="D115" i="213"/>
  <c r="S86" i="214" s="1"/>
  <c r="R111" i="213"/>
  <c r="Q111" i="213"/>
  <c r="S82" i="252" s="1"/>
  <c r="P111" i="213"/>
  <c r="O111" i="213"/>
  <c r="S82" i="250" s="1"/>
  <c r="N111" i="213"/>
  <c r="M111" i="213"/>
  <c r="S82" i="243" s="1"/>
  <c r="L111" i="213"/>
  <c r="K111" i="213"/>
  <c r="S82" i="241" s="1"/>
  <c r="J111" i="213"/>
  <c r="I111" i="213"/>
  <c r="S82" i="239" s="1"/>
  <c r="H111" i="213"/>
  <c r="G111" i="213"/>
  <c r="S82" i="237" s="1"/>
  <c r="F111" i="213"/>
  <c r="E111" i="213"/>
  <c r="S82" i="235" s="1"/>
  <c r="D111" i="213"/>
  <c r="R107" i="213"/>
  <c r="S78" i="253" s="1"/>
  <c r="Q107" i="213"/>
  <c r="P107" i="213"/>
  <c r="S78" i="251" s="1"/>
  <c r="O107" i="213"/>
  <c r="N107" i="213"/>
  <c r="S78" i="249" s="1"/>
  <c r="M107" i="213"/>
  <c r="L107" i="213"/>
  <c r="S78" i="242" s="1"/>
  <c r="K107" i="213"/>
  <c r="J107" i="213"/>
  <c r="S78" i="240" s="1"/>
  <c r="I107" i="213"/>
  <c r="H107" i="213"/>
  <c r="S78" i="238" s="1"/>
  <c r="G107" i="213"/>
  <c r="F107" i="213"/>
  <c r="S78" i="236" s="1"/>
  <c r="E107" i="213"/>
  <c r="D107" i="213"/>
  <c r="S78" i="214" s="1"/>
  <c r="R99" i="213"/>
  <c r="Q99" i="213"/>
  <c r="P99" i="213"/>
  <c r="O99" i="213"/>
  <c r="N99" i="213"/>
  <c r="M99" i="213"/>
  <c r="L99" i="213"/>
  <c r="K99" i="213"/>
  <c r="J99" i="213"/>
  <c r="I99" i="213"/>
  <c r="H99" i="213"/>
  <c r="G99" i="213"/>
  <c r="F99" i="213"/>
  <c r="E99" i="213"/>
  <c r="D99" i="213"/>
  <c r="R95" i="213"/>
  <c r="O111" i="253" s="1"/>
  <c r="Q95" i="213"/>
  <c r="O111" i="252" s="1"/>
  <c r="P95" i="213"/>
  <c r="O111" i="251" s="1"/>
  <c r="O95" i="213"/>
  <c r="O111" i="250" s="1"/>
  <c r="N95" i="213"/>
  <c r="O111" i="249" s="1"/>
  <c r="M95" i="213"/>
  <c r="O111" i="243" s="1"/>
  <c r="L95" i="213"/>
  <c r="O111" i="242" s="1"/>
  <c r="K95" i="213"/>
  <c r="O111" i="241" s="1"/>
  <c r="J95" i="213"/>
  <c r="O111" i="240" s="1"/>
  <c r="I95" i="213"/>
  <c r="O111" i="239" s="1"/>
  <c r="H95" i="213"/>
  <c r="O111" i="238" s="1"/>
  <c r="G95" i="213"/>
  <c r="O111" i="237" s="1"/>
  <c r="F95" i="213"/>
  <c r="O111" i="236" s="1"/>
  <c r="E95" i="213"/>
  <c r="O111" i="235" s="1"/>
  <c r="D95" i="213"/>
  <c r="O111" i="214" s="1"/>
  <c r="R91" i="213"/>
  <c r="O107" i="253" s="1"/>
  <c r="Q91" i="213"/>
  <c r="O107" i="252" s="1"/>
  <c r="P91" i="213"/>
  <c r="O107" i="251" s="1"/>
  <c r="O91" i="213"/>
  <c r="O107" i="250" s="1"/>
  <c r="N91" i="213"/>
  <c r="O107" i="249" s="1"/>
  <c r="M91" i="213"/>
  <c r="O107" i="243" s="1"/>
  <c r="L91" i="213"/>
  <c r="O107" i="242" s="1"/>
  <c r="K91" i="213"/>
  <c r="O107" i="241" s="1"/>
  <c r="J91" i="213"/>
  <c r="O107" i="240" s="1"/>
  <c r="I91" i="213"/>
  <c r="O107" i="239" s="1"/>
  <c r="H91" i="213"/>
  <c r="O107" i="238" s="1"/>
  <c r="G91" i="213"/>
  <c r="O107" i="237" s="1"/>
  <c r="F91" i="213"/>
  <c r="O107" i="236" s="1"/>
  <c r="E91" i="213"/>
  <c r="O107" i="235" s="1"/>
  <c r="D91" i="213"/>
  <c r="O107" i="214" s="1"/>
  <c r="R87" i="213"/>
  <c r="Q87" i="213"/>
  <c r="O103" i="252" s="1"/>
  <c r="P87" i="213"/>
  <c r="O87" i="213"/>
  <c r="O103" i="250" s="1"/>
  <c r="N87" i="213"/>
  <c r="M87" i="213"/>
  <c r="O103" i="243" s="1"/>
  <c r="L87" i="213"/>
  <c r="K87" i="213"/>
  <c r="O103" i="241" s="1"/>
  <c r="J87" i="213"/>
  <c r="I87" i="213"/>
  <c r="O103" i="239" s="1"/>
  <c r="H87" i="213"/>
  <c r="G87" i="213"/>
  <c r="O103" i="237" s="1"/>
  <c r="F87" i="213"/>
  <c r="E87" i="213"/>
  <c r="O103" i="235" s="1"/>
  <c r="D87" i="213"/>
  <c r="R83" i="213"/>
  <c r="O99" i="253" s="1"/>
  <c r="Q83" i="213"/>
  <c r="P83" i="213"/>
  <c r="O99" i="251" s="1"/>
  <c r="O83" i="213"/>
  <c r="N83" i="213"/>
  <c r="O99" i="249" s="1"/>
  <c r="M83" i="213"/>
  <c r="L83" i="213"/>
  <c r="O99" i="242" s="1"/>
  <c r="K83" i="213"/>
  <c r="J83" i="213"/>
  <c r="O99" i="240" s="1"/>
  <c r="I83" i="213"/>
  <c r="H83" i="213"/>
  <c r="O99" i="238" s="1"/>
  <c r="G83" i="213"/>
  <c r="F83" i="213"/>
  <c r="O99" i="236" s="1"/>
  <c r="E83" i="213"/>
  <c r="D83" i="213"/>
  <c r="O99" i="214" s="1"/>
  <c r="R75" i="213"/>
  <c r="Q75" i="213"/>
  <c r="P75" i="213"/>
  <c r="O75" i="213"/>
  <c r="N75" i="213"/>
  <c r="M75" i="213"/>
  <c r="L75" i="213"/>
  <c r="K75" i="213"/>
  <c r="J75" i="213"/>
  <c r="I75" i="213"/>
  <c r="H75" i="213"/>
  <c r="G75" i="213"/>
  <c r="F75" i="213"/>
  <c r="E75" i="213"/>
  <c r="D75" i="213"/>
  <c r="R71" i="213"/>
  <c r="O90" i="253" s="1"/>
  <c r="Q71" i="213"/>
  <c r="O90" i="252" s="1"/>
  <c r="P71" i="213"/>
  <c r="O90" i="251" s="1"/>
  <c r="O71" i="213"/>
  <c r="O90" i="250" s="1"/>
  <c r="N71" i="213"/>
  <c r="O90" i="249" s="1"/>
  <c r="M71" i="213"/>
  <c r="O90" i="243" s="1"/>
  <c r="L71" i="213"/>
  <c r="O90" i="242" s="1"/>
  <c r="K71" i="213"/>
  <c r="O90" i="241" s="1"/>
  <c r="J71" i="213"/>
  <c r="O90" i="240" s="1"/>
  <c r="I71" i="213"/>
  <c r="O90" i="239" s="1"/>
  <c r="H71" i="213"/>
  <c r="O90" i="238" s="1"/>
  <c r="G71" i="213"/>
  <c r="O90" i="237" s="1"/>
  <c r="F71" i="213"/>
  <c r="O90" i="236" s="1"/>
  <c r="E71" i="213"/>
  <c r="O90" i="235" s="1"/>
  <c r="D71" i="213"/>
  <c r="O90" i="214" s="1"/>
  <c r="R67" i="213"/>
  <c r="O86" i="253" s="1"/>
  <c r="Q67" i="213"/>
  <c r="O86" i="252" s="1"/>
  <c r="P67" i="213"/>
  <c r="O86" i="251" s="1"/>
  <c r="O67" i="213"/>
  <c r="O86" i="250" s="1"/>
  <c r="N67" i="213"/>
  <c r="O86" i="249" s="1"/>
  <c r="M67" i="213"/>
  <c r="O86" i="243" s="1"/>
  <c r="L67" i="213"/>
  <c r="O86" i="242" s="1"/>
  <c r="K67" i="213"/>
  <c r="O86" i="241" s="1"/>
  <c r="J67" i="213"/>
  <c r="O86" i="240" s="1"/>
  <c r="I67" i="213"/>
  <c r="O86" i="239" s="1"/>
  <c r="H67" i="213"/>
  <c r="O86" i="238" s="1"/>
  <c r="G67" i="213"/>
  <c r="O86" i="237" s="1"/>
  <c r="F67" i="213"/>
  <c r="O86" i="236" s="1"/>
  <c r="E67" i="213"/>
  <c r="O86" i="235" s="1"/>
  <c r="D67" i="213"/>
  <c r="O86" i="214" s="1"/>
  <c r="R63" i="213"/>
  <c r="Q63" i="213"/>
  <c r="O82" i="252" s="1"/>
  <c r="P63" i="213"/>
  <c r="O63" i="213"/>
  <c r="O82" i="250" s="1"/>
  <c r="N63" i="213"/>
  <c r="M63" i="213"/>
  <c r="O82" i="243" s="1"/>
  <c r="L63" i="213"/>
  <c r="K63" i="213"/>
  <c r="O82" i="241" s="1"/>
  <c r="J63" i="213"/>
  <c r="I63" i="213"/>
  <c r="O82" i="239" s="1"/>
  <c r="H63" i="213"/>
  <c r="G63" i="213"/>
  <c r="O82" i="237" s="1"/>
  <c r="F63" i="213"/>
  <c r="E63" i="213"/>
  <c r="O82" i="235" s="1"/>
  <c r="D63" i="213"/>
  <c r="R59" i="213"/>
  <c r="O78" i="253" s="1"/>
  <c r="Q59" i="213"/>
  <c r="P59" i="213"/>
  <c r="O78" i="251" s="1"/>
  <c r="O59" i="213"/>
  <c r="N59" i="213"/>
  <c r="O78" i="249" s="1"/>
  <c r="M59" i="213"/>
  <c r="L59" i="213"/>
  <c r="O78" i="242" s="1"/>
  <c r="K59" i="213"/>
  <c r="J59" i="213"/>
  <c r="O78" i="240" s="1"/>
  <c r="I59" i="213"/>
  <c r="H59" i="213"/>
  <c r="O78" i="238" s="1"/>
  <c r="G59" i="213"/>
  <c r="F59" i="213"/>
  <c r="O78" i="236" s="1"/>
  <c r="E59" i="213"/>
  <c r="D59" i="213"/>
  <c r="O78" i="214" s="1"/>
  <c r="R51" i="213"/>
  <c r="Q51" i="213"/>
  <c r="P51" i="213"/>
  <c r="O51" i="213"/>
  <c r="N51" i="213"/>
  <c r="M51" i="213"/>
  <c r="L51" i="213"/>
  <c r="K51" i="213"/>
  <c r="J51" i="213"/>
  <c r="I51" i="213"/>
  <c r="H51" i="213"/>
  <c r="G51" i="213"/>
  <c r="F51" i="213"/>
  <c r="E51" i="213"/>
  <c r="D51" i="213"/>
  <c r="R47" i="213"/>
  <c r="K111" i="253" s="1"/>
  <c r="Q47" i="213"/>
  <c r="K111" i="252" s="1"/>
  <c r="P47" i="213"/>
  <c r="K111" i="251" s="1"/>
  <c r="O47" i="213"/>
  <c r="K111" i="250" s="1"/>
  <c r="N47" i="213"/>
  <c r="K111" i="249" s="1"/>
  <c r="M47" i="213"/>
  <c r="K111" i="243" s="1"/>
  <c r="L47" i="213"/>
  <c r="K111" i="242" s="1"/>
  <c r="K47" i="213"/>
  <c r="K111" i="241" s="1"/>
  <c r="J47" i="213"/>
  <c r="K111" i="240" s="1"/>
  <c r="I47" i="213"/>
  <c r="K111" i="239" s="1"/>
  <c r="H47" i="213"/>
  <c r="K111" i="238" s="1"/>
  <c r="G47" i="213"/>
  <c r="K111" i="237" s="1"/>
  <c r="F47" i="213"/>
  <c r="K111" i="236" s="1"/>
  <c r="E47" i="213"/>
  <c r="K111" i="235" s="1"/>
  <c r="D47" i="213"/>
  <c r="K111" i="214" s="1"/>
  <c r="R43" i="213"/>
  <c r="K107" i="253" s="1"/>
  <c r="Q43" i="213"/>
  <c r="K107" i="252" s="1"/>
  <c r="P43" i="213"/>
  <c r="K107" i="251" s="1"/>
  <c r="O43" i="213"/>
  <c r="K107" i="250" s="1"/>
  <c r="N43" i="213"/>
  <c r="K107" i="249" s="1"/>
  <c r="M43" i="213"/>
  <c r="K107" i="243" s="1"/>
  <c r="L43" i="213"/>
  <c r="K107" i="242" s="1"/>
  <c r="K43" i="213"/>
  <c r="K107" i="241" s="1"/>
  <c r="J43" i="213"/>
  <c r="K107" i="240" s="1"/>
  <c r="I43" i="213"/>
  <c r="K107" i="239" s="1"/>
  <c r="H43" i="213"/>
  <c r="K107" i="238" s="1"/>
  <c r="G43" i="213"/>
  <c r="K107" i="237" s="1"/>
  <c r="F43" i="213"/>
  <c r="K107" i="236" s="1"/>
  <c r="E43" i="213"/>
  <c r="K107" i="235" s="1"/>
  <c r="D43" i="213"/>
  <c r="K107" i="214" s="1"/>
  <c r="R39" i="213"/>
  <c r="Q39" i="213"/>
  <c r="K103" i="252" s="1"/>
  <c r="P39" i="213"/>
  <c r="O39" i="213"/>
  <c r="K103" i="250" s="1"/>
  <c r="N39" i="213"/>
  <c r="M39" i="213"/>
  <c r="K103" i="243" s="1"/>
  <c r="L39" i="213"/>
  <c r="K39" i="213"/>
  <c r="K103" i="241" s="1"/>
  <c r="J39" i="213"/>
  <c r="I39" i="213"/>
  <c r="K103" i="239" s="1"/>
  <c r="H39" i="213"/>
  <c r="G39" i="213"/>
  <c r="K103" i="237" s="1"/>
  <c r="F39" i="213"/>
  <c r="E39" i="213"/>
  <c r="K103" i="235" s="1"/>
  <c r="D39" i="213"/>
  <c r="R35" i="213"/>
  <c r="K99" i="253" s="1"/>
  <c r="Q35" i="213"/>
  <c r="P35" i="213"/>
  <c r="K99" i="251" s="1"/>
  <c r="O35" i="213"/>
  <c r="N35" i="213"/>
  <c r="K99" i="249" s="1"/>
  <c r="M35" i="213"/>
  <c r="L35" i="213"/>
  <c r="K99" i="242" s="1"/>
  <c r="K35" i="213"/>
  <c r="J35" i="213"/>
  <c r="K99" i="240" s="1"/>
  <c r="I35" i="213"/>
  <c r="H35" i="213"/>
  <c r="K99" i="238" s="1"/>
  <c r="G35" i="213"/>
  <c r="F35" i="213"/>
  <c r="K99" i="236" s="1"/>
  <c r="E35" i="213"/>
  <c r="D35" i="213"/>
  <c r="K99" i="214" s="1"/>
  <c r="R27" i="213"/>
  <c r="Q27" i="213"/>
  <c r="P27" i="213"/>
  <c r="O27" i="213"/>
  <c r="N27" i="213"/>
  <c r="M27" i="213"/>
  <c r="L27" i="213"/>
  <c r="K27" i="213"/>
  <c r="J27" i="213"/>
  <c r="I27" i="213"/>
  <c r="H27" i="213"/>
  <c r="G27" i="213"/>
  <c r="F27" i="213"/>
  <c r="E27" i="213"/>
  <c r="D27" i="213"/>
  <c r="R23" i="213"/>
  <c r="K90" i="253" s="1"/>
  <c r="Q23" i="213"/>
  <c r="K90" i="252" s="1"/>
  <c r="P23" i="213"/>
  <c r="K90" i="251" s="1"/>
  <c r="O23" i="213"/>
  <c r="K90" i="250" s="1"/>
  <c r="N23" i="213"/>
  <c r="K90" i="249" s="1"/>
  <c r="M23" i="213"/>
  <c r="K90" i="243" s="1"/>
  <c r="L23" i="213"/>
  <c r="K90" i="242" s="1"/>
  <c r="K23" i="213"/>
  <c r="K90" i="241" s="1"/>
  <c r="J23" i="213"/>
  <c r="K90" i="240" s="1"/>
  <c r="I23" i="213"/>
  <c r="K90" i="239" s="1"/>
  <c r="H23" i="213"/>
  <c r="K90" i="238" s="1"/>
  <c r="G23" i="213"/>
  <c r="K90" i="237" s="1"/>
  <c r="F23" i="213"/>
  <c r="K90" i="236" s="1"/>
  <c r="E23" i="213"/>
  <c r="K90" i="235" s="1"/>
  <c r="D23" i="213"/>
  <c r="K90" i="214" s="1"/>
  <c r="R19" i="213"/>
  <c r="K86" i="253" s="1"/>
  <c r="Q19" i="213"/>
  <c r="K86" i="252" s="1"/>
  <c r="P19" i="213"/>
  <c r="K86" i="251" s="1"/>
  <c r="O19" i="213"/>
  <c r="K86" i="250" s="1"/>
  <c r="N19" i="213"/>
  <c r="K86" i="249" s="1"/>
  <c r="M19" i="213"/>
  <c r="K86" i="243" s="1"/>
  <c r="L19" i="213"/>
  <c r="K86" i="242" s="1"/>
  <c r="K19" i="213"/>
  <c r="K86" i="241" s="1"/>
  <c r="J19" i="213"/>
  <c r="K86" i="240" s="1"/>
  <c r="I19" i="213"/>
  <c r="K86" i="239" s="1"/>
  <c r="H19" i="213"/>
  <c r="K86" i="238" s="1"/>
  <c r="G19" i="213"/>
  <c r="K86" i="237" s="1"/>
  <c r="F19" i="213"/>
  <c r="K86" i="236" s="1"/>
  <c r="E19" i="213"/>
  <c r="K86" i="235" s="1"/>
  <c r="D19" i="213"/>
  <c r="K86" i="214" s="1"/>
  <c r="R15" i="213"/>
  <c r="Q15" i="213"/>
  <c r="K82" i="252" s="1"/>
  <c r="P15" i="213"/>
  <c r="O15" i="213"/>
  <c r="K82" i="250" s="1"/>
  <c r="N15" i="213"/>
  <c r="M15" i="213"/>
  <c r="K82" i="243" s="1"/>
  <c r="L15" i="213"/>
  <c r="K15" i="213"/>
  <c r="K82" i="241" s="1"/>
  <c r="J15" i="213"/>
  <c r="I15" i="213"/>
  <c r="K82" i="239" s="1"/>
  <c r="H15" i="213"/>
  <c r="G15" i="213"/>
  <c r="K82" i="237" s="1"/>
  <c r="F15" i="213"/>
  <c r="E15" i="213"/>
  <c r="K82" i="235" s="1"/>
  <c r="D15" i="213"/>
  <c r="R11" i="213"/>
  <c r="K78" i="253" s="1"/>
  <c r="Q11" i="213"/>
  <c r="P11" i="213"/>
  <c r="K78" i="251" s="1"/>
  <c r="O11" i="213"/>
  <c r="N11" i="213"/>
  <c r="K78" i="249" s="1"/>
  <c r="M11" i="213"/>
  <c r="L11" i="213"/>
  <c r="K78" i="242" s="1"/>
  <c r="K11" i="213"/>
  <c r="J11" i="213"/>
  <c r="K78" i="240" s="1"/>
  <c r="I11" i="213"/>
  <c r="H11" i="213"/>
  <c r="K78" i="238" s="1"/>
  <c r="G11" i="213"/>
  <c r="F11" i="213"/>
  <c r="K78" i="236" s="1"/>
  <c r="E11" i="213"/>
  <c r="D11" i="213"/>
  <c r="K78" i="214" s="1"/>
  <c r="E52" i="213" l="1"/>
  <c r="K99" i="235"/>
  <c r="I52" i="213"/>
  <c r="K99" i="239"/>
  <c r="M52" i="213"/>
  <c r="K99" i="243"/>
  <c r="Q52" i="213"/>
  <c r="K99" i="252"/>
  <c r="F52" i="213"/>
  <c r="K103" i="236"/>
  <c r="J52" i="213"/>
  <c r="K103" i="240"/>
  <c r="N52" i="213"/>
  <c r="K103" i="249"/>
  <c r="R52" i="213"/>
  <c r="K103" i="253"/>
  <c r="G100" i="213"/>
  <c r="O99" i="237"/>
  <c r="O100" i="213"/>
  <c r="O99" i="250"/>
  <c r="H100" i="213"/>
  <c r="O103" i="238"/>
  <c r="P100" i="213"/>
  <c r="O103" i="251"/>
  <c r="E28" i="213"/>
  <c r="K78" i="235"/>
  <c r="M28" i="213"/>
  <c r="K78" i="243"/>
  <c r="F28" i="213"/>
  <c r="K82" i="236"/>
  <c r="J28" i="213"/>
  <c r="K82" i="240"/>
  <c r="R28" i="213"/>
  <c r="K82" i="253"/>
  <c r="G76" i="213"/>
  <c r="O78" i="237"/>
  <c r="O76" i="213"/>
  <c r="O78" i="250"/>
  <c r="H76" i="213"/>
  <c r="O82" i="238"/>
  <c r="P76" i="213"/>
  <c r="O82" i="251"/>
  <c r="I124" i="213"/>
  <c r="S78" i="239"/>
  <c r="Q124" i="213"/>
  <c r="S78" i="252"/>
  <c r="J124" i="213"/>
  <c r="S82" i="240"/>
  <c r="G52" i="213"/>
  <c r="K99" i="237"/>
  <c r="O52" i="213"/>
  <c r="K99" i="250"/>
  <c r="H52" i="213"/>
  <c r="K103" i="238"/>
  <c r="P52" i="213"/>
  <c r="K103" i="251"/>
  <c r="E100" i="213"/>
  <c r="O99" i="235"/>
  <c r="I100" i="213"/>
  <c r="O99" i="239"/>
  <c r="M100" i="213"/>
  <c r="O99" i="243"/>
  <c r="Q100" i="213"/>
  <c r="O99" i="252"/>
  <c r="F100" i="213"/>
  <c r="O103" i="236"/>
  <c r="J100" i="213"/>
  <c r="O103" i="240"/>
  <c r="N100" i="213"/>
  <c r="O103" i="249"/>
  <c r="R100" i="213"/>
  <c r="O103" i="253"/>
  <c r="K100" i="213"/>
  <c r="O99" i="241"/>
  <c r="D100" i="213"/>
  <c r="O103" i="214"/>
  <c r="L100" i="213"/>
  <c r="O103" i="242"/>
  <c r="I28" i="213"/>
  <c r="K78" i="239"/>
  <c r="Q28" i="213"/>
  <c r="K78" i="252"/>
  <c r="N28" i="213"/>
  <c r="K82" i="249"/>
  <c r="K76" i="213"/>
  <c r="O78" i="241"/>
  <c r="D76" i="213"/>
  <c r="O82" i="214"/>
  <c r="L76" i="213"/>
  <c r="O82" i="242"/>
  <c r="E124" i="213"/>
  <c r="S78" i="235"/>
  <c r="M124" i="213"/>
  <c r="S78" i="243"/>
  <c r="F124" i="213"/>
  <c r="S82" i="236"/>
  <c r="N124" i="213"/>
  <c r="S82" i="249"/>
  <c r="R124" i="213"/>
  <c r="S82" i="253"/>
  <c r="K52" i="213"/>
  <c r="K99" i="241"/>
  <c r="D52" i="213"/>
  <c r="K103" i="214"/>
  <c r="L52" i="213"/>
  <c r="K103" i="242"/>
  <c r="G28" i="213"/>
  <c r="K78" i="237"/>
  <c r="K28" i="213"/>
  <c r="K78" i="241"/>
  <c r="O28" i="213"/>
  <c r="K78" i="250"/>
  <c r="D28" i="213"/>
  <c r="K82" i="214"/>
  <c r="H28" i="213"/>
  <c r="K82" i="238"/>
  <c r="L28" i="213"/>
  <c r="K82" i="242"/>
  <c r="P28" i="213"/>
  <c r="K82" i="251"/>
  <c r="E76" i="213"/>
  <c r="O78" i="235"/>
  <c r="I76" i="213"/>
  <c r="O78" i="239"/>
  <c r="M76" i="213"/>
  <c r="O78" i="243"/>
  <c r="Q76" i="213"/>
  <c r="O78" i="252"/>
  <c r="F76" i="213"/>
  <c r="O82" i="236"/>
  <c r="J76" i="213"/>
  <c r="O82" i="240"/>
  <c r="N76" i="213"/>
  <c r="O82" i="249"/>
  <c r="R76" i="213"/>
  <c r="O82" i="253"/>
  <c r="G124" i="213"/>
  <c r="S78" i="237"/>
  <c r="K124" i="213"/>
  <c r="S78" i="241"/>
  <c r="O124" i="213"/>
  <c r="S78" i="250"/>
  <c r="D124" i="213"/>
  <c r="S82" i="214"/>
  <c r="H124" i="213"/>
  <c r="S82" i="238"/>
  <c r="L124" i="213"/>
  <c r="S82" i="242"/>
  <c r="P124" i="213"/>
  <c r="S82" i="251"/>
  <c r="D1" i="230"/>
  <c r="D1" i="177"/>
  <c r="D1" i="76"/>
  <c r="D1" i="232"/>
  <c r="D1" i="229"/>
  <c r="D1" i="213"/>
  <c r="B32" i="211"/>
  <c r="D1" i="72"/>
  <c r="A1" i="75"/>
  <c r="C1" i="54"/>
  <c r="B1" i="207"/>
  <c r="D1" i="208"/>
  <c r="B1" i="210"/>
  <c r="C77" i="238" l="1"/>
  <c r="J26" i="210"/>
  <c r="C77" i="237"/>
  <c r="H26" i="210"/>
  <c r="C75" i="236"/>
  <c r="F24" i="210"/>
  <c r="C75" i="243"/>
  <c r="T24" i="210"/>
  <c r="C75" i="235"/>
  <c r="D24" i="210"/>
  <c r="C73" i="242"/>
  <c r="R22" i="210"/>
  <c r="C73" i="214"/>
  <c r="B22" i="210"/>
  <c r="C73" i="241"/>
  <c r="P22" i="210"/>
  <c r="C74" i="242"/>
  <c r="R23" i="210"/>
  <c r="C74" i="241"/>
  <c r="P23" i="210"/>
  <c r="C77" i="249"/>
  <c r="V26" i="210"/>
  <c r="C77" i="243"/>
  <c r="T26" i="210"/>
  <c r="C75" i="242"/>
  <c r="R24" i="210"/>
  <c r="C75" i="241"/>
  <c r="P24" i="210"/>
  <c r="C73" i="252"/>
  <c r="AB22" i="210"/>
  <c r="C76" i="242"/>
  <c r="R25" i="210"/>
  <c r="C76" i="241"/>
  <c r="P25" i="210"/>
  <c r="C76" i="249"/>
  <c r="V25" i="210"/>
  <c r="C76" i="236"/>
  <c r="F25" i="210"/>
  <c r="C76" i="243"/>
  <c r="T25" i="210"/>
  <c r="C76" i="235"/>
  <c r="D25" i="210"/>
  <c r="C74" i="238"/>
  <c r="J23" i="210"/>
  <c r="C74" i="237"/>
  <c r="H23" i="210"/>
  <c r="C77" i="252"/>
  <c r="AB26" i="210"/>
  <c r="C75" i="251"/>
  <c r="Z24" i="210"/>
  <c r="C75" i="250"/>
  <c r="X24" i="210"/>
  <c r="C73" i="253"/>
  <c r="AD22" i="210"/>
  <c r="C73" i="236"/>
  <c r="F22" i="210"/>
  <c r="C73" i="235"/>
  <c r="D22" i="210"/>
  <c r="C76" i="238"/>
  <c r="J25" i="210"/>
  <c r="C76" i="237"/>
  <c r="H25" i="210"/>
  <c r="C74" i="249"/>
  <c r="V23" i="210"/>
  <c r="C74" i="236"/>
  <c r="F23" i="210"/>
  <c r="C74" i="243"/>
  <c r="T23" i="210"/>
  <c r="C74" i="235"/>
  <c r="D23" i="210"/>
  <c r="C77" i="251"/>
  <c r="Z26" i="210"/>
  <c r="C75" i="249"/>
  <c r="V24" i="210"/>
  <c r="C77" i="214"/>
  <c r="B26" i="210"/>
  <c r="C75" i="253"/>
  <c r="AD24" i="210"/>
  <c r="C75" i="240"/>
  <c r="N24" i="210"/>
  <c r="C75" i="239"/>
  <c r="L24" i="210"/>
  <c r="C73" i="250"/>
  <c r="X22" i="210"/>
  <c r="C73" i="237"/>
  <c r="H22" i="210"/>
  <c r="C77" i="236"/>
  <c r="F26" i="210"/>
  <c r="C77" i="235"/>
  <c r="D26" i="210"/>
  <c r="C73" i="239"/>
  <c r="L22" i="210"/>
  <c r="C76" i="253"/>
  <c r="AD25" i="210"/>
  <c r="C76" i="240"/>
  <c r="N25" i="210"/>
  <c r="C76" i="239"/>
  <c r="L25" i="210"/>
  <c r="C74" i="250"/>
  <c r="X23" i="210"/>
  <c r="C77" i="239"/>
  <c r="L26" i="210"/>
  <c r="C75" i="237"/>
  <c r="H24" i="210"/>
  <c r="C73" i="243"/>
  <c r="T22" i="210"/>
  <c r="C76" i="251"/>
  <c r="Z25" i="210"/>
  <c r="C76" i="250"/>
  <c r="X25" i="210"/>
  <c r="C74" i="253"/>
  <c r="AD23" i="210"/>
  <c r="C74" i="240"/>
  <c r="N23" i="210"/>
  <c r="C74" i="252"/>
  <c r="AB23" i="210"/>
  <c r="C74" i="239"/>
  <c r="L23" i="210"/>
  <c r="C77" i="250"/>
  <c r="X26" i="210"/>
  <c r="C77" i="242"/>
  <c r="R26" i="210"/>
  <c r="C77" i="241"/>
  <c r="P26" i="210"/>
  <c r="C75" i="252"/>
  <c r="AB24" i="210"/>
  <c r="C73" i="251"/>
  <c r="Z22" i="210"/>
  <c r="C73" i="238"/>
  <c r="J22" i="210"/>
  <c r="C74" i="214"/>
  <c r="B23" i="210"/>
  <c r="C77" i="253"/>
  <c r="AD26" i="210"/>
  <c r="C75" i="214"/>
  <c r="B24" i="210"/>
  <c r="C73" i="249"/>
  <c r="V22" i="210"/>
  <c r="C76" i="214"/>
  <c r="B25" i="210"/>
  <c r="C76" i="252"/>
  <c r="AB25" i="210"/>
  <c r="C74" i="251"/>
  <c r="Z23" i="210"/>
  <c r="C77" i="240"/>
  <c r="N26" i="210"/>
  <c r="C75" i="238"/>
  <c r="J24" i="210"/>
  <c r="C73" i="240"/>
  <c r="N22" i="210"/>
  <c r="A27" i="211"/>
  <c r="D11" i="211"/>
  <c r="A20" i="211"/>
  <c r="D42" i="211"/>
  <c r="D41" i="211"/>
  <c r="D40" i="211"/>
  <c r="AD83" i="210"/>
  <c r="AB83" i="210"/>
  <c r="Z83" i="210"/>
  <c r="X83" i="210"/>
  <c r="V83" i="210"/>
  <c r="T83" i="210"/>
  <c r="R83" i="210"/>
  <c r="P83" i="210"/>
  <c r="L83" i="210"/>
  <c r="H83" i="210"/>
  <c r="F83" i="210"/>
  <c r="D83" i="210"/>
  <c r="B83" i="210"/>
  <c r="A83" i="210"/>
  <c r="D39" i="211" s="1"/>
  <c r="AD82" i="210"/>
  <c r="AB82" i="210"/>
  <c r="Z82" i="210"/>
  <c r="X82" i="210"/>
  <c r="V82" i="210"/>
  <c r="T82" i="210"/>
  <c r="R82" i="210"/>
  <c r="P82" i="210"/>
  <c r="L82" i="210"/>
  <c r="H82" i="210"/>
  <c r="F82" i="210"/>
  <c r="D82" i="210"/>
  <c r="B82" i="210"/>
  <c r="A82" i="210"/>
  <c r="AD81" i="210"/>
  <c r="AB81" i="210"/>
  <c r="Z81" i="210"/>
  <c r="X81" i="210"/>
  <c r="V81" i="210"/>
  <c r="T81" i="210"/>
  <c r="R81" i="210"/>
  <c r="P81" i="210"/>
  <c r="L81" i="210"/>
  <c r="H81" i="210"/>
  <c r="F81" i="210"/>
  <c r="D81" i="210"/>
  <c r="B81" i="210"/>
  <c r="A81" i="210"/>
  <c r="AD80" i="210"/>
  <c r="AB80" i="210"/>
  <c r="Z80" i="210"/>
  <c r="X80" i="210"/>
  <c r="V80" i="210"/>
  <c r="T80" i="210"/>
  <c r="R80" i="210"/>
  <c r="P80" i="210"/>
  <c r="L80" i="210"/>
  <c r="H80" i="210"/>
  <c r="F80" i="210"/>
  <c r="D80" i="210"/>
  <c r="B80" i="210"/>
  <c r="A80" i="210"/>
  <c r="AD79" i="210"/>
  <c r="AB79" i="210"/>
  <c r="Z79" i="210"/>
  <c r="X79" i="210"/>
  <c r="V79" i="210"/>
  <c r="T79" i="210"/>
  <c r="R79" i="210"/>
  <c r="P79" i="210"/>
  <c r="L79" i="210"/>
  <c r="H79" i="210"/>
  <c r="F79" i="210"/>
  <c r="D79" i="210"/>
  <c r="B79" i="210"/>
  <c r="A79" i="210"/>
  <c r="D38" i="211" s="1"/>
  <c r="AD78" i="210"/>
  <c r="AB78" i="210"/>
  <c r="Z78" i="210"/>
  <c r="X78" i="210"/>
  <c r="V78" i="210"/>
  <c r="T78" i="210"/>
  <c r="R78" i="210"/>
  <c r="P78" i="210"/>
  <c r="L78" i="210"/>
  <c r="H78" i="210"/>
  <c r="F78" i="210"/>
  <c r="D78" i="210"/>
  <c r="B78" i="210"/>
  <c r="A78" i="210"/>
  <c r="D37" i="211" s="1"/>
  <c r="AD77" i="210"/>
  <c r="AB77" i="210"/>
  <c r="Z77" i="210"/>
  <c r="X77" i="210"/>
  <c r="V77" i="210"/>
  <c r="T77" i="210"/>
  <c r="R77" i="210"/>
  <c r="P77" i="210"/>
  <c r="L77" i="210"/>
  <c r="H77" i="210"/>
  <c r="F77" i="210"/>
  <c r="D77" i="210"/>
  <c r="B77" i="210"/>
  <c r="A77" i="210"/>
  <c r="D36" i="211" s="1"/>
  <c r="AD76" i="210"/>
  <c r="AB76" i="210"/>
  <c r="Z76" i="210"/>
  <c r="X76" i="210"/>
  <c r="V76" i="210"/>
  <c r="T76" i="210"/>
  <c r="R76" i="210"/>
  <c r="P76" i="210"/>
  <c r="L76" i="210"/>
  <c r="H76" i="210"/>
  <c r="F76" i="210"/>
  <c r="D76" i="210"/>
  <c r="B76" i="210"/>
  <c r="A76" i="210"/>
  <c r="D35" i="211" s="1"/>
  <c r="AD75" i="210"/>
  <c r="AB75" i="210"/>
  <c r="Z75" i="210"/>
  <c r="X75" i="210"/>
  <c r="V75" i="210"/>
  <c r="T75" i="210"/>
  <c r="R75" i="210"/>
  <c r="P75" i="210"/>
  <c r="L75" i="210"/>
  <c r="H75" i="210"/>
  <c r="F75" i="210"/>
  <c r="D75" i="210"/>
  <c r="B75" i="210"/>
  <c r="A75" i="210"/>
  <c r="D34" i="211" s="1"/>
  <c r="AD74" i="210"/>
  <c r="AB74" i="210"/>
  <c r="Z74" i="210"/>
  <c r="X74" i="210"/>
  <c r="V74" i="210"/>
  <c r="T74" i="210"/>
  <c r="R74" i="210"/>
  <c r="P74" i="210"/>
  <c r="L74" i="210"/>
  <c r="H74" i="210"/>
  <c r="F74" i="210"/>
  <c r="D74" i="210"/>
  <c r="B74" i="210"/>
  <c r="A74" i="210"/>
  <c r="D33" i="211" s="1"/>
  <c r="AD73" i="210"/>
  <c r="AB73" i="210"/>
  <c r="Z73" i="210"/>
  <c r="X73" i="210"/>
  <c r="V73" i="210"/>
  <c r="T73" i="210"/>
  <c r="R73" i="210"/>
  <c r="P73" i="210"/>
  <c r="L73" i="210"/>
  <c r="H73" i="210"/>
  <c r="F73" i="210"/>
  <c r="D73" i="210"/>
  <c r="B73" i="210"/>
  <c r="A73" i="210"/>
  <c r="D32" i="211" s="1"/>
  <c r="AD72" i="210"/>
  <c r="AB72" i="210"/>
  <c r="Z72" i="210"/>
  <c r="X72" i="210"/>
  <c r="V72" i="210"/>
  <c r="T72" i="210"/>
  <c r="R72" i="210"/>
  <c r="P72" i="210"/>
  <c r="L72" i="210"/>
  <c r="H72" i="210"/>
  <c r="F72" i="210"/>
  <c r="D72" i="210"/>
  <c r="B72" i="210"/>
  <c r="A72" i="210"/>
  <c r="D31" i="211" s="1"/>
  <c r="AD71" i="210"/>
  <c r="AB71" i="210"/>
  <c r="Z71" i="210"/>
  <c r="X71" i="210"/>
  <c r="V71" i="210"/>
  <c r="T71" i="210"/>
  <c r="R71" i="210"/>
  <c r="P71" i="210"/>
  <c r="L71" i="210"/>
  <c r="H71" i="210"/>
  <c r="F71" i="210"/>
  <c r="D71" i="210"/>
  <c r="B71" i="210"/>
  <c r="A71" i="210"/>
  <c r="D30" i="211" s="1"/>
  <c r="AD70" i="210"/>
  <c r="AB70" i="210"/>
  <c r="Z70" i="210"/>
  <c r="X70" i="210"/>
  <c r="V70" i="210"/>
  <c r="T70" i="210"/>
  <c r="R70" i="210"/>
  <c r="P70" i="210"/>
  <c r="L70" i="210"/>
  <c r="H70" i="210"/>
  <c r="F70" i="210"/>
  <c r="D70" i="210"/>
  <c r="B70" i="210"/>
  <c r="A70" i="210"/>
  <c r="D29" i="211" s="1"/>
  <c r="AD69" i="210"/>
  <c r="AB69" i="210"/>
  <c r="Z69" i="210"/>
  <c r="X69" i="210"/>
  <c r="V69" i="210"/>
  <c r="T69" i="210"/>
  <c r="R69" i="210"/>
  <c r="P69" i="210"/>
  <c r="L69" i="210"/>
  <c r="H69" i="210"/>
  <c r="F69" i="210"/>
  <c r="D69" i="210"/>
  <c r="B69" i="210"/>
  <c r="A69" i="210"/>
  <c r="D28" i="211" s="1"/>
  <c r="AD68" i="210"/>
  <c r="AB68" i="210"/>
  <c r="Z68" i="210"/>
  <c r="X68" i="210"/>
  <c r="V68" i="210"/>
  <c r="T68" i="210"/>
  <c r="R68" i="210"/>
  <c r="P68" i="210"/>
  <c r="L68" i="210"/>
  <c r="H68" i="210"/>
  <c r="F68" i="210"/>
  <c r="D68" i="210"/>
  <c r="B68" i="210"/>
  <c r="A68" i="210"/>
  <c r="D27" i="211" s="1"/>
  <c r="AD67" i="210"/>
  <c r="AB67" i="210"/>
  <c r="Z67" i="210"/>
  <c r="X67" i="210"/>
  <c r="V67" i="210"/>
  <c r="T67" i="210"/>
  <c r="R67" i="210"/>
  <c r="P67" i="210"/>
  <c r="L67" i="210"/>
  <c r="H67" i="210"/>
  <c r="F67" i="210"/>
  <c r="D67" i="210"/>
  <c r="B67" i="210"/>
  <c r="A67" i="210"/>
  <c r="D26" i="211" s="1"/>
  <c r="AD66" i="210"/>
  <c r="AB66" i="210"/>
  <c r="Z66" i="210"/>
  <c r="X66" i="210"/>
  <c r="V66" i="210"/>
  <c r="T66" i="210"/>
  <c r="R66" i="210"/>
  <c r="P66" i="210"/>
  <c r="L66" i="210"/>
  <c r="H66" i="210"/>
  <c r="F66" i="210"/>
  <c r="D66" i="210"/>
  <c r="B66" i="210"/>
  <c r="A66" i="210"/>
  <c r="D25" i="211" s="1"/>
  <c r="AD65" i="210"/>
  <c r="AB65" i="210"/>
  <c r="Z65" i="210"/>
  <c r="X65" i="210"/>
  <c r="V65" i="210"/>
  <c r="T65" i="210"/>
  <c r="R65" i="210"/>
  <c r="P65" i="210"/>
  <c r="L65" i="210"/>
  <c r="H65" i="210"/>
  <c r="F65" i="210"/>
  <c r="D65" i="210"/>
  <c r="B65" i="210"/>
  <c r="A65" i="210"/>
  <c r="D24" i="211" s="1"/>
  <c r="AD64" i="210"/>
  <c r="AB64" i="210"/>
  <c r="Z64" i="210"/>
  <c r="X64" i="210"/>
  <c r="V64" i="210"/>
  <c r="T64" i="210"/>
  <c r="R64" i="210"/>
  <c r="P64" i="210"/>
  <c r="L64" i="210"/>
  <c r="H64" i="210"/>
  <c r="F64" i="210"/>
  <c r="D64" i="210"/>
  <c r="B64" i="210"/>
  <c r="A64" i="210"/>
  <c r="D23" i="211" s="1"/>
  <c r="AD63" i="210"/>
  <c r="AB63" i="210"/>
  <c r="Z63" i="210"/>
  <c r="X63" i="210"/>
  <c r="V63" i="210"/>
  <c r="T63" i="210"/>
  <c r="R63" i="210"/>
  <c r="P63" i="210"/>
  <c r="L63" i="210"/>
  <c r="H63" i="210"/>
  <c r="F63" i="210"/>
  <c r="D63" i="210"/>
  <c r="B63" i="210"/>
  <c r="A63" i="210"/>
  <c r="D22" i="211" s="1"/>
  <c r="AD62" i="210"/>
  <c r="AB62" i="210"/>
  <c r="Z62" i="210"/>
  <c r="X62" i="210"/>
  <c r="V62" i="210"/>
  <c r="T62" i="210"/>
  <c r="R62" i="210"/>
  <c r="P62" i="210"/>
  <c r="L62" i="210"/>
  <c r="H62" i="210"/>
  <c r="F62" i="210"/>
  <c r="D62" i="210"/>
  <c r="B62" i="210"/>
  <c r="A62" i="210"/>
  <c r="D21" i="211" s="1"/>
  <c r="AD61" i="210"/>
  <c r="AB61" i="210"/>
  <c r="Z61" i="210"/>
  <c r="X61" i="210"/>
  <c r="V61" i="210"/>
  <c r="T61" i="210"/>
  <c r="R61" i="210"/>
  <c r="P61" i="210"/>
  <c r="L61" i="210"/>
  <c r="H61" i="210"/>
  <c r="F61" i="210"/>
  <c r="D61" i="210"/>
  <c r="B61" i="210"/>
  <c r="A61" i="210"/>
  <c r="D20" i="211" s="1"/>
  <c r="AD60" i="210"/>
  <c r="AB60" i="210"/>
  <c r="Z60" i="210"/>
  <c r="X60" i="210"/>
  <c r="V60" i="210"/>
  <c r="T60" i="210"/>
  <c r="R60" i="210"/>
  <c r="P60" i="210"/>
  <c r="L60" i="210"/>
  <c r="H60" i="210"/>
  <c r="F60" i="210"/>
  <c r="D60" i="210"/>
  <c r="B60" i="210"/>
  <c r="A60" i="210"/>
  <c r="D19" i="211" s="1"/>
  <c r="AD59" i="210"/>
  <c r="AB59" i="210"/>
  <c r="Z59" i="210"/>
  <c r="X59" i="210"/>
  <c r="V59" i="210"/>
  <c r="T59" i="210"/>
  <c r="R59" i="210"/>
  <c r="P59" i="210"/>
  <c r="L59" i="210"/>
  <c r="H59" i="210"/>
  <c r="F59" i="210"/>
  <c r="D59" i="210"/>
  <c r="B59" i="210"/>
  <c r="A59" i="210"/>
  <c r="D18" i="211" s="1"/>
  <c r="AD58" i="210"/>
  <c r="AB58" i="210"/>
  <c r="Z58" i="210"/>
  <c r="X58" i="210"/>
  <c r="V58" i="210"/>
  <c r="T58" i="210"/>
  <c r="R58" i="210"/>
  <c r="P58" i="210"/>
  <c r="L58" i="210"/>
  <c r="H58" i="210"/>
  <c r="F58" i="210"/>
  <c r="D58" i="210"/>
  <c r="B58" i="210"/>
  <c r="A58" i="210"/>
  <c r="D17" i="211" s="1"/>
  <c r="AD57" i="210"/>
  <c r="AB57" i="210"/>
  <c r="Z57" i="210"/>
  <c r="X57" i="210"/>
  <c r="V57" i="210"/>
  <c r="T57" i="210"/>
  <c r="R57" i="210"/>
  <c r="P57" i="210"/>
  <c r="L57" i="210"/>
  <c r="H57" i="210"/>
  <c r="F57" i="210"/>
  <c r="D57" i="210"/>
  <c r="B57" i="210"/>
  <c r="D16" i="211"/>
  <c r="AD56" i="210"/>
  <c r="AB56" i="210"/>
  <c r="Z56" i="210"/>
  <c r="X56" i="210"/>
  <c r="V56" i="210"/>
  <c r="T56" i="210"/>
  <c r="R56" i="210"/>
  <c r="P56" i="210"/>
  <c r="L56" i="210"/>
  <c r="H56" i="210"/>
  <c r="F56" i="210"/>
  <c r="D56" i="210"/>
  <c r="B56" i="210"/>
  <c r="A56" i="210"/>
  <c r="D15" i="211" s="1"/>
  <c r="AD55" i="210"/>
  <c r="AB55" i="210"/>
  <c r="Z55" i="210"/>
  <c r="X55" i="210"/>
  <c r="V55" i="210"/>
  <c r="T55" i="210"/>
  <c r="R55" i="210"/>
  <c r="P55" i="210"/>
  <c r="L55" i="210"/>
  <c r="H55" i="210"/>
  <c r="F55" i="210"/>
  <c r="D55" i="210"/>
  <c r="B55" i="210"/>
  <c r="A55" i="210"/>
  <c r="D14" i="211" s="1"/>
  <c r="AD54" i="210"/>
  <c r="AB54" i="210"/>
  <c r="Z54" i="210"/>
  <c r="X54" i="210"/>
  <c r="V54" i="210"/>
  <c r="T54" i="210"/>
  <c r="R54" i="210"/>
  <c r="P54" i="210"/>
  <c r="L54" i="210"/>
  <c r="H54" i="210"/>
  <c r="F54" i="210"/>
  <c r="D54" i="210"/>
  <c r="B54" i="210"/>
  <c r="A54" i="210"/>
  <c r="D13" i="211" s="1"/>
  <c r="A51" i="210"/>
  <c r="D10" i="211" s="1"/>
  <c r="B40" i="211"/>
  <c r="A40" i="211"/>
  <c r="B39" i="211"/>
  <c r="A39" i="211"/>
  <c r="B38" i="211"/>
  <c r="A38" i="211"/>
  <c r="B37" i="211"/>
  <c r="A37" i="211"/>
  <c r="A36" i="211"/>
  <c r="A35" i="211"/>
  <c r="A34" i="211"/>
  <c r="A33" i="211"/>
  <c r="A31" i="211"/>
  <c r="A30" i="211"/>
  <c r="A29" i="211"/>
  <c r="A29" i="210"/>
  <c r="A28" i="211" s="1"/>
  <c r="E11" i="211"/>
  <c r="A15" i="210"/>
  <c r="A14" i="210"/>
  <c r="A12" i="210"/>
  <c r="A11" i="210"/>
  <c r="A10" i="210"/>
  <c r="A9" i="210"/>
  <c r="A8" i="210"/>
  <c r="A7" i="210"/>
  <c r="A6" i="210"/>
  <c r="A5" i="210"/>
  <c r="A4" i="210"/>
  <c r="A3" i="210"/>
  <c r="A16" i="253" l="1"/>
  <c r="A7" i="253"/>
  <c r="A16" i="251"/>
  <c r="A16" i="250"/>
  <c r="A16" i="252"/>
  <c r="A7" i="252"/>
  <c r="A7" i="251"/>
  <c r="A7" i="250"/>
  <c r="A16" i="242"/>
  <c r="A16" i="249"/>
  <c r="A7" i="249"/>
  <c r="A7" i="241"/>
  <c r="A16" i="238"/>
  <c r="A7" i="238"/>
  <c r="A16" i="235"/>
  <c r="A7" i="235"/>
  <c r="A7" i="236"/>
  <c r="A16" i="241"/>
  <c r="A7" i="240"/>
  <c r="A7" i="243"/>
  <c r="A16" i="239"/>
  <c r="A7" i="239"/>
  <c r="A16" i="236"/>
  <c r="A16" i="243"/>
  <c r="A7" i="242"/>
  <c r="A16" i="240"/>
  <c r="A16" i="237"/>
  <c r="A7" i="214"/>
  <c r="A7" i="237"/>
  <c r="A25" i="250"/>
  <c r="A25" i="251"/>
  <c r="A25" i="252"/>
  <c r="A25" i="253"/>
  <c r="A25" i="249"/>
  <c r="A25" i="243"/>
  <c r="A25" i="239"/>
  <c r="A25" i="236"/>
  <c r="A25" i="237"/>
  <c r="A25" i="242"/>
  <c r="A25" i="240"/>
  <c r="A25" i="241"/>
  <c r="A25" i="238"/>
  <c r="A25" i="235"/>
  <c r="A13" i="250"/>
  <c r="A13" i="251"/>
  <c r="A13" i="249"/>
  <c r="A4" i="249"/>
  <c r="A13" i="253"/>
  <c r="A4" i="253"/>
  <c r="A4" i="251"/>
  <c r="A13" i="252"/>
  <c r="A13" i="243"/>
  <c r="A4" i="243"/>
  <c r="A4" i="242"/>
  <c r="A4" i="252"/>
  <c r="A4" i="250"/>
  <c r="A13" i="241"/>
  <c r="A13" i="239"/>
  <c r="A4" i="239"/>
  <c r="A13" i="236"/>
  <c r="A4" i="236"/>
  <c r="A13" i="240"/>
  <c r="A4" i="240"/>
  <c r="A13" i="237"/>
  <c r="A4" i="237"/>
  <c r="A13" i="242"/>
  <c r="A13" i="238"/>
  <c r="A4" i="238"/>
  <c r="A13" i="235"/>
  <c r="A4" i="235"/>
  <c r="A4" i="241"/>
  <c r="A4" i="214"/>
  <c r="A17" i="250"/>
  <c r="A17" i="251"/>
  <c r="A17" i="252"/>
  <c r="A8" i="252"/>
  <c r="A8" i="251"/>
  <c r="A17" i="253"/>
  <c r="A8" i="253"/>
  <c r="A17" i="249"/>
  <c r="A8" i="249"/>
  <c r="A8" i="250"/>
  <c r="A17" i="243"/>
  <c r="A8" i="243"/>
  <c r="A8" i="242"/>
  <c r="A17" i="242"/>
  <c r="A17" i="239"/>
  <c r="A8" i="239"/>
  <c r="A17" i="236"/>
  <c r="A8" i="236"/>
  <c r="A17" i="237"/>
  <c r="A8" i="237"/>
  <c r="A17" i="241"/>
  <c r="A17" i="240"/>
  <c r="A8" i="240"/>
  <c r="A8" i="241"/>
  <c r="A17" i="238"/>
  <c r="A8" i="238"/>
  <c r="A17" i="235"/>
  <c r="A8" i="235"/>
  <c r="A8" i="214"/>
  <c r="A21" i="250"/>
  <c r="A21" i="251"/>
  <c r="A21" i="249"/>
  <c r="A21" i="253"/>
  <c r="A21" i="243"/>
  <c r="A21" i="252"/>
  <c r="A21" i="239"/>
  <c r="A21" i="236"/>
  <c r="A21" i="237"/>
  <c r="A21" i="241"/>
  <c r="A21" i="242"/>
  <c r="A21" i="240"/>
  <c r="A21" i="238"/>
  <c r="A21" i="235"/>
  <c r="A15" i="252"/>
  <c r="A6" i="252"/>
  <c r="A15" i="253"/>
  <c r="A6" i="253"/>
  <c r="A6" i="250"/>
  <c r="A15" i="251"/>
  <c r="A15" i="250"/>
  <c r="A15" i="249"/>
  <c r="A6" i="249"/>
  <c r="A6" i="251"/>
  <c r="A15" i="241"/>
  <c r="A6" i="241"/>
  <c r="A15" i="243"/>
  <c r="A6" i="242"/>
  <c r="A6" i="235"/>
  <c r="A6" i="243"/>
  <c r="A15" i="242"/>
  <c r="A15" i="238"/>
  <c r="A6" i="238"/>
  <c r="A15" i="235"/>
  <c r="A6" i="214"/>
  <c r="A15" i="240"/>
  <c r="A6" i="240"/>
  <c r="A15" i="237"/>
  <c r="A6" i="237"/>
  <c r="A15" i="239"/>
  <c r="A6" i="239"/>
  <c r="A15" i="236"/>
  <c r="A6" i="236"/>
  <c r="A19" i="252"/>
  <c r="A10" i="252"/>
  <c r="A19" i="253"/>
  <c r="A10" i="253"/>
  <c r="A10" i="250"/>
  <c r="A19" i="251"/>
  <c r="A10" i="251"/>
  <c r="A19" i="249"/>
  <c r="A10" i="249"/>
  <c r="A19" i="241"/>
  <c r="A10" i="241"/>
  <c r="A10" i="242"/>
  <c r="A19" i="235"/>
  <c r="A19" i="238"/>
  <c r="A10" i="238"/>
  <c r="A10" i="235"/>
  <c r="A19" i="243"/>
  <c r="A19" i="242"/>
  <c r="A19" i="250"/>
  <c r="A10" i="243"/>
  <c r="A19" i="240"/>
  <c r="A10" i="240"/>
  <c r="A19" i="237"/>
  <c r="A10" i="237"/>
  <c r="A10" i="214"/>
  <c r="A10" i="236"/>
  <c r="A19" i="236"/>
  <c r="A19" i="239"/>
  <c r="A10" i="239"/>
  <c r="A24" i="253"/>
  <c r="A24" i="251"/>
  <c r="A24" i="252"/>
  <c r="A24" i="242"/>
  <c r="A24" i="250"/>
  <c r="A24" i="249"/>
  <c r="A24" i="241"/>
  <c r="A24" i="238"/>
  <c r="A24" i="235"/>
  <c r="A24" i="236"/>
  <c r="A24" i="240"/>
  <c r="A24" i="239"/>
  <c r="A24" i="243"/>
  <c r="A24" i="237"/>
  <c r="A20" i="253"/>
  <c r="A11" i="253"/>
  <c r="A20" i="250"/>
  <c r="A20" i="252"/>
  <c r="A11" i="252"/>
  <c r="A11" i="250"/>
  <c r="A20" i="242"/>
  <c r="A11" i="242"/>
  <c r="A20" i="249"/>
  <c r="A11" i="249"/>
  <c r="A11" i="251"/>
  <c r="A20" i="238"/>
  <c r="A11" i="238"/>
  <c r="A20" i="235"/>
  <c r="A11" i="235"/>
  <c r="A11" i="214"/>
  <c r="A20" i="236"/>
  <c r="A11" i="236"/>
  <c r="A20" i="243"/>
  <c r="A11" i="241"/>
  <c r="A20" i="239"/>
  <c r="A11" i="239"/>
  <c r="A20" i="251"/>
  <c r="A11" i="243"/>
  <c r="A11" i="240"/>
  <c r="A20" i="241"/>
  <c r="A20" i="240"/>
  <c r="A20" i="237"/>
  <c r="A11" i="237"/>
  <c r="A14" i="251"/>
  <c r="A5" i="251"/>
  <c r="A14" i="252"/>
  <c r="A5" i="252"/>
  <c r="A5" i="250"/>
  <c r="A14" i="249"/>
  <c r="A5" i="249"/>
  <c r="A14" i="253"/>
  <c r="A14" i="250"/>
  <c r="A14" i="240"/>
  <c r="A5" i="240"/>
  <c r="A14" i="237"/>
  <c r="A5" i="237"/>
  <c r="A5" i="214"/>
  <c r="A5" i="253"/>
  <c r="A14" i="243"/>
  <c r="A5" i="242"/>
  <c r="A5" i="241"/>
  <c r="A5" i="243"/>
  <c r="A14" i="241"/>
  <c r="A14" i="239"/>
  <c r="A5" i="239"/>
  <c r="A14" i="236"/>
  <c r="A5" i="236"/>
  <c r="A14" i="242"/>
  <c r="A5" i="238"/>
  <c r="A14" i="238"/>
  <c r="A14" i="235"/>
  <c r="A5" i="235"/>
  <c r="A18" i="251"/>
  <c r="A9" i="251"/>
  <c r="A18" i="252"/>
  <c r="A9" i="252"/>
  <c r="A18" i="253"/>
  <c r="A9" i="253"/>
  <c r="A9" i="250"/>
  <c r="A18" i="250"/>
  <c r="A18" i="243"/>
  <c r="A9" i="243"/>
  <c r="A18" i="241"/>
  <c r="A18" i="240"/>
  <c r="A9" i="240"/>
  <c r="A18" i="237"/>
  <c r="A9" i="237"/>
  <c r="A9" i="214"/>
  <c r="A9" i="249"/>
  <c r="A18" i="249"/>
  <c r="A9" i="242"/>
  <c r="A18" i="242"/>
  <c r="A18" i="239"/>
  <c r="A9" i="239"/>
  <c r="A18" i="236"/>
  <c r="A9" i="236"/>
  <c r="A9" i="241"/>
  <c r="A18" i="235"/>
  <c r="A9" i="235"/>
  <c r="A9" i="238"/>
  <c r="A18" i="238"/>
  <c r="A22" i="251"/>
  <c r="A22" i="252"/>
  <c r="A22" i="250"/>
  <c r="A22" i="253"/>
  <c r="A22" i="249"/>
  <c r="A22" i="243"/>
  <c r="A22" i="242"/>
  <c r="A22" i="240"/>
  <c r="A22" i="237"/>
  <c r="A22" i="241"/>
  <c r="A22" i="239"/>
  <c r="A22" i="236"/>
  <c r="A22" i="238"/>
  <c r="A22" i="235"/>
  <c r="A13" i="214"/>
  <c r="A21" i="214"/>
  <c r="A24" i="214"/>
  <c r="A25" i="214"/>
  <c r="A22" i="214"/>
  <c r="A20" i="214"/>
  <c r="A19" i="214"/>
  <c r="A18" i="214"/>
  <c r="A17" i="214"/>
  <c r="A16" i="214"/>
  <c r="A15" i="214"/>
  <c r="A14" i="214"/>
  <c r="A3" i="211"/>
  <c r="E14" i="211"/>
  <c r="E17" i="211"/>
  <c r="E19" i="211"/>
  <c r="E21" i="211"/>
  <c r="E23" i="211"/>
  <c r="E25" i="211"/>
  <c r="E27" i="211"/>
  <c r="E29" i="211"/>
  <c r="E31" i="211"/>
  <c r="E33" i="211"/>
  <c r="E35" i="211"/>
  <c r="E38" i="211"/>
  <c r="E40" i="211"/>
  <c r="E41" i="211"/>
  <c r="E42" i="211"/>
  <c r="E13" i="211"/>
  <c r="E18" i="211"/>
  <c r="E22" i="211"/>
  <c r="E28" i="211"/>
  <c r="E30" i="211"/>
  <c r="E32" i="211"/>
  <c r="E36" i="211"/>
  <c r="E37" i="211"/>
  <c r="E15" i="211"/>
  <c r="E16" i="211"/>
  <c r="E20" i="211"/>
  <c r="E24" i="211"/>
  <c r="E26" i="211"/>
  <c r="E34" i="211"/>
  <c r="E39" i="211"/>
  <c r="A5" i="211"/>
  <c r="A13" i="211"/>
  <c r="A11" i="211"/>
  <c r="A2" i="211"/>
  <c r="A8" i="211"/>
  <c r="A10" i="211"/>
  <c r="A14" i="211"/>
  <c r="A9" i="211"/>
  <c r="A7" i="211"/>
  <c r="A6" i="211"/>
  <c r="A4" i="211"/>
  <c r="B29" i="211"/>
  <c r="B30" i="211"/>
  <c r="B31" i="211"/>
  <c r="B33" i="211"/>
  <c r="B34" i="211"/>
  <c r="B35" i="211"/>
  <c r="B36" i="211"/>
  <c r="B21" i="211"/>
  <c r="B22" i="211"/>
  <c r="B23" i="211"/>
  <c r="B24" i="211"/>
  <c r="B25" i="211"/>
  <c r="A21" i="211"/>
  <c r="A22" i="211"/>
  <c r="A23" i="211"/>
  <c r="A24" i="211"/>
  <c r="A25" i="211"/>
  <c r="E63" i="76" l="1"/>
  <c r="D51" i="210" s="1"/>
  <c r="F63" i="76"/>
  <c r="F51" i="210" s="1"/>
  <c r="G63" i="76"/>
  <c r="H51" i="210" s="1"/>
  <c r="H63" i="76"/>
  <c r="J51" i="210" s="1"/>
  <c r="I63" i="76"/>
  <c r="L51" i="210" s="1"/>
  <c r="J63" i="76"/>
  <c r="N51" i="210" s="1"/>
  <c r="K63" i="76"/>
  <c r="P51" i="210" s="1"/>
  <c r="L63" i="76"/>
  <c r="R51" i="210" s="1"/>
  <c r="M63" i="76"/>
  <c r="T51" i="210" s="1"/>
  <c r="N63" i="76"/>
  <c r="V51" i="210" s="1"/>
  <c r="O63" i="76"/>
  <c r="X51" i="210" s="1"/>
  <c r="P63" i="76"/>
  <c r="Z51" i="210" s="1"/>
  <c r="Q63" i="76"/>
  <c r="AB51" i="210" s="1"/>
  <c r="R63" i="76"/>
  <c r="AD51" i="210" s="1"/>
  <c r="D63" i="76"/>
  <c r="B51" i="210" s="1"/>
  <c r="R56" i="76"/>
  <c r="AD50" i="210" s="1"/>
  <c r="Q56" i="76"/>
  <c r="AB50" i="210" s="1"/>
  <c r="P56" i="76"/>
  <c r="Z50" i="210" s="1"/>
  <c r="O56" i="76"/>
  <c r="X50" i="210" s="1"/>
  <c r="N56" i="76"/>
  <c r="V50" i="210" s="1"/>
  <c r="M56" i="76"/>
  <c r="T50" i="210" s="1"/>
  <c r="L56" i="76"/>
  <c r="R50" i="210" s="1"/>
  <c r="K56" i="76"/>
  <c r="P50" i="210" s="1"/>
  <c r="J56" i="76"/>
  <c r="N50" i="210" s="1"/>
  <c r="I56" i="76"/>
  <c r="L50" i="210" s="1"/>
  <c r="H56" i="76"/>
  <c r="J50" i="210" s="1"/>
  <c r="G56" i="76"/>
  <c r="H50" i="210" s="1"/>
  <c r="F56" i="76"/>
  <c r="F50" i="210" s="1"/>
  <c r="E56" i="76"/>
  <c r="D50" i="210" s="1"/>
  <c r="D56" i="76"/>
  <c r="B50" i="210" s="1"/>
  <c r="R49" i="76"/>
  <c r="AD49" i="210" s="1"/>
  <c r="Q49" i="76"/>
  <c r="AB49" i="210" s="1"/>
  <c r="P49" i="76"/>
  <c r="Z49" i="210" s="1"/>
  <c r="O49" i="76"/>
  <c r="X49" i="210" s="1"/>
  <c r="N49" i="76"/>
  <c r="V49" i="210" s="1"/>
  <c r="M49" i="76"/>
  <c r="T49" i="210" s="1"/>
  <c r="L49" i="76"/>
  <c r="R49" i="210" s="1"/>
  <c r="K49" i="76"/>
  <c r="P49" i="210" s="1"/>
  <c r="J49" i="76"/>
  <c r="N49" i="210" s="1"/>
  <c r="I49" i="76"/>
  <c r="L49" i="210" s="1"/>
  <c r="H49" i="76"/>
  <c r="J49" i="210" s="1"/>
  <c r="G49" i="76"/>
  <c r="H49" i="210" s="1"/>
  <c r="F49" i="76"/>
  <c r="F49" i="210" s="1"/>
  <c r="E49" i="76"/>
  <c r="D49" i="210" s="1"/>
  <c r="D49" i="76"/>
  <c r="B49" i="210" s="1"/>
  <c r="E10" i="211" l="1"/>
  <c r="E9" i="211"/>
  <c r="E8" i="211"/>
  <c r="R227" i="208"/>
  <c r="C25" i="253" s="1"/>
  <c r="Q227" i="208"/>
  <c r="C25" i="252" s="1"/>
  <c r="P227" i="208"/>
  <c r="C25" i="251" s="1"/>
  <c r="O227" i="208"/>
  <c r="C25" i="250" s="1"/>
  <c r="N227" i="208"/>
  <c r="C25" i="249" s="1"/>
  <c r="M227" i="208"/>
  <c r="C25" i="243" s="1"/>
  <c r="L227" i="208"/>
  <c r="C25" i="242" s="1"/>
  <c r="K227" i="208"/>
  <c r="C25" i="241" s="1"/>
  <c r="J227" i="208"/>
  <c r="C25" i="240" s="1"/>
  <c r="I227" i="208"/>
  <c r="C25" i="239" s="1"/>
  <c r="H227" i="208"/>
  <c r="C25" i="238" s="1"/>
  <c r="G227" i="208"/>
  <c r="C25" i="237" s="1"/>
  <c r="F227" i="208"/>
  <c r="C25" i="236" s="1"/>
  <c r="E227" i="208"/>
  <c r="C25" i="235" s="1"/>
  <c r="D227" i="208"/>
  <c r="R189" i="208"/>
  <c r="Q189" i="208"/>
  <c r="P189" i="208"/>
  <c r="O189" i="208"/>
  <c r="N189" i="208"/>
  <c r="M189" i="208"/>
  <c r="L189" i="208"/>
  <c r="K189" i="208"/>
  <c r="J189" i="208"/>
  <c r="I189" i="208"/>
  <c r="H189" i="208"/>
  <c r="G189" i="208"/>
  <c r="F189" i="208"/>
  <c r="E189" i="208"/>
  <c r="D189" i="208"/>
  <c r="R185" i="208"/>
  <c r="Q185" i="208"/>
  <c r="P185" i="208"/>
  <c r="O185" i="208"/>
  <c r="N185" i="208"/>
  <c r="M185" i="208"/>
  <c r="L185" i="208"/>
  <c r="K185" i="208"/>
  <c r="J185" i="208"/>
  <c r="I185" i="208"/>
  <c r="H185" i="208"/>
  <c r="G185" i="208"/>
  <c r="F185" i="208"/>
  <c r="E185" i="208"/>
  <c r="D185" i="208"/>
  <c r="R181" i="208"/>
  <c r="Q181" i="208"/>
  <c r="P181" i="208"/>
  <c r="O181" i="208"/>
  <c r="N181" i="208"/>
  <c r="M181" i="208"/>
  <c r="L181" i="208"/>
  <c r="K181" i="208"/>
  <c r="J181" i="208"/>
  <c r="I181" i="208"/>
  <c r="H181" i="208"/>
  <c r="G181" i="208"/>
  <c r="F181" i="208"/>
  <c r="E181" i="208"/>
  <c r="D181" i="208"/>
  <c r="R177" i="208"/>
  <c r="Q177" i="208"/>
  <c r="P177" i="208"/>
  <c r="O177" i="208"/>
  <c r="N177" i="208"/>
  <c r="M177" i="208"/>
  <c r="L177" i="208"/>
  <c r="K177" i="208"/>
  <c r="J177" i="208"/>
  <c r="I177" i="208"/>
  <c r="H177" i="208"/>
  <c r="G177" i="208"/>
  <c r="F177" i="208"/>
  <c r="E177" i="208"/>
  <c r="D177" i="208"/>
  <c r="R173" i="208"/>
  <c r="Q173" i="208"/>
  <c r="P173" i="208"/>
  <c r="O173" i="208"/>
  <c r="N173" i="208"/>
  <c r="M173" i="208"/>
  <c r="L173" i="208"/>
  <c r="K173" i="208"/>
  <c r="J173" i="208"/>
  <c r="I173" i="208"/>
  <c r="H173" i="208"/>
  <c r="G173" i="208"/>
  <c r="F173" i="208"/>
  <c r="E173" i="208"/>
  <c r="D173" i="208"/>
  <c r="R165" i="208"/>
  <c r="Q165" i="208"/>
  <c r="P165" i="208"/>
  <c r="O165" i="208"/>
  <c r="N165" i="208"/>
  <c r="M165" i="208"/>
  <c r="L165" i="208"/>
  <c r="K165" i="208"/>
  <c r="J165" i="208"/>
  <c r="I165" i="208"/>
  <c r="H165" i="208"/>
  <c r="G165" i="208"/>
  <c r="F165" i="208"/>
  <c r="E165" i="208"/>
  <c r="D165" i="208"/>
  <c r="R161" i="208"/>
  <c r="Q161" i="208"/>
  <c r="P161" i="208"/>
  <c r="O161" i="208"/>
  <c r="N161" i="208"/>
  <c r="M161" i="208"/>
  <c r="L161" i="208"/>
  <c r="K161" i="208"/>
  <c r="J161" i="208"/>
  <c r="I161" i="208"/>
  <c r="H161" i="208"/>
  <c r="G161" i="208"/>
  <c r="F161" i="208"/>
  <c r="E161" i="208"/>
  <c r="D161" i="208"/>
  <c r="R157" i="208"/>
  <c r="Q157" i="208"/>
  <c r="P157" i="208"/>
  <c r="O157" i="208"/>
  <c r="N157" i="208"/>
  <c r="M157" i="208"/>
  <c r="L157" i="208"/>
  <c r="K157" i="208"/>
  <c r="J157" i="208"/>
  <c r="I157" i="208"/>
  <c r="H157" i="208"/>
  <c r="G157" i="208"/>
  <c r="F157" i="208"/>
  <c r="E157" i="208"/>
  <c r="D157" i="208"/>
  <c r="R153" i="208"/>
  <c r="Q153" i="208"/>
  <c r="P153" i="208"/>
  <c r="O153" i="208"/>
  <c r="N153" i="208"/>
  <c r="M153" i="208"/>
  <c r="L153" i="208"/>
  <c r="K153" i="208"/>
  <c r="J153" i="208"/>
  <c r="I153" i="208"/>
  <c r="H153" i="208"/>
  <c r="G153" i="208"/>
  <c r="F153" i="208"/>
  <c r="E153" i="208"/>
  <c r="D153" i="208"/>
  <c r="R149" i="208"/>
  <c r="Q149" i="208"/>
  <c r="P149" i="208"/>
  <c r="O149" i="208"/>
  <c r="N149" i="208"/>
  <c r="M149" i="208"/>
  <c r="L149" i="208"/>
  <c r="K149" i="208"/>
  <c r="J149" i="208"/>
  <c r="I149" i="208"/>
  <c r="H149" i="208"/>
  <c r="G149" i="208"/>
  <c r="F149" i="208"/>
  <c r="E149" i="208"/>
  <c r="D149" i="208"/>
  <c r="R142" i="208"/>
  <c r="Q142" i="208"/>
  <c r="P142" i="208"/>
  <c r="O142" i="208"/>
  <c r="N142" i="208"/>
  <c r="M142" i="208"/>
  <c r="L142" i="208"/>
  <c r="K142" i="208"/>
  <c r="J142" i="208"/>
  <c r="I142" i="208"/>
  <c r="H142" i="208"/>
  <c r="G142" i="208"/>
  <c r="F142" i="208"/>
  <c r="E142" i="208"/>
  <c r="D142" i="208"/>
  <c r="R138" i="208"/>
  <c r="Q138" i="208"/>
  <c r="P138" i="208"/>
  <c r="O138" i="208"/>
  <c r="N138" i="208"/>
  <c r="M138" i="208"/>
  <c r="L138" i="208"/>
  <c r="K138" i="208"/>
  <c r="J138" i="208"/>
  <c r="I138" i="208"/>
  <c r="H138" i="208"/>
  <c r="G138" i="208"/>
  <c r="F138" i="208"/>
  <c r="E138" i="208"/>
  <c r="D138" i="208"/>
  <c r="R134" i="208"/>
  <c r="Q134" i="208"/>
  <c r="P134" i="208"/>
  <c r="O134" i="208"/>
  <c r="N134" i="208"/>
  <c r="M134" i="208"/>
  <c r="L134" i="208"/>
  <c r="K134" i="208"/>
  <c r="J134" i="208"/>
  <c r="I134" i="208"/>
  <c r="H134" i="208"/>
  <c r="G134" i="208"/>
  <c r="F134" i="208"/>
  <c r="E134" i="208"/>
  <c r="D134" i="208"/>
  <c r="R130" i="208"/>
  <c r="Q130" i="208"/>
  <c r="P130" i="208"/>
  <c r="O130" i="208"/>
  <c r="N130" i="208"/>
  <c r="M130" i="208"/>
  <c r="L130" i="208"/>
  <c r="K130" i="208"/>
  <c r="J130" i="208"/>
  <c r="I130" i="208"/>
  <c r="H130" i="208"/>
  <c r="G130" i="208"/>
  <c r="F130" i="208"/>
  <c r="E130" i="208"/>
  <c r="D130" i="208"/>
  <c r="R126" i="208"/>
  <c r="Q126" i="208"/>
  <c r="P126" i="208"/>
  <c r="O126" i="208"/>
  <c r="N126" i="208"/>
  <c r="M126" i="208"/>
  <c r="L126" i="208"/>
  <c r="K126" i="208"/>
  <c r="J126" i="208"/>
  <c r="I126" i="208"/>
  <c r="H126" i="208"/>
  <c r="G126" i="208"/>
  <c r="F126" i="208"/>
  <c r="E126" i="208"/>
  <c r="D126" i="208"/>
  <c r="R119" i="208"/>
  <c r="Q119" i="208"/>
  <c r="P119" i="208"/>
  <c r="O119" i="208"/>
  <c r="N119" i="208"/>
  <c r="M119" i="208"/>
  <c r="L119" i="208"/>
  <c r="K119" i="208"/>
  <c r="J119" i="208"/>
  <c r="I119" i="208"/>
  <c r="H119" i="208"/>
  <c r="G119" i="208"/>
  <c r="F119" i="208"/>
  <c r="E119" i="208"/>
  <c r="R115" i="208"/>
  <c r="Q115" i="208"/>
  <c r="P115" i="208"/>
  <c r="O115" i="208"/>
  <c r="N115" i="208"/>
  <c r="M115" i="208"/>
  <c r="L115" i="208"/>
  <c r="K115" i="208"/>
  <c r="J115" i="208"/>
  <c r="I115" i="208"/>
  <c r="H115" i="208"/>
  <c r="G115" i="208"/>
  <c r="F115" i="208"/>
  <c r="E115" i="208"/>
  <c r="D115" i="208"/>
  <c r="R111" i="208"/>
  <c r="Q111" i="208"/>
  <c r="P111" i="208"/>
  <c r="O111" i="208"/>
  <c r="N111" i="208"/>
  <c r="M111" i="208"/>
  <c r="L111" i="208"/>
  <c r="K111" i="208"/>
  <c r="J111" i="208"/>
  <c r="I111" i="208"/>
  <c r="H111" i="208"/>
  <c r="G111" i="208"/>
  <c r="F111" i="208"/>
  <c r="E111" i="208"/>
  <c r="D111" i="208"/>
  <c r="R107" i="208"/>
  <c r="Q107" i="208"/>
  <c r="P107" i="208"/>
  <c r="O107" i="208"/>
  <c r="N107" i="208"/>
  <c r="M107" i="208"/>
  <c r="L107" i="208"/>
  <c r="K107" i="208"/>
  <c r="J107" i="208"/>
  <c r="I107" i="208"/>
  <c r="H107" i="208"/>
  <c r="G107" i="208"/>
  <c r="F107" i="208"/>
  <c r="E107" i="208"/>
  <c r="D107" i="208"/>
  <c r="R103" i="208"/>
  <c r="Q103" i="208"/>
  <c r="P103" i="208"/>
  <c r="O103" i="208"/>
  <c r="N103" i="208"/>
  <c r="M103" i="208"/>
  <c r="L103" i="208"/>
  <c r="K103" i="208"/>
  <c r="J103" i="208"/>
  <c r="I103" i="208"/>
  <c r="H103" i="208"/>
  <c r="G103" i="208"/>
  <c r="F103" i="208"/>
  <c r="E103" i="208"/>
  <c r="D103" i="208"/>
  <c r="R96" i="208"/>
  <c r="Q96" i="208"/>
  <c r="P96" i="208"/>
  <c r="O96" i="208"/>
  <c r="N96" i="208"/>
  <c r="M96" i="208"/>
  <c r="L96" i="208"/>
  <c r="K96" i="208"/>
  <c r="J96" i="208"/>
  <c r="I96" i="208"/>
  <c r="H96" i="208"/>
  <c r="G96" i="208"/>
  <c r="F96" i="208"/>
  <c r="E96" i="208"/>
  <c r="D96" i="208"/>
  <c r="R73" i="208"/>
  <c r="Q73" i="208"/>
  <c r="P73" i="208"/>
  <c r="O73" i="208"/>
  <c r="N73" i="208"/>
  <c r="M73" i="208"/>
  <c r="L73" i="208"/>
  <c r="K73" i="208"/>
  <c r="J73" i="208"/>
  <c r="I73" i="208"/>
  <c r="H73" i="208"/>
  <c r="G73" i="208"/>
  <c r="F73" i="208"/>
  <c r="E73" i="208"/>
  <c r="D73" i="208"/>
  <c r="R69" i="208"/>
  <c r="Q69" i="208"/>
  <c r="P69" i="208"/>
  <c r="O69" i="208"/>
  <c r="N69" i="208"/>
  <c r="M69" i="208"/>
  <c r="L69" i="208"/>
  <c r="K69" i="208"/>
  <c r="J69" i="208"/>
  <c r="I69" i="208"/>
  <c r="H69" i="208"/>
  <c r="G69" i="208"/>
  <c r="F69" i="208"/>
  <c r="E69" i="208"/>
  <c r="D69" i="208"/>
  <c r="R65" i="208"/>
  <c r="Q65" i="208"/>
  <c r="P65" i="208"/>
  <c r="O65" i="208"/>
  <c r="N65" i="208"/>
  <c r="M65" i="208"/>
  <c r="L65" i="208"/>
  <c r="K65" i="208"/>
  <c r="J65" i="208"/>
  <c r="I65" i="208"/>
  <c r="H65" i="208"/>
  <c r="G65" i="208"/>
  <c r="F65" i="208"/>
  <c r="E65" i="208"/>
  <c r="D65" i="208"/>
  <c r="R61" i="208"/>
  <c r="Q61" i="208"/>
  <c r="P61" i="208"/>
  <c r="O61" i="208"/>
  <c r="N61" i="208"/>
  <c r="M61" i="208"/>
  <c r="L61" i="208"/>
  <c r="K61" i="208"/>
  <c r="J61" i="208"/>
  <c r="I61" i="208"/>
  <c r="H61" i="208"/>
  <c r="G61" i="208"/>
  <c r="F61" i="208"/>
  <c r="E61" i="208"/>
  <c r="D61" i="208"/>
  <c r="R57" i="208"/>
  <c r="Q57" i="208"/>
  <c r="P57" i="208"/>
  <c r="O57" i="208"/>
  <c r="N57" i="208"/>
  <c r="M57" i="208"/>
  <c r="L57" i="208"/>
  <c r="K57" i="208"/>
  <c r="J57" i="208"/>
  <c r="I57" i="208"/>
  <c r="H57" i="208"/>
  <c r="G57" i="208"/>
  <c r="F57" i="208"/>
  <c r="E57" i="208"/>
  <c r="R50" i="208"/>
  <c r="Q50" i="208"/>
  <c r="P50" i="208"/>
  <c r="O50" i="208"/>
  <c r="N50" i="208"/>
  <c r="M50" i="208"/>
  <c r="L50" i="208"/>
  <c r="K50" i="208"/>
  <c r="J50" i="208"/>
  <c r="I50" i="208"/>
  <c r="H50" i="208"/>
  <c r="G50" i="208"/>
  <c r="F50" i="208"/>
  <c r="E50" i="208"/>
  <c r="D50" i="208"/>
  <c r="R46" i="208"/>
  <c r="Q46" i="208"/>
  <c r="P46" i="208"/>
  <c r="O46" i="208"/>
  <c r="N46" i="208"/>
  <c r="M46" i="208"/>
  <c r="L46" i="208"/>
  <c r="K46" i="208"/>
  <c r="J46" i="208"/>
  <c r="I46" i="208"/>
  <c r="H46" i="208"/>
  <c r="G46" i="208"/>
  <c r="F46" i="208"/>
  <c r="E46" i="208"/>
  <c r="D46" i="208"/>
  <c r="R42" i="208"/>
  <c r="Q42" i="208"/>
  <c r="P42" i="208"/>
  <c r="O42" i="208"/>
  <c r="N42" i="208"/>
  <c r="M42" i="208"/>
  <c r="L42" i="208"/>
  <c r="K42" i="208"/>
  <c r="J42" i="208"/>
  <c r="I42" i="208"/>
  <c r="H42" i="208"/>
  <c r="G42" i="208"/>
  <c r="F42" i="208"/>
  <c r="E42" i="208"/>
  <c r="R38" i="208"/>
  <c r="Q38" i="208"/>
  <c r="P38" i="208"/>
  <c r="O38" i="208"/>
  <c r="N38" i="208"/>
  <c r="M38" i="208"/>
  <c r="L38" i="208"/>
  <c r="K38" i="208"/>
  <c r="J38" i="208"/>
  <c r="I38" i="208"/>
  <c r="H38" i="208"/>
  <c r="G38" i="208"/>
  <c r="F38" i="208"/>
  <c r="E38" i="208"/>
  <c r="D38" i="208"/>
  <c r="R34" i="208"/>
  <c r="Q34" i="208"/>
  <c r="P34" i="208"/>
  <c r="O34" i="208"/>
  <c r="N34" i="208"/>
  <c r="M34" i="208"/>
  <c r="L34" i="208"/>
  <c r="K34" i="208"/>
  <c r="J34" i="208"/>
  <c r="I34" i="208"/>
  <c r="H34" i="208"/>
  <c r="G34" i="208"/>
  <c r="F34" i="208"/>
  <c r="E34" i="208"/>
  <c r="R27" i="208"/>
  <c r="Q27" i="208"/>
  <c r="P27" i="208"/>
  <c r="O27" i="208"/>
  <c r="N27" i="208"/>
  <c r="M27" i="208"/>
  <c r="L27" i="208"/>
  <c r="K27" i="208"/>
  <c r="J27" i="208"/>
  <c r="I27" i="208"/>
  <c r="H27" i="208"/>
  <c r="G27" i="208"/>
  <c r="F27" i="208"/>
  <c r="E27" i="208"/>
  <c r="D27" i="208"/>
  <c r="R23" i="208"/>
  <c r="Q23" i="208"/>
  <c r="P23" i="208"/>
  <c r="O23" i="208"/>
  <c r="N23" i="208"/>
  <c r="M23" i="208"/>
  <c r="L23" i="208"/>
  <c r="K23" i="208"/>
  <c r="J23" i="208"/>
  <c r="I23" i="208"/>
  <c r="H23" i="208"/>
  <c r="G23" i="208"/>
  <c r="F23" i="208"/>
  <c r="E23" i="208"/>
  <c r="D23" i="208"/>
  <c r="R19" i="208"/>
  <c r="Q19" i="208"/>
  <c r="P19" i="208"/>
  <c r="O19" i="208"/>
  <c r="N19" i="208"/>
  <c r="M19" i="208"/>
  <c r="L19" i="208"/>
  <c r="K19" i="208"/>
  <c r="J19" i="208"/>
  <c r="I19" i="208"/>
  <c r="H19" i="208"/>
  <c r="G19" i="208"/>
  <c r="F19" i="208"/>
  <c r="E19" i="208"/>
  <c r="R15" i="208"/>
  <c r="Q15" i="208"/>
  <c r="P15" i="208"/>
  <c r="O15" i="208"/>
  <c r="N15" i="208"/>
  <c r="M15" i="208"/>
  <c r="L15" i="208"/>
  <c r="K15" i="208"/>
  <c r="J15" i="208"/>
  <c r="I15" i="208"/>
  <c r="H15" i="208"/>
  <c r="G15" i="208"/>
  <c r="F15" i="208"/>
  <c r="E15" i="208"/>
  <c r="R11" i="208"/>
  <c r="Q11" i="208"/>
  <c r="P11" i="208"/>
  <c r="O11" i="208"/>
  <c r="N11" i="208"/>
  <c r="M11" i="208"/>
  <c r="L11" i="208"/>
  <c r="K11" i="208"/>
  <c r="J11" i="208"/>
  <c r="I11" i="208"/>
  <c r="H11" i="208"/>
  <c r="G11" i="208"/>
  <c r="F11" i="208"/>
  <c r="E11" i="208"/>
  <c r="D11" i="208"/>
  <c r="B12" i="211" l="1"/>
  <c r="D15" i="210"/>
  <c r="H15" i="210"/>
  <c r="L15" i="210"/>
  <c r="P15" i="210"/>
  <c r="T15" i="210"/>
  <c r="X15" i="210"/>
  <c r="AB15" i="210"/>
  <c r="F15" i="210"/>
  <c r="J15" i="210"/>
  <c r="N15" i="210"/>
  <c r="R15" i="210"/>
  <c r="V15" i="210"/>
  <c r="Z15" i="210"/>
  <c r="AD15" i="210"/>
  <c r="B15" i="211"/>
  <c r="C25" i="214"/>
  <c r="B15" i="210"/>
  <c r="P28" i="208"/>
  <c r="P166" i="208"/>
  <c r="J51" i="208"/>
  <c r="O143" i="208"/>
  <c r="E143" i="208"/>
  <c r="J143" i="208"/>
  <c r="L28" i="208"/>
  <c r="F97" i="208"/>
  <c r="J97" i="208"/>
  <c r="N97" i="208"/>
  <c r="R97" i="208"/>
  <c r="G97" i="208"/>
  <c r="K97" i="208"/>
  <c r="O97" i="208"/>
  <c r="E97" i="208"/>
  <c r="G120" i="208"/>
  <c r="E28" i="208"/>
  <c r="K74" i="208"/>
  <c r="O74" i="208"/>
  <c r="L74" i="208"/>
  <c r="E74" i="208"/>
  <c r="M51" i="208"/>
  <c r="Q97" i="208"/>
  <c r="O28" i="208"/>
  <c r="I97" i="208"/>
  <c r="I143" i="208"/>
  <c r="M143" i="208"/>
  <c r="D166" i="208"/>
  <c r="C11" i="214" s="1"/>
  <c r="H166" i="208"/>
  <c r="L166" i="208"/>
  <c r="E166" i="208"/>
  <c r="I166" i="208"/>
  <c r="M166" i="208"/>
  <c r="Q166" i="208"/>
  <c r="G166" i="208"/>
  <c r="K166" i="208"/>
  <c r="P74" i="208"/>
  <c r="D28" i="208"/>
  <c r="C5" i="214" s="1"/>
  <c r="H28" i="208"/>
  <c r="I28" i="208"/>
  <c r="M28" i="208"/>
  <c r="Q28" i="208"/>
  <c r="G28" i="208"/>
  <c r="K28" i="208"/>
  <c r="F51" i="208"/>
  <c r="N51" i="208"/>
  <c r="R51" i="208"/>
  <c r="G51" i="208"/>
  <c r="K51" i="208"/>
  <c r="O51" i="208"/>
  <c r="E51" i="208"/>
  <c r="I51" i="208"/>
  <c r="F143" i="208"/>
  <c r="N143" i="208"/>
  <c r="R143" i="208"/>
  <c r="G143" i="208"/>
  <c r="K143" i="208"/>
  <c r="O166" i="208"/>
  <c r="F190" i="208"/>
  <c r="C22" i="236" s="1"/>
  <c r="J190" i="208"/>
  <c r="C22" i="240" s="1"/>
  <c r="N190" i="208"/>
  <c r="C22" i="249" s="1"/>
  <c r="R190" i="208"/>
  <c r="C22" i="253" s="1"/>
  <c r="G190" i="208"/>
  <c r="C22" i="237" s="1"/>
  <c r="K190" i="208"/>
  <c r="C22" i="241" s="1"/>
  <c r="O190" i="208"/>
  <c r="C22" i="250" s="1"/>
  <c r="E190" i="208"/>
  <c r="C22" i="235" s="1"/>
  <c r="I190" i="208"/>
  <c r="C22" i="239" s="1"/>
  <c r="D74" i="208"/>
  <c r="C7" i="214" s="1"/>
  <c r="H74" i="208"/>
  <c r="I74" i="208"/>
  <c r="M74" i="208"/>
  <c r="Q74" i="208"/>
  <c r="G74" i="208"/>
  <c r="M97" i="208"/>
  <c r="D120" i="208"/>
  <c r="C9" i="214" s="1"/>
  <c r="H120" i="208"/>
  <c r="L120" i="208"/>
  <c r="P120" i="208"/>
  <c r="E120" i="208"/>
  <c r="I120" i="208"/>
  <c r="M120" i="208"/>
  <c r="Q120" i="208"/>
  <c r="K120" i="208"/>
  <c r="Q143" i="208"/>
  <c r="Q51" i="208"/>
  <c r="O120" i="208"/>
  <c r="M190" i="208"/>
  <c r="C22" i="243" s="1"/>
  <c r="Q190" i="208"/>
  <c r="C22" i="252" s="1"/>
  <c r="F28" i="208"/>
  <c r="J28" i="208"/>
  <c r="N28" i="208"/>
  <c r="R28" i="208"/>
  <c r="D51" i="208"/>
  <c r="C6" i="214" s="1"/>
  <c r="H51" i="208"/>
  <c r="L51" i="208"/>
  <c r="P51" i="208"/>
  <c r="F74" i="208"/>
  <c r="J74" i="208"/>
  <c r="N74" i="208"/>
  <c r="R74" i="208"/>
  <c r="D97" i="208"/>
  <c r="C8" i="214" s="1"/>
  <c r="H97" i="208"/>
  <c r="L97" i="208"/>
  <c r="P97" i="208"/>
  <c r="F120" i="208"/>
  <c r="J120" i="208"/>
  <c r="N120" i="208"/>
  <c r="R120" i="208"/>
  <c r="D143" i="208"/>
  <c r="C10" i="214" s="1"/>
  <c r="H143" i="208"/>
  <c r="L143" i="208"/>
  <c r="P143" i="208"/>
  <c r="F166" i="208"/>
  <c r="J166" i="208"/>
  <c r="N166" i="208"/>
  <c r="R166" i="208"/>
  <c r="D190" i="208"/>
  <c r="H190" i="208"/>
  <c r="C22" i="238" s="1"/>
  <c r="L190" i="208"/>
  <c r="C22" i="242" s="1"/>
  <c r="P190" i="208"/>
  <c r="C22" i="251" s="1"/>
  <c r="P25" i="207"/>
  <c r="O25" i="207"/>
  <c r="N25" i="207"/>
  <c r="M25" i="207"/>
  <c r="L25" i="207"/>
  <c r="K25" i="207"/>
  <c r="J25" i="207"/>
  <c r="I25" i="207"/>
  <c r="H25" i="207"/>
  <c r="G25" i="207"/>
  <c r="F25" i="207"/>
  <c r="E25" i="207"/>
  <c r="D25" i="207"/>
  <c r="C25" i="207"/>
  <c r="B25" i="207"/>
  <c r="Q24" i="207"/>
  <c r="Q23" i="207"/>
  <c r="Q22" i="207"/>
  <c r="Q21" i="207"/>
  <c r="Q20" i="207"/>
  <c r="Q19" i="207"/>
  <c r="Q18" i="207"/>
  <c r="Q17" i="207"/>
  <c r="Q16" i="207"/>
  <c r="Q15" i="207"/>
  <c r="Q14" i="207"/>
  <c r="Q13" i="207"/>
  <c r="Q12" i="207"/>
  <c r="Q11" i="207"/>
  <c r="Q10" i="207"/>
  <c r="Q9" i="207"/>
  <c r="Q8" i="207"/>
  <c r="Q7" i="207"/>
  <c r="Q6" i="207"/>
  <c r="Q5" i="207"/>
  <c r="C20" i="240" l="1"/>
  <c r="C11" i="240"/>
  <c r="C18" i="240"/>
  <c r="C9" i="240"/>
  <c r="C7" i="240"/>
  <c r="C16" i="240"/>
  <c r="C15" i="238"/>
  <c r="C6" i="238"/>
  <c r="C14" i="240"/>
  <c r="C5" i="240"/>
  <c r="C18" i="250"/>
  <c r="C9" i="250"/>
  <c r="C9" i="252"/>
  <c r="C18" i="252"/>
  <c r="C9" i="251"/>
  <c r="C18" i="251"/>
  <c r="C8" i="243"/>
  <c r="C17" i="243"/>
  <c r="C16" i="239"/>
  <c r="C7" i="239"/>
  <c r="C20" i="250"/>
  <c r="C11" i="250"/>
  <c r="C10" i="249"/>
  <c r="C19" i="249"/>
  <c r="C15" i="250"/>
  <c r="C6" i="250"/>
  <c r="C6" i="249"/>
  <c r="C15" i="249"/>
  <c r="C14" i="252"/>
  <c r="C5" i="252"/>
  <c r="C11" i="252"/>
  <c r="C20" i="252"/>
  <c r="C20" i="242"/>
  <c r="C11" i="242"/>
  <c r="C10" i="239"/>
  <c r="C19" i="239"/>
  <c r="C15" i="243"/>
  <c r="C6" i="243"/>
  <c r="C7" i="241"/>
  <c r="C16" i="241"/>
  <c r="C8" i="250"/>
  <c r="C17" i="250"/>
  <c r="C17" i="249"/>
  <c r="C8" i="249"/>
  <c r="C19" i="240"/>
  <c r="C10" i="240"/>
  <c r="C11" i="251"/>
  <c r="C20" i="251"/>
  <c r="C8" i="238"/>
  <c r="C17" i="238"/>
  <c r="C11" i="236"/>
  <c r="C20" i="236"/>
  <c r="C9" i="236"/>
  <c r="C18" i="236"/>
  <c r="C16" i="236"/>
  <c r="C7" i="236"/>
  <c r="C7" i="251"/>
  <c r="C16" i="251"/>
  <c r="C11" i="238"/>
  <c r="C20" i="238"/>
  <c r="C7" i="235"/>
  <c r="C16" i="235"/>
  <c r="C8" i="241"/>
  <c r="C17" i="241"/>
  <c r="C14" i="251"/>
  <c r="C5" i="251"/>
  <c r="C19" i="251"/>
  <c r="C10" i="251"/>
  <c r="C8" i="251"/>
  <c r="C17" i="251"/>
  <c r="C15" i="251"/>
  <c r="C6" i="251"/>
  <c r="C5" i="253"/>
  <c r="C14" i="253"/>
  <c r="C10" i="252"/>
  <c r="C19" i="252"/>
  <c r="C18" i="239"/>
  <c r="C9" i="239"/>
  <c r="C9" i="238"/>
  <c r="C18" i="238"/>
  <c r="C16" i="252"/>
  <c r="C7" i="252"/>
  <c r="C19" i="237"/>
  <c r="C10" i="237"/>
  <c r="C15" i="239"/>
  <c r="C6" i="239"/>
  <c r="C15" i="237"/>
  <c r="C6" i="237"/>
  <c r="C14" i="241"/>
  <c r="C5" i="241"/>
  <c r="C14" i="239"/>
  <c r="C5" i="239"/>
  <c r="C11" i="241"/>
  <c r="C20" i="241"/>
  <c r="C20" i="239"/>
  <c r="C11" i="239"/>
  <c r="C14" i="250"/>
  <c r="C5" i="250"/>
  <c r="C16" i="242"/>
  <c r="C7" i="242"/>
  <c r="C18" i="237"/>
  <c r="C9" i="237"/>
  <c r="C8" i="237"/>
  <c r="C17" i="237"/>
  <c r="C17" i="236"/>
  <c r="C8" i="236"/>
  <c r="F7" i="210"/>
  <c r="C19" i="250"/>
  <c r="C10" i="250"/>
  <c r="C5" i="236"/>
  <c r="C14" i="236"/>
  <c r="C6" i="252"/>
  <c r="C15" i="252"/>
  <c r="C18" i="243"/>
  <c r="C9" i="243"/>
  <c r="C9" i="242"/>
  <c r="C18" i="242"/>
  <c r="C7" i="237"/>
  <c r="C16" i="237"/>
  <c r="C7" i="238"/>
  <c r="C16" i="238"/>
  <c r="C19" i="241"/>
  <c r="C10" i="241"/>
  <c r="C10" i="236"/>
  <c r="C19" i="236"/>
  <c r="C15" i="241"/>
  <c r="C6" i="241"/>
  <c r="C6" i="236"/>
  <c r="C15" i="236"/>
  <c r="C14" i="243"/>
  <c r="C5" i="243"/>
  <c r="C20" i="243"/>
  <c r="C11" i="243"/>
  <c r="C17" i="239"/>
  <c r="C8" i="239"/>
  <c r="C14" i="235"/>
  <c r="C5" i="235"/>
  <c r="C8" i="240"/>
  <c r="C17" i="240"/>
  <c r="C19" i="235"/>
  <c r="C10" i="235"/>
  <c r="C20" i="253"/>
  <c r="C11" i="253"/>
  <c r="C18" i="253"/>
  <c r="C9" i="253"/>
  <c r="C16" i="253"/>
  <c r="C7" i="253"/>
  <c r="C20" i="249"/>
  <c r="C11" i="249"/>
  <c r="C10" i="242"/>
  <c r="C19" i="242"/>
  <c r="C18" i="249"/>
  <c r="C9" i="249"/>
  <c r="C17" i="242"/>
  <c r="C8" i="242"/>
  <c r="C16" i="249"/>
  <c r="C7" i="249"/>
  <c r="C6" i="242"/>
  <c r="C15" i="242"/>
  <c r="C5" i="249"/>
  <c r="C14" i="249"/>
  <c r="C9" i="241"/>
  <c r="C18" i="241"/>
  <c r="C18" i="235"/>
  <c r="C9" i="235"/>
  <c r="C7" i="243"/>
  <c r="C16" i="243"/>
  <c r="C10" i="253"/>
  <c r="C19" i="253"/>
  <c r="C15" i="235"/>
  <c r="C6" i="235"/>
  <c r="C6" i="253"/>
  <c r="C15" i="253"/>
  <c r="C14" i="237"/>
  <c r="C5" i="237"/>
  <c r="C14" i="238"/>
  <c r="C5" i="238"/>
  <c r="C20" i="237"/>
  <c r="C11" i="237"/>
  <c r="C20" i="235"/>
  <c r="C11" i="235"/>
  <c r="C10" i="243"/>
  <c r="C19" i="243"/>
  <c r="C8" i="252"/>
  <c r="C17" i="252"/>
  <c r="C7" i="250"/>
  <c r="C16" i="250"/>
  <c r="C8" i="235"/>
  <c r="C17" i="235"/>
  <c r="D7" i="210"/>
  <c r="C17" i="253"/>
  <c r="C8" i="253"/>
  <c r="C14" i="242"/>
  <c r="C5" i="242"/>
  <c r="C15" i="240"/>
  <c r="C6" i="240"/>
  <c r="C10" i="238"/>
  <c r="C19" i="238"/>
  <c r="J12" i="210"/>
  <c r="N10" i="210"/>
  <c r="J9" i="210"/>
  <c r="N8" i="210"/>
  <c r="N6" i="210"/>
  <c r="Z5" i="210"/>
  <c r="AD4" i="210"/>
  <c r="R12" i="210"/>
  <c r="V10" i="210"/>
  <c r="F10" i="210"/>
  <c r="R9" i="210"/>
  <c r="V8" i="210"/>
  <c r="F8" i="210"/>
  <c r="R7" i="210"/>
  <c r="V6" i="210"/>
  <c r="F6" i="210"/>
  <c r="R5" i="210"/>
  <c r="V4" i="210"/>
  <c r="F4" i="210"/>
  <c r="AB12" i="210"/>
  <c r="T12" i="210"/>
  <c r="AB5" i="210"/>
  <c r="P8" i="210"/>
  <c r="T8" i="210"/>
  <c r="D8" i="210"/>
  <c r="R8" i="210"/>
  <c r="H6" i="210"/>
  <c r="T6" i="210"/>
  <c r="J6" i="210"/>
  <c r="L12" i="210"/>
  <c r="X12" i="210"/>
  <c r="H12" i="210"/>
  <c r="V12" i="210"/>
  <c r="F12" i="210"/>
  <c r="P9" i="210"/>
  <c r="AD9" i="210"/>
  <c r="F9" i="210"/>
  <c r="D5" i="210"/>
  <c r="P5" i="210"/>
  <c r="AD5" i="210"/>
  <c r="F5" i="210"/>
  <c r="H4" i="210"/>
  <c r="T4" i="210"/>
  <c r="J4" i="210"/>
  <c r="P10" i="210"/>
  <c r="AB10" i="210"/>
  <c r="L10" i="210"/>
  <c r="R10" i="210"/>
  <c r="L9" i="210"/>
  <c r="X4" i="210"/>
  <c r="AB7" i="210"/>
  <c r="D6" i="210"/>
  <c r="X6" i="210"/>
  <c r="P7" i="210"/>
  <c r="AD7" i="210"/>
  <c r="N7" i="210"/>
  <c r="R4" i="210"/>
  <c r="N9" i="210"/>
  <c r="X9" i="210"/>
  <c r="Z10" i="210"/>
  <c r="B14" i="211"/>
  <c r="Z12" i="210"/>
  <c r="AD10" i="210"/>
  <c r="Z9" i="210"/>
  <c r="AD8" i="210"/>
  <c r="Z7" i="210"/>
  <c r="AD6" i="210"/>
  <c r="J5" i="210"/>
  <c r="N4" i="210"/>
  <c r="X8" i="210"/>
  <c r="AB9" i="210"/>
  <c r="AB8" i="210"/>
  <c r="L8" i="210"/>
  <c r="Z8" i="210"/>
  <c r="J8" i="210"/>
  <c r="T7" i="210"/>
  <c r="AB6" i="210"/>
  <c r="L6" i="210"/>
  <c r="D12" i="210"/>
  <c r="P12" i="210"/>
  <c r="AD12" i="210"/>
  <c r="N12" i="210"/>
  <c r="X10" i="210"/>
  <c r="H9" i="210"/>
  <c r="V9" i="210"/>
  <c r="L5" i="210"/>
  <c r="X5" i="210"/>
  <c r="H5" i="210"/>
  <c r="V5" i="210"/>
  <c r="P4" i="210"/>
  <c r="AB4" i="210"/>
  <c r="L4" i="210"/>
  <c r="Z6" i="210"/>
  <c r="H10" i="210"/>
  <c r="T10" i="210"/>
  <c r="D10" i="210"/>
  <c r="J10" i="210"/>
  <c r="T9" i="210"/>
  <c r="L7" i="210"/>
  <c r="T5" i="210"/>
  <c r="R6" i="210"/>
  <c r="P6" i="210"/>
  <c r="D4" i="210"/>
  <c r="H8" i="210"/>
  <c r="X7" i="210"/>
  <c r="V7" i="210"/>
  <c r="D9" i="210"/>
  <c r="N5" i="210"/>
  <c r="Z4" i="210"/>
  <c r="J7" i="210"/>
  <c r="H7" i="210"/>
  <c r="C18" i="214"/>
  <c r="B8" i="210"/>
  <c r="C20" i="214"/>
  <c r="B10" i="210"/>
  <c r="C22" i="214"/>
  <c r="B12" i="210"/>
  <c r="C19" i="214"/>
  <c r="B9" i="210"/>
  <c r="C17" i="214"/>
  <c r="B7" i="210"/>
  <c r="C15" i="214"/>
  <c r="B5" i="210"/>
  <c r="C16" i="214"/>
  <c r="B6" i="210"/>
  <c r="C14" i="214"/>
  <c r="B4" i="210"/>
  <c r="Q25" i="207"/>
  <c r="C3" i="237" l="1"/>
  <c r="C3" i="242"/>
  <c r="C3" i="236"/>
  <c r="C3" i="250"/>
  <c r="C3" i="241"/>
  <c r="C3" i="251"/>
  <c r="C3" i="240"/>
  <c r="C3" i="238"/>
  <c r="C3" i="235"/>
  <c r="C3" i="249"/>
  <c r="C3" i="239"/>
  <c r="C3" i="243"/>
  <c r="C3" i="252"/>
  <c r="C3" i="253"/>
  <c r="B3" i="211"/>
  <c r="B5" i="211"/>
  <c r="B4" i="211"/>
  <c r="B8" i="211"/>
  <c r="B11" i="211"/>
  <c r="B9" i="211"/>
  <c r="B7" i="211"/>
  <c r="B6" i="211"/>
  <c r="C3" i="214"/>
  <c r="S2" i="214"/>
  <c r="R18" i="72"/>
  <c r="Q18" i="72"/>
  <c r="P18" i="72"/>
  <c r="O18" i="72"/>
  <c r="N18" i="72"/>
  <c r="M18" i="72"/>
  <c r="R11" i="72"/>
  <c r="Q11" i="72"/>
  <c r="P11" i="72"/>
  <c r="O11" i="72"/>
  <c r="N11" i="72"/>
  <c r="M11" i="72"/>
  <c r="Y18" i="72"/>
  <c r="X18" i="72"/>
  <c r="W18" i="72"/>
  <c r="V18" i="72"/>
  <c r="U18" i="72"/>
  <c r="T18" i="72"/>
  <c r="S18" i="72"/>
  <c r="T11" i="72"/>
  <c r="U11" i="72"/>
  <c r="V11" i="72"/>
  <c r="W11" i="72"/>
  <c r="X11" i="72"/>
  <c r="Y11" i="72"/>
  <c r="S11" i="72"/>
  <c r="L18" i="72"/>
  <c r="K18" i="72"/>
  <c r="J18" i="72"/>
  <c r="I18" i="72"/>
  <c r="H18" i="72"/>
  <c r="G18" i="72"/>
  <c r="F18" i="72"/>
  <c r="E18" i="72"/>
  <c r="D18" i="72"/>
  <c r="E11" i="72"/>
  <c r="F11" i="72"/>
  <c r="G11" i="72"/>
  <c r="H11" i="72"/>
  <c r="I11" i="72"/>
  <c r="J11" i="72"/>
  <c r="K11" i="72"/>
  <c r="L11" i="72"/>
  <c r="D11" i="72"/>
  <c r="C1" i="177"/>
  <c r="C2" i="177"/>
  <c r="C2" i="76"/>
  <c r="C1" i="76"/>
  <c r="C2" i="72"/>
  <c r="C1" i="72"/>
  <c r="B29" i="210" l="1"/>
  <c r="B28" i="211" s="1"/>
</calcChain>
</file>

<file path=xl/comments1.xml><?xml version="1.0" encoding="utf-8"?>
<comments xmlns="http://schemas.openxmlformats.org/spreadsheetml/2006/main">
  <authors>
    <author>Julie Moen</author>
    <author>Audra</author>
  </authors>
  <commentList>
    <comment ref="C7" authorId="0" shapeId="0">
      <text>
        <r>
          <rPr>
            <b/>
            <sz val="9"/>
            <color indexed="81"/>
            <rFont val="Tahoma"/>
            <family val="2"/>
          </rPr>
          <t>Explore the power of photography</t>
        </r>
        <r>
          <rPr>
            <sz val="9"/>
            <color indexed="81"/>
            <rFont val="Tahoma"/>
            <family val="2"/>
          </rPr>
          <t xml:space="preserve"> Your goal in this badge is to tell a story important to you through photos. So before you delve into the technicalities of your camera and learn basic skills, use this step to explore the stories that photgraphy can tell.</t>
        </r>
      </text>
    </comment>
    <comment ref="C8" authorId="1" shapeId="0">
      <text>
        <r>
          <rPr>
            <sz val="9"/>
            <color indexed="81"/>
            <rFont val="Tahoma"/>
            <family val="2"/>
          </rPr>
          <t>Look at each photo without reading the accompanying text and see if you can "read" the story it tells. Note what makes at least 20 photos powerful, so you can try the techniques. If you can, gather reprodcutions of your  favorites to keep for reference.</t>
        </r>
      </text>
    </comment>
    <comment ref="C9" authorId="1" shapeId="0">
      <text>
        <r>
          <rPr>
            <b/>
            <sz val="9"/>
            <color indexed="81"/>
            <rFont val="Tahoma"/>
            <family val="2"/>
          </rPr>
          <t xml:space="preserve">Create a photography timeline. </t>
        </r>
        <r>
          <rPr>
            <sz val="9"/>
            <color indexed="81"/>
            <rFont val="Tahoma"/>
            <family val="2"/>
          </rPr>
          <t>Make a timeline to show how photography has changed over the years, including at least 10 major moments in photography history. Then, find 10 or more photogaphs that are especially meaningful to you, research who took them and when, and add them to your timeline. Choose photos whose stories will help you develop ideas of your own.</t>
        </r>
      </text>
    </comment>
    <comment ref="C10" authorId="1" shapeId="0">
      <text>
        <r>
          <rPr>
            <b/>
            <sz val="9"/>
            <color indexed="81"/>
            <rFont val="Tahoma"/>
            <family val="2"/>
          </rPr>
          <t>Make sticky-note comics.</t>
        </r>
        <r>
          <rPr>
            <sz val="9"/>
            <color indexed="81"/>
            <rFont val="Tahoma"/>
            <family val="2"/>
          </rPr>
          <t xml:space="preserve"> Get the hang of comic stories by drawing one of these on a sticky note (rough, rough sketching, remember!):
</t>
        </r>
        <r>
          <rPr>
            <sz val="9"/>
            <color indexed="81"/>
            <rFont val="Wingdings"/>
            <charset val="2"/>
          </rPr>
          <t></t>
        </r>
        <r>
          <rPr>
            <sz val="9"/>
            <color indexed="81"/>
            <rFont val="Tahoma"/>
            <family val="2"/>
          </rPr>
          <t xml:space="preserve">a dog floating on a raft
</t>
        </r>
        <r>
          <rPr>
            <sz val="9"/>
            <color indexed="81"/>
            <rFont val="Wingdings"/>
            <charset val="2"/>
          </rPr>
          <t></t>
        </r>
        <r>
          <rPr>
            <sz val="9"/>
            <color indexed="81"/>
            <rFont val="Tahoma"/>
            <family val="2"/>
          </rPr>
          <t xml:space="preserve">a hawk diving
</t>
        </r>
        <r>
          <rPr>
            <sz val="9"/>
            <color indexed="81"/>
            <rFont val="Wingdings"/>
            <charset val="2"/>
          </rPr>
          <t></t>
        </r>
        <r>
          <rPr>
            <sz val="9"/>
            <color indexed="81"/>
            <rFont val="Tahoma"/>
            <family val="2"/>
          </rPr>
          <t xml:space="preserve">a girl at bat
Take another sticky note and add:
</t>
        </r>
        <r>
          <rPr>
            <sz val="9"/>
            <color indexed="81"/>
            <rFont val="Wingdings"/>
            <charset val="2"/>
          </rPr>
          <t></t>
        </r>
        <r>
          <rPr>
            <sz val="9"/>
            <color indexed="81"/>
            <rFont val="Tahoma"/>
            <family val="2"/>
          </rPr>
          <t xml:space="preserve">the cat that's swimming past the dog
</t>
        </r>
        <r>
          <rPr>
            <sz val="9"/>
            <color indexed="81"/>
            <rFont val="Wingdings"/>
            <charset val="2"/>
          </rPr>
          <t></t>
        </r>
        <r>
          <rPr>
            <sz val="9"/>
            <color indexed="81"/>
            <rFont val="Tahoma"/>
            <family val="2"/>
          </rPr>
          <t xml:space="preserve">the prey the hawk is diving for
</t>
        </r>
        <r>
          <rPr>
            <sz val="9"/>
            <color indexed="81"/>
            <rFont val="Wingdings"/>
            <charset val="2"/>
          </rPr>
          <t></t>
        </r>
        <r>
          <rPr>
            <sz val="9"/>
            <color indexed="81"/>
            <rFont val="Tahoma"/>
            <family val="2"/>
          </rPr>
          <t xml:space="preserve">the ball the girl is trying to hit
Now, take a third sticky note and add another element to each panel:
</t>
        </r>
        <r>
          <rPr>
            <sz val="9"/>
            <color indexed="81"/>
            <rFont val="Wingdings"/>
            <charset val="2"/>
          </rPr>
          <t></t>
        </r>
        <r>
          <rPr>
            <sz val="9"/>
            <color indexed="81"/>
            <rFont val="Tahoma"/>
            <family val="2"/>
          </rPr>
          <t xml:space="preserve">another cat chasing the first cat that's swimming past the dog
</t>
        </r>
        <r>
          <rPr>
            <sz val="9"/>
            <color indexed="81"/>
            <rFont val="Wingdings"/>
            <charset val="2"/>
          </rPr>
          <t></t>
        </r>
        <r>
          <rPr>
            <sz val="9"/>
            <color indexed="81"/>
            <rFont val="Tahoma"/>
            <family val="2"/>
          </rPr>
          <t xml:space="preserve">a larger hawk after the prey the hawk is diving for
</t>
        </r>
        <r>
          <rPr>
            <sz val="9"/>
            <color indexed="81"/>
            <rFont val="Wingdings"/>
            <charset val="2"/>
          </rPr>
          <t></t>
        </r>
        <r>
          <rPr>
            <sz val="9"/>
            <color indexed="81"/>
            <rFont val="Tahoma"/>
            <family val="2"/>
          </rPr>
          <t>the catcher waiting for the ball the girl is trying to hit
Now, imagine how these could be turned into a comic story. Then make up a story with friends.
FOR MORE FUN: Draw all nine scenarios and make them tell one story!</t>
        </r>
      </text>
    </comment>
    <comment ref="C11" authorId="0" shapeId="0">
      <text>
        <r>
          <rPr>
            <b/>
            <sz val="9"/>
            <color indexed="81"/>
            <rFont val="Tahoma"/>
            <family val="2"/>
          </rPr>
          <t xml:space="preserve">Focus on composition: Shoot five landscapes </t>
        </r>
        <r>
          <rPr>
            <sz val="9"/>
            <color indexed="81"/>
            <rFont val="Tahoma"/>
            <family val="2"/>
          </rPr>
          <t>Now, it's time to get into photo basics! Do a little reseach into the four elements of composition: the "rule of thirds," framing, depth, and lead lines. When you photograph your landscapes, keep composition guidelines in mind.</t>
        </r>
      </text>
    </comment>
    <comment ref="C12" authorId="1" shapeId="0">
      <text>
        <r>
          <rPr>
            <b/>
            <sz val="9"/>
            <color indexed="81"/>
            <rFont val="Tahoma"/>
            <family val="2"/>
          </rPr>
          <t xml:space="preserve">Capture a day in the life. </t>
        </r>
        <r>
          <rPr>
            <sz val="9"/>
            <color indexed="81"/>
            <rFont val="Tahoma"/>
            <family val="2"/>
          </rPr>
          <t>Shoot one scene at five intervals throughout one day. If there are people in the scene, how can you turn them into part of the landscape.</t>
        </r>
      </text>
    </comment>
    <comment ref="C13" authorId="0" shapeId="0">
      <text>
        <r>
          <rPr>
            <b/>
            <sz val="9"/>
            <color indexed="81"/>
            <rFont val="Tahoma"/>
            <family val="2"/>
          </rPr>
          <t xml:space="preserve">Photograph weather patterns. </t>
        </r>
        <r>
          <rPr>
            <sz val="9"/>
            <color indexed="81"/>
            <rFont val="Tahoma"/>
            <family val="2"/>
          </rPr>
          <t>Is a strom coming in? Take five photos at different stages - before, during, and after the storm.</t>
        </r>
      </text>
    </comment>
    <comment ref="C14" authorId="1" shapeId="0">
      <text>
        <r>
          <rPr>
            <b/>
            <sz val="9"/>
            <color indexed="81"/>
            <rFont val="Tahoma"/>
            <family val="2"/>
          </rPr>
          <t>Take 5 photos form a different vantage point.</t>
        </r>
        <r>
          <rPr>
            <sz val="9"/>
            <color indexed="81"/>
            <rFont val="Tahoma"/>
            <family val="2"/>
          </rPr>
          <t xml:space="preserve"> Try to shoot images from above, below, or at some other angle. You might capture the landscape in a 360-degree panorama.</t>
        </r>
      </text>
    </comment>
    <comment ref="C15" authorId="0" shapeId="0">
      <text>
        <r>
          <rPr>
            <b/>
            <sz val="9"/>
            <color indexed="81"/>
            <rFont val="Tahoma"/>
            <family val="2"/>
          </rPr>
          <t xml:space="preserve">Focus on light: Shoot five portraits or still lifes </t>
        </r>
        <r>
          <rPr>
            <sz val="9"/>
            <color indexed="81"/>
            <rFont val="Tahoma"/>
            <family val="2"/>
          </rPr>
          <t>What features do you want to capture about a person: her fashion sense, her love or serenity? What features of an object do you want to showcase: a vase's smooth surface, a cactus's sping texture? As you take five partraits or still-life scenes, experiment with light to see how it can help you emphasize the features you choose. Try flash, natural light, using a flash outdoors, or a light source you create.</t>
        </r>
      </text>
    </comment>
    <comment ref="C16" authorId="1" shapeId="0">
      <text>
        <r>
          <rPr>
            <b/>
            <sz val="9"/>
            <color indexed="81"/>
            <rFont val="Tahoma"/>
            <family val="2"/>
          </rPr>
          <t xml:space="preserve">Invite friends to a shoot day. </t>
        </r>
        <r>
          <rPr>
            <sz val="9"/>
            <color indexed="81"/>
            <rFont val="Tahoma"/>
            <family val="2"/>
          </rPr>
          <t>Set it up with fun locations, wardrobe, and props, and lay around with the placement of people and objects to create your five shots.</t>
        </r>
      </text>
    </comment>
    <comment ref="C17" authorId="1" shapeId="0">
      <text>
        <r>
          <rPr>
            <b/>
            <sz val="9"/>
            <color indexed="81"/>
            <rFont val="Tahoma"/>
            <family val="2"/>
          </rPr>
          <t xml:space="preserve">Capture the same person or object from five different perspectives. </t>
        </r>
        <r>
          <rPr>
            <sz val="9"/>
            <color indexed="81"/>
            <rFont val="Tahoma"/>
            <family val="2"/>
          </rPr>
          <t xml:space="preserve"> You might play around with more than light: What about distance from the object(s), zoom, and angle? If you're taking portraits, experiment with posed and candid shots.</t>
        </r>
      </text>
    </comment>
    <comment ref="C18" authorId="1" shapeId="0">
      <text>
        <r>
          <rPr>
            <b/>
            <sz val="9"/>
            <color indexed="81"/>
            <rFont val="Tahoma"/>
            <family val="2"/>
          </rPr>
          <t>Grow your image.</t>
        </r>
        <r>
          <rPr>
            <sz val="9"/>
            <color indexed="81"/>
            <rFont val="Tahoma"/>
            <family val="2"/>
          </rPr>
          <t xml:space="preserve"> Start small and photograph one person or item, then begin to add others, so your image "grows" in each of your five photos. See how the light affects its shadows and shapes, and how different textures and colors interact.</t>
        </r>
      </text>
    </comment>
    <comment ref="C19" authorId="0" shapeId="0">
      <text>
        <r>
          <rPr>
            <b/>
            <sz val="9"/>
            <color indexed="81"/>
            <rFont val="Tahoma"/>
            <family val="2"/>
          </rPr>
          <t xml:space="preserve">Focus on motion: Shoot five acion shots </t>
        </r>
        <r>
          <rPr>
            <sz val="9"/>
            <color indexed="81"/>
            <rFont val="Tahoma"/>
            <family val="2"/>
          </rPr>
          <t>Try to stop motion and retain a strong sense of movement by doing one of the choices below.</t>
        </r>
      </text>
    </comment>
    <comment ref="C20" authorId="1" shapeId="0">
      <text>
        <r>
          <rPr>
            <b/>
            <sz val="9"/>
            <color indexed="81"/>
            <rFont val="Tahoma"/>
            <family val="2"/>
          </rPr>
          <t>Take photos of a group or an individual in motion.</t>
        </r>
        <r>
          <rPr>
            <sz val="9"/>
            <color indexed="81"/>
            <rFont val="Tahoma"/>
            <family val="2"/>
          </rPr>
          <t xml:space="preserve"> A group could be a sports team, a dance company or your friends running. Cature an individual in five stages: maybe a pole vaulter icking up her pole, running, take off, going over the pole, and landing… or five quick shots at the top.</t>
        </r>
      </text>
    </comment>
    <comment ref="C21" authorId="1" shapeId="0">
      <text>
        <r>
          <rPr>
            <b/>
            <sz val="9"/>
            <color indexed="81"/>
            <rFont val="Tahoma"/>
            <family val="2"/>
          </rPr>
          <t xml:space="preserve">Take photos of faces in motion. </t>
        </r>
        <r>
          <rPr>
            <sz val="9"/>
            <color indexed="81"/>
            <rFont val="Tahoma"/>
            <family val="2"/>
          </rPr>
          <t>Capture five different faces in action, or the same person with five different active expressions - perhaps a growing smile, a nod, a wink, a blink, or a vigorous head shake.</t>
        </r>
      </text>
    </comment>
    <comment ref="C22" authorId="1" shapeId="0">
      <text>
        <r>
          <rPr>
            <b/>
            <sz val="9"/>
            <color indexed="81"/>
            <rFont val="Tahoma"/>
            <family val="2"/>
          </rPr>
          <t xml:space="preserve">Take photos of objects in motion. </t>
        </r>
        <r>
          <rPr>
            <sz val="9"/>
            <color indexed="81"/>
            <rFont val="Tahoma"/>
            <family val="2"/>
          </rPr>
          <t xml:space="preserve"> Shoot five different objects, or one object in five different stages of motion - perhas a basketball, a fast car, a falling leaf, or a festive spritz of bubbles. </t>
        </r>
      </text>
    </comment>
    <comment ref="C23" authorId="0" shapeId="0">
      <text>
        <r>
          <rPr>
            <b/>
            <sz val="9"/>
            <color indexed="81"/>
            <rFont val="Tahoma"/>
            <family val="2"/>
          </rPr>
          <t xml:space="preserve">Tell a story with photography </t>
        </r>
        <r>
          <rPr>
            <sz val="9"/>
            <color indexed="81"/>
            <rFont val="Tahoma"/>
            <family val="2"/>
          </rPr>
          <t>Use your new skills to tell a photographic story that means something to you. Do you want to show others a cause close to your heart, or create the story of you for a resume or college application? Take your photographs, then share them in one of these ways.</t>
        </r>
      </text>
    </comment>
    <comment ref="C24" authorId="1" shapeId="0">
      <text>
        <r>
          <rPr>
            <b/>
            <sz val="9"/>
            <color indexed="81"/>
            <rFont val="Tahoma"/>
            <family val="2"/>
          </rPr>
          <t xml:space="preserve">Stage a photo exhibit. </t>
        </r>
        <r>
          <rPr>
            <sz val="9"/>
            <color indexed="81"/>
            <rFont val="Tahoma"/>
            <family val="2"/>
          </rPr>
          <t xml:space="preserve"> Show your photos at home, school or at a community center.</t>
        </r>
      </text>
    </comment>
    <comment ref="C25" authorId="1" shapeId="0">
      <text>
        <r>
          <rPr>
            <b/>
            <sz val="9"/>
            <color indexed="81"/>
            <rFont val="Tahoma"/>
            <family val="2"/>
          </rPr>
          <t xml:space="preserve">Make a digital slide show. </t>
        </r>
        <r>
          <rPr>
            <sz val="9"/>
            <color indexed="81"/>
            <rFont val="Tahoma"/>
            <family val="2"/>
          </rPr>
          <t xml:space="preserve"> Post your photographic story in a private online space for family and friends. </t>
        </r>
      </text>
    </comment>
    <comment ref="C26" authorId="1" shapeId="0">
      <text>
        <r>
          <rPr>
            <b/>
            <sz val="9"/>
            <color indexed="81"/>
            <rFont val="Tahoma"/>
            <family val="2"/>
          </rPr>
          <t xml:space="preserve">Create a photo album or scrapbook. </t>
        </r>
        <r>
          <rPr>
            <sz val="9"/>
            <color indexed="81"/>
            <rFont val="Tahoma"/>
            <family val="2"/>
          </rPr>
          <t xml:space="preserve"> Share your creation with others.</t>
        </r>
      </text>
    </comment>
    <comment ref="C30" authorId="0" shapeId="0">
      <text>
        <r>
          <rPr>
            <b/>
            <sz val="9"/>
            <color indexed="81"/>
            <rFont val="Tahoma"/>
            <family val="2"/>
          </rPr>
          <t xml:space="preserve">Begin to outline your coaching strategy </t>
        </r>
        <r>
          <rPr>
            <sz val="9"/>
            <color indexed="81"/>
            <rFont val="Tahoma"/>
            <family val="2"/>
          </rPr>
          <t>Before you identify your team and the activity you plan to coach, dig into coaching strategies. In this step, focus on three areas: how to motivate a team, how to train, and how to assess progress. After you've gathered tips from pros, gather the tips together, and start your personal coaching playbook. (As you grow through the badge with more ideas observations, you can add to the pllaybook - it's your personal and inspirational reference.)</t>
        </r>
      </text>
    </comment>
    <comment ref="C31" authorId="1" shapeId="0">
      <text>
        <r>
          <rPr>
            <b/>
            <sz val="9"/>
            <color indexed="81"/>
            <rFont val="Tahoma"/>
            <family val="2"/>
          </rPr>
          <t xml:space="preserve">Talk to a great coach or highly experienced athlete. </t>
        </r>
        <r>
          <rPr>
            <sz val="9"/>
            <color indexed="81"/>
            <rFont val="Tahoma"/>
            <family val="2"/>
          </rPr>
          <t xml:space="preserve"> Ask for insights from a coach or a professional or amateur athlete. It might be someone who coaches at or plays for a school, an after-school program, or a local college or univeristy. If possible, shodow them during a practice or a game. You might ask to see a plybook - and take notes!
</t>
        </r>
      </text>
    </comment>
    <comment ref="C32" authorId="1" shapeId="0">
      <text>
        <r>
          <rPr>
            <b/>
            <sz val="9"/>
            <color indexed="81"/>
            <rFont val="Tahoma"/>
            <family val="2"/>
          </rPr>
          <t xml:space="preserve">Watch three sports documentaries. </t>
        </r>
        <r>
          <rPr>
            <sz val="9"/>
            <color indexed="81"/>
            <rFont val="Tahoma"/>
            <family val="2"/>
          </rPr>
          <t xml:space="preserve"> The sport doesn't have to be the one you'll coach - this is about the nitty-gritty of strategy. As you watch, keep the three focus categories in mind, and analyze what makes the coaches you see successful.</t>
        </r>
      </text>
    </comment>
    <comment ref="C33" authorId="1" shapeId="0">
      <text>
        <r>
          <rPr>
            <b/>
            <sz val="9"/>
            <color indexed="81"/>
            <rFont val="Tahoma"/>
            <family val="2"/>
          </rPr>
          <t xml:space="preserve">Attend a coaching clinic seminar. </t>
        </r>
        <r>
          <rPr>
            <sz val="9"/>
            <color indexed="81"/>
            <rFont val="Tahoma"/>
            <family val="2"/>
          </rPr>
          <t xml:space="preserve"> If there isn't a class nearby, check online for various coaching clinics and sports camps. At the clinic or seminar, look specifically for ideas about the three focus areas.</t>
        </r>
      </text>
    </comment>
    <comment ref="C34" authorId="0" shapeId="0">
      <text>
        <r>
          <rPr>
            <b/>
            <sz val="9"/>
            <color indexed="81"/>
            <rFont val="Tahoma"/>
            <family val="2"/>
          </rPr>
          <t xml:space="preserve">Conduct a first assessment </t>
        </r>
        <r>
          <rPr>
            <sz val="9"/>
            <color indexed="81"/>
            <rFont val="Tahoma"/>
            <family val="2"/>
          </rPr>
          <t>Do once choice to clearly define each of your athletes' objectives for your sessions, as well as the teal goal (if appropfiate). Depending on the sport or event you're coaching for - or what individual or group assessment may be most appropriate - decide which choice is best for your group.</t>
        </r>
      </text>
    </comment>
    <comment ref="C35" authorId="1" shapeId="0">
      <text>
        <r>
          <rPr>
            <b/>
            <sz val="9"/>
            <color indexed="81"/>
            <rFont val="Tahoma"/>
            <family val="2"/>
          </rPr>
          <t xml:space="preserve">Prepare individual quesitonaires. </t>
        </r>
        <r>
          <rPr>
            <sz val="9"/>
            <color indexed="81"/>
            <rFont val="Tahoma"/>
            <family val="2"/>
          </rPr>
          <t xml:space="preserve"> Ask each athlete to assess where they are in their sport and what they want to gain in your time together. Review the questionaires, and meet with each person to set goals and outline how they might achieve them.</t>
        </r>
      </text>
    </comment>
    <comment ref="C36" authorId="1" shapeId="0">
      <text>
        <r>
          <rPr>
            <b/>
            <sz val="9"/>
            <color indexed="81"/>
            <rFont val="Tahoma"/>
            <family val="2"/>
          </rPr>
          <t xml:space="preserve">Host an initial session. </t>
        </r>
        <r>
          <rPr>
            <sz val="9"/>
            <color indexed="81"/>
            <rFont val="Tahoma"/>
            <family val="2"/>
          </rPr>
          <t xml:space="preserve"> Design a fun session that tests players' skills and/or how they work together as a team. The drills should help them decide on goals for your sessions. During the session, make notes to assess the skill level of each player and how your think you can help.</t>
        </r>
      </text>
    </comment>
    <comment ref="C37" authorId="1" shapeId="0">
      <text>
        <r>
          <rPr>
            <b/>
            <sz val="9"/>
            <color indexed="81"/>
            <rFont val="Tahoma"/>
            <family val="2"/>
          </rPr>
          <t xml:space="preserve">Prepare a goal chart together. </t>
        </r>
        <r>
          <rPr>
            <sz val="9"/>
            <color indexed="81"/>
            <rFont val="Tahoma"/>
            <family val="2"/>
          </rPr>
          <t xml:space="preserve"> In a group, ask players to discuss what they hope to accomplish in their sessions. Together, make a chart outlining a training schedule and goals for each layer, as well as for the team collectively, if appropriate. Use the chart to help you guide each session.</t>
        </r>
      </text>
    </comment>
    <comment ref="C38" authorId="0" shapeId="0">
      <text>
        <r>
          <rPr>
            <b/>
            <sz val="9"/>
            <color indexed="81"/>
            <rFont val="Tahoma"/>
            <family val="2"/>
          </rPr>
          <t xml:space="preserve">Design your coaching plan </t>
        </r>
        <r>
          <rPr>
            <sz val="9"/>
            <color indexed="81"/>
            <rFont val="Tahoma"/>
            <family val="2"/>
          </rPr>
          <t xml:space="preserve">Combine what you learned about coaching strategies and what you now know about your players into a coaching plan that utilizes everyone's best skills. Use at least one of these choices to help define and design your plan for each of your sessions. You'll need to run at least one session in each of the four weeks to complete this badge. </t>
        </r>
      </text>
    </comment>
    <comment ref="C39" authorId="1" shapeId="0">
      <text>
        <r>
          <rPr>
            <b/>
            <sz val="9"/>
            <color indexed="81"/>
            <rFont val="Tahoma"/>
            <family val="2"/>
          </rPr>
          <t xml:space="preserve">Design a special warm-up and cool-down. </t>
        </r>
        <r>
          <rPr>
            <sz val="9"/>
            <color indexed="81"/>
            <rFont val="Tahoma"/>
            <family val="2"/>
          </rPr>
          <t>For any sport, in's important to stretch before and after training. Instread of running through these components in a basic way, research the best stretches and warm-up exercises for your sport, and put them together in a unique format. You might incorporate some fun and trust-building games or exercises.</t>
        </r>
      </text>
    </comment>
    <comment ref="C40" authorId="1" shapeId="0">
      <text>
        <r>
          <rPr>
            <b/>
            <sz val="9"/>
            <color indexed="81"/>
            <rFont val="Tahoma"/>
            <family val="2"/>
          </rPr>
          <t xml:space="preserve">Research and choose some training drills. </t>
        </r>
        <r>
          <rPr>
            <sz val="9"/>
            <color indexed="81"/>
            <rFont val="Tahoma"/>
            <family val="2"/>
          </rPr>
          <t xml:space="preserve"> Are they too hard, to easy? Try them out on your own if neighter you nor any of your athletes can do a patricular skull your team needs to practice, find someone who can demonstrate it. (See the sidebar for tips on drills.)</t>
        </r>
      </text>
    </comment>
    <comment ref="C41" authorId="1" shapeId="0">
      <text>
        <r>
          <rPr>
            <b/>
            <sz val="9"/>
            <color indexed="81"/>
            <rFont val="Tahoma"/>
            <family val="2"/>
          </rPr>
          <t xml:space="preserve">Open and close each session with a message. </t>
        </r>
        <r>
          <rPr>
            <sz val="9"/>
            <color indexed="81"/>
            <rFont val="Tahoma"/>
            <family val="2"/>
          </rPr>
          <t xml:space="preserve"> Interview a sports psychologist or find some sports psychology tips (perhaps on motivation, teamwork, or perseverance) to inspire your athletes. Incorporate these tips into the opening and closing of each of your sessions. You might even get creative with visuals and music or by singing an inspirational song.</t>
        </r>
      </text>
    </comment>
    <comment ref="C42" authorId="0" shapeId="0">
      <text>
        <r>
          <rPr>
            <b/>
            <sz val="9"/>
            <color indexed="81"/>
            <rFont val="Tahoma"/>
            <family val="2"/>
          </rPr>
          <t xml:space="preserve">Put your plan into action - and revise it, if necessary </t>
        </r>
        <r>
          <rPr>
            <sz val="9"/>
            <color indexed="81"/>
            <rFont val="Tahoma"/>
            <family val="2"/>
          </rPr>
          <t xml:space="preserve">How's the time to start your sessions. At some point during your four weeks of coaching, get some feedback to help you assess and improve your coaching plan. </t>
        </r>
      </text>
    </comment>
    <comment ref="C43" authorId="1" shapeId="0">
      <text>
        <r>
          <rPr>
            <b/>
            <sz val="9"/>
            <color indexed="81"/>
            <rFont val="Tahoma"/>
            <family val="2"/>
          </rPr>
          <t>Add a morale-boosting time-out.</t>
        </r>
        <r>
          <rPr>
            <sz val="9"/>
            <color indexed="81"/>
            <rFont val="Tahoma"/>
            <family val="2"/>
          </rPr>
          <t xml:space="preserve"> Find a place outside your practice sessions where you and your team can talk. It might be a coffeehouse, a icnic table in the shade, or in fron tof a fire on a cold afternoon. Get your athletes together to ask questions, to inspire discussion about sportsmanship and goals, and to review how your sessions are going.</t>
        </r>
      </text>
    </comment>
    <comment ref="C44" authorId="1" shapeId="0">
      <text/>
    </comment>
    <comment ref="C45" authorId="1" shapeId="0">
      <text/>
    </comment>
    <comment ref="C46" authorId="0" shapeId="0">
      <text>
        <r>
          <rPr>
            <b/>
            <sz val="9"/>
            <color indexed="81"/>
            <rFont val="Tahoma"/>
            <family val="2"/>
          </rPr>
          <t xml:space="preserve">Attend the big event, and make a final assessment </t>
        </r>
        <r>
          <rPr>
            <sz val="9"/>
            <color indexed="81"/>
            <rFont val="Tahoma"/>
            <family val="2"/>
          </rPr>
          <t>Be there at the final event - whether a game, tryout, race, or performance - to coach your athletes to success or to cheer them on! Review their goals, and take notes on their performance so you can offer specific feedback.</t>
        </r>
      </text>
    </comment>
    <comment ref="C47" authorId="1" shapeId="0">
      <text>
        <r>
          <rPr>
            <sz val="9"/>
            <color indexed="81"/>
            <rFont val="Tahoma"/>
            <family val="2"/>
          </rPr>
          <t>post-training assessment. While there, ask each athlete to share two or three things they learned in your sessions. Find out if they think they met their goals, and if not, why. Tell them how you think they did and why you're proud of their accomlishments.</t>
        </r>
      </text>
    </comment>
    <comment ref="C48" authorId="1" shapeId="0">
      <text>
        <r>
          <rPr>
            <sz val="9"/>
            <color indexed="81"/>
            <rFont val="Tahoma"/>
            <family val="2"/>
          </rPr>
          <t>Get everyone together for a post-event party. Over food and fun, discuss how it went. Focus on what goals were accomplished, and share encouragement for the future.</t>
        </r>
      </text>
    </comment>
    <comment ref="C49" authorId="1" shapeId="0">
      <text>
        <r>
          <rPr>
            <sz val="9"/>
            <color indexed="81"/>
            <rFont val="Tahoma"/>
            <family val="2"/>
          </rPr>
          <t>You'll need a photo of each person in your group (you could take one at a practice session or during the final event). Review your final assessment and how far each person has come toward reaching their goals. Choose decoration, statisitics, sayings or inspirational tidbits specific to each person.</t>
        </r>
      </text>
    </comment>
    <comment ref="C53" authorId="0" shapeId="0">
      <text>
        <r>
          <rPr>
            <b/>
            <sz val="9"/>
            <color indexed="81"/>
            <rFont val="Tahoma"/>
            <family val="2"/>
          </rPr>
          <t>Find out how activists advocate for change</t>
        </r>
        <r>
          <rPr>
            <sz val="9"/>
            <color indexed="81"/>
            <rFont val="Tahoma"/>
            <family val="2"/>
          </rPr>
          <t xml:space="preserve"> Use this step as an introduction to public policy: Here's your chance to learn from a real change-maker. Consider an issue you canre about - perhaps job creation, enviromental protection, anti-bullying laws, veterans' rights, financial aid for college, or distracted driving - and pick a choice that will improve hyour undsertanding of the public policy surrounding it. </t>
        </r>
      </text>
    </comment>
    <comment ref="C54" authorId="0" shapeId="0">
      <text>
        <r>
          <rPr>
            <sz val="9"/>
            <color indexed="81"/>
            <rFont val="Tahoma"/>
            <family val="2"/>
          </rPr>
          <t>Find out how an activist for an issue you care about influences public policy. Have their campaigns for change been successful? What challenges did they encounter? What advice do they have for you?</t>
        </r>
      </text>
    </comment>
    <comment ref="C55" authorId="0" shapeId="0">
      <text>
        <r>
          <rPr>
            <sz val="9"/>
            <color indexed="81"/>
            <rFont val="Tahoma"/>
            <family val="2"/>
          </rPr>
          <t>Find one about an individual or group who pushed for a change in public policy, and screen it for friends and family. Afterward, discuss which tactics used were most successful in gathering support for the cause.</t>
        </r>
      </text>
    </comment>
    <comment ref="C56" authorId="0" shapeId="0">
      <text>
        <r>
          <rPr>
            <sz val="9"/>
            <color indexed="81"/>
            <rFont val="Tahoma"/>
            <family val="2"/>
          </rPr>
          <t>course of U.S. history. This could be a single biography or several articles about an activist like Rachel Carson, Eleanor Rossevelt, or Susan B. Anthony. Or it could be a book about female suffrage or other issue in which female advocates were instrumental.</t>
        </r>
      </text>
    </comment>
    <comment ref="C57" authorId="0" shapeId="0">
      <text>
        <r>
          <rPr>
            <b/>
            <sz val="9"/>
            <color indexed="81"/>
            <rFont val="Tahoma"/>
            <family val="2"/>
          </rPr>
          <t xml:space="preserve">Engage as a global citizen </t>
        </r>
        <r>
          <rPr>
            <sz val="9"/>
            <color indexed="81"/>
            <rFont val="Tahoma"/>
            <family val="2"/>
          </rPr>
          <t xml:space="preserve">Take a closer look at how voices are heard around the world. Public-policy successes and challenges in others countries can give us information about how to approach issues of our own. Enhance you knowledge in one of these ways. </t>
        </r>
      </text>
    </comment>
    <comment ref="C58" authorId="0" shapeId="0">
      <text>
        <r>
          <rPr>
            <sz val="9"/>
            <color indexed="81"/>
            <rFont val="Tahoma"/>
            <family val="2"/>
          </rPr>
          <t>Think about an issue facing policy-makers in America. It might be pollution regulations, marriage laws, or teen texting and driving. Now find out how the issue is regulated in three other countries. What are the biggest dirrerences between public policy in the United Sates and abroad?</t>
        </r>
      </text>
    </comment>
    <comment ref="C59" authorId="0" shapeId="0">
      <text>
        <r>
          <rPr>
            <sz val="9"/>
            <color indexed="81"/>
            <rFont val="Tahoma"/>
            <family val="2"/>
          </rPr>
          <t>There are many laws currently being challenges in countries abroad. For instance, groups are trying to enact whale-hunting laws in Japan. Others are offering legal aid in places like Saudi Arabia, where laws limit women's rights in marriage choice, divorce, child custody, and inheritance. Find one issue and follow its progress. How are the organizations trying to infulence change? Are their methods successful?</t>
        </r>
      </text>
    </comment>
    <comment ref="C60" authorId="0" shapeId="0">
      <text>
        <r>
          <rPr>
            <sz val="9"/>
            <color indexed="81"/>
            <rFont val="Tahoma"/>
            <family val="2"/>
          </rPr>
          <t>(Non-governmental organization). This might be CARE, Heifer International, Doctors without Borders or the World Wildlife Federation. Findout how the group tries to change policy and what challenges are involved in trying to influence one issue acrosss national boarders. Who does this NGO lobby to effect change?</t>
        </r>
      </text>
    </comment>
    <comment ref="C61" authorId="0" shapeId="0">
      <text>
        <r>
          <rPr>
            <b/>
            <sz val="9"/>
            <color indexed="81"/>
            <rFont val="Tahoma"/>
            <family val="2"/>
          </rPr>
          <t xml:space="preserve">Dig into national or state public policy </t>
        </r>
        <r>
          <rPr>
            <sz val="9"/>
            <color indexed="81"/>
            <rFont val="Tahoma"/>
            <family val="2"/>
          </rPr>
          <t>Choose a national or state policy issue that matters to you. The goal of this step is for you to get an understanding of how one national or state issue is influenced by citiizens, policy-makers, and the media. Whose voices are getting heard?</t>
        </r>
      </text>
    </comment>
    <comment ref="C62" authorId="0" shapeId="0">
      <text>
        <r>
          <rPr>
            <sz val="9"/>
            <color indexed="81"/>
            <rFont val="Tahoma"/>
            <family val="2"/>
          </rPr>
          <t>For two weeks, follow the issue - from boths sides - in at least three sources, such as national news, websites, and news magazines and newspapers. Pay attention to the people and organizations involved, the changes being advocated, the events, progress, and public opinion. At the end of hte two weeks, write a list of the five most effective and least effective actions you noticed. Keep the list for future reference (you can always add to it!).</t>
        </r>
      </text>
    </comment>
    <comment ref="C63" authorId="0" shapeId="0">
      <text>
        <r>
          <rPr>
            <sz val="9"/>
            <color indexed="81"/>
            <rFont val="Tahoma"/>
            <family val="2"/>
          </rPr>
          <t xml:space="preserve">your issue. For example, you could speak to the outreach staff at the American Medical Association, the Association of Women Engineers, or the AAA about their experiences trying to influence policy. Which campaigns have been effective? Which haven't? Take notes on tips and advice. </t>
        </r>
      </text>
    </comment>
    <comment ref="C64" authorId="0" shapeId="0">
      <text>
        <r>
          <rPr>
            <sz val="9"/>
            <color indexed="81"/>
            <rFont val="Tahoma"/>
            <family val="2"/>
          </rPr>
          <t xml:space="preserve"> on your issue. For instance, drive ing age laws: In South Dakota, you cand get a driver's license 3 months after you turn 14; in New Jersey, you must be 17; in Calafornia, 16. Some sates allow people to carry concealed weapons. Use and possession of fireworks is regulated differently from state to staet. There are even laws for how long studentst must stay in school: 7 states mandate education until age 17, but 29 states allow students to drop out at age 16! Write up a state-to-state comparison and note why the policy originated and whose efforts helped make it that way.</t>
        </r>
      </text>
    </comment>
    <comment ref="C65" authorId="0" shapeId="0">
      <text>
        <r>
          <rPr>
            <b/>
            <sz val="9"/>
            <color indexed="81"/>
            <rFont val="Tahoma"/>
            <family val="2"/>
          </rPr>
          <t xml:space="preserve">Explore local or community policy </t>
        </r>
        <r>
          <rPr>
            <sz val="9"/>
            <color indexed="81"/>
            <rFont val="Tahoma"/>
            <family val="2"/>
          </rPr>
          <t xml:space="preserve"> You've looked at a national or state issue - but how is policy created in your own backyard? Who is making decisions, and who is infuencing those decisions? In the years ahead, you'll be getting in on the legislative action - eather as a voter or an active policy advocate. Get more informed right now.</t>
        </r>
      </text>
    </comment>
    <comment ref="C66" authorId="0" shapeId="0">
      <text>
        <r>
          <rPr>
            <sz val="9"/>
            <color indexed="81"/>
            <rFont val="Tahoma"/>
            <family val="2"/>
          </rPr>
          <t>This might be a community organization, school board, or student council meeting. While you're there, consider these questions: What methods of stating a position seem most effective? Least effective? If a policy decision is reached, do you agree or disagree with it? Talk about your experience with your friends or family.</t>
        </r>
      </text>
    </comment>
    <comment ref="C67" authorId="0" shapeId="0">
      <text>
        <r>
          <rPr>
            <sz val="9"/>
            <color indexed="81"/>
            <rFont val="Tahoma"/>
            <family val="2"/>
          </rPr>
          <t>Profile two opposing public officials or committee leaders on one issue. What level of influence does each leader have? What is their history? Share your thoughts on whose actions are most effective with friends or family.</t>
        </r>
      </text>
    </comment>
    <comment ref="C68" authorId="0" shapeId="0">
      <text>
        <r>
          <rPr>
            <sz val="9"/>
            <color indexed="81"/>
            <rFont val="Tahoma"/>
            <family val="2"/>
          </rPr>
          <t>or schedule a phone interview with them. If your legislator is not available, schedule a meeting with a staff member. Ask about how the public gives feeback, and what find of feeback is most effective. What do they recommend as the best way for a citizen to get her voice heard?</t>
        </r>
      </text>
    </comment>
    <comment ref="C69" authorId="0" shapeId="0">
      <text>
        <r>
          <rPr>
            <b/>
            <sz val="9"/>
            <color indexed="81"/>
            <rFont val="Tahoma"/>
            <family val="2"/>
          </rPr>
          <t xml:space="preserve">See public policy creation in action </t>
        </r>
        <r>
          <rPr>
            <sz val="9"/>
            <color indexed="81"/>
            <rFont val="Tahoma"/>
            <family val="2"/>
          </rPr>
          <t xml:space="preserve">Fiknd the people in your community or state in charge of making or impacting public policy, and go behind the scenes. There's no better way to find out how you can change the system than by seeing how it's run from the inside. </t>
        </r>
      </text>
    </comment>
    <comment ref="C70" authorId="0" shapeId="0">
      <text>
        <r>
          <rPr>
            <sz val="9"/>
            <color indexed="81"/>
            <rFont val="Tahoma"/>
            <family val="2"/>
          </rPr>
          <t>Follow a policy-maker for a day. Questions to consider:
What is a typical day like? Is this a career you'd like to have?
How do they hear from and get input from their constituents about an issue? How do they navigate the systems to make change?
What sources do they use? Waht statistical data? Where is it from? Who influences their fact-finding and how?</t>
        </r>
      </text>
    </comment>
    <comment ref="C71" authorId="0" shapeId="0">
      <text>
        <r>
          <rPr>
            <sz val="9"/>
            <color indexed="81"/>
            <rFont val="Tahoma"/>
            <family val="2"/>
          </rPr>
          <t>Volunteer for a day (or more!) at a chamber of commerce, community organization, or branch of the local governement. Talk to staff members about key policy issues, policy influencing, how they increase awareness of issues, and how they get data to use in building support for their causes.</t>
        </r>
      </text>
    </comment>
    <comment ref="C72" authorId="0" shapeId="0">
      <text>
        <r>
          <rPr>
            <sz val="9"/>
            <color indexed="81"/>
            <rFont val="Tahoma"/>
            <family val="2"/>
          </rPr>
          <t>Check your newspaper or an online calendar for policy debates and meetings. Attend one, and take careful notes. Within a week, interview a policy-maker who spole or another community officeal with an interest in the event. Use your notes to ask informed questions about the event's effectivesness in educating, convincing, or inspiring the public about the issue.</t>
        </r>
      </text>
    </comment>
    <comment ref="C76" authorId="0" shapeId="0">
      <text>
        <r>
          <rPr>
            <b/>
            <sz val="9"/>
            <color indexed="81"/>
            <rFont val="Tahoma"/>
            <family val="2"/>
          </rPr>
          <t xml:space="preserve">Create you menu </t>
        </r>
        <r>
          <rPr>
            <sz val="9"/>
            <color indexed="81"/>
            <rFont val="Tahoma"/>
            <family val="2"/>
          </rPr>
          <t>A cooki becomes a chef by truly thinking about how every part of a meal works together. Good chefs balance heavy stews with simple salads, choose spices that taste great together, and even consider temperature - would guests like a cold dish between two hot ones?</t>
        </r>
      </text>
    </comment>
    <comment ref="C77" authorId="0" shapeId="0">
      <text>
        <r>
          <rPr>
            <b/>
            <sz val="9"/>
            <color indexed="81"/>
            <rFont val="Tahoma"/>
            <family val="2"/>
          </rPr>
          <t xml:space="preserve">Interview a caterer, event planner, chef, or restaurant owner. </t>
        </r>
        <r>
          <rPr>
            <sz val="9"/>
            <color indexed="81"/>
            <rFont val="Tahoma"/>
            <family val="2"/>
          </rPr>
          <t xml:space="preserve"> Ask how they plan an interesting, balanced, and nutritious menu. Collect at least three dinner menus from a variety of seasons or events, then study them to help you create an inspired menu of your own.</t>
        </r>
      </text>
    </comment>
    <comment ref="C78" authorId="0" shapeId="0">
      <text>
        <r>
          <rPr>
            <b/>
            <sz val="9"/>
            <color indexed="81"/>
            <rFont val="Tahoma"/>
            <family val="2"/>
          </rPr>
          <t>Collect recipes from cookin shows, websites, books, or magazines.</t>
        </r>
        <r>
          <rPr>
            <sz val="9"/>
            <color indexed="81"/>
            <rFont val="Tahoma"/>
            <family val="2"/>
          </rPr>
          <t xml:space="preserve"> Find five recipes each for appetizers, main courses, and desserts. Write them on index or recipe cards, then play around with different combinations until you find your favorite nutritious, flavorful menu.</t>
        </r>
      </text>
    </comment>
    <comment ref="C79" authorId="0" shapeId="0">
      <text>
        <r>
          <rPr>
            <b/>
            <sz val="9"/>
            <color indexed="81"/>
            <rFont val="Tahoma"/>
            <family val="2"/>
          </rPr>
          <t xml:space="preserve">Build a menu around your favorite ingredient. </t>
        </r>
        <r>
          <rPr>
            <sz val="9"/>
            <color indexed="81"/>
            <rFont val="Tahoma"/>
            <family val="2"/>
          </rPr>
          <t>Could you include maple in every dish - mixed greens with bacon-maple dressing, maple-glazed turkey with maple-nut-sprinkled mashed potatoes, and a salted maple apple pie for dessert? Look for a variety of recipes starring your ingredient, considering both sweet and savory possibilities.</t>
        </r>
      </text>
    </comment>
    <comment ref="C80" authorId="0" shapeId="0">
      <text>
        <r>
          <rPr>
            <b/>
            <sz val="9"/>
            <color indexed="81"/>
            <rFont val="Tahoma"/>
            <family val="2"/>
          </rPr>
          <t xml:space="preserve">Make a budget and shopping list </t>
        </r>
        <r>
          <rPr>
            <sz val="9"/>
            <color indexed="81"/>
            <rFont val="Tahoma"/>
            <family val="2"/>
          </rPr>
          <t>Figure out how much you can spend, then do one choice from below to help you shop accordingly. It's important to consider how many guests you'll be inviting!</t>
        </r>
      </text>
    </comment>
    <comment ref="C81" authorId="0" shapeId="0">
      <text>
        <r>
          <rPr>
            <b/>
            <sz val="9"/>
            <color indexed="81"/>
            <rFont val="Tahoma"/>
            <family val="2"/>
          </rPr>
          <t xml:space="preserve">Comparison shop. </t>
        </r>
        <r>
          <rPr>
            <sz val="9"/>
            <color indexed="81"/>
            <rFont val="Tahoma"/>
            <family val="2"/>
          </rPr>
          <t xml:space="preserve">Take your list of revipe ingredients to different stores, such as a regular supermarket, a specialty grocery, or a farmers' market. Record what each item costs, and compare your totals to find which place gives you the most overall value. Value can mean many things, uncluding cost, taste, heaalthfulness, and the farmers or businesses you're supporting. </t>
        </r>
      </text>
    </comment>
    <comment ref="C82" authorId="0" shapeId="0">
      <text>
        <r>
          <rPr>
            <b/>
            <sz val="9"/>
            <color indexed="81"/>
            <rFont val="Tahoma"/>
            <family val="2"/>
          </rPr>
          <t xml:space="preserve">Consult with a professional cheff or restaurant food buyer. </t>
        </r>
        <r>
          <rPr>
            <sz val="9"/>
            <color indexed="81"/>
            <rFont val="Tahoma"/>
            <family val="2"/>
          </rPr>
          <t xml:space="preserve"> Find out how they portion out servings, source their food, and put together budgets. Share your menu, and ask for recommendations of sourcing your ingredients. If possible, attend a meeting (or review an order) between your sonsultant and a supplier and see what insider knowledge you pick up.</t>
        </r>
      </text>
    </comment>
    <comment ref="C83" authorId="0" shapeId="0">
      <text>
        <r>
          <rPr>
            <b/>
            <sz val="9"/>
            <color indexed="81"/>
            <rFont val="Tahoma"/>
            <family val="2"/>
          </rPr>
          <t xml:space="preserve">Learn about alternative ways to shop. </t>
        </r>
        <r>
          <rPr>
            <sz val="9"/>
            <color indexed="81"/>
            <rFont val="Tahoma"/>
            <family val="2"/>
          </rPr>
          <t xml:space="preserve"> Compare prices for your ingredients online and at wholesale warehouses, then factor in extra costs (such as warhouse membership dues or shipping charges).</t>
        </r>
      </text>
    </comment>
    <comment ref="C84" authorId="0" shapeId="0">
      <text>
        <r>
          <rPr>
            <b/>
            <sz val="9"/>
            <color indexed="81"/>
            <rFont val="Tahoma"/>
            <family val="2"/>
          </rPr>
          <t xml:space="preserve">Practice timing your courses </t>
        </r>
        <r>
          <rPr>
            <sz val="9"/>
            <color indexed="81"/>
            <rFont val="Tahoma"/>
            <family val="2"/>
          </rPr>
          <t xml:space="preserve">A key element of a successful dinner party is when each dish comes out of the kitchen. Your goal is the keep from either rushing your guests or making them wait too long between courses. The timing can be tricky, because you don't want your food to get cold (or warm, if you're serviing ice cream!), either. </t>
        </r>
      </text>
    </comment>
    <comment ref="C85" authorId="0" shapeId="0">
      <text>
        <r>
          <rPr>
            <b/>
            <sz val="9"/>
            <color indexed="81"/>
            <rFont val="Tahoma"/>
            <family val="2"/>
          </rPr>
          <t xml:space="preserve">Get tips from food professionals. </t>
        </r>
        <r>
          <rPr>
            <sz val="9"/>
            <color indexed="81"/>
            <rFont val="Tahoma"/>
            <family val="2"/>
          </rPr>
          <t>Ask how they orgainize their kitchens and supplies. Make a Top Tips list, and refer to it as you look over your recipes.</t>
        </r>
      </text>
    </comment>
    <comment ref="C86" authorId="0" shapeId="0">
      <text>
        <r>
          <rPr>
            <b/>
            <sz val="9"/>
            <color indexed="81"/>
            <rFont val="Tahoma"/>
            <family val="2"/>
          </rPr>
          <t xml:space="preserve">Make a menu timeline. </t>
        </r>
        <r>
          <rPr>
            <sz val="9"/>
            <color indexed="81"/>
            <rFont val="Tahoma"/>
            <family val="2"/>
          </rPr>
          <t xml:space="preserve">Check out the prep and cook times on your recipes, then create a timeline. Can you prep some dishes or parts of dishes before the party? Can you use the </t>
        </r>
        <r>
          <rPr>
            <i/>
            <sz val="9"/>
            <color indexed="81"/>
            <rFont val="Tahoma"/>
            <family val="2"/>
          </rPr>
          <t>mise en place</t>
        </r>
        <r>
          <rPr>
            <sz val="9"/>
            <color indexed="81"/>
            <rFont val="Tahoma"/>
            <family val="2"/>
          </rPr>
          <t xml:space="preserve"> system to organize your ingredients for maximum efficiency?</t>
        </r>
      </text>
    </comment>
    <comment ref="C87" authorId="0" shapeId="0">
      <text>
        <r>
          <rPr>
            <b/>
            <sz val="9"/>
            <color indexed="81"/>
            <rFont val="Tahoma"/>
            <family val="2"/>
          </rPr>
          <t xml:space="preserve">Prepare a test meal for family or friends. </t>
        </r>
        <r>
          <rPr>
            <sz val="9"/>
            <color indexed="81"/>
            <rFont val="Tahoma"/>
            <family val="2"/>
          </rPr>
          <t>Time how long each dish took you to cook and take notes on any unexpected problems that cropped up. Then revise your plans for your party accordingly.</t>
        </r>
      </text>
    </comment>
    <comment ref="C88" authorId="0" shapeId="0">
      <text>
        <r>
          <rPr>
            <b/>
            <sz val="9"/>
            <color indexed="81"/>
            <rFont val="Tahoma"/>
            <family val="2"/>
          </rPr>
          <t xml:space="preserve">Explore imaginative ways to present food </t>
        </r>
        <r>
          <rPr>
            <sz val="9"/>
            <color indexed="81"/>
            <rFont val="Tahoma"/>
            <family val="2"/>
          </rPr>
          <t>The pleasure of a meal goes beyond taste - it includes how food is displayed. The two key parts of styling are arrangement (where will each part of your dish sit on a plat?) and color (how do the colors of your ingredients look with each other and with the dishes they'll be served on?)</t>
        </r>
      </text>
    </comment>
    <comment ref="C89" authorId="0" shapeId="0">
      <text>
        <r>
          <rPr>
            <b/>
            <sz val="9"/>
            <color indexed="81"/>
            <rFont val="Tahoma"/>
            <family val="2"/>
          </rPr>
          <t xml:space="preserve">Experiment with garnishes. </t>
        </r>
        <r>
          <rPr>
            <sz val="9"/>
            <color indexed="81"/>
            <rFont val="Tahoma"/>
            <family val="2"/>
          </rPr>
          <t>Go beyond a parsley sprig - are there decorative (and flavorful) sauces or oils you could brush or drizzle across your dish? Could you decorate your servings with edible flowers or dollops of apple jam? Think of each plate as a canvas, and find two food-based "paints" to make your presentation a masterpiece.</t>
        </r>
      </text>
    </comment>
    <comment ref="C90" authorId="0" shapeId="0">
      <text>
        <r>
          <rPr>
            <b/>
            <sz val="9"/>
            <color indexed="81"/>
            <rFont val="Tahoma"/>
            <family val="2"/>
          </rPr>
          <t xml:space="preserve">Present food in interesting shapes. </t>
        </r>
        <r>
          <rPr>
            <sz val="9"/>
            <color indexed="81"/>
            <rFont val="Tahoma"/>
            <family val="2"/>
          </rPr>
          <t>Carrots can be julienned (cut into strips) or served brunoise style (diced into fine cubes). You can shape a scoop of mashed potatoes with a cookie cutter. Find three fun shapes to use when you style your meal.</t>
        </r>
      </text>
    </comment>
    <comment ref="C91" authorId="0" shapeId="0">
      <text>
        <r>
          <rPr>
            <b/>
            <sz val="9"/>
            <color indexed="81"/>
            <rFont val="Tahoma"/>
            <family val="2"/>
          </rPr>
          <t xml:space="preserve">Use serving ware in unusual ways. </t>
        </r>
        <r>
          <rPr>
            <sz val="9"/>
            <color indexed="81"/>
            <rFont val="Tahoma"/>
            <family val="2"/>
          </rPr>
          <t>Serve soup in a mug instead of a bowl, or chicken breast over couscous in a bowl instead of on a plate. Would it be fun to eat a dish with chopsticks or "drink" a dessert? Use dishware and/or cultlery in innovative ways for each of your courses.</t>
        </r>
      </text>
    </comment>
    <comment ref="C92" authorId="0" shapeId="0">
      <text>
        <r>
          <rPr>
            <b/>
            <sz val="9"/>
            <color indexed="81"/>
            <rFont val="Tahoma"/>
            <family val="2"/>
          </rPr>
          <t xml:space="preserve">Host your dinner party </t>
        </r>
        <r>
          <rPr>
            <sz val="9"/>
            <color indexed="81"/>
            <rFont val="Tahoma"/>
            <family val="2"/>
          </rPr>
          <t xml:space="preserve"> Time to make your meal, enjoy your accomplishment, and have some fun! Use one of the choices below to enhance your dinner party. Then, as your guests enjoy the stylish food and dining experience you've crafted, ask them for constrictive feedback.</t>
        </r>
      </text>
    </comment>
    <comment ref="C93" authorId="0" shapeId="0">
      <text>
        <r>
          <rPr>
            <b/>
            <sz val="9"/>
            <color indexed="81"/>
            <rFont val="Tahoma"/>
            <family val="2"/>
          </rPr>
          <t xml:space="preserve">Decorate according to your menu theme. </t>
        </r>
        <r>
          <rPr>
            <sz val="9"/>
            <color indexed="81"/>
            <rFont val="Tahoma"/>
            <family val="2"/>
          </rPr>
          <t>Does your menu have a cultural or personal theme you could expand into music, decorations, and mood?</t>
        </r>
      </text>
    </comment>
    <comment ref="C94" authorId="0" shapeId="0">
      <text>
        <r>
          <rPr>
            <b/>
            <sz val="9"/>
            <color indexed="81"/>
            <rFont val="Tahoma"/>
            <family val="2"/>
          </rPr>
          <t xml:space="preserve">Celebrate a special occasion. </t>
        </r>
        <r>
          <rPr>
            <sz val="9"/>
            <color indexed="81"/>
            <rFont val="Tahoma"/>
            <family val="2"/>
          </rPr>
          <t>Commemorate a birthday, holiday, or Girl Scout event - you could even throw your dinner party at camp!</t>
        </r>
      </text>
    </comment>
    <comment ref="C95" authorId="0" shapeId="0">
      <text>
        <r>
          <rPr>
            <b/>
            <sz val="9"/>
            <color indexed="81"/>
            <rFont val="Tahoma"/>
            <family val="2"/>
          </rPr>
          <t xml:space="preserve">Use food and fun to forge new friendships. </t>
        </r>
        <r>
          <rPr>
            <sz val="9"/>
            <color indexed="81"/>
            <rFont val="Tahoma"/>
            <family val="2"/>
          </rPr>
          <t>Are there girls you'd like to get to know better or new students you could invite to dinner so they could make new friends? Could you invite friends from different parts of your life so they can get to know one another?</t>
        </r>
      </text>
    </comment>
    <comment ref="C99" authorId="0" shapeId="0">
      <text>
        <r>
          <rPr>
            <b/>
            <sz val="9"/>
            <color indexed="81"/>
            <rFont val="Tahoma"/>
            <family val="2"/>
          </rPr>
          <t xml:space="preserve">Learn how to deal with medical emergencies in the wilderness </t>
        </r>
        <r>
          <rPr>
            <sz val="9"/>
            <color indexed="81"/>
            <rFont val="Tahoma"/>
            <family val="2"/>
          </rPr>
          <t>Adventure trips test your limits, build new skills, and increase your confidence - all while you enjoy the thrill of being outdoors. They also create the possibility of serious medical emergencies. Find out how to handle a worst-case scenario in a particular kind of terrain.</t>
        </r>
      </text>
    </comment>
    <comment ref="C100" authorId="0" shapeId="0">
      <text>
        <r>
          <rPr>
            <b/>
            <sz val="9"/>
            <color indexed="81"/>
            <rFont val="Tahoma"/>
            <family val="2"/>
          </rPr>
          <t xml:space="preserve">Backcountry. </t>
        </r>
        <r>
          <rPr>
            <sz val="9"/>
            <color indexed="81"/>
            <rFont val="Tahoma"/>
            <family val="2"/>
          </rPr>
          <t>Interview someone from a search-and-rescue team about the kinds of emergencies you might encounter on a backcountry trip and how to handle them.</t>
        </r>
      </text>
    </comment>
    <comment ref="C101" authorId="0" shapeId="0">
      <text>
        <r>
          <rPr>
            <b/>
            <sz val="9"/>
            <color indexed="81"/>
            <rFont val="Tahoma"/>
            <family val="2"/>
          </rPr>
          <t xml:space="preserve">Open water. </t>
        </r>
        <r>
          <rPr>
            <sz val="9"/>
            <color indexed="81"/>
            <rFont val="Tahoma"/>
            <family val="2"/>
          </rPr>
          <t xml:space="preserve">Interview a certified lifeguard, emergency medical technician (EMT) who works on open water, or Coast Guard medic about how to handle the kinds of emergencies you might encounter on the ocean or a large body of water. </t>
        </r>
      </text>
    </comment>
    <comment ref="C102" authorId="0" shapeId="0">
      <text>
        <r>
          <rPr>
            <b/>
            <sz val="9"/>
            <color indexed="81"/>
            <rFont val="Tahoma"/>
            <family val="2"/>
          </rPr>
          <t>Mountains.</t>
        </r>
        <r>
          <rPr>
            <sz val="9"/>
            <color indexed="81"/>
            <rFont val="Tahoma"/>
            <family val="2"/>
          </rPr>
          <t xml:space="preserve"> Talk to an EMT, wilderness first responder, or rescue squad member with wilderness first aid training about the emergencies you might encounter on a trip in the mountains - including high-altitude sickness - and how to handle them. </t>
        </r>
      </text>
    </comment>
    <comment ref="C103" authorId="0" shapeId="0">
      <text>
        <r>
          <rPr>
            <b/>
            <sz val="9"/>
            <color indexed="81"/>
            <rFont val="Tahoma"/>
            <family val="2"/>
          </rPr>
          <t xml:space="preserve">Research careers that save lives in extreme conditions </t>
        </r>
        <r>
          <rPr>
            <sz val="9"/>
            <color indexed="81"/>
            <rFont val="Tahoma"/>
            <family val="2"/>
          </rPr>
          <t xml:space="preserve">Some people go to work each day ready to save lives in extraordinarily tough situations. Find out more about these careers in an interview. Ask about the training and education needed, and the situations where they've used their expertise. </t>
        </r>
      </text>
    </comment>
    <comment ref="C104" authorId="0" shapeId="0">
      <text>
        <r>
          <rPr>
            <b/>
            <sz val="9"/>
            <color indexed="81"/>
            <rFont val="Tahoma"/>
            <family val="2"/>
          </rPr>
          <t xml:space="preserve">Wilderness rescue. </t>
        </r>
        <r>
          <rPr>
            <sz val="9"/>
            <color indexed="81"/>
            <rFont val="Tahoma"/>
            <family val="2"/>
          </rPr>
          <t xml:space="preserve"> Interview a lifeguard, park ranger, or member of a wilderness search-and-rescue squad or ski patrol</t>
        </r>
      </text>
    </comment>
    <comment ref="C105" authorId="0" shapeId="0">
      <text>
        <r>
          <rPr>
            <b/>
            <sz val="9"/>
            <color indexed="81"/>
            <rFont val="Tahoma"/>
            <family val="2"/>
          </rPr>
          <t xml:space="preserve">Disaster preparedness. </t>
        </r>
        <r>
          <rPr>
            <sz val="9"/>
            <color indexed="81"/>
            <rFont val="Tahoma"/>
            <family val="2"/>
          </rPr>
          <t>Interview a firefighter, EMT, or member of a local emergency response unit who's trained to handle major disasters such as hrricanes, floods, earthquakes, or terrorist attacks.</t>
        </r>
      </text>
    </comment>
    <comment ref="C106" authorId="0" shapeId="0">
      <text>
        <r>
          <rPr>
            <b/>
            <sz val="9"/>
            <color indexed="81"/>
            <rFont val="Tahoma"/>
            <family val="2"/>
          </rPr>
          <t xml:space="preserve">Militaray medicine. </t>
        </r>
        <r>
          <rPr>
            <sz val="9"/>
            <color indexed="81"/>
            <rFont val="Tahoma"/>
            <family val="2"/>
          </rPr>
          <t>Interview a combat medic or member of a military medical unit to find out more about how they care for soldiers during trainingexercises or combat.</t>
        </r>
      </text>
    </comment>
    <comment ref="C107" authorId="0" shapeId="0">
      <text>
        <r>
          <rPr>
            <b/>
            <sz val="9"/>
            <color indexed="81"/>
            <rFont val="Tahoma"/>
            <family val="2"/>
          </rPr>
          <t xml:space="preserve">Find out how to care for a critically injured person </t>
        </r>
        <r>
          <rPr>
            <sz val="9"/>
            <color indexed="81"/>
            <rFont val="Tahoma"/>
            <family val="2"/>
          </rPr>
          <t xml:space="preserve">In a remote location or extreme situation that prevents help from reaching you, it's important to know how to keep someone who is critically injured alive until professionals can take over. Find out how to keep an injured person alive for 16 to 24 hours. </t>
        </r>
      </text>
    </comment>
    <comment ref="C108" authorId="0" shapeId="0">
      <text>
        <r>
          <rPr>
            <b/>
            <sz val="9"/>
            <color indexed="81"/>
            <rFont val="Tahoma"/>
            <family val="2"/>
          </rPr>
          <t xml:space="preserve">Take a wilderness first aid course. </t>
        </r>
        <r>
          <rPr>
            <sz val="9"/>
            <color indexed="81"/>
            <rFont val="Tahoma"/>
            <family val="2"/>
          </rPr>
          <t>Find a course taught by a certified instructor or endorsed by an accredited organization such as the Wilderness &amp; Remote First Aid course offered by the Red Cross. (Ambassadors can be certified as American Red Cross Instructors in this course and others.)</t>
        </r>
      </text>
    </comment>
    <comment ref="C109" authorId="0" shapeId="0">
      <text>
        <r>
          <rPr>
            <b/>
            <sz val="9"/>
            <color indexed="81"/>
            <rFont val="Tahoma"/>
            <family val="2"/>
          </rPr>
          <t xml:space="preserve">Interview a doctor, nurse, EMT, or first resonder. </t>
        </r>
        <r>
          <rPr>
            <sz val="9"/>
            <color indexed="81"/>
            <rFont val="Tahoma"/>
            <family val="2"/>
          </rPr>
          <t xml:space="preserve"> Find someone who specializes in wilderness or survival medicine and ask about the techniques they use to keep people alive in remote areas. Have them help you role-play what you would need to do to treat injuries you may encounter in your outdoor adventures. </t>
        </r>
      </text>
    </comment>
    <comment ref="C110" authorId="0" shapeId="0">
      <text>
        <r>
          <rPr>
            <b/>
            <sz val="9"/>
            <color indexed="81"/>
            <rFont val="Tahoma"/>
            <family val="2"/>
          </rPr>
          <t xml:space="preserve">Discover how to use what's on hand in an emergency. </t>
        </r>
        <r>
          <rPr>
            <sz val="9"/>
            <color indexed="81"/>
            <rFont val="Tahoma"/>
            <family val="2"/>
          </rPr>
          <t>With the help of a doctor, nurse, or EMT who specializes in disaster or survival medicine, find out how common items found in the house or car might help heep a ctritically injured person alive when emergency help is delayed.</t>
        </r>
      </text>
    </comment>
    <comment ref="C111" authorId="0" shapeId="0">
      <text>
        <r>
          <rPr>
            <b/>
            <sz val="9"/>
            <color indexed="81"/>
            <rFont val="Tahoma"/>
            <family val="2"/>
          </rPr>
          <t xml:space="preserve">Know how ot move an injured person </t>
        </r>
        <r>
          <rPr>
            <sz val="9"/>
            <color indexed="81"/>
            <rFont val="Tahoma"/>
            <family val="2"/>
          </rPr>
          <t>When you took your first aid and CPR certification course, you learned not to move someone with a  serious injury. But sometimes there's no choice. If there's an immediate danger, such as fire, fallen power lines, or flooding, you make need to move the person out of harm's way. Find out how to do this safely.</t>
        </r>
      </text>
    </comment>
    <comment ref="C112" authorId="0" shapeId="0">
      <text>
        <r>
          <rPr>
            <b/>
            <sz val="9"/>
            <color indexed="81"/>
            <rFont val="Tahoma"/>
            <family val="2"/>
          </rPr>
          <t xml:space="preserve">Visit a medical schoool. </t>
        </r>
        <r>
          <rPr>
            <sz val="9"/>
            <color indexed="81"/>
            <rFont val="Tahoma"/>
            <family val="2"/>
          </rPr>
          <t xml:space="preserve"> Schools often have student clubs focusing on wildernes, survival, or disaster medicine. Find one near hyou and set up a time when you and your Girl Scout friends can meet with them.</t>
        </r>
      </text>
    </comment>
    <comment ref="C113" authorId="0" shapeId="0">
      <text>
        <r>
          <rPr>
            <b/>
            <sz val="9"/>
            <color indexed="81"/>
            <rFont val="Tahoma"/>
            <family val="2"/>
          </rPr>
          <t>Take a wilderness first aid course.</t>
        </r>
        <r>
          <rPr>
            <sz val="9"/>
            <color indexed="81"/>
            <rFont val="Tahoma"/>
            <family val="2"/>
          </rPr>
          <t xml:space="preserve"> Find one that teaches different techniques for carrying people to safety on your own or with others. This may be the same course you take to complete step 3.</t>
        </r>
      </text>
    </comment>
    <comment ref="C114" authorId="0" shapeId="0">
      <text>
        <r>
          <rPr>
            <b/>
            <sz val="9"/>
            <color indexed="81"/>
            <rFont val="Tahoma"/>
            <family val="2"/>
          </rPr>
          <t xml:space="preserve">Organize a mock emergency drill. </t>
        </r>
        <r>
          <rPr>
            <sz val="9"/>
            <color indexed="81"/>
            <rFont val="Tahoma"/>
            <family val="2"/>
          </rPr>
          <t xml:space="preserve"> Get help from emergency responders such as firefighters or EMTs. Assign some people to be victims with various injuries, while others learn to move them safely. Switch roles so that everyone has a chance to "treat" victims, then ask the emergency responders to give you feedback on how you did.</t>
        </r>
      </text>
    </comment>
    <comment ref="C115" authorId="0" shapeId="0">
      <text>
        <r>
          <rPr>
            <b/>
            <sz val="9"/>
            <color indexed="81"/>
            <rFont val="Tahoma"/>
            <family val="2"/>
          </rPr>
          <t xml:space="preserve">Explore real-life examples for handling wilderness emergencies </t>
        </r>
        <r>
          <rPr>
            <sz val="9"/>
            <color indexed="81"/>
            <rFont val="Tahoma"/>
            <family val="2"/>
          </rPr>
          <t xml:space="preserve"> When you read about a tragedy or accident in which people are injured, often there's an average person who doesn't panic and uses a little bit of training and a lot of courage to save someone's life. Find out more about everyday heroes. </t>
        </r>
      </text>
    </comment>
    <comment ref="C116" authorId="0" shapeId="0">
      <text>
        <r>
          <rPr>
            <b/>
            <sz val="9"/>
            <color indexed="81"/>
            <rFont val="Tahoma"/>
            <family val="2"/>
          </rPr>
          <t xml:space="preserve">Explore wilderness survival. </t>
        </r>
        <r>
          <rPr>
            <sz val="9"/>
            <color indexed="81"/>
            <rFont val="Tahoma"/>
            <family val="2"/>
          </rPr>
          <t>Read a book or magazine article or see a movie that tells a real-life story about people who faced an erergency in the wilderness. Note what they did or didn't do to create the situation and how they handled it.</t>
        </r>
      </text>
    </comment>
    <comment ref="C117" authorId="0" shapeId="0">
      <text>
        <r>
          <rPr>
            <b/>
            <sz val="9"/>
            <color indexed="81"/>
            <rFont val="Tahoma"/>
            <family val="2"/>
          </rPr>
          <t xml:space="preserve">Investigate extreme first aid. </t>
        </r>
        <r>
          <rPr>
            <sz val="9"/>
            <color indexed="81"/>
            <rFont val="Tahoma"/>
            <family val="2"/>
          </rPr>
          <t xml:space="preserve"> Find at least five news items about everyday people who saved someone's life using first aid during an extreme situation. Share them with friends and familyh and discuss common threads in the stories. Did the heroes have training? What do they credit with helping them save someone else's life?</t>
        </r>
      </text>
    </comment>
    <comment ref="C118" authorId="0" shapeId="0">
      <text>
        <r>
          <rPr>
            <b/>
            <sz val="9"/>
            <color indexed="81"/>
            <rFont val="Tahoma"/>
            <family val="2"/>
          </rPr>
          <t xml:space="preserve">Interview an everyday hero. </t>
        </r>
        <r>
          <rPr>
            <sz val="9"/>
            <color indexed="81"/>
            <rFont val="Tahoma"/>
            <family val="2"/>
          </rPr>
          <t>Talk to someone who used first aid to save a life, or someone whose life was saved by a person who gave them first aid. What aspects of their training were most helpful? How did they make decisions about what to do? Did anything unexpected happen that they had to deal with?</t>
        </r>
      </text>
    </comment>
    <comment ref="C122" authorId="0" shapeId="0">
      <text>
        <r>
          <rPr>
            <b/>
            <sz val="9"/>
            <color indexed="81"/>
            <rFont val="Tahoma"/>
            <family val="2"/>
          </rPr>
          <t xml:space="preserve">Use song to bring people together or to spread a message. </t>
        </r>
        <r>
          <rPr>
            <sz val="9"/>
            <color indexed="81"/>
            <rFont val="Tahoma"/>
            <family val="2"/>
          </rPr>
          <t>Singing brings us all togeher and helps us feel connected, storng and pround. Girl Scouts sing in speacila places or to mark speicial times - or somethimes just for the fun of it! As a n Ambassador, use song to help you share what you care about most. Is your passion caring ofr the enviroment? Supporting girls' rights around the world? Teaching younger girls how to get along? Inspire others to spread the message.</t>
        </r>
      </text>
    </comment>
    <comment ref="C123" authorId="0" shapeId="0">
      <text>
        <r>
          <rPr>
            <b/>
            <sz val="9"/>
            <color indexed="81"/>
            <rFont val="Tahoma"/>
            <family val="2"/>
          </rPr>
          <t xml:space="preserve">Use music to move people to action. </t>
        </r>
        <r>
          <rPr>
            <sz val="9"/>
            <color indexed="81"/>
            <rFont val="Tahoma"/>
            <family val="2"/>
          </rPr>
          <t>Throughout history, songs have helped rally people to causes. Find songs that gave voice ot hopes and concerns, learn their histories, and think aobut how and why they inspire. Thenk pick a song that matches a cause you're passionate about, sing it with others, and get others inspired, too - that's often a first step to making change.</t>
        </r>
      </text>
    </comment>
    <comment ref="C124" authorId="0" shapeId="0">
      <text>
        <r>
          <rPr>
            <b/>
            <sz val="9"/>
            <color indexed="81"/>
            <rFont val="Tahoma"/>
            <family val="2"/>
          </rPr>
          <t xml:space="preserve">Organize a songfest for younger Girl Scouts. </t>
        </r>
        <r>
          <rPr>
            <sz val="9"/>
            <color indexed="81"/>
            <rFont val="Tahoma"/>
            <family val="2"/>
          </rPr>
          <t xml:space="preserve">Together, decide on the message you want your songs to spread. Then guide the girls toward great songs with that spirit. Teach them the songs you know, those they'd like to know, and some songs heardly anyone knows yet. Its a Girl Scout way to know the history of the songs we sing, so share those histories together as you prepare for the songfest. </t>
        </r>
      </text>
    </comment>
    <comment ref="C125" authorId="0" shapeId="0">
      <text>
        <r>
          <rPr>
            <b/>
            <sz val="9"/>
            <color indexed="81"/>
            <rFont val="Tahoma"/>
            <family val="2"/>
          </rPr>
          <t xml:space="preserve">Bring generations together in song. </t>
        </r>
        <r>
          <rPr>
            <sz val="9"/>
            <color indexed="81"/>
            <rFont val="Tahoma"/>
            <family val="2"/>
          </rPr>
          <t xml:space="preserve"> Organize a Girl Scout alumnae event centered on singing - perhaps an alumnae tea during Girl Scout week - and get former Girl Scouts singing their favorite Girl Scout songs and reacalling cherished memories. Learn some songs that are no longer sung so you can pass them on to the Girl Scouts' future.</t>
        </r>
      </text>
    </comment>
    <comment ref="C126" authorId="0" shapeId="0">
      <text>
        <r>
          <rPr>
            <b/>
            <sz val="9"/>
            <color indexed="81"/>
            <rFont val="Tahoma"/>
            <family val="2"/>
          </rPr>
          <t>Celebrate World Thinking Day.</t>
        </r>
        <r>
          <rPr>
            <sz val="9"/>
            <color indexed="81"/>
            <rFont val="Tahoma"/>
            <family val="2"/>
          </rPr>
          <t xml:space="preserve"> Girl Scout celebrations honor women and girls who change the world. As an Ambassador, celebrate World Thinking Day. This event, which takes place every February 22, is both a change to celebrate international friendships and also a reminder that the Girl Scouts of the USA is part of a global community: the World Association fo Girl Guides and Girl Scouts (WAGGGS). Check the WAGGGS website to find out this year's World Thinking Day theme, and then help younger Girl Scouts with one of the activities below.</t>
        </r>
      </text>
    </comment>
    <comment ref="C127" authorId="0" shapeId="0">
      <text>
        <r>
          <rPr>
            <b/>
            <sz val="9"/>
            <color indexed="81"/>
            <rFont val="Tahoma"/>
            <family val="2"/>
          </rPr>
          <t xml:space="preserve">Follow in the steps of femail leaders. </t>
        </r>
        <r>
          <rPr>
            <sz val="9"/>
            <color indexed="81"/>
            <rFont val="Tahoma"/>
            <family val="2"/>
          </rPr>
          <t>Find out about women who have been leaders this year in areas relevant to the World Thinking Day theme. Think aobu thte leadership they've demonstrated and the lines of the Girl Scout Law they embody. Then share what you've learned by helping younger Girl Scouts plan an event or project honoring these women - perhaps a community panel and party, a video interview, or a collective letter to your local newspaper.</t>
        </r>
      </text>
    </comment>
    <comment ref="C128" authorId="0" shapeId="0">
      <text>
        <r>
          <rPr>
            <b/>
            <sz val="9"/>
            <color indexed="81"/>
            <rFont val="Tahoma"/>
            <family val="2"/>
          </rPr>
          <t>Julie Moen:</t>
        </r>
        <r>
          <rPr>
            <sz val="9"/>
            <color indexed="81"/>
            <rFont val="Tahoma"/>
            <family val="2"/>
          </rPr>
          <t xml:space="preserve">
</t>
        </r>
      </text>
    </comment>
    <comment ref="C129" authorId="0" shapeId="0">
      <text>
        <r>
          <rPr>
            <b/>
            <sz val="9"/>
            <color indexed="81"/>
            <rFont val="Tahoma"/>
            <family val="2"/>
          </rPr>
          <t xml:space="preserve">Earn their World Thinking Day award. </t>
        </r>
        <r>
          <rPr>
            <sz val="9"/>
            <color indexed="81"/>
            <rFont val="Tahoma"/>
            <family val="2"/>
          </rPr>
          <t xml:space="preserve"> Research the WorldThinking Day theme of the year and the steps girls need to complete the award at their grade level. Then plan a workshop for adult volunteers to help them assist girls in earning the award. Collect any supplies the girls will need, and assemble resource kits for the adult volunteers.</t>
        </r>
      </text>
    </comment>
    <comment ref="C130" authorId="0" shapeId="0">
      <text>
        <r>
          <rPr>
            <b/>
            <sz val="9"/>
            <color indexed="81"/>
            <rFont val="Tahoma"/>
            <family val="2"/>
          </rPr>
          <t>Share sisterhood around the world.</t>
        </r>
        <r>
          <rPr>
            <sz val="9"/>
            <color indexed="81"/>
            <rFont val="Tahoma"/>
            <family val="2"/>
          </rPr>
          <t xml:space="preserve"> "Sisterhood" doesn't just means sisters in your faimly. All the girls and women who are Girl Scouts try to live by the Girl Scout Law. That's what makes us a Girl Scouts sisterhood - our Law unites us. In your Ambassador badde, use the Law's 10 important lines to get closer to womena nd girls around the world.</t>
        </r>
      </text>
    </comment>
    <comment ref="C131" authorId="0" shapeId="0">
      <text>
        <r>
          <rPr>
            <b/>
            <sz val="9"/>
            <color indexed="81"/>
            <rFont val="Tahoma"/>
            <family val="2"/>
          </rPr>
          <t xml:space="preserve">Explore an issue affecting girls and women globally. </t>
        </r>
        <r>
          <rPr>
            <sz val="9"/>
            <color indexed="81"/>
            <rFont val="Tahoma"/>
            <family val="2"/>
          </rPr>
          <t>Invite a guest speaker to talk to your gorup about education, econiomic empowerment, health services, or other issues affecting women and girls. You speaker might  be a Peace Corps volunteer, someone from an aid orgamization, teach, author, or a member of the religious community or armed forces who has serviced overseas. Guide a discussion of how you might use the Girl Scout Law to make a difference in the issue.</t>
        </r>
      </text>
    </comment>
    <comment ref="C132" authorId="0" shapeId="0">
      <text>
        <r>
          <rPr>
            <b/>
            <sz val="9"/>
            <color indexed="81"/>
            <rFont val="Tahoma"/>
            <family val="2"/>
          </rPr>
          <t xml:space="preserve">Organiziae and event on women ad STEM careers. </t>
        </r>
        <r>
          <rPr>
            <sz val="9"/>
            <color indexed="81"/>
            <rFont val="Tahoma"/>
            <family val="2"/>
          </rPr>
          <t xml:space="preserve">People with careers in science, techonology, and math (STEM) solve problems that affect girls and women around the world by figuring out how to use resources wisely to make the world a better place. But in the U.S. men outnumber women in STEM careers nearly three to one. Help narrow the gap: Hosta  job fair or panel discussion to educate and inspire girls about STEM jobs. Guid the discussion to encourage girls to consider how geology, civil and enviromental engineering, prodcut innovation, nanotechnology, ethnobiology, and other fields could help them share the Girl Scout Law through their careers. </t>
        </r>
      </text>
    </comment>
    <comment ref="C133" authorId="0" shapeId="0">
      <text>
        <r>
          <rPr>
            <b/>
            <sz val="9"/>
            <color indexed="81"/>
            <rFont val="Tahoma"/>
            <family val="2"/>
          </rPr>
          <t xml:space="preserve">Interview a global citizen. </t>
        </r>
        <r>
          <rPr>
            <sz val="9"/>
            <color indexed="81"/>
            <rFont val="Tahoma"/>
            <family val="2"/>
          </rPr>
          <t xml:space="preserve"> Find a woman in an international career field (perhaps a polot, hotel staffer, international banker or teacher, navel officer or translator) who is from another country or has lived abroad. Learn all about her job in an interview. Discuss the ways her job embodies - or could embody - the Girl Scout Law. Share wihat you've learned creatively - perhaps in an article for your school paper, in a career collage you heep by your desk for inspiration, or by organizing a round table "world thinking" careers discussion for your peers.</t>
        </r>
      </text>
    </comment>
    <comment ref="C134" authorId="0" shapeId="0">
      <text>
        <r>
          <rPr>
            <b/>
            <sz val="9"/>
            <color indexed="81"/>
            <rFont val="Tahoma"/>
            <family val="2"/>
          </rPr>
          <t xml:space="preserve">Leave your world better than you found it. </t>
        </r>
        <r>
          <rPr>
            <sz val="9"/>
            <color indexed="81"/>
            <rFont val="Tahoma"/>
            <family val="2"/>
          </rPr>
          <t>It's the Firl Scout way to care about the world around us - whether it's a room, a campground , or the world. As an Ambassador, try one of these choices to gather ideas right now for improving he world today - and at every stage of your life.</t>
        </r>
      </text>
    </comment>
    <comment ref="C135" authorId="0" shapeId="0">
      <text>
        <r>
          <rPr>
            <b/>
            <sz val="9"/>
            <color indexed="81"/>
            <rFont val="Tahoma"/>
            <family val="2"/>
          </rPr>
          <t xml:space="preserve">Find ideas to use your leadership and ideas in government. </t>
        </r>
        <r>
          <rPr>
            <sz val="9"/>
            <color indexed="81"/>
            <rFont val="Tahoma"/>
            <family val="2"/>
          </rPr>
          <t xml:space="preserve"> Choose a civic issue that you want to affect throughout your life, and explore ways to make government a better place. Your list should include at least 10 strong ideas: Gather them through branstorming with other Girl Scouts, by speaking with elected officials and by researching the organizations working inyour area right now. What are they doing? waht still eneds to be done?</t>
        </r>
      </text>
    </comment>
    <comment ref="C136" authorId="0" shapeId="0">
      <text>
        <r>
          <rPr>
            <b/>
            <sz val="9"/>
            <color indexed="81"/>
            <rFont val="Tahoma"/>
            <family val="2"/>
          </rPr>
          <t xml:space="preserve">Gather ideas to work for a healthy planet. </t>
        </r>
        <r>
          <rPr>
            <sz val="9"/>
            <color indexed="81"/>
            <rFont val="Tahoma"/>
            <family val="2"/>
          </rPr>
          <t xml:space="preserve"> Choose an environmental issue that you want to affect throughout your life, and explore ways to make the environment a better place. Your list should include at least 10 strong ideas: You might focus on a specific ecosystem, such as forests, oceans, seashores, rivers, grasslands, mountains, or farmland, and research organizations working to protect that kind of area. What are other activists doing right now? How effective does the work seem to be? How could you rsupport that work, and what else could you do?</t>
        </r>
      </text>
    </comment>
    <comment ref="C137" authorId="0" shapeId="0">
      <text>
        <r>
          <rPr>
            <b/>
            <sz val="9"/>
            <color indexed="81"/>
            <rFont val="Tahoma"/>
            <family val="2"/>
          </rPr>
          <t xml:space="preserve">Brainstorm ideas for social change. </t>
        </r>
        <r>
          <rPr>
            <sz val="9"/>
            <color indexed="81"/>
            <rFont val="Tahoma"/>
            <family val="2"/>
          </rPr>
          <t>Choose a social issue that you want to affect throughout your life, and explore ways to improve the systems that create or contribute to the issue. Your list should include at least 10 strong ideas: You might gather them through discussions with advocates for your issue, speaking with elected officials, or spending an afternoon volunteering for an organiziaion doing work in your area of interest. What's being done? What more could you do?</t>
        </r>
      </text>
    </comment>
    <comment ref="C138" authorId="0" shapeId="0">
      <text>
        <r>
          <rPr>
            <b/>
            <sz val="9"/>
            <color indexed="81"/>
            <rFont val="Tahoma"/>
            <family val="2"/>
          </rPr>
          <t>Enjoy Girl Scout traditions!</t>
        </r>
        <r>
          <rPr>
            <sz val="9"/>
            <color indexed="81"/>
            <rFont val="Tahoma"/>
            <family val="2"/>
          </rPr>
          <t xml:space="preserve"> Traditions bring people together. A tradition can be a special food, a ceremony, a song - anything that's passed along through the years. Share your passion for Gril Scouting with the Movement's next generation - and help our traditions stay strong for another 100 years (and more!)</t>
        </r>
      </text>
    </comment>
    <comment ref="C139" authorId="0" shapeId="0">
      <text>
        <r>
          <rPr>
            <b/>
            <sz val="9"/>
            <color indexed="81"/>
            <rFont val="Tahoma"/>
            <family val="2"/>
          </rPr>
          <t xml:space="preserve">Pass down a tradition. </t>
        </r>
        <r>
          <rPr>
            <sz val="9"/>
            <color indexed="81"/>
            <rFont val="Tahoma"/>
            <family val="2"/>
          </rPr>
          <t xml:space="preserve"> Which Girl Scout traditions mean the most to you? Pick one that has exemplified your Girl Scout experience - perhaps a song, recipe, ceremony or celegration - and share it with younger girls. Find younger girls at every level to teach, from Daisies to Seniors. Or you might teach a vintage - and still useful! - Girl SCout skill. </t>
        </r>
      </text>
    </comment>
    <comment ref="C140" authorId="0" shapeId="0">
      <text>
        <r>
          <rPr>
            <b/>
            <sz val="9"/>
            <color indexed="81"/>
            <rFont val="Tahoma"/>
            <family val="2"/>
          </rPr>
          <t xml:space="preserve">Start a Girl Scout tradition of your own. </t>
        </r>
        <r>
          <rPr>
            <sz val="9"/>
            <color indexed="81"/>
            <rFont val="Tahoma"/>
            <family val="2"/>
          </rPr>
          <t>What have you created in Girl Scouting that you would like to go down in the Movement's history? Perhaps it's a song you wrote, a cmap recipe you created, a particular way you completed a badge activity, or a successful program for which you can write a manual for girls and adult volunteers. Share it with the Girl Scout community in a sustainable way.</t>
        </r>
      </text>
    </comment>
    <comment ref="C141" authorId="0" shapeId="0">
      <text>
        <r>
          <rPr>
            <b/>
            <sz val="9"/>
            <color indexed="81"/>
            <rFont val="Tahoma"/>
            <family val="2"/>
          </rPr>
          <t xml:space="preserve">Share the Girl Scout way by example. </t>
        </r>
        <r>
          <rPr>
            <sz val="9"/>
            <color indexed="81"/>
            <rFont val="Tahoma"/>
            <family val="2"/>
          </rPr>
          <t xml:space="preserve"> Find a fun way to show Daisies how the Daisy Flower Friends represents parts of the Girl Scout Law, how these values are important to leaders, and how they are leaders, too. Or help Brownies, Juniors, Cadettes, or Seniors complete part of their Girl Scout Way badge.</t>
        </r>
      </text>
    </comment>
    <comment ref="C145" authorId="0" shapeId="0">
      <text>
        <r>
          <rPr>
            <b/>
            <sz val="9"/>
            <color indexed="81"/>
            <rFont val="Tahoma"/>
            <family val="2"/>
          </rPr>
          <t xml:space="preserve">Have fune reflecting on your relationship with water. </t>
        </r>
        <r>
          <rPr>
            <sz val="9"/>
            <color indexed="81"/>
            <rFont val="Tahoma"/>
            <family val="2"/>
          </rPr>
          <t xml:space="preserve"> Water is easy to take for grated. As you dive into theis badge, take this opportunity to reflect on what water means to you, where it drops into your life, and what possiblilites and challenges you see reflected on its sparkling (cloudy, clear, stormy) surface. </t>
        </r>
      </text>
    </comment>
    <comment ref="C146" authorId="0" shapeId="0">
      <text>
        <r>
          <rPr>
            <b/>
            <sz val="9"/>
            <color indexed="81"/>
            <rFont val="Tahoma"/>
            <family val="2"/>
          </rPr>
          <t xml:space="preserve">Visit water in its natural state. </t>
        </r>
        <r>
          <rPr>
            <sz val="9"/>
            <color indexed="81"/>
            <rFont val="Tahoma"/>
            <family val="2"/>
          </rPr>
          <t>Hike, swim, walk along a beach, or splash in puddles. If there's a water place you've always wanted to visit, use your outdoor travel skills and go there. You might take a simple water tour of your hometown, noting where water splashes or spouts: fountains, puddles, drips, drops, creeks, steam, frost.</t>
        </r>
      </text>
    </comment>
    <comment ref="C147" authorId="0" shapeId="0">
      <text>
        <r>
          <rPr>
            <b/>
            <sz val="9"/>
            <color indexed="81"/>
            <rFont val="Tahoma"/>
            <family val="2"/>
          </rPr>
          <t xml:space="preserve">Try a new water skill. </t>
        </r>
        <r>
          <rPr>
            <sz val="9"/>
            <color indexed="81"/>
            <rFont val="Tahoma"/>
            <family val="2"/>
          </rPr>
          <t>Find a course in scuba diving, snorkeling, sailing, white-water frafting, water rescue, or synchronized swimming. If there's water exerience you've always wanted but haven't had the necessary skill or training for, get some now.</t>
        </r>
      </text>
    </comment>
    <comment ref="C148" authorId="0" shapeId="0">
      <text>
        <r>
          <rPr>
            <b/>
            <sz val="9"/>
            <color indexed="81"/>
            <rFont val="Tahoma"/>
            <family val="2"/>
          </rPr>
          <t xml:space="preserve">Enjoy a water activity you already know. </t>
        </r>
        <r>
          <rPr>
            <sz val="9"/>
            <color indexed="81"/>
            <rFont val="Tahoma"/>
            <family val="2"/>
          </rPr>
          <t>Perhaps you already have a way you like to spend time with water - canoing, kayaking, surfing, fishing, or tubing. Take a special Water badge trip to enjoy it, and reflect on why you love it.</t>
        </r>
      </text>
    </comment>
    <comment ref="C149" authorId="0" shapeId="0">
      <text>
        <r>
          <rPr>
            <b/>
            <sz val="9"/>
            <color indexed="81"/>
            <rFont val="Tahoma"/>
            <family val="2"/>
          </rPr>
          <t xml:space="preserve">Celebrate water art - and create your own </t>
        </r>
        <r>
          <rPr>
            <sz val="9"/>
            <color indexed="81"/>
            <rFont val="Tahoma"/>
            <family val="2"/>
          </rPr>
          <t xml:space="preserve">Enjoy art that expresses water's cherished place in ritual and tradition around the world - and capture your own  response to the world of water. </t>
        </r>
      </text>
    </comment>
    <comment ref="C150" authorId="0" shapeId="0">
      <text>
        <r>
          <rPr>
            <b/>
            <sz val="9"/>
            <color indexed="81"/>
            <rFont val="Tahoma"/>
            <family val="2"/>
          </rPr>
          <t xml:space="preserve">Delve into water literature. </t>
        </r>
        <r>
          <rPr>
            <sz val="9"/>
            <color indexed="81"/>
            <rFont val="Tahoma"/>
            <family val="2"/>
          </rPr>
          <t>Read a fiction or nonfiction book of at least 200 pages that focuses on water, or read five poems about water. React to what you read: You might write a review or a water poem of your own, host a book club for other Ambassadors or friends to discuss it, or reflect on it while sitting by a lake or stream.</t>
        </r>
      </text>
    </comment>
    <comment ref="C151" authorId="0" shapeId="0">
      <text>
        <r>
          <rPr>
            <b/>
            <sz val="9"/>
            <color indexed="81"/>
            <rFont val="Tahoma"/>
            <family val="2"/>
          </rPr>
          <t xml:space="preserve">Enjoy an exhibit or event that features water. </t>
        </r>
        <r>
          <rPr>
            <sz val="9"/>
            <color indexed="81"/>
            <rFont val="Tahoma"/>
            <family val="2"/>
          </rPr>
          <t xml:space="preserve"> It might be a water scuplture, a water display (such as a community fountain), fine art, or even music that features water. (Perhaps "water Music," by composer George Frideric Handel.) In whatever way seems appropriate to you (a photo series, a poem), capture your experience to share with others.</t>
        </r>
      </text>
    </comment>
    <comment ref="C152" authorId="0" shapeId="0">
      <text>
        <r>
          <rPr>
            <b/>
            <sz val="9"/>
            <color indexed="81"/>
            <rFont val="Tahoma"/>
            <family val="2"/>
          </rPr>
          <t xml:space="preserve">Create your own water composition. </t>
        </r>
        <r>
          <rPr>
            <sz val="9"/>
            <color indexed="81"/>
            <rFont val="Tahoma"/>
            <family val="2"/>
          </rPr>
          <t xml:space="preserve"> Record the sounds of water, from waterfalls and streams to water-glass chimes to running tap water. You could make a composition that's calming to help you and others in times of stress, or a gleeful water tune for a celebration - maybe a Girl Scout ceremony. Share your composition with others.</t>
        </r>
      </text>
    </comment>
    <comment ref="C153" authorId="0" shapeId="0">
      <text>
        <r>
          <rPr>
            <sz val="9"/>
            <color indexed="81"/>
            <rFont val="Tahoma"/>
            <family val="2"/>
          </rPr>
          <t>Humans have always been dependent on water. Civilizations were built around rivers. Where it's dry, humans often create artificial bodies of water - reserviors, harbors, and waterways. But our relationship with water isn't always a happy story. We also face pollution, waste, and natural disaster. Take a closer look at a water issue and share what you find out, perhaps in a presentation, art project, article, or journal.</t>
        </r>
      </text>
    </comment>
    <comment ref="C154" authorId="0" shapeId="0">
      <text>
        <r>
          <rPr>
            <b/>
            <sz val="9"/>
            <color indexed="81"/>
            <rFont val="Tahoma"/>
            <family val="2"/>
          </rPr>
          <t xml:space="preserve">Visit a water facility and explore its effectiveness. </t>
        </r>
        <r>
          <rPr>
            <sz val="9"/>
            <color indexed="81"/>
            <rFont val="Tahoma"/>
            <family val="2"/>
          </rPr>
          <t>It might be a waste-treatement plant, a drinking-water treatement plant, a managed watershed, or a desalinization plant. Consider the facility's place in the community and its sustainability. How well is it working? What are its challenges - and your ideas for solutions?</t>
        </r>
      </text>
    </comment>
    <comment ref="C155" authorId="0" shapeId="0">
      <text>
        <r>
          <rPr>
            <b/>
            <sz val="9"/>
            <color indexed="81"/>
            <rFont val="Tahoma"/>
            <family val="2"/>
          </rPr>
          <t xml:space="preserve">Investigate endangered marine life. </t>
        </r>
        <r>
          <rPr>
            <sz val="9"/>
            <color indexed="81"/>
            <rFont val="Tahoma"/>
            <family val="2"/>
          </rPr>
          <t>You could interview a marine biologist about the need to protect coral reefs for marine life and for human life. Scientists have discovered serveral medicines in coral reefs, from anticancer chemicals to hard skeletons that might serve as bone implants. Or you could speak to an organization about overfishing, or research the effects of oil spills or climate change on ocean life.</t>
        </r>
      </text>
    </comment>
    <comment ref="C156" authorId="0" shapeId="0">
      <text>
        <r>
          <rPr>
            <b/>
            <sz val="9"/>
            <color indexed="81"/>
            <rFont val="Tahoma"/>
            <family val="2"/>
          </rPr>
          <t xml:space="preserve">Investigate water as a hazard. </t>
        </r>
        <r>
          <rPr>
            <sz val="9"/>
            <color indexed="81"/>
            <rFont val="Tahoma"/>
            <family val="2"/>
          </rPr>
          <t xml:space="preserve">Tsunamis, tidal weaves, rogue waves, and flash floods all occur naturally, sometimes at great cost to ships and cities. Read cerveral articles or a scientific book to learn more about one or all of these hazards. </t>
        </r>
      </text>
    </comment>
    <comment ref="C157" authorId="0" shapeId="0">
      <text>
        <r>
          <rPr>
            <sz val="9"/>
            <color indexed="81"/>
            <rFont val="Tahoma"/>
            <family val="2"/>
          </rPr>
          <t>There are myriad water issues, to be sure. But since civilization depends on water, humans have always used their innovation and ingenuity to find, treat, gather, filter, conserve, and protect this precious resource.</t>
        </r>
      </text>
    </comment>
    <comment ref="C158" authorId="0" shapeId="0">
      <text>
        <r>
          <rPr>
            <b/>
            <sz val="9"/>
            <color indexed="81"/>
            <rFont val="Tahoma"/>
            <family val="2"/>
          </rPr>
          <t xml:space="preserve">Intereview a water scientist to find out how they're helping water. </t>
        </r>
        <r>
          <rPr>
            <sz val="9"/>
            <color indexed="81"/>
            <rFont val="Tahoma"/>
            <family val="2"/>
          </rPr>
          <t>This might be:
A hydroplogist who studies water and its flow, underground water formations, and hydroelectricity.
A civil engineer (or water resource engineer) who specializes in building and managing water treatement plants and dams, or who comes up with flood forecasting solutions.
A climatologist who studies weather patters and the water cycle.
A marine scientist who investigates bodies of water, underlying geology, and organisms that live in oceans, lakes, and stream. 
Choose one area that interestes you and prepare a 10-question interview. Conduct your interview by phone, e-mail, or in person. Find out how the scientist became intersetd in their field, what they studied in school and how they got the job! Share what you learn with others.</t>
        </r>
      </text>
    </comment>
    <comment ref="C159" authorId="0" shapeId="0">
      <text>
        <r>
          <rPr>
            <b/>
            <sz val="9"/>
            <color indexed="81"/>
            <rFont val="Tahoma"/>
            <family val="2"/>
          </rPr>
          <t xml:space="preserve">Explore the world of hydroelectricity - and play engineer. </t>
        </r>
        <r>
          <rPr>
            <sz val="9"/>
            <color indexed="81"/>
            <rFont val="Tahoma"/>
            <family val="2"/>
          </rPr>
          <t xml:space="preserve">Dams are sustainable generators of about 20% of the world's electric power. If you can, tor a dam. If not, resesarch one. How does it help the community it serves? Put on your engineer's hat and ask yourself, if I were in charge of the dam, what improvements would I make? Share your recommendations. </t>
        </r>
      </text>
    </comment>
    <comment ref="C160" authorId="0" shapeId="0">
      <text>
        <r>
          <rPr>
            <b/>
            <sz val="9"/>
            <color indexed="81"/>
            <rFont val="Tahoma"/>
            <family val="2"/>
          </rPr>
          <t xml:space="preserve">Design your own water innovation. </t>
        </r>
        <r>
          <rPr>
            <sz val="9"/>
            <color indexed="81"/>
            <rFont val="Tahoma"/>
            <family val="2"/>
          </rPr>
          <t>Choose a water issue for which you'd like to create a solution. Your design can be for something specific, like a filter to clean water, or for something less tangible - what about a water policy or legislation you'd like to see enacted? Whatever it is, find a way to communitcate your idea to others - such as a 3-D model, a draft of a bill you'd like to see, or a diagram or sketch.</t>
        </r>
      </text>
    </comment>
    <comment ref="C161" authorId="0" shapeId="0">
      <text>
        <r>
          <rPr>
            <sz val="9"/>
            <color indexed="81"/>
            <rFont val="Tahoma"/>
            <family val="2"/>
          </rPr>
          <t>Here's your opporutnity to take everything you've learned and enjoyed and use it to help others appreciate water. If you've already shared some of your findings, do it now in a different way. This step should feel like a focused culmination of your badge work.</t>
        </r>
      </text>
    </comment>
    <comment ref="C162" authorId="0" shapeId="0">
      <text>
        <r>
          <rPr>
            <b/>
            <sz val="9"/>
            <color indexed="81"/>
            <rFont val="Tahoma"/>
            <family val="2"/>
          </rPr>
          <t xml:space="preserve">Celebrate water with younger Girl Scouts. </t>
        </r>
        <r>
          <rPr>
            <sz val="9"/>
            <color indexed="81"/>
            <rFont val="Tahoma"/>
            <family val="2"/>
          </rPr>
          <t xml:space="preserve"> You might have a party with a water theme: Guide a water science experiment and make fun seltzers with Brownies earning their Snacks badge. You might play Marco Polo and help girl slearn basic water skills. Host a special GS Camp weekend, or organize an outing to a water park (A fun way to teach girls about chlorine).</t>
        </r>
      </text>
    </comment>
    <comment ref="C163" authorId="0" shapeId="0">
      <text>
        <r>
          <rPr>
            <b/>
            <sz val="9"/>
            <color indexed="81"/>
            <rFont val="Tahoma"/>
            <family val="2"/>
          </rPr>
          <t xml:space="preserve">Share a water issue that matters to you with your community. </t>
        </r>
        <r>
          <rPr>
            <sz val="9"/>
            <color indexed="81"/>
            <rFont val="Tahoma"/>
            <family val="2"/>
          </rPr>
          <t>It could be a speech or article in which you explore the issue and make an action recommendation - you could publish it in a newspaper or on a website. It might be a sisplay or exhibit at a school, library, or place of worship.</t>
        </r>
      </text>
    </comment>
    <comment ref="C164" authorId="0" shapeId="0">
      <text>
        <r>
          <rPr>
            <b/>
            <sz val="9"/>
            <color indexed="81"/>
            <rFont val="Tahoma"/>
            <family val="2"/>
          </rPr>
          <t xml:space="preserve">Guide a group to a water place. </t>
        </r>
        <r>
          <rPr>
            <sz val="9"/>
            <color indexed="81"/>
            <rFont val="Tahoma"/>
            <family val="2"/>
          </rPr>
          <t>It could be a scavenger hunt - where does our water come from? It could be a tour of a navel base, commercial fishing boat, ferry barge, coast guard station, marine museum, or lighthouse. Wherever you go, you're the guide, and the experience is one you're crafted to share the aspects of water that are important to you.</t>
        </r>
      </text>
    </comment>
    <comment ref="C169" authorId="0" shapeId="0">
      <text>
        <r>
          <rPr>
            <sz val="9"/>
            <color indexed="81"/>
            <rFont val="Tahoma"/>
            <family val="2"/>
          </rPr>
          <t>When living on your own, your biggest expense will likely be your housing. Living in a dorm, renting an apartment, and buying a house all have their own financial rules and regulations. Choose a scenario that's in your near future (like dorm living or renting an apartment) or further down teh road (buying your dream home) to learn more about the overall process and be better prepared to live on your own.</t>
        </r>
      </text>
    </comment>
    <comment ref="C170" authorId="0" shapeId="0">
      <text>
        <r>
          <rPr>
            <b/>
            <sz val="9"/>
            <color indexed="81"/>
            <rFont val="Tahoma"/>
            <family val="2"/>
          </rPr>
          <t xml:space="preserve">Take a tour. </t>
        </r>
        <r>
          <rPr>
            <sz val="9"/>
            <color indexed="81"/>
            <rFont val="Tahoma"/>
            <family val="2"/>
          </rPr>
          <t>Take an "open house" tour of an apartment or home that's for rent or sale. Be completely upfront with the person hosting the tour - remember that their job relies on making sales, so you don't want to get in their way. If the real estate agent has time, however, ask them to explain the rent/purchase process and how the "asking price" of the place you are touring compares to other apartments/homes in the neighborhood.</t>
        </r>
      </text>
    </comment>
    <comment ref="C171" authorId="0" shapeId="0">
      <text>
        <r>
          <rPr>
            <b/>
            <sz val="9"/>
            <color indexed="81"/>
            <rFont val="Tahoma"/>
            <family val="2"/>
          </rPr>
          <t xml:space="preserve">Interview a new tenant or homeowner. </t>
        </r>
        <r>
          <rPr>
            <sz val="9"/>
            <color indexed="81"/>
            <rFont val="Tahoma"/>
            <family val="2"/>
          </rPr>
          <t>Find a young woman who has recently moved into a dorm or rented an apartment. Then interview her to find out all the steps she had to take before voign in. Did she have any financial surprises? What were the costs associated with moving that she would tell you to be ready for (first and last months' rent, tental insurance, moving truck rental, utility hookup fees, etc. )? Be sure to ask her what helped her make her final decision and if there was anything she would have don differently.</t>
        </r>
      </text>
    </comment>
    <comment ref="C172" authorId="0" shapeId="0">
      <text>
        <r>
          <rPr>
            <b/>
            <sz val="9"/>
            <color indexed="81"/>
            <rFont val="Tahoma"/>
            <family val="2"/>
          </rPr>
          <t xml:space="preserve">Be chart smart. </t>
        </r>
        <r>
          <rPr>
            <sz val="9"/>
            <color indexed="81"/>
            <rFont val="Tahoma"/>
            <family val="2"/>
          </rPr>
          <t xml:space="preserve"> Create a map of the area you'd like to live, whether it's the freshman dorms at your college of choice or a neighborhood you've always loved. Then do research on at least a half dozen available rooms or homes to find out how living expenses differ and what kind of compromises you might have to make. For example, when renting in a college town, you'll likely have to pay more to be close to campus, but living farther away could mean a bigger place. Create a chart comparing the various costs and trade-offs you've discovered, and pick a winner!</t>
        </r>
      </text>
    </comment>
    <comment ref="C173" authorId="0" shapeId="0">
      <text>
        <r>
          <rPr>
            <sz val="9"/>
            <color indexed="81"/>
            <rFont val="Tahoma"/>
            <family val="2"/>
          </rPr>
          <t>When living independently, you're responsible for buying everything from groceries to gas for your car. Plus, there are plenty of other expenses you might not have thought of, from the electric bill to cable TV and lealth insurance. In this step, you'll take a closer look at how quickly costs can add up by tracking a month's worth of spending.</t>
        </r>
      </text>
    </comment>
    <comment ref="C174" authorId="0" shapeId="0">
      <text>
        <r>
          <rPr>
            <b/>
            <sz val="9"/>
            <color indexed="81"/>
            <rFont val="Tahoma"/>
            <family val="2"/>
          </rPr>
          <t xml:space="preserve">Focust on your finances. </t>
        </r>
        <r>
          <rPr>
            <sz val="9"/>
            <color indexed="81"/>
            <rFont val="Tahoma"/>
            <family val="2"/>
          </rPr>
          <t xml:space="preserve">Keep track of every personal item you use in a month. Inculde everything from toiletries and clothes to things like your phone or Interent service. Once your list is complete, review it with a friend or family member and ask them to add items you might have missed. Then total the cost of everything so you can get a rough idea of your monthly spending habits. </t>
        </r>
      </text>
    </comment>
    <comment ref="C175" authorId="0" shapeId="0">
      <text>
        <r>
          <rPr>
            <b/>
            <sz val="9"/>
            <color indexed="81"/>
            <rFont val="Tahoma"/>
            <family val="2"/>
          </rPr>
          <t xml:space="preserve">Shop talk. </t>
        </r>
        <r>
          <rPr>
            <sz val="9"/>
            <color indexed="81"/>
            <rFont val="Tahoma"/>
            <family val="2"/>
          </rPr>
          <t xml:space="preserve">Volunteer to do your family's shopping for one month, keeping track of everything that you spend. At the end of the month, categorize the items you purchases (food, toiletries, clothing, etc.) and review the list with your entire family to see if there iare places where money might be saved. </t>
        </r>
      </text>
    </comment>
    <comment ref="C176" authorId="0" shapeId="0">
      <text>
        <r>
          <rPr>
            <b/>
            <sz val="9"/>
            <color indexed="81"/>
            <rFont val="Tahoma"/>
            <family val="2"/>
          </rPr>
          <t xml:space="preserve">Audit request. </t>
        </r>
        <r>
          <rPr>
            <sz val="9"/>
            <color indexed="81"/>
            <rFont val="Tahoma"/>
            <family val="2"/>
          </rPr>
          <t>An audit is a eview of someone's financial decuments. Ask a friend or family member living on their own if you can audit them by asking them to save a month's worth of receipts and bills. Organize all their spending by category (food, fun, rent, etc.) and review the totals together. If your friend doesn't already keep a budget, the results might make them want to start!</t>
        </r>
      </text>
    </comment>
    <comment ref="C177" authorId="0" shapeId="0">
      <text>
        <r>
          <rPr>
            <sz val="9"/>
            <color indexed="81"/>
            <rFont val="Tahoma"/>
            <family val="2"/>
          </rPr>
          <t>A budget isn't just about making sure you have enough money to pay your bills. Every good budget should also make room for entertainment, hobbies, and having fun with friends.</t>
        </r>
      </text>
    </comment>
    <comment ref="C178" authorId="0" shapeId="0">
      <text>
        <r>
          <rPr>
            <b/>
            <sz val="9"/>
            <color indexed="81"/>
            <rFont val="Tahoma"/>
            <family val="2"/>
          </rPr>
          <t xml:space="preserve">Horray for hobbies! </t>
        </r>
        <r>
          <rPr>
            <sz val="9"/>
            <color indexed="81"/>
            <rFont val="Tahoma"/>
            <family val="2"/>
          </rPr>
          <t>Do you have a hobby that you just can't live without? Whether it's collecting concert posters or mastering photography, you'll need to build the costs of you hobby into your budget. Review how much money you've spent on you gobby over the past year. Then divide that total by 12 to figure out how much you need to put aside per month. You might even consider setting up a separate savings account for this money.</t>
        </r>
      </text>
    </comment>
    <comment ref="C179" authorId="0" shapeId="0">
      <text>
        <r>
          <rPr>
            <b/>
            <sz val="9"/>
            <color indexed="81"/>
            <rFont val="Tahoma"/>
            <family val="2"/>
          </rPr>
          <t xml:space="preserve">Treat yourself. </t>
        </r>
        <r>
          <rPr>
            <sz val="9"/>
            <color indexed="81"/>
            <rFont val="Tahoma"/>
            <family val="2"/>
          </rPr>
          <t>Find out how much of your budget needs to be dedicated to treating yourself. If you're the type of person who is happy to spend nights at home with a library book, then you might only need to use 5 percent of your budget. But if you love going to movies and meeting friends for dinner often, you mihgt need closer to 15 percent. Make a list of all the things you like to do for fun, research the cost for each, add them up, and divide by 12 to know how much you need to save each month (remember to include all costs. For example, a night at the movies includes not just the ticket, but also trasportation to the theater and snacks from the concession stand.)</t>
        </r>
      </text>
    </comment>
    <comment ref="C180" authorId="0" shapeId="0">
      <text>
        <r>
          <rPr>
            <b/>
            <sz val="9"/>
            <color indexed="81"/>
            <rFont val="Tahoma"/>
            <family val="2"/>
          </rPr>
          <t xml:space="preserve">Class act. </t>
        </r>
        <r>
          <rPr>
            <sz val="9"/>
            <color indexed="81"/>
            <rFont val="Tahoma"/>
            <family val="2"/>
          </rPr>
          <t>Gym membership. Cooking classes. A tennis league. Most people have classes or activities that need to be included in their budget. One key to maximizing your purchase power, however, is searching out the best deal. Pick something like a gym membership and reseach all the available options in your area, keeping in mind extra costs like membership fees or locker rentals. Rank your options in order from best to worst, and see what a difference research can make on your budget's bottom line.</t>
        </r>
      </text>
    </comment>
    <comment ref="C181" authorId="0" shapeId="0">
      <text>
        <r>
          <rPr>
            <sz val="9"/>
            <color indexed="81"/>
            <rFont val="Tahoma"/>
            <family val="2"/>
          </rPr>
          <t>Your car breaks down. Your laptop is stolen. You get sick and have extra doctor's bills to pay. The only think you can expect in life is tahth the unexpected will happen - so set aside some money for when it does. One golden rule given by financial advisoers is that everyone working adult should have at least six months of their typical living expenses saved and set aside for the unexpected.</t>
        </r>
      </text>
    </comment>
    <comment ref="C182" authorId="0" shapeId="0">
      <text>
        <r>
          <rPr>
            <b/>
            <sz val="9"/>
            <color indexed="81"/>
            <rFont val="Tahoma"/>
            <family val="2"/>
          </rPr>
          <t xml:space="preserve">Interview your network. </t>
        </r>
        <r>
          <rPr>
            <sz val="9"/>
            <color indexed="81"/>
            <rFont val="Tahoma"/>
            <family val="2"/>
          </rPr>
          <t>You'll often find that the people around you have the best advice. Talk to your network fo family and friends and ask them about different financial emergiences they've faced and how they've delt with them. For example, maybe someone had a car accident. Even if they have insurance, they may have been suprised by a large deductible or loss of wages from missing work. Make a list of five unexpected situations that you learned about hand research how much it would cost to deal with each one.</t>
        </r>
      </text>
    </comment>
    <comment ref="C183" authorId="0" shapeId="0">
      <text>
        <r>
          <rPr>
            <b/>
            <sz val="9"/>
            <color indexed="81"/>
            <rFont val="Tahoma"/>
            <family val="2"/>
          </rPr>
          <t xml:space="preserve">Interview a financial guru. </t>
        </r>
        <r>
          <rPr>
            <sz val="9"/>
            <color indexed="81"/>
            <rFont val="Tahoma"/>
            <family val="2"/>
          </rPr>
          <t>Part of a financial adviser's job is to prepare their client for the unexpected. Set up an interview with a financial adviser and ask them how they advise clients to save for emergencies. What are the typical issues they have seen while working with clients? How much money should someone have in the bank if they lose their job? What are their tips for building a "rainy day" fund?</t>
        </r>
      </text>
    </comment>
    <comment ref="C184" authorId="0" shapeId="0">
      <text>
        <r>
          <rPr>
            <b/>
            <sz val="9"/>
            <color indexed="81"/>
            <rFont val="Tahoma"/>
            <family val="2"/>
          </rPr>
          <t xml:space="preserve">Interview an insurance expert. </t>
        </r>
        <r>
          <rPr>
            <sz val="9"/>
            <color indexed="81"/>
            <rFont val="Tahoma"/>
            <family val="2"/>
          </rPr>
          <t xml:space="preserve">Life insurance, car insurance, and homeowners insurance are all there in case of the unexpected. Set up an appointment with one of your family's insurance agents to learn more about the inportant world of insurance. Find out how much the different kinds of insurance cost. Compare the cost with the likelihood that something will happen - and with the actual cost of replacing or repairing the items insured. </t>
        </r>
      </text>
    </comment>
    <comment ref="C185" authorId="0" shapeId="0">
      <text>
        <r>
          <rPr>
            <b/>
            <sz val="9"/>
            <color indexed="81"/>
            <rFont val="Tahoma"/>
            <family val="2"/>
          </rPr>
          <t xml:space="preserve">Plan for sharing with others: </t>
        </r>
        <r>
          <rPr>
            <sz val="9"/>
            <color indexed="81"/>
            <rFont val="Tahoma"/>
            <family val="2"/>
          </rPr>
          <t xml:space="preserve"> Everyone's heard the saying that it's better to give than to reveive. But in order to give - be it a friend's girthday gift or a charitable donation - you have to make room in your budget. Fiure out how much you want to set aside for goodwill to others. </t>
        </r>
      </text>
    </comment>
    <comment ref="C186" authorId="0" shapeId="0">
      <text>
        <r>
          <rPr>
            <b/>
            <sz val="9"/>
            <color indexed="81"/>
            <rFont val="Tahoma"/>
            <family val="2"/>
          </rPr>
          <t xml:space="preserve">Plan for presents. </t>
        </r>
        <r>
          <rPr>
            <sz val="9"/>
            <color indexed="81"/>
            <rFont val="Tahoma"/>
            <family val="2"/>
          </rPr>
          <t xml:space="preserve"> With gifts, it truly is the thought that counts. But if you don't think about gifts in your budget, you might not have any funds available if you want to give them. Make a list of everyone you'd like to get presents for (parents, siblings, friends) throughotu an entire year, along with how much you'd like to spend on each gift. Add p the total and divide by 12 to see how much you need to budget eafh month for presents. You may find that your wish list for giving si greater than what you can afford, but its better to know ahead of time so you can adjust your spending. </t>
        </r>
      </text>
    </comment>
    <comment ref="C187" authorId="0" shapeId="0">
      <text>
        <r>
          <rPr>
            <b/>
            <sz val="9"/>
            <color indexed="81"/>
            <rFont val="Tahoma"/>
            <family val="2"/>
          </rPr>
          <t xml:space="preserve">Budget for your time. </t>
        </r>
        <r>
          <rPr>
            <sz val="9"/>
            <color indexed="81"/>
            <rFont val="Tahoma"/>
            <family val="2"/>
          </rPr>
          <t xml:space="preserve"> Do you want to be a Girl Scout volunteer? Or do you have plans to volunteer for your favorite environmentla or social-justice cause? If so, investigate two ways that you might be able to help as a yound adult by talking to people who have already volunteered. Find out if there are any costs involved. If so, how would you work those into your budget? And be sure to find out hwo much time would be required of you. You'll have to make room for that time in your busy life as well!</t>
        </r>
      </text>
    </comment>
    <comment ref="C188" authorId="0" shapeId="0">
      <text>
        <r>
          <rPr>
            <b/>
            <sz val="9"/>
            <color indexed="81"/>
            <rFont val="Tahoma"/>
            <family val="2"/>
          </rPr>
          <t xml:space="preserve">Charity starts… with a budget. </t>
        </r>
        <r>
          <rPr>
            <sz val="9"/>
            <color indexed="81"/>
            <rFont val="Tahoma"/>
            <family val="2"/>
          </rPr>
          <t xml:space="preserve">Do you have a desire to make the world a better place through philanthropy? Perhaps you have a favorite charity or your place or worship has projects you'd like to support? Even if you don't have any money to donate at this time, your budget can help. Think about it this way. Donating a single dollar might not create much change. But what if you used your budget to figure out how to save single dollar each and every day? After a year, you'd have an impressive donation indeed. </t>
        </r>
      </text>
    </comment>
    <comment ref="C192" authorId="0" shapeId="0">
      <text>
        <r>
          <rPr>
            <b/>
            <sz val="9"/>
            <color indexed="81"/>
            <rFont val="Tahoma"/>
            <family val="2"/>
          </rPr>
          <t xml:space="preserve">Get the scoop on credit scores </t>
        </r>
        <r>
          <rPr>
            <sz val="9"/>
            <color indexed="81"/>
            <rFont val="Tahoma"/>
            <family val="2"/>
          </rPr>
          <t>Your credit score is like a report card on your financial history. But instead of getting grades like A, B, and C, your credit score is a tree-digit number. Anything above a 700 is recognized as very good, while scores below 500 are considered subpar. Your credit score helps lenders evaluate your ability to pay back waht you owe. That means maintaining a good credit score will make it easier for you to apply for credit cards, receive loans (student, car, home, etc.), and rent an apartment at some point in the future. Your goal in this step is to find out what information is used to determine a credit score and what can make a score go up or down.</t>
        </r>
      </text>
    </comment>
    <comment ref="C193" authorId="0" shapeId="0">
      <text>
        <r>
          <rPr>
            <b/>
            <sz val="9"/>
            <color indexed="81"/>
            <rFont val="Tahoma"/>
            <family val="2"/>
          </rPr>
          <t xml:space="preserve">Do your own research. </t>
        </r>
        <r>
          <rPr>
            <sz val="9"/>
            <color indexed="81"/>
            <rFont val="Tahoma"/>
            <family val="2"/>
          </rPr>
          <t xml:space="preserve"> There's a wealth of information on credit scores available online and at your local library. The hard part is being able to sort through all the information to find the important bits. Spend at least two hours reading up on credit scores in order to write two explanatory paragraphs: one on where credit scores come from and the other on keys to keeping a good score. </t>
        </r>
      </text>
    </comment>
    <comment ref="C194" authorId="0" shapeId="0">
      <text>
        <r>
          <rPr>
            <b/>
            <sz val="9"/>
            <color indexed="81"/>
            <rFont val="Tahoma"/>
            <family val="2"/>
          </rPr>
          <t xml:space="preserve">Invte an expert speaker. </t>
        </r>
        <r>
          <rPr>
            <sz val="9"/>
            <color indexed="81"/>
            <rFont val="Tahoma"/>
            <family val="2"/>
          </rPr>
          <t>A banker, financial planner, or credit bureau representative would be ideal to speak to your Girl Scout group about credit scores and what they mean. Ask the presenter to explain in detail how not having a credit card can impact your credit score and how having a low score can hurt your changes of getting future credit, loans, and mortgages.</t>
        </r>
      </text>
    </comment>
    <comment ref="C195" authorId="0" shapeId="0">
      <text>
        <r>
          <rPr>
            <b/>
            <sz val="9"/>
            <color indexed="81"/>
            <rFont val="Tahoma"/>
            <family val="2"/>
          </rPr>
          <t xml:space="preserve">Go on a field trip. </t>
        </r>
        <r>
          <rPr>
            <sz val="9"/>
            <color indexed="81"/>
            <rFont val="Tahoma"/>
            <family val="2"/>
          </rPr>
          <t xml:space="preserve"> Set up an appointment at a bank or local credit bureau to meet with an expert where they work. Ask them to walk you through the process of cheching on credit scores, along with explaining how a low score can hurt your chances of getting furture credit, loans, and mortgages.</t>
        </r>
      </text>
    </comment>
    <comment ref="C196" authorId="0" shapeId="0">
      <text>
        <r>
          <rPr>
            <b/>
            <sz val="9"/>
            <color indexed="81"/>
            <rFont val="Tahoma"/>
            <family val="2"/>
          </rPr>
          <t xml:space="preserve">Find out how bank loans work. </t>
        </r>
        <r>
          <rPr>
            <sz val="9"/>
            <color indexed="81"/>
            <rFont val="Tahoma"/>
            <family val="2"/>
          </rPr>
          <t>People rarely purchase a home or a new car with cash. Instead, they get a bank or another financial institution to loan them the money to pay for it and then pa back the lender a small chunk at a time each month. Likewise, many students take out loans to help pay for their college education, then pay the loan back after they graduate and find a job. In this step, you'll reseach the ins and outs of getting one of these kinds of loans.</t>
        </r>
      </text>
    </comment>
    <comment ref="C197" authorId="0" shapeId="0">
      <text>
        <r>
          <rPr>
            <b/>
            <sz val="9"/>
            <color indexed="81"/>
            <rFont val="Tahoma"/>
            <family val="2"/>
          </rPr>
          <t xml:space="preserve">Learn about student loans. </t>
        </r>
        <r>
          <rPr>
            <sz val="9"/>
            <color indexed="81"/>
            <rFont val="Tahoma"/>
            <family val="2"/>
          </rPr>
          <t>Search online, talk to your school's guidance counselor, or interview a financial aid officer at a college to find out about different types of student loans, as well as how and when you're expected to pay the loan back after graduation.</t>
        </r>
      </text>
    </comment>
    <comment ref="C198" authorId="0" shapeId="0">
      <text>
        <r>
          <rPr>
            <b/>
            <sz val="9"/>
            <color indexed="81"/>
            <rFont val="Tahoma"/>
            <family val="2"/>
          </rPr>
          <t>Learn about home loans.</t>
        </r>
        <r>
          <rPr>
            <sz val="9"/>
            <color indexed="81"/>
            <rFont val="Tahoma"/>
            <family val="2"/>
          </rPr>
          <t xml:space="preserve"> Home loans, also called home mortgages, are often the biggest loan a person will ever take out. Indeed, the most common type of home loan takes 30 years to pay off. Ask family members if they know a home loan officer that you could speak with about home loans. Be sure to ask about down payment requirments, as well as how interest rates can change bases on both the type of loan and length of the loan in years.</t>
        </r>
      </text>
    </comment>
    <comment ref="C199" authorId="0" shapeId="0">
      <text>
        <r>
          <rPr>
            <b/>
            <sz val="9"/>
            <color indexed="81"/>
            <rFont val="Tahoma"/>
            <family val="2"/>
          </rPr>
          <t xml:space="preserve">Learn about car loans. </t>
        </r>
        <r>
          <rPr>
            <sz val="9"/>
            <color indexed="81"/>
            <rFont val="Tahoma"/>
            <family val="2"/>
          </rPr>
          <t>Make an appointment to speak with a finaince official at a local car dealership, either in person or by phone. Ask them to explain the different kinds of loans offered for both new and used cars; how interest rates vary; and how a lower interest rate saves you money compared to a high interest rate.</t>
        </r>
      </text>
    </comment>
    <comment ref="C200" authorId="0" shapeId="0">
      <text>
        <r>
          <rPr>
            <b/>
            <sz val="9"/>
            <color indexed="81"/>
            <rFont val="Tahoma"/>
            <family val="2"/>
          </rPr>
          <t>Learn the ins and outs of credit cards</t>
        </r>
        <r>
          <rPr>
            <sz val="9"/>
            <color indexed="81"/>
            <rFont val="Tahoma"/>
            <family val="2"/>
          </rPr>
          <t xml:space="preserve"> Credit cards are the most common way people borrow money. Credit cards are also a very helpful tool in life. Like any other tool, however, you need to know how to use one properly to get the most out of it. When paying with a credit card, you are essentially borrowing money from a credit card lender. You are then expected to pay back the credit card company in a set amount of time. And if you don't pay the full amount you owe, you must pay interest (the cost of borrowoing money) on the remaining balance. Fill in the credit card worksheet on the next page in order to compare credit card offers as you complete this step.</t>
        </r>
      </text>
    </comment>
    <comment ref="C201" authorId="0" shapeId="0">
      <text>
        <r>
          <rPr>
            <b/>
            <sz val="9"/>
            <color indexed="81"/>
            <rFont val="Tahoma"/>
            <family val="2"/>
          </rPr>
          <t xml:space="preserve">Study credit card offers. </t>
        </r>
        <r>
          <rPr>
            <sz val="9"/>
            <color indexed="81"/>
            <rFont val="Tahoma"/>
            <family val="2"/>
          </rPr>
          <t>Find at least three credit card offers in the mail, in stores, or in banks. Read the offers to learn what is needed to apply for each card and use them to complete the worksheet. Then rank each offer for the best deal and dscuss your choices with friends or family.</t>
        </r>
      </text>
    </comment>
    <comment ref="C202" authorId="0" shapeId="0">
      <text>
        <r>
          <rPr>
            <b/>
            <sz val="9"/>
            <color indexed="81"/>
            <rFont val="Tahoma"/>
            <family val="2"/>
          </rPr>
          <t xml:space="preserve">Speak with banks. </t>
        </r>
        <r>
          <rPr>
            <sz val="9"/>
            <color indexed="81"/>
            <rFont val="Tahoma"/>
            <family val="2"/>
          </rPr>
          <t>Locate two banks and/or credit unions in your community. Set up phone interviews with banking associates at each to discuss the steps involved in applying for a credit card. Prepare a list of questions that will answer all the columns in the credit card worksheet.</t>
        </r>
      </text>
    </comment>
    <comment ref="C203" authorId="0" shapeId="0">
      <text>
        <r>
          <rPr>
            <b/>
            <sz val="9"/>
            <color indexed="81"/>
            <rFont val="Tahoma"/>
            <family val="2"/>
          </rPr>
          <t xml:space="preserve">Go online. </t>
        </r>
        <r>
          <rPr>
            <sz val="9"/>
            <color indexed="81"/>
            <rFont val="Tahoma"/>
            <family val="2"/>
          </rPr>
          <t>Explore the online sites of at least three banks or credit unions.  Compile information on the various credit card offers you find and complete the worksheet. Then rank each offer for the best deal and discuss your choices with friends or family.</t>
        </r>
      </text>
    </comment>
    <comment ref="C204" authorId="0" shapeId="0">
      <text>
        <r>
          <rPr>
            <b/>
            <sz val="9"/>
            <color indexed="81"/>
            <rFont val="Tahoma"/>
            <family val="2"/>
          </rPr>
          <t>Gather real-life borrowing stories</t>
        </r>
        <r>
          <rPr>
            <sz val="9"/>
            <color indexed="81"/>
            <rFont val="Tahoma"/>
            <family val="2"/>
          </rPr>
          <t xml:space="preserve"> By this point, you know enough to have a knowledgeable conversation on the topics of borrowing and credit. It's time to dig deeper into these important financial subjects by learning from the experiences - both good and bag - of others. </t>
        </r>
      </text>
    </comment>
    <comment ref="C205" authorId="0" shapeId="0">
      <text>
        <r>
          <rPr>
            <b/>
            <sz val="9"/>
            <color indexed="81"/>
            <rFont val="Tahoma"/>
            <family val="2"/>
          </rPr>
          <t xml:space="preserve">Interview an expert. </t>
        </r>
        <r>
          <rPr>
            <sz val="9"/>
            <color indexed="81"/>
            <rFont val="Tahoma"/>
            <family val="2"/>
          </rPr>
          <t>Talk to a financial adviser or credit counselor about common financial mistakes people make when it comes ot borrownig. Be sure to get their recommendations on any magazines, books, or websites where youc an get more in-depth information.</t>
        </r>
      </text>
    </comment>
    <comment ref="C206" authorId="0" shapeId="0">
      <text>
        <r>
          <rPr>
            <b/>
            <sz val="9"/>
            <color indexed="81"/>
            <rFont val="Tahoma"/>
            <family val="2"/>
          </rPr>
          <t xml:space="preserve">Study relevant stories. </t>
        </r>
        <r>
          <rPr>
            <sz val="9"/>
            <color indexed="81"/>
            <rFont val="Tahoma"/>
            <family val="2"/>
          </rPr>
          <t>Find at least three magazine or newspaper articles dealing with individuals who made bad financial decisions that will seriously damage their credit. Discuss what you learned from each story with friends or family.</t>
        </r>
      </text>
    </comment>
    <comment ref="C207" authorId="0" shapeId="0">
      <text>
        <r>
          <rPr>
            <b/>
            <sz val="9"/>
            <color indexed="81"/>
            <rFont val="Tahoma"/>
            <family val="2"/>
          </rPr>
          <t xml:space="preserve">Interview someone who has had a loan. </t>
        </r>
        <r>
          <rPr>
            <sz val="9"/>
            <color indexed="81"/>
            <rFont val="Tahoma"/>
            <family val="2"/>
          </rPr>
          <t>Talk to an adult who have experince with both getting and paying back loans. Ask for advice and tips on borrowing. Find out if they would have done anything differently, and if so, why?</t>
        </r>
      </text>
    </comment>
    <comment ref="C208" authorId="0" shapeId="0">
      <text>
        <r>
          <rPr>
            <b/>
            <sz val="9"/>
            <color indexed="81"/>
            <rFont val="Tahoma"/>
            <family val="2"/>
          </rPr>
          <t xml:space="preserve">Write your own credit commitment </t>
        </r>
        <r>
          <rPr>
            <sz val="9"/>
            <color indexed="81"/>
            <rFont val="Tahoma"/>
            <family val="2"/>
          </rPr>
          <t>Take everything you've learned so far and create your credit commitment. Make sure it includes at least three personal guidelines for how or when you will borrow money in the future. When ever you think about borrowing money in years to come, you'll be able to refer to your code for guidance.</t>
        </r>
      </text>
    </comment>
    <comment ref="C209" authorId="0" shapeId="0">
      <text>
        <r>
          <rPr>
            <b/>
            <sz val="9"/>
            <color indexed="81"/>
            <rFont val="Tahoma"/>
            <family val="2"/>
          </rPr>
          <t>Talk to your family.</t>
        </r>
        <r>
          <rPr>
            <sz val="9"/>
            <color indexed="81"/>
            <rFont val="Tahoma"/>
            <family val="2"/>
          </rPr>
          <t xml:space="preserve"> Write a first draft of your credit commitment and present it to your family. Explain each commitment in detail, and give everyone present a chance to discuss their feelings. Once the fmailyh converstation is over, revisit your credit commitment to create a final draft. </t>
        </r>
      </text>
    </comment>
    <comment ref="C210" authorId="0" shapeId="0">
      <text>
        <r>
          <rPr>
            <b/>
            <sz val="9"/>
            <color indexed="81"/>
            <rFont val="Tahoma"/>
            <family val="2"/>
          </rPr>
          <t xml:space="preserve">Talk to a friend. </t>
        </r>
        <r>
          <rPr>
            <sz val="9"/>
            <color indexed="81"/>
            <rFont val="Tahoma"/>
            <family val="2"/>
          </rPr>
          <t xml:space="preserve">Team up with a Girl Scout friend and work on creating a credit commitment that you both believe in. Use your notes to put together a list of key commitments, and then take turns writing these commitments in clear and concise sentences. </t>
        </r>
      </text>
    </comment>
    <comment ref="C211" authorId="0" shapeId="0">
      <text>
        <r>
          <rPr>
            <b/>
            <sz val="9"/>
            <color indexed="81"/>
            <rFont val="Tahoma"/>
            <family val="2"/>
          </rPr>
          <t xml:space="preserve">Talk with an expert. </t>
        </r>
        <r>
          <rPr>
            <sz val="9"/>
            <color indexed="81"/>
            <rFont val="Tahoma"/>
            <family val="2"/>
          </rPr>
          <t>Ask older family members or an adult you admire if they know of any reputable financial advisers. If so, set up an information meeting with this expert to review your credit commitment. Ask for feedback on the commitment and any special tips to help you follow it.</t>
        </r>
      </text>
    </comment>
    <comment ref="C217" authorId="0" shapeId="0">
      <text>
        <r>
          <rPr>
            <b/>
            <sz val="9"/>
            <color indexed="81"/>
            <rFont val="Tahoma"/>
            <family val="2"/>
          </rPr>
          <t xml:space="preserve">Invest some R&amp;D time into figuring out the effectiveness of your sale. </t>
        </r>
        <r>
          <rPr>
            <sz val="9"/>
            <color indexed="81"/>
            <rFont val="Tahoma"/>
            <family val="2"/>
          </rPr>
          <t xml:space="preserve"> First, set up a system for tracking results, based on what you want to measure. For example, if you sell at different locations, you may want to compare which location garnered the most sales. If you're focusing on new ways to market to your customer base, such as e-mails or flyers, you may want to measure, keep good records so you can analyze the results at the end of the sale and use the information to plan for future sales.</t>
        </r>
      </text>
    </comment>
    <comment ref="C219" authorId="0" shapeId="0">
      <text>
        <r>
          <rPr>
            <b/>
            <sz val="9"/>
            <color indexed="81"/>
            <rFont val="Tahoma"/>
            <family val="2"/>
          </rPr>
          <t xml:space="preserve">Find at least three other companies that have developed new ways to tell customers about their products. </t>
        </r>
        <r>
          <rPr>
            <sz val="9"/>
            <color indexed="81"/>
            <rFont val="Tahoma"/>
            <family val="2"/>
          </rPr>
          <t xml:space="preserve">For example, you might find a company that is using social media to build word-of-mouth buzz or a jewelry artist who created a website to show examples of her custom-made rings and necklaces. Brainstrom how you could use these innovations - or a variation of them - to market your cookie business. </t>
        </r>
      </text>
    </comment>
    <comment ref="C221" authorId="0" shapeId="0">
      <text>
        <r>
          <rPr>
            <b/>
            <sz val="9"/>
            <color indexed="81"/>
            <rFont val="Tahoma"/>
            <family val="2"/>
          </rPr>
          <t xml:space="preserve">Developing a new product is a complex process that can take serveral years. </t>
        </r>
        <r>
          <rPr>
            <sz val="9"/>
            <color indexed="81"/>
            <rFont val="Tahoma"/>
            <family val="2"/>
          </rPr>
          <t>Choose one company that makes a product you like, and then find out more about how the company researches and develops new products (or changes an existing product).</t>
        </r>
      </text>
    </comment>
    <comment ref="C223" authorId="0" shapeId="0">
      <text>
        <r>
          <rPr>
            <b/>
            <sz val="9"/>
            <color indexed="81"/>
            <rFont val="Tahoma"/>
            <family val="2"/>
          </rPr>
          <t xml:space="preserve">If you're considering serveral different Gold Award or Take Action projects, use your customers as a sounding board. </t>
        </r>
        <r>
          <rPr>
            <sz val="9"/>
            <color indexed="81"/>
            <rFont val="Tahoma"/>
            <family val="2"/>
          </rPr>
          <t xml:space="preserve"> Find out which projects they think full the biggist need in the community. If you've already devided on your project, ask your customers for advice on making it have the most impact. This is a great opportunity to network, too - one of your customers may be able to connect you to someone who will offer help or guiddance on your project!</t>
        </r>
      </text>
    </comment>
    <comment ref="C225" authorId="0" shapeId="0">
      <text>
        <r>
          <rPr>
            <b/>
            <sz val="9"/>
            <color indexed="81"/>
            <rFont val="Tahoma"/>
            <family val="2"/>
          </rPr>
          <t xml:space="preserve">R&amp;D can be more than coming up with new products - it can also mean finding new ways to use existing products that engage consumers' interest. </t>
        </r>
        <r>
          <rPr>
            <sz val="9"/>
            <color indexed="81"/>
            <rFont val="Tahoma"/>
            <family val="2"/>
          </rPr>
          <t xml:space="preserve"> You could create a new dessert using Girl Scout Cookies, then ask a local restaurant to feature it on the menu during the cookie sale. You could also make recipe cards to hand out to customers, post the recipe online, or serve the dessert at a "customer appreciation" event.</t>
        </r>
      </text>
    </comment>
    <comment ref="C230" authorId="0" shapeId="0">
      <text>
        <r>
          <rPr>
            <b/>
            <sz val="9"/>
            <color indexed="81"/>
            <rFont val="Tahoma"/>
            <family val="2"/>
          </rPr>
          <t>Business ethics refers to how a businessperson or a company behaves, which can cover evertyhing from how they treat employees to how they treat the environment.</t>
        </r>
        <r>
          <rPr>
            <sz val="9"/>
            <color indexed="81"/>
            <rFont val="Tahoma"/>
            <family val="2"/>
          </rPr>
          <t xml:space="preserve"> It's an area that is constantly evolving, especially since the line between what is legal and what is ethical is often blurry. Find at least three examples ect of business ethics or becuase they're under fire for practices that the public considers unethical. Discuss what you've learned-and any thoughts you have about how your own cookie business- with family or friends. </t>
        </r>
      </text>
    </comment>
    <comment ref="C232" authorId="0" shapeId="0">
      <text>
        <r>
          <rPr>
            <b/>
            <sz val="9"/>
            <color indexed="81"/>
            <rFont val="Tahoma"/>
            <family val="2"/>
          </rPr>
          <t xml:space="preserve">Most companies offer a business pledge or promise to their customers that states how they will treat people and ensure that they're offering a quality product. </t>
        </r>
        <r>
          <rPr>
            <sz val="9"/>
            <color indexed="81"/>
            <rFont val="Tahoma"/>
            <family val="2"/>
          </rPr>
          <t>Write your own promise to your customers by applying lines of the Promise and Law to your cookie sale. Find a way to remind yourself of your promise - perhaps you could write it on a wallet card, make it into a screen saver on your computer, or post it in a place where you'll see it every day.  You may also want to create a "My Promise to You" handout that you can give to customers.</t>
        </r>
      </text>
    </comment>
    <comment ref="C234" authorId="0" shapeId="0">
      <text>
        <r>
          <rPr>
            <b/>
            <sz val="9"/>
            <color indexed="81"/>
            <rFont val="Tahoma"/>
            <family val="2"/>
          </rPr>
          <t xml:space="preserve">If you've been selling Girl Scout Cookies for years, you've built up a solid customer base. </t>
        </r>
        <r>
          <rPr>
            <sz val="9"/>
            <color indexed="81"/>
            <rFont val="Tahoma"/>
            <family val="2"/>
          </rPr>
          <t xml:space="preserve"> What will happen when you're no longer sellking cookies? Develop a transition plan so your customers will still be taken care of. You may want to invite a few younger Girl Scouts to help you on your cookie sale, so you can introduce them to your customers. Or you may want to pass your cookie order cards ton to a younger Girl Scout group or a volunteer. (Be sure you as your customers if they want their names passed on - that's good business practice!)</t>
        </r>
      </text>
    </comment>
    <comment ref="C236" authorId="0" shapeId="0">
      <text>
        <r>
          <rPr>
            <b/>
            <sz val="9"/>
            <color indexed="81"/>
            <rFont val="Tahoma"/>
            <family val="2"/>
          </rPr>
          <t xml:space="preserve">Based on grade level, find a fun way to help girls think through the rules and ethics (or "what's fair") of their cookie business. </t>
        </r>
        <r>
          <rPr>
            <sz val="9"/>
            <color indexed="81"/>
            <rFont val="Tahoma"/>
            <family val="2"/>
          </rPr>
          <t>For example, you may want to invent a fun game for Daisies, Brownies, or Juniors, do role-play exercises with Cadettes, or facilitate a group discussion with Seniors.</t>
        </r>
      </text>
    </comment>
    <comment ref="C238" authorId="0" shapeId="0">
      <text>
        <r>
          <rPr>
            <b/>
            <sz val="9"/>
            <color indexed="81"/>
            <rFont val="Tahoma"/>
            <family val="2"/>
          </rPr>
          <t xml:space="preserve">How will you be remembered in your Girl Scout community? </t>
        </r>
        <r>
          <rPr>
            <sz val="9"/>
            <color indexed="81"/>
            <rFont val="Tahoma"/>
            <family val="2"/>
          </rPr>
          <t xml:space="preserve"> Use part of your cookie money to leave a personal legacy. You may want to make a gift to a Girl Scout campership or endowment fund, donate money to sustain one of your favorite spots at camp, or plant a tree or install a piece of art in a special place.</t>
        </r>
      </text>
    </comment>
  </commentList>
</comments>
</file>

<file path=xl/comments2.xml><?xml version="1.0" encoding="utf-8"?>
<comments xmlns="http://schemas.openxmlformats.org/spreadsheetml/2006/main">
  <authors>
    <author>Audra Edmunds</author>
    <author>Audra</author>
  </authors>
  <commentList>
    <comment ref="C8" authorId="0" shapeId="0">
      <text>
        <r>
          <rPr>
            <sz val="9"/>
            <color indexed="81"/>
            <rFont val="Tahoma"/>
            <family val="2"/>
          </rPr>
          <t xml:space="preserve">complete the eight Steps to Advocacy </t>
        </r>
      </text>
    </comment>
    <comment ref="C9" authorId="0" shapeId="0">
      <text>
        <r>
          <rPr>
            <sz val="9"/>
            <color indexed="81"/>
            <rFont val="Tahoma"/>
            <family val="2"/>
          </rPr>
          <t>Explore an issue that you find intriguing and exciting.</t>
        </r>
      </text>
    </comment>
    <comment ref="C10" authorId="0" shapeId="0">
      <text>
        <r>
          <rPr>
            <sz val="9"/>
            <color indexed="81"/>
            <rFont val="Tahoma"/>
            <family val="2"/>
          </rPr>
          <t>Engage community partners and advocate for change.</t>
        </r>
      </text>
    </comment>
    <comment ref="C16" authorId="0" shapeId="0">
      <text>
        <r>
          <rPr>
            <sz val="9"/>
            <color indexed="81"/>
            <rFont val="Tahoma"/>
            <family val="2"/>
          </rPr>
          <t>·see how images can be used to tell many different stories
·consider what parts of their equations for justice are starting to take shape</t>
        </r>
      </text>
    </comment>
    <comment ref="C17" authorId="0" shapeId="0">
      <text>
        <r>
          <rPr>
            <sz val="10"/>
            <color indexed="81"/>
            <rFont val="Tahoma"/>
            <family val="2"/>
          </rPr>
          <t>·create a smiple survey to explore the environmental concerns of others
·create a "guilty habits" list to help them commit to Doing the Math</t>
        </r>
      </text>
    </comment>
    <comment ref="C18" authorId="0" shapeId="0">
      <text>
        <r>
          <rPr>
            <sz val="9"/>
            <color indexed="81"/>
            <rFont val="Tahoma"/>
            <family val="2"/>
          </rPr>
          <t>·explore how media and advertising persuades viewers
·check in on how they are Doing the Math</t>
        </r>
      </text>
    </comment>
    <comment ref="C19" authorId="0" shapeId="0">
      <text>
        <r>
          <rPr>
            <sz val="9"/>
            <color indexed="81"/>
            <rFont val="Tahoma"/>
            <family val="2"/>
          </rPr>
          <t>·explore how "expert" opinions intertwine in environmental justice issues
·consider what science can and cannot do for the environment</t>
        </r>
      </text>
    </comment>
    <comment ref="C20" authorId="0" shapeId="0">
      <text>
        <r>
          <rPr>
            <sz val="9"/>
            <color indexed="81"/>
            <rFont val="Tahoma"/>
            <family val="2"/>
          </rPr>
          <t>·interview decision-makers about the many variables they grapple with
·share some of the great decisions they have made in their own lives</t>
        </r>
      </text>
    </comment>
    <comment ref="C21" authorId="0" shapeId="0">
      <text>
        <r>
          <rPr>
            <sz val="9"/>
            <color indexed="81"/>
            <rFont val="Tahoma"/>
            <family val="2"/>
          </rPr>
          <t>·begin planning the final celebration of the journey</t>
        </r>
      </text>
    </comment>
    <comment ref="C27" authorId="1" shapeId="0">
      <text>
        <r>
          <rPr>
            <sz val="9"/>
            <color indexed="81"/>
            <rFont val="Tahoma"/>
            <family val="2"/>
          </rPr>
          <t>Find and then interview three successful women in your community about their dreams and how they have pursued and/or achieved them. (This will show you the path to a successful dream and how dreams get moved forward, even in small ways!)</t>
        </r>
      </text>
    </comment>
    <comment ref="C28" authorId="1" shapeId="0">
      <text>
        <r>
          <rPr>
            <sz val="9"/>
            <color indexed="81"/>
            <rFont val="Tahoma"/>
            <family val="2"/>
          </rPr>
          <t>Identify a woman or girl (or a group of women and/or girls) who would benefit from your assistance in realizing a dream and who welcomes your assistance.</t>
        </r>
      </text>
    </comment>
    <comment ref="C29" authorId="1" shapeId="0">
      <text>
        <r>
          <rPr>
            <sz val="9"/>
            <color indexed="81"/>
            <rFont val="Tahoma"/>
            <family val="2"/>
          </rPr>
          <t>Together you and the dreamer(s) draft a mission statement that clearly sets out the dream. Then you draw up the steps that will move the dream forward. Coming up with the correct steps will involve a little research! (A mission statement will give the dream vision and focus. Planning out the steps to the dream makes the dream tangible--if you get stuck or a step seems too big, return to the plan! You might have to step it out more, or you may have to change some steps altogether!)</t>
        </r>
      </text>
    </comment>
    <comment ref="C30" authorId="1" shapeId="0">
      <text>
        <r>
          <rPr>
            <sz val="9"/>
            <color indexed="81"/>
            <rFont val="Tahoma"/>
            <family val="2"/>
          </rPr>
          <t>Help your dreamer(s) take a step forward in the dream plan, and gift the set of stpes for the dream to her. (Taking a step forward will energize your dreamer(s) and start the momentum that will keep the dream progressing! When you are ready to gift the plan, consider making a ceremony of it, perhaps at the journey's closing celebration. The plan may serve as a symbolic rememberance of your collaboration on this dream!)</t>
        </r>
      </text>
    </comment>
  </commentList>
</comments>
</file>

<file path=xl/comments3.xml><?xml version="1.0" encoding="utf-8"?>
<comments xmlns="http://schemas.openxmlformats.org/spreadsheetml/2006/main">
  <authors>
    <author>Audra</author>
  </authors>
  <commentList>
    <comment ref="C7" authorId="0" shapeId="0">
      <text/>
    </comment>
    <comment ref="C8" authorId="0" shapeId="0">
      <text/>
    </comment>
    <comment ref="C9" authorId="0" shapeId="0">
      <text/>
    </comment>
    <comment ref="C10" authorId="0" shapeId="0">
      <text/>
    </comment>
    <comment ref="C11" authorId="0" shapeId="0">
      <text/>
    </comment>
    <comment ref="C12" authorId="0" shapeId="0">
      <text/>
    </comment>
    <comment ref="C13" authorId="0" shapeId="0">
      <text/>
    </comment>
    <comment ref="C14" authorId="0" shapeId="0">
      <text/>
    </comment>
    <comment ref="C15" authorId="0" shapeId="0">
      <text/>
    </comment>
    <comment ref="C16" authorId="0" shapeId="0">
      <text/>
    </comment>
    <comment ref="C17" authorId="0" shapeId="0">
      <text/>
    </comment>
    <comment ref="C18" authorId="0" shapeId="0">
      <text/>
    </comment>
    <comment ref="C19" authorId="0" shapeId="0">
      <text/>
    </comment>
    <comment ref="C20" authorId="0" shapeId="0">
      <text/>
    </comment>
    <comment ref="C21" authorId="0" shapeId="0">
      <text/>
    </comment>
    <comment ref="C22" authorId="0" shapeId="0">
      <text/>
    </comment>
    <comment ref="C23" authorId="0" shapeId="0">
      <text/>
    </comment>
    <comment ref="C24" authorId="0" shapeId="0">
      <text/>
    </comment>
    <comment ref="C25" authorId="0" shapeId="0">
      <text/>
    </comment>
    <comment ref="C26" authorId="0" shapeId="0">
      <text/>
    </comment>
    <comment ref="C31" authorId="0" shapeId="0">
      <text/>
    </comment>
    <comment ref="C32" authorId="0" shapeId="0">
      <text/>
    </comment>
    <comment ref="C33" authorId="0" shapeId="0">
      <text/>
    </comment>
    <comment ref="C34" authorId="0" shapeId="0">
      <text/>
    </comment>
    <comment ref="C35" authorId="0" shapeId="0">
      <text/>
    </comment>
    <comment ref="C36" authorId="0" shapeId="0">
      <text/>
    </comment>
    <comment ref="C37" authorId="0" shapeId="0">
      <text/>
    </comment>
    <comment ref="C38" authorId="0" shapeId="0">
      <text/>
    </comment>
    <comment ref="C39" authorId="0" shapeId="0">
      <text/>
    </comment>
    <comment ref="C40" authorId="0" shapeId="0">
      <text/>
    </comment>
    <comment ref="C41" authorId="0" shapeId="0">
      <text/>
    </comment>
    <comment ref="C42" authorId="0" shapeId="0">
      <text/>
    </comment>
    <comment ref="C43" authorId="0" shapeId="0">
      <text/>
    </comment>
    <comment ref="C44" authorId="0" shapeId="0">
      <text/>
    </comment>
    <comment ref="C45" authorId="0" shapeId="0">
      <text/>
    </comment>
    <comment ref="C46" authorId="0" shapeId="0">
      <text/>
    </comment>
    <comment ref="C47" authorId="0" shapeId="0">
      <text/>
    </comment>
    <comment ref="C48" authorId="0" shapeId="0">
      <text/>
    </comment>
    <comment ref="C49" authorId="0" shapeId="0">
      <text/>
    </comment>
    <comment ref="C50" authorId="0" shapeId="0">
      <text/>
    </comment>
    <comment ref="C55" authorId="0" shapeId="0">
      <text/>
    </comment>
    <comment ref="C56" authorId="0" shapeId="0">
      <text/>
    </comment>
    <comment ref="C57" authorId="0" shapeId="0">
      <text/>
    </comment>
    <comment ref="C58" authorId="0" shapeId="0">
      <text/>
    </comment>
    <comment ref="C59" authorId="0" shapeId="0">
      <text/>
    </comment>
    <comment ref="C60" authorId="0" shapeId="0">
      <text/>
    </comment>
    <comment ref="C61" authorId="0" shapeId="0">
      <text/>
    </comment>
    <comment ref="C62" authorId="0" shapeId="0">
      <text/>
    </comment>
    <comment ref="C63" authorId="0" shapeId="0">
      <text/>
    </comment>
    <comment ref="C64" authorId="0" shapeId="0">
      <text/>
    </comment>
    <comment ref="C65" authorId="0" shapeId="0">
      <text/>
    </comment>
    <comment ref="C66" authorId="0" shapeId="0">
      <text/>
    </comment>
    <comment ref="C67" authorId="0" shapeId="0">
      <text/>
    </comment>
    <comment ref="C68" authorId="0" shapeId="0">
      <text/>
    </comment>
    <comment ref="C69" authorId="0" shapeId="0">
      <text/>
    </comment>
    <comment ref="C70" authorId="0" shapeId="0">
      <text/>
    </comment>
    <comment ref="C71" authorId="0" shapeId="0">
      <text/>
    </comment>
    <comment ref="C72" authorId="0" shapeId="0">
      <text/>
    </comment>
    <comment ref="C73" authorId="0" shapeId="0">
      <text/>
    </comment>
    <comment ref="C74" authorId="0" shapeId="0">
      <text/>
    </comment>
    <comment ref="C79" authorId="0" shapeId="0">
      <text/>
    </comment>
    <comment ref="C80" authorId="0" shapeId="0">
      <text/>
    </comment>
    <comment ref="C81" authorId="0" shapeId="0">
      <text/>
    </comment>
    <comment ref="C82" authorId="0" shapeId="0">
      <text/>
    </comment>
    <comment ref="C83" authorId="0" shapeId="0">
      <text/>
    </comment>
    <comment ref="C84" authorId="0" shapeId="0">
      <text/>
    </comment>
    <comment ref="C85" authorId="0" shapeId="0">
      <text/>
    </comment>
    <comment ref="C86" authorId="0" shapeId="0">
      <text/>
    </comment>
    <comment ref="C87" authorId="0" shapeId="0">
      <text/>
    </comment>
    <comment ref="C88" authorId="0" shapeId="0">
      <text/>
    </comment>
    <comment ref="C89" authorId="0" shapeId="0">
      <text/>
    </comment>
    <comment ref="C90" authorId="0" shapeId="0">
      <text/>
    </comment>
    <comment ref="C91" authorId="0" shapeId="0">
      <text/>
    </comment>
    <comment ref="C92" authorId="0" shapeId="0">
      <text/>
    </comment>
    <comment ref="C93" authorId="0" shapeId="0">
      <text/>
    </comment>
    <comment ref="C94" authorId="0" shapeId="0">
      <text/>
    </comment>
    <comment ref="C95" authorId="0" shapeId="0">
      <text/>
    </comment>
    <comment ref="C96" authorId="0" shapeId="0">
      <text/>
    </comment>
    <comment ref="C97" authorId="0" shapeId="0">
      <text/>
    </comment>
    <comment ref="C98" authorId="0" shapeId="0">
      <text/>
    </comment>
    <comment ref="C103" authorId="0" shapeId="0">
      <text/>
    </comment>
    <comment ref="C104" authorId="0" shapeId="0">
      <text/>
    </comment>
    <comment ref="C105" authorId="0" shapeId="0">
      <text/>
    </comment>
    <comment ref="C106" authorId="0" shapeId="0">
      <text/>
    </comment>
    <comment ref="C107" authorId="0" shapeId="0">
      <text/>
    </comment>
    <comment ref="C108" authorId="0" shapeId="0">
      <text/>
    </comment>
    <comment ref="C109" authorId="0" shapeId="0">
      <text/>
    </comment>
    <comment ref="C110" authorId="0" shapeId="0">
      <text/>
    </comment>
    <comment ref="C111" authorId="0" shapeId="0">
      <text/>
    </comment>
    <comment ref="C112" authorId="0" shapeId="0">
      <text/>
    </comment>
    <comment ref="C113" authorId="0" shapeId="0">
      <text/>
    </comment>
    <comment ref="C114" authorId="0" shapeId="0">
      <text/>
    </comment>
    <comment ref="C115" authorId="0" shapeId="0">
      <text/>
    </comment>
    <comment ref="C116" authorId="0" shapeId="0">
      <text/>
    </comment>
    <comment ref="C117" authorId="0" shapeId="0">
      <text/>
    </comment>
    <comment ref="C118" authorId="0" shapeId="0">
      <text/>
    </comment>
    <comment ref="C119" authorId="0" shapeId="0">
      <text/>
    </comment>
    <comment ref="C120" authorId="0" shapeId="0">
      <text/>
    </comment>
    <comment ref="C121" authorId="0" shapeId="0">
      <text/>
    </comment>
    <comment ref="C122" authorId="0" shapeId="0">
      <text/>
    </comment>
    <comment ref="C127" authorId="0" shapeId="0">
      <text/>
    </comment>
    <comment ref="C128" authorId="0" shapeId="0">
      <text/>
    </comment>
    <comment ref="C129" authorId="0" shapeId="0">
      <text/>
    </comment>
    <comment ref="C130" authorId="0" shapeId="0">
      <text/>
    </comment>
    <comment ref="C131" authorId="0" shapeId="0">
      <text/>
    </comment>
    <comment ref="C132" authorId="0" shapeId="0">
      <text/>
    </comment>
    <comment ref="C133" authorId="0" shapeId="0">
      <text/>
    </comment>
    <comment ref="C134" authorId="0" shapeId="0">
      <text/>
    </comment>
    <comment ref="C135" authorId="0" shapeId="0">
      <text/>
    </comment>
    <comment ref="C136" authorId="0" shapeId="0">
      <text/>
    </comment>
    <comment ref="C137" authorId="0" shapeId="0">
      <text/>
    </comment>
    <comment ref="C138" authorId="0" shapeId="0">
      <text/>
    </comment>
    <comment ref="C139" authorId="0" shapeId="0">
      <text/>
    </comment>
    <comment ref="C140" authorId="0" shapeId="0">
      <text/>
    </comment>
    <comment ref="C141" authorId="0" shapeId="0">
      <text/>
    </comment>
    <comment ref="C142" authorId="0" shapeId="0">
      <text/>
    </comment>
    <comment ref="C143" authorId="0" shapeId="0">
      <text/>
    </comment>
    <comment ref="C144" authorId="0" shapeId="0">
      <text/>
    </comment>
    <comment ref="C145" authorId="0" shapeId="0">
      <text/>
    </comment>
    <comment ref="C146" authorId="0" shapeId="0">
      <text/>
    </comment>
  </commentList>
</comments>
</file>

<file path=xl/comments4.xml><?xml version="1.0" encoding="utf-8"?>
<comments xmlns="http://schemas.openxmlformats.org/spreadsheetml/2006/main">
  <authors>
    <author>Frank Steele</author>
    <author>Julie Moen</author>
    <author>Audra</author>
  </authors>
  <commentList>
    <comment ref="C7" authorId="0" shapeId="0">
      <text>
        <r>
          <rPr>
            <b/>
            <sz val="9"/>
            <color indexed="81"/>
            <rFont val="Tahoma"/>
            <family val="2"/>
          </rPr>
          <t xml:space="preserve">Serve for one full term in a leadership position </t>
        </r>
        <r>
          <rPr>
            <sz val="9"/>
            <color indexed="81"/>
            <rFont val="Tahoma"/>
            <family val="2"/>
          </rPr>
          <t>at your school, place of worship, library, town council, community center, after-school club, or a similar organization. For example, you might serve as school yearbook editor, on a committee to organize youth events within your faith community, or on an event-planning board at the Girl Scouts. The length of your service will depend on the term specified by the organization or the particular role.</t>
        </r>
      </text>
    </comment>
    <comment ref="C10" authorId="1" shapeId="0">
      <text>
        <r>
          <rPr>
            <sz val="9"/>
            <color indexed="81"/>
            <rFont val="Tahoma"/>
            <family val="2"/>
          </rPr>
          <t xml:space="preserve">To earn the bar, first choose an organization you'd like to voluteer with. The organization will need to agree to give you instructions aobut the work you'll be doing. Your coucil needs to approve your service, so check with it before you begin. Once you've chosen your organization, complete at least 20 hours of service to earn the bar.
</t>
        </r>
      </text>
    </comment>
    <comment ref="C13" authorId="1" shapeId="0">
      <text>
        <r>
          <rPr>
            <sz val="9"/>
            <color indexed="81"/>
            <rFont val="Tahoma"/>
            <family val="2"/>
          </rPr>
          <t xml:space="preserve">If you choose to volunteer at least 20 hours to the Girl Scout organization, you can receive the Ambassador Servce to Girl Scouting bar. For example, you might volunteer your time at a special event for younger girls, be an office assistant for your council or service unit, or help with special events.
</t>
        </r>
      </text>
    </comment>
    <comment ref="B15" authorId="1" shapeId="0">
      <text>
        <r>
          <rPr>
            <sz val="9"/>
            <color indexed="81"/>
            <rFont val="Tahoma"/>
            <family val="2"/>
          </rPr>
          <t>This award s for girls who'd like to mentor a Girl Scout Daisy, Brownie, Junior or Cadette group outside of the camp experience. If you've competleted ninth grade, you're eligible to earn this award. Your VIT project should span a 3-6 month period.</t>
        </r>
      </text>
    </comment>
    <comment ref="C16" authorId="1" shapeId="0">
      <text>
        <r>
          <rPr>
            <sz val="9"/>
            <color indexed="81"/>
            <rFont val="Tahoma"/>
            <family val="2"/>
          </rPr>
          <t>Find a mentor volunteer who is currently the adult volunteer for a group of girls at the level you'd like to work with. This volunteer will help you through your training and intership, and you'll help the volunteer with her group of girls for the 3-6 month period.</t>
        </r>
      </text>
    </comment>
    <comment ref="C17" authorId="2" shapeId="0">
      <text>
        <r>
          <rPr>
            <sz val="9"/>
            <color indexed="81"/>
            <rFont val="Tahoma"/>
            <family val="2"/>
          </rPr>
          <t xml:space="preserve">Complete a council-designed leaderhsip course
</t>
        </r>
      </text>
    </comment>
    <comment ref="C18" authorId="0" shapeId="0">
      <text>
        <r>
          <rPr>
            <sz val="9"/>
            <color indexed="81"/>
            <rFont val="Tahoma"/>
            <family val="2"/>
          </rPr>
          <t xml:space="preserve">Create and implement a thoughtful program based on a Journey or badge that lasts over 4 or more sessions. Be responsible for designing, planning, and evaluating the activites. If you're passionate about a topic life art or technology, you could design the activities around the area you love or in which you have expertise.
</t>
        </r>
      </text>
    </comment>
    <comment ref="C21" authorId="2" shapeId="0">
      <text>
        <r>
          <rPr>
            <sz val="9"/>
            <color indexed="81"/>
            <rFont val="Tahoma"/>
            <family val="2"/>
          </rPr>
          <t>If you complete all three Brownie Journeys, you'll earn this very special award.</t>
        </r>
      </text>
    </comment>
    <comment ref="C44" authorId="2" shapeId="0">
      <text>
        <r>
          <rPr>
            <sz val="9"/>
            <color indexed="81"/>
            <rFont val="Tahoma"/>
            <family val="2"/>
          </rPr>
          <t>Find a story, song, or poem from your faith with the same ideas. Talk with your family or friends about what the Law and the story, song, or poem have in common.</t>
        </r>
      </text>
    </comment>
    <comment ref="C45" authorId="2" shapeId="0">
      <text>
        <r>
          <rPr>
            <sz val="9"/>
            <color indexed="81"/>
            <rFont val="Tahoma"/>
            <family val="2"/>
          </rPr>
          <t>Find a woman in your own or another faith community. Ask her how she tries to use that line of the Law in her life.</t>
        </r>
      </text>
    </comment>
    <comment ref="C46" authorId="2" shapeId="0">
      <text>
        <r>
          <rPr>
            <sz val="9"/>
            <color indexed="81"/>
            <rFont val="Tahoma"/>
            <family val="2"/>
          </rPr>
          <t>by women that fit with that line of the Girl Scout Law. Put them where you can see them every day!</t>
        </r>
      </text>
    </comment>
    <comment ref="C47" authorId="2" shapeId="0">
      <text>
        <r>
          <rPr>
            <sz val="9"/>
            <color indexed="81"/>
            <rFont val="Tahoma"/>
            <family val="2"/>
          </rPr>
          <t>of what you've learned. It might be a drawing, painting, or poster. You could also make up a story or a skit.</t>
        </r>
      </text>
    </comment>
    <comment ref="C48" authorId="2" shapeId="0">
      <text>
        <r>
          <rPr>
            <sz val="9"/>
            <color indexed="81"/>
            <rFont val="Tahoma"/>
            <family val="2"/>
          </rPr>
          <t>Make a commitment to live what you've learned. You may want to talk to your friends, family, or a group in your faith community about how you plan to keep the connection between your faith and the Law strong. Maybe you'd enjoy performing your skit or showing them what you just made! Or you can choose to make a personal commitment to yourself, by writing a commitment statement that you keep private.</t>
        </r>
      </text>
    </comment>
    <comment ref="C51" authorId="2" shapeId="0">
      <text>
        <r>
          <rPr>
            <sz val="9"/>
            <color indexed="81"/>
            <rFont val="Tahoma"/>
            <family val="2"/>
          </rPr>
          <t>Find a story, song, or poem from your faith with the same ideas. Talk with your family or friends about what the Law and the story, song, or poem have in common.</t>
        </r>
      </text>
    </comment>
    <comment ref="C52" authorId="2" shapeId="0">
      <text>
        <r>
          <rPr>
            <sz val="9"/>
            <color indexed="81"/>
            <rFont val="Tahoma"/>
            <family val="2"/>
          </rPr>
          <t>Find a woman in your own or another faith community. Ask her how she tries to use that line of the Law in her life.</t>
        </r>
      </text>
    </comment>
    <comment ref="C53" authorId="2" shapeId="0">
      <text>
        <r>
          <rPr>
            <sz val="9"/>
            <color indexed="81"/>
            <rFont val="Tahoma"/>
            <family val="2"/>
          </rPr>
          <t>by women that fit with that line of the Girl Scout Law. Put them where you can see them every day!</t>
        </r>
      </text>
    </comment>
    <comment ref="C54" authorId="2" shapeId="0">
      <text>
        <r>
          <rPr>
            <sz val="9"/>
            <color indexed="81"/>
            <rFont val="Tahoma"/>
            <family val="2"/>
          </rPr>
          <t>of what you've learned. It might be a drawing, painting, or poster. You could also make up a story or a skit.</t>
        </r>
      </text>
    </comment>
    <comment ref="C55" authorId="2" shapeId="0">
      <text>
        <r>
          <rPr>
            <sz val="9"/>
            <color indexed="81"/>
            <rFont val="Tahoma"/>
            <family val="2"/>
          </rPr>
          <t>Make a commitment to live what you've learned. You may want to talk to your friends, family, or a group in your faith community about how you plan to keep the connection between your faith and the Law strong. Maybe you'd enjoy performing your skit or showing them what you just made! Or you can choose to make a personal commitment to yourself, by writing a commitment statement that you keep private.</t>
        </r>
      </text>
    </comment>
    <comment ref="C58" authorId="2" shapeId="0">
      <text>
        <r>
          <rPr>
            <b/>
            <sz val="9"/>
            <color indexed="81"/>
            <rFont val="Tahoma"/>
            <family val="2"/>
          </rPr>
          <t>Learn how to make a room safe for a young child.</t>
        </r>
        <r>
          <rPr>
            <sz val="9"/>
            <color indexed="81"/>
            <rFont val="Tahoma"/>
            <family val="2"/>
          </rPr>
          <t xml:space="preserve"> </t>
        </r>
      </text>
    </comment>
    <comment ref="C59" authorId="2" shapeId="0">
      <text>
        <r>
          <rPr>
            <b/>
            <sz val="9"/>
            <color indexed="81"/>
            <rFont val="Tahoma"/>
            <family val="2"/>
          </rPr>
          <t>Find out about water safety</t>
        </r>
        <r>
          <rPr>
            <sz val="9"/>
            <color indexed="81"/>
            <rFont val="Tahoma"/>
            <family val="2"/>
          </rPr>
          <t xml:space="preserve"> and learn to perform a reaching assist from a dock or the side of a pool to help someone out of the water.</t>
        </r>
      </text>
    </comment>
    <comment ref="C60" authorId="2" shapeId="0">
      <text>
        <r>
          <rPr>
            <b/>
            <sz val="9"/>
            <color indexed="81"/>
            <rFont val="Tahoma"/>
            <family val="2"/>
          </rPr>
          <t>Teach a Daisy or Brownie what to do if she gets lost</t>
        </r>
        <r>
          <rPr>
            <sz val="9"/>
            <color indexed="81"/>
            <rFont val="Tahoma"/>
            <family val="2"/>
          </rPr>
          <t xml:space="preserve"> and why she shouldn't talk to strangers.</t>
        </r>
      </text>
    </comment>
    <comment ref="C61" authorId="2" shapeId="0">
      <text>
        <r>
          <rPr>
            <b/>
            <sz val="9"/>
            <color indexed="81"/>
            <rFont val="Tahoma"/>
            <family val="2"/>
          </rPr>
          <t>With your family, make sure you have enough food, water, and medical supplies</t>
        </r>
        <r>
          <rPr>
            <sz val="9"/>
            <color indexed="81"/>
            <rFont val="Tahoma"/>
            <family val="2"/>
          </rPr>
          <t xml:space="preserve"> on hand to last at least three days in case of a natural disaster. (Remember to plan for pets!) It's important to have someone outside the area whom everyone in your family can contact in case you are separated. Learn who your family contact is or help your family choose a contact.</t>
        </r>
      </text>
    </comment>
    <comment ref="C62" authorId="2" shapeId="0">
      <text>
        <r>
          <rPr>
            <b/>
            <sz val="9"/>
            <color indexed="81"/>
            <rFont val="Tahoma"/>
            <family val="2"/>
          </rPr>
          <t>Discuss bullying with your Girl Scout group, friends, or family.</t>
        </r>
        <r>
          <rPr>
            <sz val="9"/>
            <color indexed="81"/>
            <rFont val="Tahoma"/>
            <family val="2"/>
          </rPr>
          <t xml:space="preserve"> Write and sign a personal-responsibility statement that covers how you'll behave at school, at home, and online.</t>
        </r>
      </text>
    </comment>
  </commentList>
</comments>
</file>

<file path=xl/comments5.xml><?xml version="1.0" encoding="utf-8"?>
<comments xmlns="http://schemas.openxmlformats.org/spreadsheetml/2006/main">
  <authors>
    <author>Audra</author>
  </authors>
  <commentList>
    <comment ref="C6" authorId="0" shapeId="0">
      <text>
        <r>
          <rPr>
            <sz val="9"/>
            <color indexed="81"/>
            <rFont val="Tahoma"/>
            <family val="2"/>
          </rPr>
          <t>Share your talents and skills by teaching younger Girl Scouts something you learned to do as an Anbassador. 
This list has a few ideas to get you started. You only have to do one of these-or something like it-to complete the step.</t>
        </r>
      </text>
    </comment>
    <comment ref="C7" authorId="0" shapeId="0">
      <text>
        <r>
          <rPr>
            <sz val="9"/>
            <color indexed="81"/>
            <rFont val="Tahoma"/>
            <family val="2"/>
          </rPr>
          <t>National Leadership Journey. Did you add a trip? Meet local experts? Do something specail when you earned your awards? Put together a special package or presentation to share advice and experiences with Seniors.</t>
        </r>
      </text>
    </comment>
    <comment ref="C8" authorId="0" shapeId="0">
      <text>
        <r>
          <rPr>
            <sz val="9"/>
            <color indexed="81"/>
            <rFont val="Tahoma"/>
            <family val="2"/>
          </rPr>
          <t>favorite memories of being an Ambassador-your Take Action projects, trips, outings, friendships, and leadership lessons learned. As you help Seniors define what leadership means to them, reflect on how others helped you along the way.</t>
        </r>
      </text>
    </comment>
    <comment ref="C9" authorId="0" shapeId="0">
      <text>
        <r>
          <rPr>
            <sz val="9"/>
            <color indexed="81"/>
            <rFont val="Tahoma"/>
            <family val="2"/>
          </rPr>
          <t>earn badges or complete a Journey activity. You could also hold a fitness clinic, teach a dance class, take them geocaching, or pass on any other special skill you've learned as a Girl Scout.</t>
        </r>
      </text>
    </comment>
    <comment ref="C11" authorId="0" shapeId="0">
      <text>
        <r>
          <rPr>
            <sz val="9"/>
            <color indexed="81"/>
            <rFont val="Tahoma"/>
            <family val="2"/>
          </rPr>
          <t>More than 900,00 adults empower girls to become leaders through Girl Scouting. Talk to Girl Scout Adults to find out what inspires them and to get ideas about what you'd like to do.
This list has a few ideas to get you started. You only have to do one of these-or something like it-to complete the step.</t>
        </r>
      </text>
    </comment>
    <comment ref="C12" authorId="0" shapeId="0">
      <text>
        <r>
          <rPr>
            <sz val="9"/>
            <color indexed="81"/>
            <rFont val="Tahoma"/>
            <family val="2"/>
          </rPr>
          <t>This doesn't have to be formal. You can start a conversation at a pizza party, take a walk on the beach, have a movie night, or go on a camping trip. Ask your adult why she thinks the Girl Scou legacy has endured or what she considers the highlights of volnuteering.</t>
        </r>
      </text>
    </comment>
    <comment ref="C13" authorId="0" shapeId="0">
      <text>
        <r>
          <rPr>
            <sz val="9"/>
            <color indexed="81"/>
            <rFont val="Tahoma"/>
            <family val="2"/>
          </rPr>
          <t>for Girl Scout adults who have supported you. Share your memeories, photos, or even a poem to tell them how much their help ment to you.</t>
        </r>
      </text>
    </comment>
    <comment ref="C14" authorId="0" shapeId="0">
      <text>
        <r>
          <rPr>
            <sz val="9"/>
            <color indexed="81"/>
            <rFont val="Tahoma"/>
            <family val="2"/>
          </rPr>
          <t>momentws in Girl Scouts. Add some music, then gather your friends, family, and the Girl Scout adults who influenced you to share your walk down memory lane.</t>
        </r>
      </text>
    </comment>
    <comment ref="C16" authorId="0" shapeId="0">
      <text>
        <r>
          <rPr>
            <sz val="9"/>
            <color indexed="81"/>
            <rFont val="Tahoma"/>
            <family val="2"/>
          </rPr>
          <t>Congratulations! You've earned your Bridge to Girl Scout Adult Award! Celebrate with a favorite ceremony you learned in your time as a Girl Scout.</t>
        </r>
      </text>
    </comment>
  </commentList>
</comments>
</file>

<file path=xl/comments6.xml><?xml version="1.0" encoding="utf-8"?>
<comments xmlns="http://schemas.openxmlformats.org/spreadsheetml/2006/main">
  <authors>
    <author>Audra Edmunds</author>
  </authors>
  <commentList>
    <comment ref="C6" authorId="0" shapeId="0">
      <text>
        <r>
          <rPr>
            <sz val="8"/>
            <color indexed="81"/>
            <rFont val="Tahoma"/>
            <family val="2"/>
          </rPr>
          <t>Use your values and skills to identify a community issue you care about.</t>
        </r>
      </text>
    </comment>
    <comment ref="C7" authorId="0" shapeId="0">
      <text>
        <r>
          <rPr>
            <sz val="8"/>
            <color indexed="81"/>
            <rFont val="Tahoma"/>
            <family val="2"/>
          </rPr>
          <t>Research everything you can about the issue.</t>
        </r>
      </text>
    </comment>
    <comment ref="C8" authorId="0" shapeId="0">
      <text>
        <r>
          <rPr>
            <sz val="8"/>
            <color indexed="81"/>
            <rFont val="Tahoma"/>
            <family val="2"/>
          </rPr>
          <t>Invite others to support and take action with you.</t>
        </r>
      </text>
    </comment>
    <comment ref="C9" authorId="0" shapeId="0">
      <text>
        <r>
          <rPr>
            <sz val="8"/>
            <color indexed="81"/>
            <rFont val="Tahoma"/>
            <family val="2"/>
          </rPr>
          <t>Create a project plan that achieves sustainable and measurable impact.</t>
        </r>
      </text>
    </comment>
    <comment ref="C10" authorId="0" shapeId="0">
      <text>
        <r>
          <rPr>
            <sz val="8"/>
            <color indexed="81"/>
            <rFont val="Tahoma"/>
            <family val="2"/>
          </rPr>
          <t>Sum up your project plan for your Girl Scout council.</t>
        </r>
      </text>
    </comment>
    <comment ref="C11" authorId="0" shapeId="0">
      <text>
        <r>
          <rPr>
            <sz val="8"/>
            <color indexed="81"/>
            <rFont val="Tahoma"/>
            <family val="2"/>
          </rPr>
          <t>Take the lead to carry out your plan.</t>
        </r>
      </text>
    </comment>
    <comment ref="C12" authorId="0" shapeId="0">
      <text>
        <r>
          <rPr>
            <sz val="8"/>
            <color indexed="81"/>
            <rFont val="Tahoma"/>
            <family val="2"/>
          </rPr>
          <t>Share what you have experienced with others.</t>
        </r>
      </text>
    </comment>
  </commentList>
</comments>
</file>

<file path=xl/sharedStrings.xml><?xml version="1.0" encoding="utf-8"?>
<sst xmlns="http://schemas.openxmlformats.org/spreadsheetml/2006/main" count="1399" uniqueCount="418">
  <si>
    <t>meeting
totals</t>
  </si>
  <si>
    <t>yearly total (per girl)</t>
  </si>
  <si>
    <t>It's Your Story -- Tell It!</t>
  </si>
  <si>
    <t>The Summary page:</t>
  </si>
  <si>
    <t>The Order page:</t>
  </si>
  <si>
    <t>Troubleshooting &amp; Frequently Asked Questions</t>
  </si>
  <si>
    <t>First, most issues can be solved by carefully reading these instructions.  I encourage you to re-read this entire page before you do anything else.  If that doesn't help, then the home site has a troubleshooting and FAQ page:</t>
  </si>
  <si>
    <t>http://trax.boy-scouts.net/faq.htm</t>
  </si>
  <si>
    <t xml:space="preserve">If neither of these has helped, then please e-mail me and ask.  However, I ask that you please exhaust the above resources before you e-mail me.  I get several e-mails per day asking for help, and to be honest, if they ask a question which I've already covered in these instructions and/or the FAQ page, I'm very likely to ignore the e-mail.  Please read before you e-mail me. </t>
  </si>
  <si>
    <t>What about sharing and editing this sheet?</t>
  </si>
  <si>
    <t>4.  You have my permission to e-mail me with suggestions for improvements you'd like to see, but please don't be offended if I don't use your suggestions.</t>
  </si>
  <si>
    <t>How can you contact me?</t>
  </si>
  <si>
    <t>aedmunds@bellsouth.net</t>
  </si>
  <si>
    <t>How to enter Junior Names in the spreadsheet:</t>
  </si>
  <si>
    <r>
      <t xml:space="preserve">To enter credit on the Badges page, enter an </t>
    </r>
    <r>
      <rPr>
        <b/>
        <sz val="10"/>
        <rFont val="Arial"/>
        <family val="2"/>
      </rPr>
      <t>A</t>
    </r>
    <r>
      <rPr>
        <sz val="10"/>
        <rFont val="Arial"/>
        <family val="2"/>
      </rPr>
      <t xml:space="preserve"> as a girl completes each requirement</t>
    </r>
    <r>
      <rPr>
        <sz val="10"/>
        <rFont val="Arial"/>
        <family val="2"/>
      </rPr>
      <t>.</t>
    </r>
  </si>
  <si>
    <t>Badges</t>
  </si>
  <si>
    <t>Page 1</t>
  </si>
  <si>
    <t>Investiture</t>
  </si>
  <si>
    <t>Annual Fund</t>
  </si>
  <si>
    <r>
      <t xml:space="preserve">   Enter </t>
    </r>
    <r>
      <rPr>
        <b/>
        <sz val="9"/>
        <rFont val="Arial"/>
        <family val="2"/>
      </rPr>
      <t>A</t>
    </r>
    <r>
      <rPr>
        <sz val="9"/>
        <rFont val="Arial"/>
        <family val="2"/>
      </rPr>
      <t xml:space="preserve"> to indicated Attendance at the Event.</t>
    </r>
  </si>
  <si>
    <t>&lt;&lt;Last Name&gt;&gt;</t>
  </si>
  <si>
    <t>Date of Birth:</t>
  </si>
  <si>
    <t xml:space="preserve">Service Unit: </t>
  </si>
  <si>
    <t xml:space="preserve">Troop: </t>
  </si>
  <si>
    <r>
      <t xml:space="preserve">Enter </t>
    </r>
    <r>
      <rPr>
        <b/>
        <sz val="10"/>
        <rFont val="Arial"/>
        <family val="2"/>
      </rPr>
      <t>A</t>
    </r>
    <r>
      <rPr>
        <sz val="10"/>
        <rFont val="Arial"/>
        <family val="2"/>
      </rPr>
      <t xml:space="preserve"> for credit</t>
    </r>
  </si>
  <si>
    <t>It's Your World -- Change It!</t>
  </si>
  <si>
    <t xml:space="preserve"> </t>
  </si>
  <si>
    <t>Status: (P)artial or (C)omplete</t>
  </si>
  <si>
    <r>
      <t>Instructions and FAQs</t>
    </r>
    <r>
      <rPr>
        <b/>
        <sz val="10"/>
        <rFont val="Arial"/>
        <family val="2"/>
      </rPr>
      <t>:</t>
    </r>
  </si>
  <si>
    <t>What's the password?</t>
  </si>
  <si>
    <t>1.  You have my permission to share this spreadsheet, absolutely free of charge, to any scouter anywhere.</t>
  </si>
  <si>
    <t>3.  You have my permission to modify this sheet in any way to suit your own needs, however, if you do, please don't post your modified version anywhere on the internet.</t>
  </si>
  <si>
    <t>Version History</t>
  </si>
  <si>
    <t>Summary
Page</t>
  </si>
  <si>
    <t>Primary Adult</t>
  </si>
  <si>
    <t>Second Adult</t>
  </si>
  <si>
    <t xml:space="preserve">Relationship: </t>
  </si>
  <si>
    <t xml:space="preserve">City, State  ZIP: </t>
  </si>
  <si>
    <t xml:space="preserve">Name: </t>
  </si>
  <si>
    <t xml:space="preserve">Address: </t>
  </si>
  <si>
    <t xml:space="preserve">Work Phone: </t>
  </si>
  <si>
    <t xml:space="preserve">Home Phone: </t>
  </si>
  <si>
    <t xml:space="preserve">Work e-mail: </t>
  </si>
  <si>
    <t xml:space="preserve">Cell Phone: </t>
  </si>
  <si>
    <t xml:space="preserve">Home e-mail: </t>
  </si>
  <si>
    <t>The Parent Contact Info page is simply there to give you a place to collect parent info for your scouts.  Use it or not.  It will have no effect on the rest of the sheet.  This is just there as a tool for you.</t>
  </si>
  <si>
    <t>Attendance</t>
  </si>
  <si>
    <t>Date</t>
  </si>
  <si>
    <t>The Parent Contact Info page:</t>
  </si>
  <si>
    <t>The Attendance page:</t>
  </si>
  <si>
    <t>First, please enter your Service Unit in the box:</t>
  </si>
  <si>
    <t>Next, please enter your Troop number in this box:</t>
  </si>
  <si>
    <t>&lt;LIST PATCH HERE&gt;</t>
  </si>
  <si>
    <t>Event Attended (Meeting, Field Trip, Day Camp, etc)</t>
  </si>
  <si>
    <t>Girl Scout Council Dues</t>
  </si>
  <si>
    <t>Service Unit Dues</t>
  </si>
  <si>
    <t>Fun Patches</t>
  </si>
  <si>
    <t>Leader 1</t>
  </si>
  <si>
    <t>Leader 2</t>
  </si>
  <si>
    <t>Leader 3</t>
  </si>
  <si>
    <t>Leader 4</t>
  </si>
  <si>
    <t>Leader 5</t>
  </si>
  <si>
    <t>Leader 6</t>
  </si>
  <si>
    <t>Leader 7</t>
  </si>
  <si>
    <t>Registration Papers</t>
  </si>
  <si>
    <t>Health History</t>
  </si>
  <si>
    <t xml:space="preserve">     EMERGENCY CONTACT</t>
  </si>
  <si>
    <t>Relationship:</t>
  </si>
  <si>
    <t xml:space="preserve"> Earned</t>
  </si>
  <si>
    <t xml:space="preserve"> Awarded</t>
  </si>
  <si>
    <r>
      <t xml:space="preserve">The summary page is for keeping track, at a glance, of where you are patches-wise.  You can quickly see, at a glance, what you have already awarded to the girls, and what you still owe them.  </t>
    </r>
    <r>
      <rPr>
        <sz val="10"/>
        <rFont val="Arial"/>
        <family val="2"/>
      </rPr>
      <t>A</t>
    </r>
    <r>
      <rPr>
        <sz val="10"/>
        <rFont val="Arial"/>
        <family val="2"/>
      </rPr>
      <t xml:space="preserve">s you enter completion information in other parts of the spreadsheet, as soon as a girl is complete for an award, it will automatically pop up an </t>
    </r>
    <r>
      <rPr>
        <b/>
        <sz val="10"/>
        <rFont val="Arial"/>
        <family val="2"/>
      </rPr>
      <t>E</t>
    </r>
    <r>
      <rPr>
        <sz val="10"/>
        <rFont val="Arial"/>
        <family val="2"/>
      </rPr>
      <t xml:space="preserve"> (and highlight it) on the Summary page.  When you present the award to the girl, enter an </t>
    </r>
    <r>
      <rPr>
        <b/>
        <sz val="10"/>
        <rFont val="Arial"/>
        <family val="2"/>
      </rPr>
      <t>A</t>
    </r>
    <r>
      <rPr>
        <sz val="10"/>
        <rFont val="Arial"/>
        <family val="2"/>
      </rPr>
      <t xml:space="preserve"> when </t>
    </r>
    <r>
      <rPr>
        <sz val="10"/>
        <rFont val="Arial"/>
        <family val="2"/>
      </rPr>
      <t>you present the award (and the highlight goes away).
Here is also where you will enter your Fun Patches.  Simply type in the patch you need to order then place the "E" in the Earned column and it will calculate for you on the Summary page as well as enter it onto the individual girls' pages.</t>
    </r>
  </si>
  <si>
    <t>You will never enter any information on the Order page.  It is a completely automated page that gleens information from the Summary page.  When it is time for you to turn in your request for awards from your awards chair, simply go to the Order page for that information.  Every time a girl earns a patch, the numbers on this page increase.  When you award the patch to the girl (and enter an A on the Summary page), the numbers decrease.</t>
  </si>
  <si>
    <r>
      <t>C</t>
    </r>
    <r>
      <rPr>
        <sz val="10"/>
        <rFont val="Arial"/>
        <family val="2"/>
      </rPr>
      <t xml:space="preserve"> = Completed Award</t>
    </r>
  </si>
  <si>
    <r>
      <t>P</t>
    </r>
    <r>
      <rPr>
        <sz val="10"/>
        <rFont val="Arial"/>
        <family val="2"/>
      </rPr>
      <t xml:space="preserve"> = Partially Completed Award</t>
    </r>
  </si>
  <si>
    <r>
      <t>A</t>
    </r>
    <r>
      <rPr>
        <sz val="10"/>
        <rFont val="Arial"/>
        <family val="2"/>
      </rPr>
      <t xml:space="preserve"> = Individual Requirement Achieved</t>
    </r>
  </si>
  <si>
    <t>Key</t>
  </si>
  <si>
    <t>Thinking Day</t>
  </si>
  <si>
    <r>
      <t xml:space="preserve">Enter </t>
    </r>
    <r>
      <rPr>
        <b/>
        <sz val="10"/>
        <rFont val="Arial"/>
        <family val="2"/>
      </rPr>
      <t>A</t>
    </r>
    <r>
      <rPr>
        <sz val="10"/>
        <rFont val="Arial"/>
        <family val="2"/>
      </rPr>
      <t xml:space="preserve"> for credit</t>
    </r>
  </si>
  <si>
    <r>
      <t xml:space="preserve">   Enter </t>
    </r>
    <r>
      <rPr>
        <b/>
        <sz val="10"/>
        <rFont val="Arial"/>
        <family val="2"/>
      </rPr>
      <t>A</t>
    </r>
    <r>
      <rPr>
        <sz val="10"/>
        <rFont val="Arial"/>
        <family val="2"/>
      </rPr>
      <t xml:space="preserve"> for credit</t>
    </r>
  </si>
  <si>
    <t>Service Unit:</t>
  </si>
  <si>
    <t>Troop:</t>
  </si>
  <si>
    <t>2.  You have my permission to post this spreadsheet on any server willing to host it.  I will, however, ask that if you DO post this spreadsheet on a server somewhere, that you occasionally check back to the two main site that will host this sheet to check for updates (to make sure you have the latest version available.  
The site is:</t>
  </si>
  <si>
    <t>Investiture &amp; Rededication Patches</t>
  </si>
  <si>
    <t>Cookies</t>
  </si>
  <si>
    <t>Journey Awards</t>
  </si>
  <si>
    <t>Immediately after you download:</t>
  </si>
  <si>
    <t>You must save your spreadsheet to your hard drive.  If you don't, it won't let you propogate the names throughout the spreadsheet, and it will act as though the spreadsheet is read-only.</t>
  </si>
  <si>
    <t>The Registration page:</t>
  </si>
  <si>
    <t>The Registration page is there to give you some help in remembering who has given you their registration papers, health history, paid their money to your council and your service unit.  This will not spread anywhere else on the sheet.  
For the leader names, simply click on the names to change your leaders' names.</t>
  </si>
  <si>
    <t>The Attendance page is used to help you keep track of who was present at various events, such as Meetings, Campouts, etc.</t>
  </si>
  <si>
    <t>Enter amount
   received</t>
  </si>
  <si>
    <t>The Dues page:</t>
  </si>
  <si>
    <t>Enter dues as you receive them.  The sheet is set up for you to record money.  Simply type in what they were able to contribute.</t>
  </si>
  <si>
    <t>Fall Sales</t>
  </si>
  <si>
    <t>Patches</t>
  </si>
  <si>
    <t>Quantity</t>
  </si>
  <si>
    <t>girl's email</t>
  </si>
  <si>
    <t>Service Unit</t>
  </si>
  <si>
    <t>Troop</t>
  </si>
  <si>
    <t>Legacy</t>
  </si>
  <si>
    <t>Financial Literacy</t>
  </si>
  <si>
    <t>Cookie Business</t>
  </si>
  <si>
    <t>Cookie Rally (Year 1)</t>
  </si>
  <si>
    <t>Cookie Sales (Year 1)</t>
  </si>
  <si>
    <t>Cookie Pin (Year 1)</t>
  </si>
  <si>
    <t>Cookie Rally (Year 2)</t>
  </si>
  <si>
    <t>Cookie Sales (Year 2)</t>
  </si>
  <si>
    <t>Cookie Pin (Year 2)</t>
  </si>
  <si>
    <t>Fall Sales (Year 1)</t>
  </si>
  <si>
    <t>Fall Sales (Year 2)</t>
  </si>
  <si>
    <t>Thinking Day (Year 1)</t>
  </si>
  <si>
    <t>Thinking Day (Year 2)</t>
  </si>
  <si>
    <t>Rededication (1st year)</t>
  </si>
  <si>
    <t>Rededication (2nd year)</t>
  </si>
  <si>
    <r>
      <t xml:space="preserve">My Promise, My Faith </t>
    </r>
    <r>
      <rPr>
        <sz val="10"/>
        <rFont val="Arial"/>
        <family val="2"/>
      </rPr>
      <t>(Year 1)</t>
    </r>
  </si>
  <si>
    <t>Choose one line from the Law</t>
  </si>
  <si>
    <t>Find a woman in your community</t>
  </si>
  <si>
    <t>Gather three inspirational quotes</t>
  </si>
  <si>
    <t>Make something to remind you</t>
  </si>
  <si>
    <r>
      <t xml:space="preserve">My Promise, My Faith </t>
    </r>
    <r>
      <rPr>
        <sz val="10"/>
        <rFont val="Arial"/>
        <family val="2"/>
      </rPr>
      <t>(Year 2)</t>
    </r>
  </si>
  <si>
    <t xml:space="preserve">Make a commitment to live what </t>
  </si>
  <si>
    <t>Global Action award</t>
  </si>
  <si>
    <t>Global Action Award</t>
  </si>
  <si>
    <t>International Friendship Recognition pin</t>
  </si>
  <si>
    <t>International Friendship Recognition</t>
  </si>
  <si>
    <t>Pass It On!</t>
  </si>
  <si>
    <t>Look Ahead!</t>
  </si>
  <si>
    <t>Plan a Ceremony</t>
  </si>
  <si>
    <t>Every step has three choices. Do ONE choice to complete each step.</t>
  </si>
  <si>
    <t>Age-Level Awards</t>
  </si>
  <si>
    <t>(do all five)</t>
  </si>
  <si>
    <t>Safety Award</t>
  </si>
  <si>
    <t>Badges Summary                  Total:</t>
  </si>
  <si>
    <t>Council's Own</t>
  </si>
  <si>
    <t xml:space="preserve">(P)artial or (C)ompleted:  </t>
  </si>
  <si>
    <t>Age-Level Patches</t>
  </si>
  <si>
    <t>&lt;&lt;List Badge Here&gt;&gt;</t>
  </si>
  <si>
    <t>&lt;List Requirement Here&gt;</t>
  </si>
  <si>
    <t xml:space="preserve">  These I modeled after all the others.  If you can attain a picture, you may paste it in the space to the left of the name. You will enter the name of the badge, and all the requirements under the name. I've left the comments open so that you may enter the specific requirements here. Everything will transfer through to all the other necessary sheets.
  The status portion is set the same at 1 step for each requirements to complete.  You may change if you know how, otherwise, just enter the A's if they're done.</t>
  </si>
  <si>
    <t>Serve for one full term in a leadership</t>
  </si>
  <si>
    <t>World Thinking Day</t>
  </si>
  <si>
    <t>Age-Level Awards (cont'd)</t>
  </si>
  <si>
    <t>Make sticky-note comics</t>
  </si>
  <si>
    <t>Journey Summit Pin</t>
  </si>
  <si>
    <r>
      <t xml:space="preserve">Enter </t>
    </r>
    <r>
      <rPr>
        <b/>
        <sz val="10"/>
        <rFont val="Arial"/>
        <family val="2"/>
      </rPr>
      <t>Y</t>
    </r>
    <r>
      <rPr>
        <sz val="10"/>
        <rFont val="Arial"/>
        <family val="2"/>
      </rPr>
      <t xml:space="preserve"> for yes when you have presented the award</t>
    </r>
  </si>
  <si>
    <t>Learn how to make a room safe for a</t>
  </si>
  <si>
    <t>Find out about water safety</t>
  </si>
  <si>
    <t>Teach a Daisy or Brownie what to do if</t>
  </si>
  <si>
    <t>With your family, make sure you have</t>
  </si>
  <si>
    <t>Discuss bullying with your Girl Scout</t>
  </si>
  <si>
    <t>]</t>
  </si>
  <si>
    <t>Photography</t>
  </si>
  <si>
    <t>Coaching</t>
  </si>
  <si>
    <t>Public Policy</t>
  </si>
  <si>
    <t>Dinner Party</t>
  </si>
  <si>
    <t>Ambassador First Aid</t>
  </si>
  <si>
    <t>Ambassador Girl Scout Way</t>
  </si>
  <si>
    <t>Water</t>
  </si>
  <si>
    <t>On My Own</t>
  </si>
  <si>
    <t>Good Credit</t>
  </si>
  <si>
    <t>Research and Development</t>
  </si>
  <si>
    <t>P &amp; L</t>
  </si>
  <si>
    <t>Expore the power of photography</t>
  </si>
  <si>
    <t>Tell a story with photography</t>
  </si>
  <si>
    <t>Focus on composition</t>
  </si>
  <si>
    <t>Focus on light</t>
  </si>
  <si>
    <t>Focus on motion</t>
  </si>
  <si>
    <t>Go to a photography exhibit</t>
  </si>
  <si>
    <t>Create a photography timeline.</t>
  </si>
  <si>
    <t>Capture a day in the life</t>
  </si>
  <si>
    <t>Take 5 photos form a different</t>
  </si>
  <si>
    <t>Photograph weather patterns</t>
  </si>
  <si>
    <t>Invite friends to a shoot day</t>
  </si>
  <si>
    <t>Capture the same person or object</t>
  </si>
  <si>
    <t>Grow your image</t>
  </si>
  <si>
    <t>Take photos of faces in motion</t>
  </si>
  <si>
    <t>Take photos of objects in motion</t>
  </si>
  <si>
    <t xml:space="preserve">Take photos of a group </t>
  </si>
  <si>
    <t>Stage a photo exhibit</t>
  </si>
  <si>
    <t>Make a digital slide show</t>
  </si>
  <si>
    <t>Create a photo album or scrapbook</t>
  </si>
  <si>
    <t>Begin to outline your coaching strategy</t>
  </si>
  <si>
    <t>Conduct a first assessment</t>
  </si>
  <si>
    <t>Design your coaching plan</t>
  </si>
  <si>
    <t>Put your plan in action</t>
  </si>
  <si>
    <t>Attend the big event</t>
  </si>
  <si>
    <t>Talk to a great coach</t>
  </si>
  <si>
    <t>Watch three sports documentaries</t>
  </si>
  <si>
    <t>Attend a coaching clinic or seminar</t>
  </si>
  <si>
    <t>Prepare individual questionaires</t>
  </si>
  <si>
    <t>Host an initial session</t>
  </si>
  <si>
    <t>Prepare a goal chart together</t>
  </si>
  <si>
    <t>Open and close each session</t>
  </si>
  <si>
    <t>Research and choose</t>
  </si>
  <si>
    <t xml:space="preserve">Design a special warm-up </t>
  </si>
  <si>
    <t>Ask your players to coach you!</t>
  </si>
  <si>
    <t xml:space="preserve">Bring in another coah to watch </t>
  </si>
  <si>
    <t>Ambassador Volunteer in Training</t>
  </si>
  <si>
    <t>Ambassador Service to Girl Scouting bar</t>
  </si>
  <si>
    <t>Ambassador Community Service bar</t>
  </si>
  <si>
    <t>Gold Torch Award</t>
  </si>
  <si>
    <t>Complete one Ambassador Leadership</t>
  </si>
  <si>
    <t>Find a Mentor</t>
  </si>
  <si>
    <t xml:space="preserve">Create and implement a thoughtful </t>
  </si>
  <si>
    <t>Complete a council-designed</t>
  </si>
  <si>
    <t>Choose an organizaton and complete</t>
  </si>
  <si>
    <t>Your Voice, Your World: The Power of Advocacy</t>
  </si>
  <si>
    <t>The Girl Scout Advocate Award</t>
  </si>
  <si>
    <t>Eight steps to advocacy</t>
  </si>
  <si>
    <t>Explore</t>
  </si>
  <si>
    <t>Engage</t>
  </si>
  <si>
    <t>It's Your Planet -- Love It!</t>
  </si>
  <si>
    <t>JUSTICE</t>
  </si>
  <si>
    <t>Sage Award</t>
  </si>
  <si>
    <t>LOOK HIGH, LOOK WIDE</t>
  </si>
  <si>
    <t>DO the MATH</t>
  </si>
  <si>
    <t>Be HAWK-EYED</t>
  </si>
  <si>
    <t>Take the SCIENTIFIC View</t>
  </si>
  <si>
    <t>DECIPHER Decisions</t>
  </si>
  <si>
    <t>Write Your Equation &amp; PRESENT It</t>
  </si>
  <si>
    <t>BLISS: Live it! Give It!</t>
  </si>
  <si>
    <t>Dream Maker Award</t>
  </si>
  <si>
    <t>Meet Successful Dreamers</t>
  </si>
  <si>
    <t>Seek and Select a Dreamer(s)</t>
  </si>
  <si>
    <t>Define the Dream</t>
  </si>
  <si>
    <t>Give It! Gift It!</t>
  </si>
  <si>
    <t xml:space="preserve">Share with a group of Seniors your </t>
  </si>
  <si>
    <t xml:space="preserve">Inspire younger girls by helping them </t>
  </si>
  <si>
    <t xml:space="preserve">Get together with a Girl Scout adult. </t>
  </si>
  <si>
    <t>Hold an appriciation breakfast of lunch</t>
  </si>
  <si>
    <t>Create a slide show of your best</t>
  </si>
  <si>
    <t>For Girls 14-18</t>
  </si>
  <si>
    <t>Choose an issue</t>
  </si>
  <si>
    <t>Investigate</t>
  </si>
  <si>
    <t>Get help</t>
  </si>
  <si>
    <t>Create a plan</t>
  </si>
  <si>
    <t>Present your plan and get feedback</t>
  </si>
  <si>
    <t>Take action</t>
  </si>
  <si>
    <t>Educate and inspire</t>
  </si>
  <si>
    <r>
      <t xml:space="preserve">First, I wouldn't recommend unprotecting the spreadsheet.  It has been locked for your protection.  Basically, it has been locked to keep you from messing up the formulas.  It's designed as such that if you are getting a message telling you that a cell is protected, then you are trying to type in the wrong box.  But if you must know, the password is:  </t>
    </r>
    <r>
      <rPr>
        <b/>
        <sz val="10"/>
        <rFont val="Arial"/>
        <family val="2"/>
      </rPr>
      <t>ambassador</t>
    </r>
  </si>
  <si>
    <t>Bridging to Adults</t>
  </si>
  <si>
    <t>Add a morale-boosting time-out</t>
  </si>
  <si>
    <t>Host a celebration</t>
  </si>
  <si>
    <t>Make a "trading card" for each athlete</t>
  </si>
  <si>
    <t>Meet with your players for a relaxing</t>
  </si>
  <si>
    <t>Engage as a global citizen</t>
  </si>
  <si>
    <t>Dig into national or state public policy</t>
  </si>
  <si>
    <t>See public policy creation in action</t>
  </si>
  <si>
    <t>Create your menu</t>
  </si>
  <si>
    <t>Make a budget and shopping list</t>
  </si>
  <si>
    <t>Practice timing your courses</t>
  </si>
  <si>
    <t>Explore imaginative ways to present food</t>
  </si>
  <si>
    <t>Host your party</t>
  </si>
  <si>
    <t>Learn how to deal with medical emergencies in the winderness</t>
  </si>
  <si>
    <t>Research careers that save lives in extreme conditions</t>
  </si>
  <si>
    <t>Find out how to care for a critically injured person</t>
  </si>
  <si>
    <t>Know how to move an injured person</t>
  </si>
  <si>
    <t>Explore real-life examples for handling wilderness emergencies</t>
  </si>
  <si>
    <t>Use song to bring people together or to spread a message</t>
  </si>
  <si>
    <t>Celebrate World Thinking Day</t>
  </si>
  <si>
    <t>Share sisterhood around the world</t>
  </si>
  <si>
    <t>Leave your wolrd better than you found it</t>
  </si>
  <si>
    <t>Enjoy Girl Scout traditions!</t>
  </si>
  <si>
    <t>Have fun reflecting on your relationship with water</t>
  </si>
  <si>
    <t>Celebrate water art-and create your own</t>
  </si>
  <si>
    <t>Find out about water issues</t>
  </si>
  <si>
    <t>Explore water solutions</t>
  </si>
  <si>
    <t>Educate and insipire others with a splash</t>
  </si>
  <si>
    <t>Plan for where you'll live</t>
  </si>
  <si>
    <t>Plan for your daily needs</t>
  </si>
  <si>
    <t>Plan for having fun</t>
  </si>
  <si>
    <t>Plan for the unexpected</t>
  </si>
  <si>
    <t>Plan for sharing with others</t>
  </si>
  <si>
    <t>Get the scoop on credit scores</t>
  </si>
  <si>
    <t>Find out how bank loans work</t>
  </si>
  <si>
    <t>Learn the ins and outs of credit cards</t>
  </si>
  <si>
    <t>Gather real-life borrowing stories</t>
  </si>
  <si>
    <t>Write your own credit commitment</t>
  </si>
  <si>
    <t>Analyze sales trends</t>
  </si>
  <si>
    <t>Reasearch how other companies innovate</t>
  </si>
  <si>
    <t>Find out how companies use R&amp;D to improve their products</t>
  </si>
  <si>
    <t>Expolore possible projects during your cookie sale</t>
  </si>
  <si>
    <t>Develop a fun, new way to use Girl Scout Cookies</t>
  </si>
  <si>
    <t>Find out more about business ethics</t>
  </si>
  <si>
    <t>Create your own Cookie Promise</t>
  </si>
  <si>
    <t>Teach younger Girl Scouts about the business ethics of the cookie sale</t>
  </si>
  <si>
    <t>Leave a legacy</t>
  </si>
  <si>
    <t>Find out how activitists advocate for change</t>
  </si>
  <si>
    <t>Interview an activist</t>
  </si>
  <si>
    <t>Watch a documentary or movie</t>
  </si>
  <si>
    <t xml:space="preserve">Read about women who change the </t>
  </si>
  <si>
    <t>Compare laws</t>
  </si>
  <si>
    <t xml:space="preserve">Track a public-policy issue being </t>
  </si>
  <si>
    <t>Explore an international NGO</t>
  </si>
  <si>
    <t>Track your issue</t>
  </si>
  <si>
    <t>Talk to an interest gorup that promotes</t>
  </si>
  <si>
    <t>Compare three different states' positions</t>
  </si>
  <si>
    <t>Explore local or community policy</t>
  </si>
  <si>
    <t>Attend a meeting</t>
  </si>
  <si>
    <t>Compare different local positions</t>
  </si>
  <si>
    <t>Visit your local legislator's office</t>
  </si>
  <si>
    <t>Shadow a policy-maker</t>
  </si>
  <si>
    <t>Volunteer at an office</t>
  </si>
  <si>
    <t>Interview a policy-maker</t>
  </si>
  <si>
    <t>Business ethics</t>
  </si>
  <si>
    <t>Most companies offer a business pledge</t>
  </si>
  <si>
    <t>Pass your customer list on</t>
  </si>
  <si>
    <t>If you've been selling Girl Scout Cookies</t>
  </si>
  <si>
    <t>Based on grade level</t>
  </si>
  <si>
    <t>How will you be remembered</t>
  </si>
  <si>
    <t>Invest some R&amp;D</t>
  </si>
  <si>
    <t>Find at least three other companies</t>
  </si>
  <si>
    <t>Developing a new product</t>
  </si>
  <si>
    <t>If you're considering serveral</t>
  </si>
  <si>
    <t xml:space="preserve">R&amp;D can be more </t>
  </si>
  <si>
    <t>Share favorite things you did on a</t>
  </si>
  <si>
    <t>Bridge to Adult Girl Scouts</t>
  </si>
  <si>
    <t>Collect recipes from cooking shows</t>
  </si>
  <si>
    <t>Build a men around your favorite</t>
  </si>
  <si>
    <t>Camparison shop</t>
  </si>
  <si>
    <t>Consult with a professional chef</t>
  </si>
  <si>
    <t>Learn about alternative ways to shop</t>
  </si>
  <si>
    <t>Get tips fromo food professionals</t>
  </si>
  <si>
    <t>Make a menu timeline</t>
  </si>
  <si>
    <t>Prepare a test meal for family or friends</t>
  </si>
  <si>
    <t>Expreiment with garnishes</t>
  </si>
  <si>
    <t>Present food in interesting shapes</t>
  </si>
  <si>
    <t>Use serving ware in unusual ways</t>
  </si>
  <si>
    <t>Decorate according to your menu theme</t>
  </si>
  <si>
    <t>Celebrate a special occasion</t>
  </si>
  <si>
    <t>Use food and fun to forge new friendships</t>
  </si>
  <si>
    <t>Interview a caterer, event planner, chef</t>
  </si>
  <si>
    <t>Backcountry</t>
  </si>
  <si>
    <t>Open water</t>
  </si>
  <si>
    <t>Mountains</t>
  </si>
  <si>
    <t>Wilderness rescue</t>
  </si>
  <si>
    <t>Disaster preparedness</t>
  </si>
  <si>
    <t>Military medicine</t>
  </si>
  <si>
    <t>Take a wilderness first aid course</t>
  </si>
  <si>
    <t>Interview a doctor, nurse, EMT, or first</t>
  </si>
  <si>
    <t xml:space="preserve">Discover how to use what's on hand in </t>
  </si>
  <si>
    <t>Visit a medical school</t>
  </si>
  <si>
    <t>Organize a mock emergency drill</t>
  </si>
  <si>
    <t>Explore wilderness survival</t>
  </si>
  <si>
    <t>Investigate extreme first aid</t>
  </si>
  <si>
    <t>Interview an everyday hero</t>
  </si>
  <si>
    <t>Take a tour</t>
  </si>
  <si>
    <t>Interview a new tenant or homeowner</t>
  </si>
  <si>
    <t>Be chart smart</t>
  </si>
  <si>
    <t>Focus on your finances</t>
  </si>
  <si>
    <t>Shop talk</t>
  </si>
  <si>
    <t>Audit request</t>
  </si>
  <si>
    <t>Hooray for hobbies!</t>
  </si>
  <si>
    <t>Treat yourself</t>
  </si>
  <si>
    <t>Class act</t>
  </si>
  <si>
    <t>Interview your network</t>
  </si>
  <si>
    <t>Interview a Financial guru</t>
  </si>
  <si>
    <t>Interview an insurance expert</t>
  </si>
  <si>
    <t>Plan for presents</t>
  </si>
  <si>
    <t>Budget for your time</t>
  </si>
  <si>
    <t>Charity starts… with a budget</t>
  </si>
  <si>
    <t>Use music to move people to action</t>
  </si>
  <si>
    <t xml:space="preserve">Ogranize a songfest for younger </t>
  </si>
  <si>
    <t>Bring generations together in song</t>
  </si>
  <si>
    <t>Follow in the steps of female leaders</t>
  </si>
  <si>
    <t>Earn their Word Thinking Day award</t>
  </si>
  <si>
    <t>Make World Thinking Day cards</t>
  </si>
  <si>
    <t>Explore an issue affecting girls and</t>
  </si>
  <si>
    <t>Organize an event on women and STEM</t>
  </si>
  <si>
    <t xml:space="preserve">Find ideas to use your leaderhship </t>
  </si>
  <si>
    <t>Gather ideas to work for a healthy</t>
  </si>
  <si>
    <t>Brainstorm idea for social change</t>
  </si>
  <si>
    <t>Pass down a tradition</t>
  </si>
  <si>
    <t>Start a Girl Scout tradition of your own</t>
  </si>
  <si>
    <t>Share the Girl Scout way by example</t>
  </si>
  <si>
    <t>Interview a global citizen</t>
  </si>
  <si>
    <t>Visit water in its natural state</t>
  </si>
  <si>
    <t>Try a new water skill</t>
  </si>
  <si>
    <t>Enjoy a water activity you already know</t>
  </si>
  <si>
    <t>Delve into water literature</t>
  </si>
  <si>
    <t>Create your own water composition</t>
  </si>
  <si>
    <t xml:space="preserve">Enjoy an exhibit or event that features </t>
  </si>
  <si>
    <t>Visit a water facility and explore its</t>
  </si>
  <si>
    <t>Investigate endangered marine life</t>
  </si>
  <si>
    <t>Investigate water as a hazard</t>
  </si>
  <si>
    <t>Interview a water scientist</t>
  </si>
  <si>
    <t>Explore the world of hydroelectricity</t>
  </si>
  <si>
    <t>Design your own water innovation</t>
  </si>
  <si>
    <t>Celebrate water with younger Girl Scouts</t>
  </si>
  <si>
    <t>Share a water issue that matters to you</t>
  </si>
  <si>
    <t>Guide a group to a water place</t>
  </si>
  <si>
    <t>http://groups.yahoo.com/group/scouttrax/</t>
  </si>
  <si>
    <t>-spreadsheet updated to show ambassador level awards only</t>
  </si>
  <si>
    <t>Do you own research</t>
  </si>
  <si>
    <t>Invite an expert speaker</t>
  </si>
  <si>
    <t>Go on a field trip</t>
  </si>
  <si>
    <t>Learn about student loans</t>
  </si>
  <si>
    <t>Learn about home loans</t>
  </si>
  <si>
    <t>Learn about car loans</t>
  </si>
  <si>
    <t>Study credit card offers</t>
  </si>
  <si>
    <t>Speak with banks</t>
  </si>
  <si>
    <t>Go online</t>
  </si>
  <si>
    <t>Interview an expert</t>
  </si>
  <si>
    <t>Study relevant stories</t>
  </si>
  <si>
    <t>Interview someone who has had a loan</t>
  </si>
  <si>
    <t>Talk to your family</t>
  </si>
  <si>
    <t>Talk with a friend</t>
  </si>
  <si>
    <t>Talk with an expert</t>
  </si>
  <si>
    <r>
      <t xml:space="preserve">Double-Click on the Tabs at the bottom of the page that say "Ambassador 1", "Ambassador 2", etc.  That will highlight the text.  Simply type the girl's </t>
    </r>
    <r>
      <rPr>
        <b/>
        <i/>
        <sz val="10"/>
        <rFont val="Arial"/>
        <family val="2"/>
      </rPr>
      <t>first</t>
    </r>
    <r>
      <rPr>
        <sz val="10"/>
        <rFont val="Arial"/>
        <family val="2"/>
      </rPr>
      <t xml:space="preserve"> name on the tab.  That will cause her name to proliferate throughout the spreadsheet.</t>
    </r>
  </si>
  <si>
    <t>What's the purpose of the individual Ambassador pages?</t>
  </si>
  <si>
    <t>How to enter credit on the Badges, Age-Level, Bridgining and Gold pages:</t>
  </si>
  <si>
    <t>You will never enter any information on the individual Ambassador pages.  Those pages are for you to occasionally print out and hand to the parents.  You can use them to let a parent know what their daughter has and has not completed.  You can also use that page to make homework assignments for the girls.</t>
  </si>
  <si>
    <t xml:space="preserve">Ambassador Trax 2.0 </t>
  </si>
  <si>
    <t>Ambassador Trax 2.1</t>
  </si>
  <si>
    <t>- updated to fix minor inconsistencies</t>
  </si>
  <si>
    <t xml:space="preserve">     The Girl Scout Trax Website:  
OR Yahoo Group:</t>
  </si>
  <si>
    <t>http://trax.boy-scouts.net/gstrax.htm
http://groups.yahoo.com/group/scouttrax/</t>
  </si>
  <si>
    <t>scouttrax@yahoo.com</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</si>
</sst>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quot;$&quot;* #,##0.00_);_(&quot;$&quot;* \(#,##0.00\);_(&quot;$&quot;* &quot;-&quot;??_);_(@_)"/>
    <numFmt numFmtId="164" formatCode="[$-409]mmm\-yy;@"/>
    <numFmt numFmtId="165" formatCode="mm/dd/yy;@"/>
    <numFmt numFmtId="166" formatCode="[&lt;=9999999]###\-####;\(###\)\ ###\-####"/>
  </numFmts>
  <fonts count="64" x14ac:knownFonts="1">
    <font>
      <sz val="10"/>
      <name val="Arial"/>
    </font>
    <font>
      <sz val="10"/>
      <name val="Arial"/>
      <family val="2"/>
    </font>
    <font>
      <sz val="8"/>
      <name val="Arial"/>
      <family val="2"/>
    </font>
    <font>
      <b/>
      <sz val="10"/>
      <name val="Arial"/>
      <family val="2"/>
    </font>
    <font>
      <sz val="10"/>
      <name val="Arial"/>
      <family val="2"/>
    </font>
    <font>
      <b/>
      <sz val="12"/>
      <name val="Arial"/>
      <family val="2"/>
    </font>
    <font>
      <b/>
      <sz val="11"/>
      <name val="Arial"/>
      <family val="2"/>
    </font>
    <font>
      <b/>
      <sz val="8"/>
      <name val="Arial"/>
      <family val="2"/>
    </font>
    <font>
      <sz val="8"/>
      <name val="Arial"/>
      <family val="2"/>
    </font>
    <font>
      <b/>
      <u/>
      <sz val="10"/>
      <name val="Arial"/>
      <family val="2"/>
    </font>
    <font>
      <sz val="9"/>
      <name val="Arial"/>
      <family val="2"/>
    </font>
    <font>
      <u/>
      <sz val="10"/>
      <color indexed="12"/>
      <name val="Arial"/>
      <family val="2"/>
    </font>
    <font>
      <sz val="9"/>
      <name val="Arial"/>
      <family val="2"/>
    </font>
    <font>
      <b/>
      <sz val="9"/>
      <name val="Arial"/>
      <family val="2"/>
    </font>
    <font>
      <b/>
      <sz val="9"/>
      <name val="Arial"/>
      <family val="2"/>
    </font>
    <font>
      <b/>
      <sz val="12"/>
      <color indexed="9"/>
      <name val="Arial"/>
      <family val="2"/>
    </font>
    <font>
      <b/>
      <sz val="10"/>
      <color indexed="9"/>
      <name val="Arial"/>
      <family val="2"/>
    </font>
    <font>
      <sz val="12"/>
      <name val="Arial"/>
      <family val="2"/>
    </font>
    <font>
      <b/>
      <sz val="18"/>
      <name val="Arial"/>
      <family val="2"/>
    </font>
    <font>
      <b/>
      <sz val="14"/>
      <color indexed="9"/>
      <name val="Arial"/>
      <family val="2"/>
    </font>
    <font>
      <sz val="9"/>
      <color indexed="81"/>
      <name val="Tahoma"/>
      <family val="2"/>
    </font>
    <font>
      <sz val="11"/>
      <color indexed="8"/>
      <name val="Verdana"/>
      <family val="2"/>
    </font>
    <font>
      <sz val="7.35"/>
      <color indexed="8"/>
      <name val="Arial"/>
      <family val="2"/>
    </font>
    <font>
      <sz val="10"/>
      <name val="Arial Narrow"/>
      <family val="2"/>
    </font>
    <font>
      <b/>
      <sz val="10"/>
      <name val="Arial"/>
      <family val="2"/>
    </font>
    <font>
      <sz val="10"/>
      <color indexed="20"/>
      <name val="Arial"/>
      <family val="2"/>
    </font>
    <font>
      <b/>
      <sz val="9"/>
      <color indexed="81"/>
      <name val="Tahoma"/>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i/>
      <sz val="10"/>
      <name val="Arial"/>
      <family val="2"/>
    </font>
    <font>
      <sz val="9"/>
      <color theme="0"/>
      <name val="Arial"/>
      <family val="2"/>
    </font>
    <font>
      <sz val="9"/>
      <color indexed="81"/>
      <name val="Wingdings"/>
      <charset val="2"/>
    </font>
    <font>
      <sz val="11"/>
      <name val="Arial"/>
      <family val="2"/>
    </font>
    <font>
      <sz val="8"/>
      <color theme="0"/>
      <name val="Arial"/>
      <family val="2"/>
    </font>
    <font>
      <b/>
      <sz val="8"/>
      <color theme="0"/>
      <name val="Arial"/>
      <family val="2"/>
    </font>
    <font>
      <i/>
      <sz val="8"/>
      <name val="Arial"/>
      <family val="2"/>
    </font>
    <font>
      <b/>
      <sz val="16"/>
      <name val="Arial"/>
      <family val="2"/>
    </font>
    <font>
      <sz val="16"/>
      <name val="Arial"/>
      <family val="2"/>
    </font>
    <font>
      <sz val="12"/>
      <color indexed="9"/>
      <name val="Arial"/>
      <family val="2"/>
    </font>
    <font>
      <sz val="10"/>
      <color theme="0"/>
      <name val="Arial"/>
      <family val="2"/>
    </font>
    <font>
      <sz val="10"/>
      <color rgb="FF7030A0"/>
      <name val="Arial"/>
      <family val="2"/>
    </font>
    <font>
      <sz val="8"/>
      <color indexed="23"/>
      <name val="Verdana"/>
      <family val="2"/>
    </font>
    <font>
      <sz val="8.1999999999999993"/>
      <name val="Arial"/>
      <family val="2"/>
    </font>
    <font>
      <b/>
      <sz val="14"/>
      <color indexed="52"/>
      <name val="Arial"/>
      <family val="2"/>
    </font>
    <font>
      <sz val="10"/>
      <color indexed="52"/>
      <name val="Arial"/>
      <family val="2"/>
    </font>
    <font>
      <sz val="10"/>
      <name val="Verdana"/>
      <family val="2"/>
    </font>
    <font>
      <sz val="10"/>
      <color indexed="81"/>
      <name val="Tahoma"/>
      <family val="2"/>
    </font>
    <font>
      <sz val="8"/>
      <color indexed="81"/>
      <name val="Tahoma"/>
      <family val="2"/>
    </font>
    <font>
      <i/>
      <sz val="9"/>
      <color indexed="81"/>
      <name val="Tahoma"/>
      <family val="2"/>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4"/>
        <bgColor indexed="64"/>
      </patternFill>
    </fill>
    <fill>
      <patternFill patternType="solid">
        <fgColor indexed="22"/>
        <bgColor indexed="64"/>
      </patternFill>
    </fill>
    <fill>
      <patternFill patternType="solid">
        <fgColor indexed="1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6" tint="-0.499984740745262"/>
        <bgColor indexed="64"/>
      </patternFill>
    </fill>
    <fill>
      <patternFill patternType="solid">
        <fgColor rgb="FF7030A0"/>
        <bgColor indexed="64"/>
      </patternFill>
    </fill>
    <fill>
      <patternFill patternType="solid">
        <fgColor theme="0" tint="-0.249977111117893"/>
        <bgColor indexed="64"/>
      </patternFill>
    </fill>
    <fill>
      <patternFill patternType="solid">
        <fgColor indexed="43"/>
        <bgColor indexed="64"/>
      </patternFill>
    </fill>
  </fills>
  <borders count="5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ck">
        <color indexed="64"/>
      </left>
      <right style="double">
        <color indexed="64"/>
      </right>
      <top style="thick">
        <color indexed="64"/>
      </top>
      <bottom style="thin">
        <color indexed="64"/>
      </bottom>
      <diagonal/>
    </border>
    <border>
      <left style="thick">
        <color indexed="64"/>
      </left>
      <right/>
      <top style="thin">
        <color indexed="64"/>
      </top>
      <bottom style="thin">
        <color indexed="64"/>
      </bottom>
      <diagonal/>
    </border>
    <border>
      <left style="thick">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hair">
        <color indexed="64"/>
      </bottom>
      <diagonal/>
    </border>
    <border>
      <left style="thick">
        <color indexed="64"/>
      </left>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style="thin">
        <color indexed="64"/>
      </top>
      <bottom style="dotted">
        <color indexed="64"/>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diagonal/>
    </border>
    <border>
      <left style="thick">
        <color indexed="64"/>
      </left>
      <right style="double">
        <color indexed="64"/>
      </right>
      <top style="thin">
        <color indexed="64"/>
      </top>
      <bottom/>
      <diagonal/>
    </border>
    <border>
      <left/>
      <right style="thick">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ashDot">
        <color indexed="64"/>
      </left>
      <right/>
      <top/>
      <bottom/>
      <diagonal/>
    </border>
    <border>
      <left style="dashDot">
        <color indexed="64"/>
      </left>
      <right/>
      <top/>
      <bottom style="thin">
        <color indexed="64"/>
      </bottom>
      <diagonal/>
    </border>
    <border>
      <left style="thin">
        <color indexed="64"/>
      </left>
      <right style="thin">
        <color indexed="64"/>
      </right>
      <top/>
      <bottom/>
      <diagonal/>
    </border>
    <border>
      <left style="double">
        <color indexed="64"/>
      </left>
      <right style="double">
        <color indexed="64"/>
      </right>
      <top style="thick">
        <color indexed="64"/>
      </top>
      <bottom style="thin">
        <color indexed="64"/>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ck">
        <color indexed="64"/>
      </right>
      <top style="thin">
        <color indexed="64"/>
      </top>
      <bottom style="dotted">
        <color indexed="64"/>
      </bottom>
      <diagonal/>
    </border>
    <border>
      <left style="thin">
        <color indexed="64"/>
      </left>
      <right style="thin">
        <color indexed="64"/>
      </right>
      <top style="thin">
        <color indexed="64"/>
      </top>
      <bottom style="medium">
        <color indexed="64"/>
      </bottom>
      <diagonal/>
    </border>
  </borders>
  <cellStyleXfs count="45">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5" borderId="0" applyNumberFormat="0" applyBorder="0" applyAlignment="0" applyProtection="0"/>
    <xf numFmtId="0" fontId="27" fillId="8" borderId="0" applyNumberFormat="0" applyBorder="0" applyAlignment="0" applyProtection="0"/>
    <xf numFmtId="0" fontId="27" fillId="11" borderId="0" applyNumberFormat="0" applyBorder="0" applyAlignment="0" applyProtection="0"/>
    <xf numFmtId="0" fontId="28" fillId="12" borderId="0" applyNumberFormat="0" applyBorder="0" applyAlignment="0" applyProtection="0"/>
    <xf numFmtId="0" fontId="28" fillId="9" borderId="0" applyNumberFormat="0" applyBorder="0" applyAlignment="0" applyProtection="0"/>
    <xf numFmtId="0" fontId="28" fillId="10" borderId="0" applyNumberFormat="0" applyBorder="0" applyAlignment="0" applyProtection="0"/>
    <xf numFmtId="0" fontId="28"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3" borderId="0" applyNumberFormat="0" applyBorder="0" applyAlignment="0" applyProtection="0"/>
    <xf numFmtId="0" fontId="28" fillId="14" borderId="0" applyNumberFormat="0" applyBorder="0" applyAlignment="0" applyProtection="0"/>
    <xf numFmtId="0" fontId="28" fillId="19" borderId="0" applyNumberFormat="0" applyBorder="0" applyAlignment="0" applyProtection="0"/>
    <xf numFmtId="0" fontId="29" fillId="3" borderId="0" applyNumberFormat="0" applyBorder="0" applyAlignment="0" applyProtection="0"/>
    <xf numFmtId="0" fontId="30" fillId="20" borderId="1" applyNumberFormat="0" applyAlignment="0" applyProtection="0"/>
    <xf numFmtId="0" fontId="31" fillId="21" borderId="2" applyNumberFormat="0" applyAlignment="0" applyProtection="0"/>
    <xf numFmtId="44" fontId="1" fillId="0" borderId="0" applyFont="0" applyFill="0" applyBorder="0" applyAlignment="0" applyProtection="0"/>
    <xf numFmtId="0" fontId="32" fillId="0" borderId="0" applyNumberFormat="0" applyFill="0" applyBorder="0" applyAlignment="0" applyProtection="0"/>
    <xf numFmtId="0" fontId="33" fillId="4" borderId="0" applyNumberFormat="0" applyBorder="0" applyAlignment="0" applyProtection="0"/>
    <xf numFmtId="0" fontId="34" fillId="0" borderId="3" applyNumberFormat="0" applyFill="0" applyAlignment="0" applyProtection="0"/>
    <xf numFmtId="0" fontId="35" fillId="0" borderId="4" applyNumberFormat="0" applyFill="0" applyAlignment="0" applyProtection="0"/>
    <xf numFmtId="0" fontId="36" fillId="0" borderId="5" applyNumberFormat="0" applyFill="0" applyAlignment="0" applyProtection="0"/>
    <xf numFmtId="0" fontId="36" fillId="0" borderId="0" applyNumberFormat="0" applyFill="0" applyBorder="0" applyAlignment="0" applyProtection="0"/>
    <xf numFmtId="0" fontId="11" fillId="0" borderId="0" applyNumberFormat="0" applyFill="0" applyBorder="0" applyAlignment="0" applyProtection="0">
      <alignment vertical="top"/>
      <protection locked="0"/>
    </xf>
    <xf numFmtId="0" fontId="37" fillId="7" borderId="1" applyNumberFormat="0" applyAlignment="0" applyProtection="0"/>
    <xf numFmtId="0" fontId="38" fillId="0" borderId="6" applyNumberFormat="0" applyFill="0" applyAlignment="0" applyProtection="0"/>
    <xf numFmtId="0" fontId="39" fillId="22" borderId="0" applyNumberFormat="0" applyBorder="0" applyAlignment="0" applyProtection="0"/>
    <xf numFmtId="0" fontId="1" fillId="23" borderId="7" applyNumberFormat="0" applyFont="0" applyAlignment="0" applyProtection="0"/>
    <xf numFmtId="0" fontId="40" fillId="20" borderId="8" applyNumberFormat="0" applyAlignment="0" applyProtection="0"/>
    <xf numFmtId="0" fontId="41" fillId="0" borderId="0" applyNumberFormat="0" applyFill="0" applyBorder="0" applyAlignment="0" applyProtection="0"/>
    <xf numFmtId="0" fontId="42" fillId="0" borderId="9" applyNumberFormat="0" applyFill="0" applyAlignment="0" applyProtection="0"/>
    <xf numFmtId="0" fontId="43" fillId="0" borderId="0" applyNumberFormat="0" applyFill="0" applyBorder="0" applyAlignment="0" applyProtection="0"/>
    <xf numFmtId="0" fontId="1" fillId="0" borderId="0"/>
  </cellStyleXfs>
  <cellXfs count="526">
    <xf numFmtId="0" fontId="0" fillId="0" borderId="0" xfId="0"/>
    <xf numFmtId="0" fontId="3" fillId="0" borderId="0" xfId="0" applyFont="1"/>
    <xf numFmtId="0" fontId="0" fillId="0" borderId="10" xfId="0" applyBorder="1" applyAlignment="1">
      <alignment horizontal="right"/>
    </xf>
    <xf numFmtId="0" fontId="0" fillId="0" borderId="0" xfId="0" applyBorder="1"/>
    <xf numFmtId="0" fontId="3" fillId="0" borderId="0" xfId="0" applyFont="1" applyBorder="1" applyAlignment="1">
      <alignment horizontal="right"/>
    </xf>
    <xf numFmtId="0" fontId="0" fillId="0" borderId="0" xfId="0" applyBorder="1" applyProtection="1"/>
    <xf numFmtId="0" fontId="0" fillId="0" borderId="0" xfId="0" applyProtection="1"/>
    <xf numFmtId="0" fontId="4" fillId="0" borderId="0" xfId="0" applyFont="1"/>
    <xf numFmtId="0" fontId="0" fillId="0" borderId="0" xfId="0" applyAlignment="1">
      <alignment wrapText="1"/>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3" fillId="0" borderId="14" xfId="0" applyFont="1" applyBorder="1" applyAlignment="1">
      <alignment horizontal="center"/>
    </xf>
    <xf numFmtId="0" fontId="0" fillId="0" borderId="0" xfId="0" quotePrefix="1"/>
    <xf numFmtId="0" fontId="0" fillId="0" borderId="0" xfId="0" applyAlignment="1">
      <alignment horizontal="left" vertical="top" wrapText="1"/>
    </xf>
    <xf numFmtId="0" fontId="3" fillId="0" borderId="0" xfId="0" applyFont="1" applyBorder="1" applyAlignment="1"/>
    <xf numFmtId="0" fontId="0" fillId="0" borderId="12" xfId="0" applyFill="1" applyBorder="1" applyAlignment="1" applyProtection="1">
      <alignment horizontal="center"/>
      <protection locked="0"/>
    </xf>
    <xf numFmtId="0" fontId="3" fillId="0" borderId="15" xfId="0" applyFont="1" applyBorder="1" applyAlignment="1">
      <alignment horizontal="right"/>
    </xf>
    <xf numFmtId="0" fontId="0" fillId="0" borderId="10" xfId="0" applyBorder="1" applyProtection="1">
      <protection locked="0"/>
    </xf>
    <xf numFmtId="0" fontId="0" fillId="0" borderId="16" xfId="0" applyBorder="1" applyProtection="1">
      <protection locked="0"/>
    </xf>
    <xf numFmtId="0" fontId="0" fillId="0" borderId="0" xfId="0" applyBorder="1" applyProtection="1">
      <protection locked="0"/>
    </xf>
    <xf numFmtId="0" fontId="0" fillId="0" borderId="15" xfId="0" applyBorder="1" applyProtection="1">
      <protection locked="0"/>
    </xf>
    <xf numFmtId="0" fontId="0" fillId="0" borderId="12" xfId="0" applyBorder="1" applyAlignment="1" applyProtection="1">
      <alignment horizontal="left"/>
      <protection locked="0"/>
    </xf>
    <xf numFmtId="0" fontId="4" fillId="0" borderId="12" xfId="0" applyFont="1" applyBorder="1" applyAlignment="1" applyProtection="1">
      <alignment horizontal="center"/>
      <protection locked="0"/>
    </xf>
    <xf numFmtId="0" fontId="0" fillId="0" borderId="12" xfId="0" applyBorder="1" applyProtection="1">
      <protection locked="0"/>
    </xf>
    <xf numFmtId="0" fontId="0" fillId="0" borderId="17" xfId="0" applyBorder="1" applyAlignment="1" applyProtection="1">
      <protection locked="0"/>
    </xf>
    <xf numFmtId="0" fontId="0" fillId="0" borderId="17" xfId="0" applyBorder="1" applyAlignment="1" applyProtection="1">
      <alignment horizontal="left"/>
      <protection locked="0"/>
    </xf>
    <xf numFmtId="0" fontId="0" fillId="0" borderId="17" xfId="0" applyFill="1" applyBorder="1" applyAlignment="1" applyProtection="1">
      <alignment horizontal="left"/>
      <protection locked="0"/>
    </xf>
    <xf numFmtId="0" fontId="10" fillId="0" borderId="17" xfId="0" applyFont="1" applyFill="1" applyBorder="1" applyAlignment="1" applyProtection="1">
      <alignment horizontal="left"/>
      <protection locked="0"/>
    </xf>
    <xf numFmtId="0" fontId="1" fillId="0" borderId="17" xfId="0" applyFont="1" applyBorder="1" applyAlignment="1" applyProtection="1">
      <alignment horizontal="left"/>
      <protection locked="0"/>
    </xf>
    <xf numFmtId="0" fontId="10" fillId="0" borderId="17" xfId="0" applyFont="1" applyBorder="1" applyAlignment="1" applyProtection="1">
      <alignment horizontal="left"/>
      <protection locked="0"/>
    </xf>
    <xf numFmtId="0" fontId="0" fillId="0" borderId="18" xfId="0" applyBorder="1" applyAlignment="1" applyProtection="1">
      <alignment horizontal="left"/>
      <protection locked="0"/>
    </xf>
    <xf numFmtId="0" fontId="0" fillId="0" borderId="18" xfId="0" applyBorder="1" applyProtection="1">
      <protection locked="0"/>
    </xf>
    <xf numFmtId="165" fontId="4" fillId="0" borderId="12" xfId="0" applyNumberFormat="1" applyFont="1" applyFill="1" applyBorder="1" applyAlignment="1" applyProtection="1">
      <alignment horizontal="center"/>
      <protection locked="0"/>
    </xf>
    <xf numFmtId="0" fontId="10" fillId="0" borderId="12" xfId="0" applyFont="1" applyBorder="1" applyAlignment="1" applyProtection="1">
      <alignment horizontal="center"/>
      <protection locked="0"/>
    </xf>
    <xf numFmtId="14" fontId="3" fillId="0" borderId="0" xfId="0" applyNumberFormat="1" applyFont="1" applyAlignment="1" applyProtection="1">
      <alignment horizontal="center" textRotation="90"/>
    </xf>
    <xf numFmtId="14" fontId="0" fillId="0" borderId="0" xfId="0" applyNumberFormat="1" applyAlignment="1" applyProtection="1">
      <alignment horizontal="left"/>
    </xf>
    <xf numFmtId="0" fontId="4" fillId="0" borderId="0" xfId="0" applyFont="1" applyAlignment="1" applyProtection="1">
      <alignment horizontal="center"/>
      <protection locked="0"/>
    </xf>
    <xf numFmtId="0" fontId="0" fillId="0" borderId="15" xfId="0" applyBorder="1" applyProtection="1"/>
    <xf numFmtId="0" fontId="5" fillId="0" borderId="0" xfId="0" quotePrefix="1" applyFont="1"/>
    <xf numFmtId="0" fontId="5" fillId="0" borderId="0" xfId="0" applyFont="1" applyProtection="1">
      <protection locked="0"/>
    </xf>
    <xf numFmtId="14" fontId="0" fillId="0" borderId="0" xfId="0" applyNumberFormat="1" applyAlignment="1" applyProtection="1">
      <alignment horizontal="left"/>
      <protection locked="0"/>
    </xf>
    <xf numFmtId="0" fontId="0" fillId="0" borderId="0" xfId="0" applyAlignment="1" applyProtection="1">
      <alignment horizontal="left"/>
      <protection locked="0"/>
    </xf>
    <xf numFmtId="0" fontId="0" fillId="25" borderId="20" xfId="0" applyFill="1" applyBorder="1" applyAlignment="1" applyProtection="1">
      <alignment horizontal="center"/>
    </xf>
    <xf numFmtId="0" fontId="0" fillId="25" borderId="11" xfId="0" applyFill="1" applyBorder="1" applyAlignment="1" applyProtection="1">
      <alignment horizontal="center"/>
    </xf>
    <xf numFmtId="0" fontId="0" fillId="25" borderId="21" xfId="0" applyFill="1" applyBorder="1" applyAlignment="1" applyProtection="1">
      <alignment horizontal="center"/>
    </xf>
    <xf numFmtId="0" fontId="0" fillId="25" borderId="15" xfId="0" applyFill="1" applyBorder="1" applyAlignment="1" applyProtection="1">
      <alignment horizontal="center"/>
    </xf>
    <xf numFmtId="0" fontId="0" fillId="0" borderId="0" xfId="0" applyBorder="1" applyAlignment="1" applyProtection="1">
      <alignment horizontal="center"/>
    </xf>
    <xf numFmtId="0" fontId="4" fillId="0" borderId="0" xfId="0" applyFont="1" applyAlignment="1">
      <alignment horizontal="right"/>
    </xf>
    <xf numFmtId="0" fontId="4" fillId="0" borderId="0" xfId="0" applyFont="1" applyProtection="1">
      <protection locked="0"/>
    </xf>
    <xf numFmtId="0" fontId="4" fillId="0" borderId="0" xfId="0" applyFont="1" applyBorder="1" applyProtection="1"/>
    <xf numFmtId="0" fontId="10" fillId="0" borderId="12" xfId="0" applyFont="1" applyBorder="1" applyAlignment="1" applyProtection="1">
      <alignment horizontal="center" vertical="top"/>
      <protection locked="0"/>
    </xf>
    <xf numFmtId="0" fontId="0" fillId="0" borderId="12" xfId="0" applyBorder="1"/>
    <xf numFmtId="0" fontId="3" fillId="0" borderId="0" xfId="0" applyFont="1" applyAlignment="1"/>
    <xf numFmtId="0" fontId="5" fillId="0" borderId="24" xfId="0" applyFont="1" applyBorder="1" applyAlignment="1" applyProtection="1">
      <alignment horizontal="center" vertical="center" wrapText="1"/>
    </xf>
    <xf numFmtId="0" fontId="3" fillId="0" borderId="25" xfId="0" applyFont="1" applyBorder="1" applyAlignment="1" applyProtection="1">
      <alignment horizontal="left"/>
    </xf>
    <xf numFmtId="0" fontId="0" fillId="0" borderId="0" xfId="0" applyAlignment="1">
      <alignment horizontal="left" wrapText="1"/>
    </xf>
    <xf numFmtId="0" fontId="1" fillId="0" borderId="27" xfId="0" applyFont="1" applyFill="1" applyBorder="1" applyAlignment="1" applyProtection="1">
      <alignment horizontal="center" textRotation="90"/>
    </xf>
    <xf numFmtId="0" fontId="1" fillId="0" borderId="28" xfId="0" applyFont="1" applyBorder="1" applyAlignment="1" applyProtection="1">
      <alignment horizontal="center" textRotation="90"/>
    </xf>
    <xf numFmtId="0" fontId="1" fillId="0" borderId="17" xfId="0" applyFont="1" applyBorder="1" applyAlignment="1" applyProtection="1">
      <alignment horizontal="center"/>
    </xf>
    <xf numFmtId="0" fontId="3" fillId="0" borderId="30" xfId="0" applyFont="1" applyBorder="1" applyAlignment="1" applyProtection="1">
      <alignment horizontal="left"/>
    </xf>
    <xf numFmtId="0" fontId="3" fillId="0" borderId="0" xfId="0" applyFont="1" applyAlignment="1">
      <alignment horizontal="left"/>
    </xf>
    <xf numFmtId="0" fontId="9" fillId="0" borderId="0" xfId="0" applyFont="1" applyAlignment="1"/>
    <xf numFmtId="0" fontId="0" fillId="0" borderId="0" xfId="0" applyAlignment="1">
      <alignment vertical="top" wrapText="1"/>
    </xf>
    <xf numFmtId="0" fontId="3" fillId="0" borderId="0" xfId="0" applyFont="1" applyAlignment="1">
      <alignment horizontal="right"/>
    </xf>
    <xf numFmtId="0" fontId="4" fillId="0" borderId="12" xfId="0" applyFont="1" applyFill="1" applyBorder="1" applyAlignment="1" applyProtection="1">
      <alignment horizontal="center"/>
      <protection locked="0"/>
    </xf>
    <xf numFmtId="0" fontId="0" fillId="0" borderId="12" xfId="0" applyFill="1" applyBorder="1" applyAlignment="1" applyProtection="1">
      <alignment horizontal="center" vertical="center"/>
      <protection locked="0"/>
    </xf>
    <xf numFmtId="0" fontId="1" fillId="0" borderId="12" xfId="0" applyFont="1" applyFill="1" applyBorder="1" applyAlignment="1" applyProtection="1">
      <alignment horizontal="center"/>
      <protection locked="0"/>
    </xf>
    <xf numFmtId="0" fontId="5" fillId="0" borderId="0" xfId="0" applyFont="1" applyFill="1" applyBorder="1" applyAlignment="1" applyProtection="1">
      <alignment horizontal="center" vertical="top" textRotation="90"/>
    </xf>
    <xf numFmtId="0" fontId="3" fillId="0" borderId="0" xfId="0" applyFont="1" applyFill="1" applyBorder="1" applyAlignment="1" applyProtection="1">
      <alignment horizontal="center" vertical="top" textRotation="90"/>
    </xf>
    <xf numFmtId="0" fontId="4" fillId="0" borderId="0" xfId="0" applyFont="1" applyProtection="1"/>
    <xf numFmtId="0" fontId="0" fillId="0" borderId="0" xfId="0" applyFill="1" applyBorder="1" applyAlignment="1" applyProtection="1">
      <alignment horizontal="right"/>
    </xf>
    <xf numFmtId="0" fontId="0" fillId="0" borderId="0" xfId="0" applyBorder="1" applyAlignment="1" applyProtection="1">
      <alignment horizontal="right"/>
    </xf>
    <xf numFmtId="0" fontId="3" fillId="0" borderId="11" xfId="0" applyFont="1" applyBorder="1" applyAlignment="1" applyProtection="1">
      <alignment horizontal="center"/>
    </xf>
    <xf numFmtId="0" fontId="14" fillId="0" borderId="14" xfId="0" applyFont="1" applyBorder="1" applyAlignment="1" applyProtection="1">
      <alignment horizontal="center"/>
    </xf>
    <xf numFmtId="0" fontId="3" fillId="0" borderId="0" xfId="0" applyFont="1" applyBorder="1" applyAlignment="1" applyProtection="1">
      <alignment horizontal="center"/>
    </xf>
    <xf numFmtId="0" fontId="3" fillId="0" borderId="0" xfId="0" applyFont="1" applyProtection="1"/>
    <xf numFmtId="0" fontId="8" fillId="0" borderId="0" xfId="0" applyFont="1" applyBorder="1" applyAlignment="1" applyProtection="1"/>
    <xf numFmtId="0" fontId="4" fillId="0" borderId="10" xfId="0" applyFont="1" applyFill="1" applyBorder="1" applyAlignment="1" applyProtection="1">
      <alignment horizontal="left" vertical="top"/>
    </xf>
    <xf numFmtId="0" fontId="0" fillId="0" borderId="0" xfId="0" applyBorder="1" applyAlignment="1" applyProtection="1">
      <alignment horizontal="right" vertical="top"/>
    </xf>
    <xf numFmtId="0" fontId="22" fillId="0" borderId="0" xfId="0" applyFont="1" applyAlignment="1" applyProtection="1">
      <alignment horizontal="center"/>
    </xf>
    <xf numFmtId="0" fontId="3" fillId="0" borderId="0" xfId="0" applyFont="1" applyFill="1" applyBorder="1" applyAlignment="1" applyProtection="1">
      <alignment horizontal="center"/>
    </xf>
    <xf numFmtId="0" fontId="24" fillId="0" borderId="14" xfId="0" applyFont="1" applyBorder="1" applyAlignment="1" applyProtection="1">
      <alignment horizontal="center"/>
    </xf>
    <xf numFmtId="0" fontId="4" fillId="0" borderId="0" xfId="0" applyFont="1" applyFill="1" applyBorder="1" applyAlignment="1" applyProtection="1">
      <alignment horizontal="center"/>
    </xf>
    <xf numFmtId="0" fontId="3" fillId="0" borderId="0" xfId="0" applyFont="1" applyBorder="1" applyAlignment="1">
      <alignment horizontal="left"/>
    </xf>
    <xf numFmtId="0" fontId="6" fillId="0" borderId="0" xfId="0" applyFont="1" applyBorder="1" applyAlignment="1">
      <alignment horizontal="right"/>
    </xf>
    <xf numFmtId="0" fontId="6" fillId="0" borderId="10" xfId="0" applyFont="1" applyBorder="1" applyAlignment="1" applyProtection="1">
      <alignment horizontal="left" wrapText="1"/>
    </xf>
    <xf numFmtId="0" fontId="0" fillId="0" borderId="0" xfId="0" applyAlignment="1" applyProtection="1">
      <alignment horizontal="left" vertical="top" wrapText="1"/>
    </xf>
    <xf numFmtId="0" fontId="4" fillId="0" borderId="0" xfId="0" applyFont="1" applyBorder="1"/>
    <xf numFmtId="0" fontId="10" fillId="0" borderId="13" xfId="0" applyFont="1" applyBorder="1" applyAlignment="1" applyProtection="1">
      <alignment horizontal="center"/>
      <protection locked="0"/>
    </xf>
    <xf numFmtId="0" fontId="10" fillId="0" borderId="19" xfId="0" applyFont="1" applyBorder="1" applyAlignment="1" applyProtection="1">
      <alignment horizontal="center"/>
      <protection locked="0"/>
    </xf>
    <xf numFmtId="0" fontId="6" fillId="0" borderId="0" xfId="0" applyFont="1" applyBorder="1" applyAlignment="1" applyProtection="1">
      <alignment horizontal="right"/>
    </xf>
    <xf numFmtId="0" fontId="3" fillId="0" borderId="12" xfId="0" applyFont="1" applyFill="1" applyBorder="1" applyAlignment="1">
      <alignment horizontal="center"/>
    </xf>
    <xf numFmtId="0" fontId="1" fillId="0" borderId="32" xfId="0" applyFont="1" applyBorder="1" applyAlignment="1" applyProtection="1">
      <alignment horizontal="center" textRotation="90"/>
    </xf>
    <xf numFmtId="0" fontId="13" fillId="0" borderId="14" xfId="0" applyFont="1" applyBorder="1" applyAlignment="1" applyProtection="1">
      <alignment horizontal="center"/>
    </xf>
    <xf numFmtId="166" fontId="0" fillId="0" borderId="10" xfId="0" applyNumberFormat="1" applyBorder="1" applyProtection="1">
      <protection locked="0"/>
    </xf>
    <xf numFmtId="166" fontId="0" fillId="0" borderId="0" xfId="0" applyNumberFormat="1" applyBorder="1" applyProtection="1">
      <protection locked="0"/>
    </xf>
    <xf numFmtId="166" fontId="0" fillId="0" borderId="0" xfId="0" applyNumberFormat="1" applyBorder="1" applyProtection="1"/>
    <xf numFmtId="0" fontId="0" fillId="0" borderId="18" xfId="0" applyFill="1" applyBorder="1" applyAlignment="1" applyProtection="1">
      <alignment horizontal="center"/>
      <protection locked="0"/>
    </xf>
    <xf numFmtId="0" fontId="0" fillId="0" borderId="12" xfId="0" applyBorder="1" applyAlignment="1" applyProtection="1">
      <alignment horizontal="left" indent="1"/>
      <protection locked="0"/>
    </xf>
    <xf numFmtId="0" fontId="0" fillId="0" borderId="21" xfId="0" applyBorder="1"/>
    <xf numFmtId="0" fontId="0" fillId="0" borderId="15" xfId="0" applyBorder="1"/>
    <xf numFmtId="0" fontId="1" fillId="0" borderId="10" xfId="0" applyFont="1" applyBorder="1" applyProtection="1">
      <protection locked="0"/>
    </xf>
    <xf numFmtId="0" fontId="11" fillId="0" borderId="15" xfId="0" applyFont="1" applyBorder="1"/>
    <xf numFmtId="1" fontId="6" fillId="0" borderId="10" xfId="0" applyNumberFormat="1" applyFont="1" applyBorder="1" applyAlignment="1">
      <alignment horizontal="left" wrapText="1"/>
    </xf>
    <xf numFmtId="44" fontId="1" fillId="0" borderId="12" xfId="28" applyFont="1" applyBorder="1" applyProtection="1">
      <protection locked="0"/>
    </xf>
    <xf numFmtId="44" fontId="1" fillId="0" borderId="12" xfId="28" applyFont="1" applyBorder="1" applyProtection="1"/>
    <xf numFmtId="44" fontId="1" fillId="0" borderId="12" xfId="28" applyFont="1" applyBorder="1" applyAlignment="1" applyProtection="1">
      <alignment wrapText="1"/>
    </xf>
    <xf numFmtId="0" fontId="0" fillId="0" borderId="0" xfId="0" applyAlignment="1">
      <alignment horizontal="center"/>
    </xf>
    <xf numFmtId="166" fontId="0" fillId="0" borderId="0" xfId="0" applyNumberFormat="1" applyAlignment="1" applyProtection="1">
      <alignment horizontal="left"/>
      <protection locked="0"/>
    </xf>
    <xf numFmtId="0" fontId="11" fillId="0" borderId="0" xfId="35" applyBorder="1" applyAlignment="1" applyProtection="1">
      <alignment horizontal="left"/>
    </xf>
    <xf numFmtId="0" fontId="3" fillId="0" borderId="0" xfId="0" applyFont="1" applyBorder="1" applyAlignment="1" applyProtection="1">
      <alignment horizontal="right"/>
    </xf>
    <xf numFmtId="0" fontId="0" fillId="0" borderId="0" xfId="0" applyAlignment="1" applyProtection="1"/>
    <xf numFmtId="0" fontId="0" fillId="0" borderId="0" xfId="0" applyBorder="1" applyAlignment="1">
      <alignment horizontal="center"/>
    </xf>
    <xf numFmtId="0" fontId="1" fillId="0" borderId="0" xfId="44"/>
    <xf numFmtId="0" fontId="3" fillId="0" borderId="0" xfId="44" applyFont="1" applyAlignment="1">
      <alignment horizontal="center"/>
    </xf>
    <xf numFmtId="0" fontId="1" fillId="0" borderId="18" xfId="44" applyBorder="1" applyProtection="1">
      <protection locked="0"/>
    </xf>
    <xf numFmtId="14" fontId="1" fillId="0" borderId="18" xfId="44" applyNumberFormat="1" applyBorder="1" applyProtection="1">
      <protection locked="0"/>
    </xf>
    <xf numFmtId="0" fontId="1" fillId="0" borderId="18" xfId="44" applyBorder="1" applyAlignment="1" applyProtection="1">
      <alignment horizontal="center" wrapText="1"/>
    </xf>
    <xf numFmtId="44" fontId="3" fillId="0" borderId="14" xfId="28" applyFont="1" applyBorder="1" applyAlignment="1" applyProtection="1">
      <alignment wrapText="1"/>
    </xf>
    <xf numFmtId="0" fontId="1" fillId="0" borderId="0" xfId="0" applyFont="1" applyBorder="1" applyAlignment="1" applyProtection="1">
      <alignment horizontal="right"/>
    </xf>
    <xf numFmtId="0" fontId="1" fillId="0" borderId="0" xfId="0" applyFont="1" applyBorder="1" applyAlignment="1" applyProtection="1">
      <alignment horizontal="left"/>
    </xf>
    <xf numFmtId="0" fontId="6" fillId="0" borderId="0" xfId="0" applyFont="1" applyBorder="1"/>
    <xf numFmtId="0" fontId="0" fillId="0" borderId="10" xfId="0" applyBorder="1"/>
    <xf numFmtId="0" fontId="45" fillId="0" borderId="17" xfId="0" applyFont="1" applyBorder="1" applyAlignment="1" applyProtection="1">
      <alignment horizontal="center"/>
    </xf>
    <xf numFmtId="0" fontId="0" fillId="0" borderId="10" xfId="0" applyFill="1" applyBorder="1"/>
    <xf numFmtId="0" fontId="6" fillId="0" borderId="0" xfId="0" applyFont="1" applyBorder="1" applyAlignment="1" applyProtection="1"/>
    <xf numFmtId="0" fontId="6" fillId="0" borderId="0" xfId="0" applyFont="1" applyAlignment="1" applyProtection="1"/>
    <xf numFmtId="0" fontId="6" fillId="0" borderId="0" xfId="0" applyFont="1" applyAlignment="1" applyProtection="1">
      <alignment horizontal="center"/>
    </xf>
    <xf numFmtId="0" fontId="10" fillId="0" borderId="15" xfId="0" applyFont="1" applyBorder="1" applyAlignment="1" applyProtection="1">
      <alignment horizontal="center" vertical="top"/>
    </xf>
    <xf numFmtId="0" fontId="10" fillId="0" borderId="15" xfId="0" applyFont="1" applyBorder="1" applyAlignment="1" applyProtection="1">
      <alignment horizontal="center"/>
    </xf>
    <xf numFmtId="0" fontId="0" fillId="0" borderId="10" xfId="0" applyBorder="1" applyAlignment="1" applyProtection="1">
      <alignment horizontal="right"/>
    </xf>
    <xf numFmtId="0" fontId="10" fillId="0" borderId="13" xfId="0" applyFont="1" applyBorder="1" applyAlignment="1" applyProtection="1">
      <alignment horizontal="center" vertical="top"/>
      <protection locked="0"/>
    </xf>
    <xf numFmtId="0" fontId="1" fillId="0" borderId="17" xfId="0" applyFont="1" applyBorder="1" applyAlignment="1" applyProtection="1"/>
    <xf numFmtId="0" fontId="1" fillId="0" borderId="12" xfId="0" applyFont="1" applyBorder="1"/>
    <xf numFmtId="0" fontId="1" fillId="0" borderId="0" xfId="0" applyFont="1" applyBorder="1"/>
    <xf numFmtId="0" fontId="1" fillId="0" borderId="12" xfId="0" applyFont="1" applyBorder="1" applyAlignment="1" applyProtection="1">
      <alignment horizontal="center"/>
      <protection locked="0"/>
    </xf>
    <xf numFmtId="0" fontId="0" fillId="0" borderId="0" xfId="0" applyBorder="1" applyAlignment="1" applyProtection="1">
      <alignment horizontal="center"/>
      <protection locked="0"/>
    </xf>
    <xf numFmtId="0" fontId="3" fillId="0" borderId="0" xfId="44" applyFont="1" applyFill="1" applyBorder="1" applyAlignment="1" applyProtection="1">
      <alignment horizontal="left"/>
    </xf>
    <xf numFmtId="0" fontId="1" fillId="0" borderId="0" xfId="44" applyAlignment="1" applyProtection="1">
      <alignment horizontal="center"/>
    </xf>
    <xf numFmtId="0" fontId="1" fillId="0" borderId="0" xfId="44" applyProtection="1"/>
    <xf numFmtId="0" fontId="1" fillId="0" borderId="12" xfId="44" applyFont="1" applyFill="1" applyBorder="1" applyProtection="1"/>
    <xf numFmtId="0" fontId="1" fillId="0" borderId="12" xfId="44" applyFont="1" applyBorder="1" applyAlignment="1" applyProtection="1">
      <alignment horizontal="center"/>
      <protection locked="0"/>
    </xf>
    <xf numFmtId="0" fontId="1" fillId="0" borderId="0" xfId="44" applyFill="1" applyBorder="1" applyProtection="1"/>
    <xf numFmtId="0" fontId="3" fillId="0" borderId="0" xfId="44" applyFont="1" applyBorder="1" applyAlignment="1">
      <alignment horizontal="center"/>
    </xf>
    <xf numFmtId="0" fontId="3" fillId="0" borderId="14" xfId="44" applyFont="1" applyBorder="1" applyAlignment="1">
      <alignment horizontal="center"/>
    </xf>
    <xf numFmtId="0" fontId="11" fillId="0" borderId="15" xfId="35" applyBorder="1" applyAlignment="1" applyProtection="1"/>
    <xf numFmtId="0" fontId="11" fillId="0" borderId="0" xfId="35" applyAlignment="1" applyProtection="1">
      <alignment horizontal="left"/>
    </xf>
    <xf numFmtId="0" fontId="1" fillId="0" borderId="0" xfId="0" applyFont="1" applyFill="1" applyBorder="1"/>
    <xf numFmtId="0" fontId="1" fillId="0" borderId="12" xfId="0" applyFont="1" applyFill="1" applyBorder="1"/>
    <xf numFmtId="0" fontId="11" fillId="0" borderId="0" xfId="35" applyBorder="1" applyAlignment="1" applyProtection="1">
      <alignment horizontal="left"/>
      <protection locked="0"/>
    </xf>
    <xf numFmtId="0" fontId="1" fillId="0" borderId="22" xfId="0" applyFont="1" applyFill="1" applyBorder="1" applyAlignment="1" applyProtection="1">
      <alignment horizontal="left" vertical="top"/>
    </xf>
    <xf numFmtId="0" fontId="6" fillId="0" borderId="0" xfId="44" applyFont="1" applyBorder="1" applyAlignment="1" applyProtection="1">
      <alignment horizontal="right"/>
    </xf>
    <xf numFmtId="0" fontId="5" fillId="0" borderId="10" xfId="44" applyFont="1" applyBorder="1" applyAlignment="1" applyProtection="1">
      <alignment horizontal="left" wrapText="1"/>
    </xf>
    <xf numFmtId="0" fontId="3" fillId="0" borderId="11" xfId="44" applyFont="1" applyBorder="1" applyAlignment="1" applyProtection="1"/>
    <xf numFmtId="0" fontId="1" fillId="0" borderId="11" xfId="44" applyFont="1" applyBorder="1" applyAlignment="1" applyProtection="1"/>
    <xf numFmtId="0" fontId="3" fillId="0" borderId="0" xfId="44" applyFont="1" applyBorder="1" applyAlignment="1" applyProtection="1"/>
    <xf numFmtId="0" fontId="1" fillId="0" borderId="0" xfId="44" applyFont="1" applyBorder="1" applyAlignment="1" applyProtection="1"/>
    <xf numFmtId="0" fontId="3" fillId="0" borderId="15" xfId="44" applyFont="1" applyBorder="1" applyAlignment="1" applyProtection="1"/>
    <xf numFmtId="0" fontId="1" fillId="0" borderId="15" xfId="44" applyFont="1" applyBorder="1" applyAlignment="1" applyProtection="1"/>
    <xf numFmtId="0" fontId="7" fillId="0" borderId="15" xfId="44" applyFont="1" applyBorder="1" applyAlignment="1" applyProtection="1">
      <alignment horizontal="left" wrapText="1"/>
    </xf>
    <xf numFmtId="0" fontId="2" fillId="0" borderId="15" xfId="44" applyFont="1" applyBorder="1" applyAlignment="1" applyProtection="1">
      <alignment horizontal="left" wrapText="1"/>
    </xf>
    <xf numFmtId="0" fontId="1" fillId="0" borderId="0" xfId="44" applyBorder="1" applyAlignment="1" applyProtection="1">
      <alignment horizontal="right"/>
    </xf>
    <xf numFmtId="0" fontId="1" fillId="0" borderId="10" xfId="44" applyBorder="1" applyAlignment="1" applyProtection="1">
      <alignment horizontal="right"/>
    </xf>
    <xf numFmtId="0" fontId="1" fillId="0" borderId="22" xfId="44" applyFont="1" applyBorder="1" applyAlignment="1" applyProtection="1">
      <alignment horizontal="left" vertical="top"/>
    </xf>
    <xf numFmtId="0" fontId="1" fillId="0" borderId="12" xfId="44" applyFont="1" applyFill="1" applyBorder="1" applyAlignment="1" applyProtection="1">
      <alignment horizontal="center"/>
      <protection locked="0"/>
    </xf>
    <xf numFmtId="0" fontId="1" fillId="0" borderId="12" xfId="44" applyFill="1" applyBorder="1" applyAlignment="1" applyProtection="1">
      <alignment horizontal="center"/>
      <protection locked="0"/>
    </xf>
    <xf numFmtId="0" fontId="48" fillId="0" borderId="0" xfId="44" applyFont="1" applyProtection="1"/>
    <xf numFmtId="0" fontId="48" fillId="0" borderId="0" xfId="44" applyFont="1" applyBorder="1" applyProtection="1"/>
    <xf numFmtId="0" fontId="49" fillId="0" borderId="11" xfId="44" applyFont="1" applyBorder="1" applyAlignment="1" applyProtection="1">
      <alignment horizontal="center"/>
    </xf>
    <xf numFmtId="0" fontId="48" fillId="0" borderId="11" xfId="44" applyFont="1" applyBorder="1" applyAlignment="1" applyProtection="1">
      <alignment horizontal="center"/>
    </xf>
    <xf numFmtId="0" fontId="48" fillId="0" borderId="0" xfId="44" applyFont="1"/>
    <xf numFmtId="0" fontId="48" fillId="0" borderId="0" xfId="44" applyFont="1" applyBorder="1" applyAlignment="1" applyProtection="1">
      <alignment horizontal="right"/>
    </xf>
    <xf numFmtId="0" fontId="48" fillId="0" borderId="11" xfId="44" applyFont="1" applyBorder="1" applyAlignment="1" applyProtection="1">
      <alignment horizontal="left" vertical="top"/>
    </xf>
    <xf numFmtId="0" fontId="3" fillId="0" borderId="0" xfId="44" applyFont="1" applyBorder="1" applyAlignment="1" applyProtection="1">
      <alignment horizontal="center"/>
    </xf>
    <xf numFmtId="0" fontId="3" fillId="0" borderId="14" xfId="44" applyFont="1" applyBorder="1" applyAlignment="1" applyProtection="1">
      <alignment horizontal="center"/>
    </xf>
    <xf numFmtId="0" fontId="0" fillId="29" borderId="12" xfId="0" applyFill="1" applyBorder="1" applyAlignment="1" applyProtection="1">
      <alignment horizontal="center"/>
      <protection locked="0"/>
    </xf>
    <xf numFmtId="0" fontId="0" fillId="0" borderId="0" xfId="0" applyFill="1" applyAlignment="1"/>
    <xf numFmtId="0" fontId="2" fillId="0" borderId="0" xfId="0" applyFont="1" applyBorder="1" applyAlignment="1" applyProtection="1"/>
    <xf numFmtId="0" fontId="3" fillId="0" borderId="22" xfId="0" applyFont="1" applyFill="1" applyBorder="1" applyAlignment="1" applyProtection="1">
      <alignment horizontal="left"/>
    </xf>
    <xf numFmtId="0" fontId="4" fillId="0" borderId="22" xfId="0" applyFont="1" applyFill="1" applyBorder="1" applyAlignment="1" applyProtection="1">
      <alignment horizontal="left" indent="1"/>
    </xf>
    <xf numFmtId="0" fontId="4" fillId="0" borderId="21" xfId="0" applyFont="1" applyFill="1" applyBorder="1" applyAlignment="1" applyProtection="1">
      <alignment horizontal="left" indent="1"/>
    </xf>
    <xf numFmtId="0" fontId="4" fillId="0" borderId="12" xfId="0" applyFont="1" applyFill="1" applyBorder="1" applyAlignment="1" applyProtection="1">
      <alignment horizontal="left" indent="1"/>
    </xf>
    <xf numFmtId="0" fontId="3" fillId="0" borderId="12" xfId="0" applyFont="1" applyFill="1" applyBorder="1" applyAlignment="1" applyProtection="1">
      <alignment horizontal="left"/>
    </xf>
    <xf numFmtId="0" fontId="24" fillId="0" borderId="22" xfId="0" applyFont="1" applyFill="1" applyBorder="1" applyAlignment="1" applyProtection="1">
      <alignment horizontal="left"/>
    </xf>
    <xf numFmtId="0" fontId="3" fillId="0" borderId="20" xfId="0" applyFont="1" applyFill="1" applyBorder="1" applyAlignment="1" applyProtection="1">
      <alignment horizontal="left"/>
    </xf>
    <xf numFmtId="0" fontId="3" fillId="31" borderId="12" xfId="0" applyFont="1" applyFill="1" applyBorder="1" applyAlignment="1">
      <alignment horizontal="center"/>
    </xf>
    <xf numFmtId="0" fontId="3" fillId="0" borderId="19" xfId="0" applyFont="1" applyFill="1" applyBorder="1" applyAlignment="1">
      <alignment horizontal="center"/>
    </xf>
    <xf numFmtId="0" fontId="1" fillId="0" borderId="22" xfId="0" applyFont="1" applyFill="1" applyBorder="1" applyAlignment="1" applyProtection="1">
      <alignment horizontal="left" indent="1"/>
    </xf>
    <xf numFmtId="0" fontId="3" fillId="31" borderId="19" xfId="0" applyFont="1" applyFill="1" applyBorder="1" applyAlignment="1">
      <alignment horizontal="center"/>
    </xf>
    <xf numFmtId="0" fontId="1" fillId="0" borderId="0" xfId="44" applyFont="1" applyBorder="1"/>
    <xf numFmtId="0" fontId="1" fillId="0" borderId="12" xfId="0" applyFont="1" applyBorder="1" applyAlignment="1">
      <alignment horizontal="left"/>
    </xf>
    <xf numFmtId="0" fontId="3" fillId="0" borderId="0" xfId="0" applyFont="1" applyBorder="1" applyAlignment="1"/>
    <xf numFmtId="0" fontId="0" fillId="0" borderId="0" xfId="0" applyBorder="1" applyAlignment="1">
      <alignment horizontal="center"/>
    </xf>
    <xf numFmtId="0" fontId="5" fillId="0" borderId="0" xfId="44" applyFont="1" applyFill="1" applyBorder="1" applyAlignment="1" applyProtection="1">
      <alignment horizontal="center" vertical="top" textRotation="90"/>
    </xf>
    <xf numFmtId="0" fontId="1" fillId="0" borderId="0" xfId="44" applyFont="1" applyBorder="1" applyAlignment="1" applyProtection="1">
      <alignment horizontal="right"/>
    </xf>
    <xf numFmtId="0" fontId="1" fillId="0" borderId="10" xfId="44" applyFont="1" applyBorder="1" applyAlignment="1" applyProtection="1">
      <alignment horizontal="left"/>
    </xf>
    <xf numFmtId="0" fontId="1" fillId="0" borderId="0" xfId="44" applyFont="1" applyProtection="1"/>
    <xf numFmtId="0" fontId="3" fillId="0" borderId="0" xfId="44" applyFont="1" applyFill="1" applyBorder="1" applyAlignment="1" applyProtection="1">
      <alignment horizontal="center" vertical="top" textRotation="90"/>
    </xf>
    <xf numFmtId="0" fontId="6" fillId="0" borderId="10" xfId="44" applyFont="1" applyBorder="1" applyAlignment="1" applyProtection="1">
      <alignment horizontal="left" wrapText="1"/>
    </xf>
    <xf numFmtId="0" fontId="17" fillId="0" borderId="0" xfId="44" applyFont="1" applyProtection="1"/>
    <xf numFmtId="0" fontId="5" fillId="0" borderId="0" xfId="44" applyFont="1" applyFill="1" applyBorder="1" applyAlignment="1" applyProtection="1">
      <alignment horizontal="center" vertical="top"/>
    </xf>
    <xf numFmtId="0" fontId="6" fillId="0" borderId="0" xfId="44" applyFont="1" applyBorder="1" applyAlignment="1">
      <alignment horizontal="left"/>
    </xf>
    <xf numFmtId="0" fontId="1" fillId="0" borderId="0" xfId="44" applyBorder="1" applyAlignment="1">
      <alignment horizontal="left"/>
    </xf>
    <xf numFmtId="0" fontId="21" fillId="0" borderId="0" xfId="44" applyFont="1" applyProtection="1"/>
    <xf numFmtId="0" fontId="1" fillId="0" borderId="0" xfId="44" applyBorder="1"/>
    <xf numFmtId="0" fontId="1" fillId="0" borderId="0" xfId="44" applyFont="1" applyFill="1" applyBorder="1" applyAlignment="1" applyProtection="1">
      <alignment horizontal="left"/>
      <protection locked="0"/>
    </xf>
    <xf numFmtId="0" fontId="1" fillId="0" borderId="0" xfId="44" applyBorder="1" applyAlignment="1">
      <alignment horizontal="center"/>
    </xf>
    <xf numFmtId="0" fontId="1" fillId="0" borderId="10" xfId="44" applyBorder="1"/>
    <xf numFmtId="0" fontId="1" fillId="0" borderId="12" xfId="44" applyFont="1" applyBorder="1"/>
    <xf numFmtId="0" fontId="1" fillId="0" borderId="12" xfId="44" applyBorder="1" applyAlignment="1" applyProtection="1">
      <alignment horizontal="center"/>
      <protection locked="0"/>
    </xf>
    <xf numFmtId="0" fontId="1" fillId="0" borderId="17" xfId="44" applyFont="1" applyBorder="1"/>
    <xf numFmtId="0" fontId="45" fillId="0" borderId="17" xfId="44" applyFont="1" applyBorder="1" applyAlignment="1" applyProtection="1">
      <alignment horizontal="center"/>
    </xf>
    <xf numFmtId="0" fontId="1" fillId="0" borderId="10" xfId="44" applyFill="1" applyBorder="1"/>
    <xf numFmtId="0" fontId="1" fillId="0" borderId="0" xfId="44" applyFont="1" applyFill="1" applyBorder="1" applyAlignment="1" applyProtection="1">
      <alignment horizontal="center" vertical="top"/>
    </xf>
    <xf numFmtId="0" fontId="54" fillId="0" borderId="17" xfId="44" applyFont="1" applyBorder="1" applyAlignment="1" applyProtection="1">
      <alignment horizontal="center"/>
    </xf>
    <xf numFmtId="0" fontId="1" fillId="0" borderId="0" xfId="44" applyAlignment="1" applyProtection="1"/>
    <xf numFmtId="0" fontId="1" fillId="0" borderId="0" xfId="44" applyFont="1" applyFill="1" applyProtection="1"/>
    <xf numFmtId="0" fontId="13" fillId="0" borderId="14" xfId="44" applyFont="1" applyBorder="1" applyAlignment="1" applyProtection="1">
      <alignment horizontal="center"/>
    </xf>
    <xf numFmtId="0" fontId="10" fillId="0" borderId="0" xfId="44" applyFont="1" applyProtection="1"/>
    <xf numFmtId="0" fontId="5" fillId="0" borderId="0" xfId="0" applyFont="1" applyFill="1" applyAlignment="1">
      <alignment horizontal="center"/>
    </xf>
    <xf numFmtId="0" fontId="5" fillId="0" borderId="0" xfId="0" applyFont="1" applyFill="1" applyBorder="1" applyAlignment="1">
      <alignment horizontal="center" vertical="center"/>
    </xf>
    <xf numFmtId="0" fontId="5" fillId="0" borderId="0" xfId="0" applyFont="1" applyFill="1" applyBorder="1" applyAlignment="1">
      <alignment horizontal="center" vertical="center" textRotation="90"/>
    </xf>
    <xf numFmtId="0" fontId="1" fillId="0" borderId="0" xfId="0" applyFont="1" applyFill="1" applyAlignment="1"/>
    <xf numFmtId="0" fontId="1" fillId="0" borderId="12" xfId="0" applyFont="1" applyFill="1" applyBorder="1" applyAlignment="1" applyProtection="1">
      <alignment horizontal="left" indent="1"/>
    </xf>
    <xf numFmtId="0" fontId="1" fillId="0" borderId="0" xfId="0" applyFont="1"/>
    <xf numFmtId="0" fontId="1" fillId="0" borderId="0" xfId="0" applyFont="1" applyFill="1" applyBorder="1" applyAlignment="1" applyProtection="1"/>
    <xf numFmtId="0" fontId="5" fillId="0" borderId="0" xfId="0" applyFont="1" applyBorder="1" applyAlignment="1"/>
    <xf numFmtId="0" fontId="4" fillId="0" borderId="0" xfId="0" applyFont="1" applyBorder="1" applyAlignment="1">
      <alignment horizontal="right"/>
    </xf>
    <xf numFmtId="0" fontId="4" fillId="0" borderId="10" xfId="0" applyFont="1" applyBorder="1" applyAlignment="1">
      <alignment horizontal="left"/>
    </xf>
    <xf numFmtId="0" fontId="1" fillId="0" borderId="0" xfId="44" applyFont="1" applyBorder="1" applyProtection="1"/>
    <xf numFmtId="0" fontId="1" fillId="0" borderId="10" xfId="44" applyFont="1" applyBorder="1" applyAlignment="1" applyProtection="1">
      <alignment horizontal="left" wrapText="1"/>
    </xf>
    <xf numFmtId="0" fontId="47" fillId="0" borderId="0" xfId="44" applyFont="1" applyBorder="1" applyProtection="1"/>
    <xf numFmtId="0" fontId="4" fillId="0" borderId="0" xfId="0" applyFont="1" applyBorder="1" applyAlignment="1" applyProtection="1">
      <alignment horizontal="right"/>
    </xf>
    <xf numFmtId="0" fontId="4" fillId="0" borderId="10" xfId="0" applyFont="1" applyBorder="1" applyAlignment="1" applyProtection="1">
      <alignment horizontal="left"/>
    </xf>
    <xf numFmtId="0" fontId="17" fillId="0" borderId="0" xfId="0" applyFont="1"/>
    <xf numFmtId="0" fontId="10" fillId="0" borderId="0" xfId="44" applyFont="1"/>
    <xf numFmtId="0" fontId="10" fillId="0" borderId="0" xfId="44" applyFont="1" applyAlignment="1">
      <alignment horizontal="center"/>
    </xf>
    <xf numFmtId="0" fontId="1" fillId="0" borderId="22" xfId="0" applyFont="1" applyBorder="1" applyAlignment="1" applyProtection="1">
      <alignment horizontal="left"/>
    </xf>
    <xf numFmtId="0" fontId="11" fillId="0" borderId="15" xfId="35" applyBorder="1" applyAlignment="1" applyProtection="1">
      <alignment horizontal="left"/>
    </xf>
    <xf numFmtId="0" fontId="55" fillId="0" borderId="0" xfId="44" applyFont="1" applyAlignment="1"/>
    <xf numFmtId="0" fontId="3" fillId="0" borderId="0" xfId="44" applyFont="1" applyBorder="1" applyAlignment="1" applyProtection="1">
      <alignment horizontal="center"/>
    </xf>
    <xf numFmtId="0" fontId="1" fillId="0" borderId="0" xfId="44" applyFont="1"/>
    <xf numFmtId="0" fontId="1" fillId="0" borderId="0" xfId="44" applyFont="1" applyFill="1" applyBorder="1"/>
    <xf numFmtId="0" fontId="3" fillId="0" borderId="0" xfId="44" applyFont="1" applyFill="1" applyBorder="1" applyAlignment="1">
      <alignment horizontal="left"/>
    </xf>
    <xf numFmtId="0" fontId="1" fillId="0" borderId="0" xfId="44" applyFont="1" applyFill="1" applyBorder="1" applyAlignment="1">
      <alignment horizontal="right"/>
    </xf>
    <xf numFmtId="0" fontId="1" fillId="0" borderId="0" xfId="44" applyFont="1" applyFill="1"/>
    <xf numFmtId="0" fontId="3" fillId="0" borderId="48" xfId="44" applyFont="1" applyFill="1" applyBorder="1" applyAlignment="1">
      <alignment horizontal="center"/>
    </xf>
    <xf numFmtId="0" fontId="1" fillId="0" borderId="10" xfId="44" applyFont="1" applyBorder="1" applyAlignment="1">
      <alignment horizontal="center"/>
    </xf>
    <xf numFmtId="0" fontId="1" fillId="0" borderId="22" xfId="44" applyFont="1" applyBorder="1" applyAlignment="1">
      <alignment horizontal="left"/>
    </xf>
    <xf numFmtId="0" fontId="1" fillId="0" borderId="18" xfId="44" applyFont="1" applyBorder="1" applyAlignment="1">
      <alignment horizontal="center" vertical="center"/>
    </xf>
    <xf numFmtId="0" fontId="1" fillId="0" borderId="19" xfId="44" applyFont="1" applyBorder="1" applyAlignment="1">
      <alignment horizontal="center" vertical="center"/>
    </xf>
    <xf numFmtId="0" fontId="1" fillId="0" borderId="19" xfId="44" applyFont="1" applyBorder="1" applyAlignment="1" applyProtection="1">
      <alignment horizontal="center"/>
    </xf>
    <xf numFmtId="0" fontId="1" fillId="0" borderId="12" xfId="44" applyFont="1" applyBorder="1" applyAlignment="1" applyProtection="1">
      <alignment horizontal="center"/>
    </xf>
    <xf numFmtId="0" fontId="1" fillId="0" borderId="13" xfId="44" applyFont="1" applyBorder="1" applyAlignment="1" applyProtection="1">
      <alignment horizontal="center"/>
    </xf>
    <xf numFmtId="0" fontId="1" fillId="0" borderId="0" xfId="44" applyFont="1" applyBorder="1"/>
    <xf numFmtId="0" fontId="1" fillId="0" borderId="0" xfId="44" applyFont="1" applyBorder="1" applyAlignment="1">
      <alignment horizontal="left" indent="1"/>
    </xf>
    <xf numFmtId="0" fontId="1" fillId="0" borderId="12" xfId="44" applyFont="1" applyBorder="1" applyAlignment="1">
      <alignment horizontal="left" indent="1"/>
    </xf>
    <xf numFmtId="0" fontId="1" fillId="0" borderId="12" xfId="44" applyFont="1" applyBorder="1" applyAlignment="1">
      <alignment horizontal="center" vertical="center"/>
    </xf>
    <xf numFmtId="0" fontId="3" fillId="0" borderId="0" xfId="44" applyFont="1" applyAlignment="1">
      <alignment horizontal="left" vertical="top"/>
    </xf>
    <xf numFmtId="0" fontId="1" fillId="0" borderId="10" xfId="44" applyFont="1" applyBorder="1" applyAlignment="1">
      <alignment horizontal="right"/>
    </xf>
    <xf numFmtId="0" fontId="1" fillId="0" borderId="12" xfId="44" applyFont="1" applyFill="1" applyBorder="1" applyAlignment="1"/>
    <xf numFmtId="0" fontId="1" fillId="0" borderId="31" xfId="44" applyFont="1" applyFill="1" applyBorder="1" applyAlignment="1">
      <alignment horizontal="right" vertical="top"/>
    </xf>
    <xf numFmtId="0" fontId="3" fillId="0" borderId="18" xfId="44" applyFont="1" applyBorder="1" applyAlignment="1" applyProtection="1">
      <alignment horizontal="center"/>
    </xf>
    <xf numFmtId="0" fontId="1" fillId="0" borderId="0" xfId="44" applyFont="1" applyBorder="1" applyAlignment="1">
      <alignment horizontal="left"/>
    </xf>
    <xf numFmtId="0" fontId="1" fillId="0" borderId="0" xfId="44" applyBorder="1" applyAlignment="1">
      <alignment horizontal="center" vertical="center"/>
    </xf>
    <xf numFmtId="0" fontId="18" fillId="0" borderId="0" xfId="44" applyFont="1" applyFill="1" applyBorder="1" applyAlignment="1">
      <alignment horizontal="left"/>
    </xf>
    <xf numFmtId="0" fontId="1" fillId="0" borderId="11" xfId="44" applyFont="1" applyBorder="1" applyAlignment="1" applyProtection="1">
      <alignment horizontal="center"/>
    </xf>
    <xf numFmtId="0" fontId="1" fillId="0" borderId="0" xfId="44" applyFont="1" applyBorder="1" applyAlignment="1"/>
    <xf numFmtId="0" fontId="1" fillId="0" borderId="11" xfId="44" applyFont="1" applyBorder="1" applyAlignment="1"/>
    <xf numFmtId="0" fontId="1" fillId="0" borderId="17" xfId="0" applyFont="1" applyBorder="1" applyAlignment="1"/>
    <xf numFmtId="0" fontId="3" fillId="0" borderId="0" xfId="0" applyFont="1" applyBorder="1" applyAlignment="1" applyProtection="1">
      <alignment horizontal="left"/>
    </xf>
    <xf numFmtId="0" fontId="0" fillId="0" borderId="10" xfId="0" applyBorder="1" applyProtection="1"/>
    <xf numFmtId="0" fontId="3" fillId="0" borderId="16" xfId="0" applyFont="1" applyFill="1" applyBorder="1" applyAlignment="1" applyProtection="1">
      <alignment horizontal="center"/>
    </xf>
    <xf numFmtId="0" fontId="3" fillId="0" borderId="16" xfId="0" applyFont="1" applyBorder="1" applyAlignment="1" applyProtection="1">
      <alignment horizontal="center"/>
    </xf>
    <xf numFmtId="0" fontId="0" fillId="0" borderId="0" xfId="0" applyBorder="1" applyAlignment="1"/>
    <xf numFmtId="0" fontId="1" fillId="0" borderId="0" xfId="0" applyFont="1" applyBorder="1" applyAlignment="1"/>
    <xf numFmtId="0" fontId="1" fillId="0" borderId="15" xfId="0" applyFont="1" applyBorder="1" applyAlignment="1" applyProtection="1">
      <alignment vertical="top"/>
    </xf>
    <xf numFmtId="0" fontId="1" fillId="0" borderId="11" xfId="0" applyFont="1" applyBorder="1" applyAlignment="1" applyProtection="1">
      <alignment horizontal="left" vertical="top"/>
    </xf>
    <xf numFmtId="0" fontId="1" fillId="0" borderId="12" xfId="0" applyFont="1" applyBorder="1" applyAlignment="1" applyProtection="1">
      <alignment horizontal="left" vertical="top"/>
    </xf>
    <xf numFmtId="0" fontId="1" fillId="0" borderId="0" xfId="0" applyFont="1" applyBorder="1" applyAlignment="1" applyProtection="1">
      <alignment horizontal="left" vertical="top"/>
    </xf>
    <xf numFmtId="0" fontId="1" fillId="0" borderId="0" xfId="0" applyFont="1" applyFill="1" applyBorder="1" applyAlignment="1" applyProtection="1">
      <alignment horizontal="left" vertical="top"/>
    </xf>
    <xf numFmtId="0" fontId="1" fillId="0" borderId="0" xfId="0" applyFont="1" applyFill="1" applyBorder="1" applyAlignment="1"/>
    <xf numFmtId="0" fontId="1" fillId="0" borderId="17" xfId="0" applyFont="1" applyBorder="1" applyAlignment="1"/>
    <xf numFmtId="0" fontId="1" fillId="0" borderId="17" xfId="0" applyFont="1" applyFill="1" applyBorder="1" applyAlignment="1"/>
    <xf numFmtId="0" fontId="1" fillId="0" borderId="0" xfId="44" applyFont="1" applyBorder="1" applyAlignment="1">
      <alignment horizontal="center"/>
    </xf>
    <xf numFmtId="0" fontId="1" fillId="0" borderId="0" xfId="44" applyFill="1"/>
    <xf numFmtId="0" fontId="3" fillId="0" borderId="0" xfId="44" applyFont="1" applyAlignment="1" applyProtection="1">
      <alignment horizontal="left"/>
    </xf>
    <xf numFmtId="0" fontId="1" fillId="0" borderId="22" xfId="44" applyFont="1" applyBorder="1" applyProtection="1"/>
    <xf numFmtId="0" fontId="1" fillId="0" borderId="25" xfId="0" applyFont="1" applyBorder="1" applyAlignment="1" applyProtection="1">
      <alignment horizontal="center" vertical="center" wrapText="1"/>
    </xf>
    <xf numFmtId="164" fontId="1" fillId="0" borderId="17" xfId="0" applyNumberFormat="1" applyFont="1" applyBorder="1" applyAlignment="1" applyProtection="1">
      <alignment horizontal="center"/>
    </xf>
    <xf numFmtId="0" fontId="1" fillId="0" borderId="26" xfId="0" applyFont="1" applyBorder="1" applyAlignment="1" applyProtection="1">
      <alignment horizontal="left" indent="1"/>
    </xf>
    <xf numFmtId="0" fontId="3" fillId="0" borderId="29" xfId="0" applyFont="1" applyBorder="1" applyAlignment="1" applyProtection="1">
      <alignment horizontal="center"/>
    </xf>
    <xf numFmtId="164" fontId="1" fillId="0" borderId="28" xfId="0" applyNumberFormat="1" applyFont="1" applyBorder="1" applyAlignment="1" applyProtection="1">
      <alignment horizontal="center"/>
      <protection locked="0"/>
    </xf>
    <xf numFmtId="164" fontId="1" fillId="0" borderId="32" xfId="0" applyNumberFormat="1" applyFont="1" applyBorder="1" applyAlignment="1" applyProtection="1">
      <alignment horizontal="center"/>
      <protection locked="0"/>
    </xf>
    <xf numFmtId="164" fontId="1" fillId="0" borderId="35" xfId="0" applyNumberFormat="1" applyFont="1" applyBorder="1" applyAlignment="1" applyProtection="1">
      <alignment horizontal="center"/>
    </xf>
    <xf numFmtId="0" fontId="1" fillId="0" borderId="25" xfId="0" applyFont="1" applyBorder="1" applyAlignment="1" applyProtection="1">
      <alignment horizontal="left" indent="1"/>
    </xf>
    <xf numFmtId="164" fontId="1" fillId="0" borderId="33" xfId="0" applyNumberFormat="1" applyFont="1" applyBorder="1" applyAlignment="1" applyProtection="1">
      <alignment horizontal="center"/>
      <protection locked="0"/>
    </xf>
    <xf numFmtId="164" fontId="1" fillId="0" borderId="36" xfId="0" applyNumberFormat="1" applyFont="1" applyBorder="1" applyAlignment="1" applyProtection="1">
      <alignment horizontal="center"/>
      <protection locked="0"/>
    </xf>
    <xf numFmtId="0" fontId="3" fillId="0" borderId="17" xfId="0" applyFont="1" applyBorder="1" applyAlignment="1" applyProtection="1">
      <alignment horizontal="center"/>
    </xf>
    <xf numFmtId="0" fontId="1" fillId="0" borderId="37" xfId="0" applyFont="1" applyBorder="1" applyAlignment="1" applyProtection="1">
      <alignment horizontal="left" indent="1"/>
    </xf>
    <xf numFmtId="164" fontId="1" fillId="0" borderId="34" xfId="0" applyNumberFormat="1" applyFont="1" applyBorder="1" applyAlignment="1" applyProtection="1">
      <alignment horizontal="center"/>
      <protection locked="0"/>
    </xf>
    <xf numFmtId="164" fontId="1" fillId="0" borderId="49" xfId="0" applyNumberFormat="1" applyFont="1" applyBorder="1" applyAlignment="1" applyProtection="1">
      <alignment horizontal="center"/>
      <protection locked="0"/>
    </xf>
    <xf numFmtId="0" fontId="3" fillId="0" borderId="27" xfId="0" applyFont="1" applyBorder="1" applyAlignment="1" applyProtection="1">
      <alignment horizontal="center"/>
    </xf>
    <xf numFmtId="0" fontId="13" fillId="32" borderId="12" xfId="0" applyFont="1" applyFill="1" applyBorder="1" applyAlignment="1"/>
    <xf numFmtId="0" fontId="57" fillId="0" borderId="0" xfId="0" applyFont="1"/>
    <xf numFmtId="0" fontId="3" fillId="0" borderId="0" xfId="0" applyFont="1" applyAlignment="1">
      <alignment horizontal="left"/>
    </xf>
    <xf numFmtId="0" fontId="1" fillId="0" borderId="0" xfId="0" applyFont="1" applyProtection="1">
      <protection locked="0"/>
    </xf>
    <xf numFmtId="165" fontId="1" fillId="0" borderId="12" xfId="0" applyNumberFormat="1" applyFont="1" applyFill="1" applyBorder="1" applyAlignment="1" applyProtection="1">
      <alignment horizontal="center"/>
      <protection locked="0"/>
    </xf>
    <xf numFmtId="14" fontId="0" fillId="0" borderId="0" xfId="0" applyNumberFormat="1"/>
    <xf numFmtId="0" fontId="1" fillId="28" borderId="14" xfId="0" applyFont="1" applyFill="1" applyBorder="1" applyProtection="1">
      <protection locked="0"/>
    </xf>
    <xf numFmtId="0" fontId="0" fillId="0" borderId="0" xfId="0" applyBorder="1" applyAlignment="1">
      <alignment horizontal="center"/>
    </xf>
    <xf numFmtId="0" fontId="5" fillId="0" borderId="11" xfId="0" applyFont="1" applyFill="1" applyBorder="1" applyAlignment="1" applyProtection="1">
      <alignment horizontal="center" vertical="top" textRotation="90"/>
    </xf>
    <xf numFmtId="0" fontId="1" fillId="0" borderId="11" xfId="0" applyFont="1" applyBorder="1" applyAlignment="1" applyProtection="1">
      <alignment horizontal="right"/>
    </xf>
    <xf numFmtId="0" fontId="1" fillId="0" borderId="31" xfId="0" applyFont="1" applyBorder="1" applyAlignment="1" applyProtection="1">
      <alignment horizontal="left"/>
    </xf>
    <xf numFmtId="0" fontId="1" fillId="0" borderId="0" xfId="0" applyFont="1" applyProtection="1"/>
    <xf numFmtId="0" fontId="3" fillId="0" borderId="0" xfId="0" applyFont="1" applyFill="1" applyBorder="1" applyAlignment="1" applyProtection="1">
      <alignment horizontal="center" vertical="top"/>
    </xf>
    <xf numFmtId="0" fontId="0" fillId="0" borderId="10" xfId="0" applyBorder="1" applyAlignment="1" applyProtection="1">
      <alignment horizontal="center"/>
    </xf>
    <xf numFmtId="0" fontId="1" fillId="0" borderId="11" xfId="0" applyFont="1" applyBorder="1" applyAlignment="1" applyProtection="1">
      <alignment vertical="top" wrapText="1"/>
    </xf>
    <xf numFmtId="0" fontId="10" fillId="0" borderId="12" xfId="0" applyFont="1" applyBorder="1" applyAlignment="1" applyProtection="1">
      <alignment vertical="top"/>
      <protection locked="0"/>
    </xf>
    <xf numFmtId="0" fontId="10" fillId="0" borderId="12" xfId="0" applyFont="1" applyBorder="1" applyAlignment="1" applyProtection="1">
      <protection locked="0"/>
    </xf>
    <xf numFmtId="0" fontId="1" fillId="0" borderId="12" xfId="0" applyFont="1" applyBorder="1" applyAlignment="1" applyProtection="1">
      <alignment vertical="top" wrapText="1"/>
    </xf>
    <xf numFmtId="0" fontId="60" fillId="0" borderId="0" xfId="0" applyFont="1"/>
    <xf numFmtId="0" fontId="13" fillId="0" borderId="14" xfId="0" applyFont="1" applyBorder="1" applyAlignment="1" applyProtection="1"/>
    <xf numFmtId="0" fontId="13" fillId="0" borderId="0" xfId="0" applyFont="1" applyBorder="1" applyAlignment="1" applyProtection="1"/>
    <xf numFmtId="0" fontId="5" fillId="0" borderId="0" xfId="0" applyFont="1" applyFill="1" applyBorder="1" applyAlignment="1" applyProtection="1">
      <alignment horizontal="center" vertical="top"/>
    </xf>
    <xf numFmtId="0" fontId="3" fillId="0" borderId="0" xfId="0" applyFont="1" applyBorder="1" applyAlignment="1" applyProtection="1"/>
    <xf numFmtId="0" fontId="1" fillId="0" borderId="11" xfId="0" applyFont="1" applyBorder="1" applyAlignment="1" applyProtection="1"/>
    <xf numFmtId="0" fontId="1" fillId="0" borderId="12" xfId="0" applyFont="1" applyBorder="1" applyAlignment="1" applyProtection="1"/>
    <xf numFmtId="0" fontId="10" fillId="0" borderId="12" xfId="0" applyFont="1" applyBorder="1" applyAlignment="1" applyProtection="1">
      <alignment vertical="top"/>
    </xf>
    <xf numFmtId="0" fontId="10" fillId="0" borderId="12" xfId="0" applyFont="1" applyBorder="1" applyAlignment="1" applyProtection="1"/>
    <xf numFmtId="0" fontId="0" fillId="0" borderId="0" xfId="0" applyFill="1" applyBorder="1" applyProtection="1"/>
    <xf numFmtId="0" fontId="3" fillId="0" borderId="0" xfId="0" applyFont="1" applyBorder="1" applyAlignment="1" applyProtection="1">
      <alignment vertical="top"/>
    </xf>
    <xf numFmtId="0" fontId="10" fillId="0" borderId="0" xfId="0" applyFont="1" applyBorder="1" applyAlignment="1" applyProtection="1"/>
    <xf numFmtId="0" fontId="3" fillId="0" borderId="0" xfId="0" applyFont="1" applyBorder="1" applyProtection="1"/>
    <xf numFmtId="0" fontId="0" fillId="0" borderId="0" xfId="0" applyFill="1" applyProtection="1"/>
    <xf numFmtId="0" fontId="10" fillId="0" borderId="0" xfId="0" applyFont="1" applyAlignment="1" applyProtection="1"/>
    <xf numFmtId="0" fontId="1" fillId="0" borderId="0" xfId="44" applyFont="1" applyBorder="1" applyAlignment="1" applyProtection="1">
      <alignment horizontal="center"/>
    </xf>
    <xf numFmtId="0" fontId="3" fillId="0" borderId="0" xfId="44" applyFont="1" applyFill="1" applyBorder="1" applyAlignment="1">
      <alignment horizontal="center" vertical="center"/>
    </xf>
    <xf numFmtId="0" fontId="1" fillId="0" borderId="0" xfId="44" applyFont="1" applyFill="1" applyBorder="1" applyAlignment="1">
      <alignment horizontal="center" vertical="center"/>
    </xf>
    <xf numFmtId="0" fontId="3" fillId="0" borderId="0" xfId="44" applyFont="1" applyBorder="1" applyAlignment="1">
      <alignment horizontal="left"/>
    </xf>
    <xf numFmtId="0" fontId="3" fillId="0" borderId="15" xfId="44" applyFont="1" applyBorder="1" applyAlignment="1">
      <alignment horizontal="left"/>
    </xf>
    <xf numFmtId="0" fontId="1" fillId="0" borderId="0" xfId="44" applyFont="1" applyBorder="1" applyAlignment="1">
      <alignment horizontal="center" vertical="center"/>
    </xf>
    <xf numFmtId="0" fontId="1" fillId="0" borderId="22" xfId="44" applyFont="1" applyBorder="1" applyAlignment="1"/>
    <xf numFmtId="0" fontId="1" fillId="0" borderId="17" xfId="44" applyFont="1" applyBorder="1" applyAlignment="1"/>
    <xf numFmtId="0" fontId="1" fillId="0" borderId="12" xfId="44" applyFont="1" applyBorder="1" applyAlignment="1"/>
    <xf numFmtId="0" fontId="1" fillId="0" borderId="19" xfId="44" applyFont="1" applyBorder="1" applyAlignment="1"/>
    <xf numFmtId="0" fontId="1" fillId="0" borderId="11" xfId="44" applyFont="1" applyBorder="1" applyAlignment="1">
      <alignment horizontal="left"/>
    </xf>
    <xf numFmtId="0" fontId="10" fillId="0" borderId="0" xfId="0" applyFont="1" applyAlignment="1">
      <alignment horizontal="left"/>
    </xf>
    <xf numFmtId="0" fontId="6" fillId="0" borderId="0" xfId="0" applyFont="1" applyAlignment="1">
      <alignment horizontal="left"/>
    </xf>
    <xf numFmtId="0" fontId="1" fillId="0" borderId="0" xfId="0" applyFont="1" applyBorder="1" applyAlignment="1">
      <alignment horizontal="center"/>
    </xf>
    <xf numFmtId="0" fontId="56" fillId="0" borderId="0" xfId="0" applyFont="1"/>
    <xf numFmtId="0" fontId="10" fillId="0" borderId="0" xfId="0" applyFont="1"/>
    <xf numFmtId="0" fontId="10" fillId="0" borderId="0" xfId="0" applyFont="1" applyFill="1" applyBorder="1" applyAlignment="1">
      <alignment horizontal="center" wrapText="1"/>
    </xf>
    <xf numFmtId="0" fontId="13" fillId="0" borderId="0" xfId="0" applyFont="1" applyBorder="1" applyAlignment="1" applyProtection="1">
      <alignment horizontal="right"/>
    </xf>
    <xf numFmtId="0" fontId="10" fillId="0" borderId="0" xfId="0" applyFont="1" applyAlignment="1">
      <alignment horizontal="center"/>
    </xf>
    <xf numFmtId="0" fontId="10" fillId="0" borderId="22" xfId="0" applyFont="1" applyBorder="1" applyAlignment="1" applyProtection="1">
      <alignment horizontal="left"/>
    </xf>
    <xf numFmtId="0" fontId="10" fillId="0" borderId="12" xfId="0" applyFont="1" applyBorder="1"/>
    <xf numFmtId="0" fontId="10" fillId="0" borderId="22" xfId="0" applyFont="1" applyBorder="1"/>
    <xf numFmtId="0" fontId="2" fillId="0" borderId="14" xfId="0" applyFont="1" applyFill="1" applyBorder="1" applyAlignment="1">
      <alignment horizontal="center" wrapText="1"/>
    </xf>
    <xf numFmtId="0" fontId="17" fillId="0" borderId="11" xfId="0" applyFont="1" applyBorder="1" applyAlignment="1" applyProtection="1">
      <alignment horizontal="center"/>
    </xf>
    <xf numFmtId="164" fontId="17" fillId="0" borderId="11" xfId="0" applyNumberFormat="1" applyFont="1" applyBorder="1" applyAlignment="1" applyProtection="1">
      <alignment horizontal="center"/>
    </xf>
    <xf numFmtId="164" fontId="17" fillId="0" borderId="38" xfId="0" applyNumberFormat="1" applyFont="1" applyBorder="1" applyAlignment="1" applyProtection="1">
      <alignment horizontal="center"/>
    </xf>
    <xf numFmtId="0" fontId="17" fillId="0" borderId="29" xfId="0" applyFont="1" applyBorder="1" applyAlignment="1" applyProtection="1">
      <alignment horizontal="center"/>
    </xf>
    <xf numFmtId="0" fontId="1" fillId="0" borderId="25" xfId="0" applyFont="1" applyBorder="1" applyAlignment="1" applyProtection="1"/>
    <xf numFmtId="0" fontId="3" fillId="0" borderId="12" xfId="44" applyFont="1" applyBorder="1" applyAlignment="1" applyProtection="1">
      <alignment horizontal="center"/>
    </xf>
    <xf numFmtId="0" fontId="0" fillId="0" borderId="0" xfId="0" applyAlignment="1">
      <alignment horizontal="left" vertical="top" wrapText="1"/>
    </xf>
    <xf numFmtId="0" fontId="0" fillId="0" borderId="0" xfId="0" applyAlignment="1">
      <alignment horizontal="left" wrapText="1"/>
    </xf>
    <xf numFmtId="0" fontId="1" fillId="0" borderId="17" xfId="0" applyFont="1" applyBorder="1" applyAlignment="1"/>
    <xf numFmtId="0" fontId="3" fillId="0" borderId="0" xfId="0" applyFont="1" applyAlignment="1">
      <alignment horizontal="left"/>
    </xf>
    <xf numFmtId="0" fontId="10" fillId="0" borderId="50" xfId="0" applyFont="1" applyBorder="1" applyAlignment="1" applyProtection="1">
      <protection locked="0"/>
    </xf>
    <xf numFmtId="0" fontId="10" fillId="0" borderId="50" xfId="0" applyFont="1" applyBorder="1" applyAlignment="1" applyProtection="1"/>
    <xf numFmtId="0" fontId="1" fillId="0" borderId="0" xfId="0" quotePrefix="1" applyFont="1"/>
    <xf numFmtId="0" fontId="0" fillId="0" borderId="0" xfId="0" applyAlignment="1">
      <alignment horizontal="left" vertical="top" wrapText="1"/>
    </xf>
    <xf numFmtId="0" fontId="1" fillId="0" borderId="0" xfId="0" applyFont="1" applyAlignment="1">
      <alignment horizontal="left" vertical="top" wrapText="1"/>
    </xf>
    <xf numFmtId="0" fontId="11" fillId="0" borderId="0" xfId="35" applyAlignment="1" applyProtection="1">
      <alignment horizontal="left" vertical="top" wrapText="1"/>
    </xf>
    <xf numFmtId="0" fontId="11" fillId="0" borderId="0" xfId="35" applyAlignment="1" applyProtection="1">
      <alignment horizontal="left" vertical="top"/>
    </xf>
    <xf numFmtId="0" fontId="0" fillId="0" borderId="0" xfId="0" applyAlignment="1">
      <alignment horizontal="left" vertical="top"/>
    </xf>
    <xf numFmtId="0" fontId="0" fillId="0" borderId="0" xfId="0" applyAlignment="1">
      <alignment horizontal="left" wrapText="1"/>
    </xf>
    <xf numFmtId="0" fontId="11" fillId="0" borderId="0" xfId="35" applyAlignment="1" applyProtection="1">
      <alignment horizontal="left" wrapText="1"/>
    </xf>
    <xf numFmtId="0" fontId="1" fillId="0" borderId="0" xfId="0" applyFont="1" applyAlignment="1">
      <alignment horizontal="left" wrapText="1"/>
    </xf>
    <xf numFmtId="0" fontId="9" fillId="0" borderId="0" xfId="0" applyFont="1" applyAlignment="1">
      <alignment horizontal="left"/>
    </xf>
    <xf numFmtId="0" fontId="1" fillId="0" borderId="0" xfId="0" applyFont="1" applyAlignment="1">
      <alignment horizontal="center" vertical="top" wrapText="1"/>
    </xf>
    <xf numFmtId="0" fontId="11" fillId="0" borderId="0" xfId="35" applyAlignment="1" applyProtection="1">
      <alignment vertical="top" wrapText="1"/>
    </xf>
    <xf numFmtId="0" fontId="0" fillId="0" borderId="0" xfId="0" applyAlignment="1">
      <alignment vertical="top" wrapText="1"/>
    </xf>
    <xf numFmtId="0" fontId="3" fillId="0" borderId="0" xfId="0" applyFont="1" applyAlignment="1">
      <alignment horizontal="left"/>
    </xf>
    <xf numFmtId="0" fontId="3" fillId="0" borderId="39" xfId="0" applyFont="1" applyBorder="1" applyAlignment="1">
      <alignment horizontal="left"/>
    </xf>
    <xf numFmtId="0" fontId="1" fillId="28" borderId="40" xfId="0" applyFont="1" applyFill="1" applyBorder="1" applyAlignment="1" applyProtection="1">
      <protection locked="0"/>
    </xf>
    <xf numFmtId="0" fontId="0" fillId="28" borderId="41" xfId="0" applyFill="1" applyBorder="1" applyAlignment="1" applyProtection="1">
      <protection locked="0"/>
    </xf>
    <xf numFmtId="0" fontId="0" fillId="28" borderId="42" xfId="0" applyFill="1" applyBorder="1" applyAlignment="1" applyProtection="1">
      <protection locked="0"/>
    </xf>
    <xf numFmtId="0" fontId="0" fillId="0" borderId="0" xfId="0" applyAlignment="1" applyProtection="1">
      <alignment horizontal="left" wrapText="1"/>
    </xf>
    <xf numFmtId="0" fontId="0" fillId="0" borderId="0" xfId="0" applyAlignment="1" applyProtection="1">
      <alignment horizontal="left" vertical="top" wrapText="1"/>
    </xf>
    <xf numFmtId="0" fontId="3" fillId="0" borderId="0" xfId="0" applyFont="1" applyAlignment="1">
      <alignment horizontal="center"/>
    </xf>
    <xf numFmtId="14" fontId="16" fillId="26" borderId="43" xfId="0" applyNumberFormat="1" applyFont="1" applyFill="1" applyBorder="1" applyAlignment="1" applyProtection="1">
      <alignment horizontal="left" textRotation="90"/>
    </xf>
    <xf numFmtId="0" fontId="16" fillId="26" borderId="43" xfId="0" applyFont="1" applyFill="1" applyBorder="1" applyAlignment="1" applyProtection="1">
      <alignment horizontal="left" textRotation="90"/>
    </xf>
    <xf numFmtId="0" fontId="16" fillId="26" borderId="44" xfId="0" applyFont="1" applyFill="1" applyBorder="1" applyAlignment="1" applyProtection="1">
      <alignment horizontal="left" textRotation="90"/>
    </xf>
    <xf numFmtId="0" fontId="3" fillId="0" borderId="0" xfId="0" applyFont="1" applyAlignment="1" applyProtection="1">
      <alignment horizontal="center"/>
    </xf>
    <xf numFmtId="0" fontId="12" fillId="0" borderId="15" xfId="0" applyFont="1" applyBorder="1" applyAlignment="1">
      <alignment horizontal="right"/>
    </xf>
    <xf numFmtId="0" fontId="12" fillId="0" borderId="0" xfId="0" applyFont="1" applyBorder="1" applyAlignment="1">
      <alignment horizontal="right"/>
    </xf>
    <xf numFmtId="0" fontId="12" fillId="0" borderId="11" xfId="0" applyFont="1" applyBorder="1" applyAlignment="1">
      <alignment horizontal="right"/>
    </xf>
    <xf numFmtId="0" fontId="12" fillId="0" borderId="17" xfId="0" applyFont="1" applyBorder="1" applyAlignment="1">
      <alignment horizontal="right"/>
    </xf>
    <xf numFmtId="0" fontId="23" fillId="0" borderId="13" xfId="0" applyFont="1" applyBorder="1" applyAlignment="1" applyProtection="1">
      <alignment horizontal="center" textRotation="90"/>
    </xf>
    <xf numFmtId="0" fontId="23" fillId="0" borderId="45" xfId="0" applyFont="1" applyBorder="1" applyAlignment="1" applyProtection="1">
      <alignment horizontal="center" textRotation="90"/>
    </xf>
    <xf numFmtId="0" fontId="23" fillId="0" borderId="19" xfId="0" applyFont="1" applyBorder="1" applyAlignment="1" applyProtection="1">
      <alignment horizontal="center" textRotation="90"/>
    </xf>
    <xf numFmtId="0" fontId="0" fillId="0" borderId="12" xfId="0" applyBorder="1" applyAlignment="1">
      <alignment horizontal="left"/>
    </xf>
    <xf numFmtId="0" fontId="23" fillId="29" borderId="31" xfId="0" applyFont="1" applyFill="1" applyBorder="1" applyAlignment="1" applyProtection="1">
      <alignment horizontal="center" textRotation="90"/>
      <protection locked="0"/>
    </xf>
    <xf numFmtId="0" fontId="23" fillId="29" borderId="10" xfId="0" applyFont="1" applyFill="1" applyBorder="1" applyAlignment="1" applyProtection="1">
      <alignment horizontal="center" textRotation="90"/>
      <protection locked="0"/>
    </xf>
    <xf numFmtId="0" fontId="23" fillId="29" borderId="16" xfId="0" applyFont="1" applyFill="1" applyBorder="1" applyAlignment="1" applyProtection="1">
      <alignment horizontal="center" textRotation="90"/>
      <protection locked="0"/>
    </xf>
    <xf numFmtId="0" fontId="23" fillId="29" borderId="13" xfId="0" applyFont="1" applyFill="1" applyBorder="1" applyAlignment="1" applyProtection="1">
      <alignment horizontal="center" textRotation="90"/>
      <protection locked="0"/>
    </xf>
    <xf numFmtId="0" fontId="23" fillId="29" borderId="45" xfId="0" applyFont="1" applyFill="1" applyBorder="1" applyAlignment="1" applyProtection="1">
      <alignment horizontal="center" textRotation="90"/>
      <protection locked="0"/>
    </xf>
    <xf numFmtId="0" fontId="23" fillId="29" borderId="19" xfId="0" applyFont="1" applyFill="1" applyBorder="1" applyAlignment="1" applyProtection="1">
      <alignment horizontal="center" textRotation="90"/>
      <protection locked="0"/>
    </xf>
    <xf numFmtId="0" fontId="0" fillId="0" borderId="0" xfId="0" applyBorder="1" applyAlignment="1">
      <alignment horizontal="left"/>
    </xf>
    <xf numFmtId="0" fontId="0" fillId="0" borderId="10" xfId="0" applyBorder="1" applyAlignment="1">
      <alignment horizontal="left"/>
    </xf>
    <xf numFmtId="0" fontId="3" fillId="0" borderId="0" xfId="0" applyFont="1" applyBorder="1" applyAlignment="1">
      <alignment horizontal="center"/>
    </xf>
    <xf numFmtId="0" fontId="0" fillId="0" borderId="22" xfId="0" applyBorder="1" applyAlignment="1">
      <alignment horizontal="left"/>
    </xf>
    <xf numFmtId="0" fontId="0" fillId="0" borderId="18" xfId="0" applyBorder="1" applyAlignment="1">
      <alignment horizontal="left"/>
    </xf>
    <xf numFmtId="0" fontId="0" fillId="0" borderId="0" xfId="0" applyBorder="1" applyAlignment="1">
      <alignment horizontal="center"/>
    </xf>
    <xf numFmtId="0" fontId="0" fillId="0" borderId="10" xfId="0" applyBorder="1" applyAlignment="1">
      <alignment horizontal="center"/>
    </xf>
    <xf numFmtId="44" fontId="1" fillId="0" borderId="45" xfId="28" applyFont="1" applyFill="1" applyBorder="1" applyAlignment="1" applyProtection="1">
      <alignment horizontal="center" vertical="center" textRotation="90" wrapText="1"/>
    </xf>
    <xf numFmtId="44" fontId="1" fillId="0" borderId="19" xfId="28" applyFont="1" applyFill="1" applyBorder="1" applyAlignment="1" applyProtection="1">
      <alignment horizontal="center" vertical="center" textRotation="90" wrapText="1"/>
    </xf>
    <xf numFmtId="0" fontId="1" fillId="0" borderId="0" xfId="44" applyBorder="1" applyAlignment="1">
      <alignment wrapText="1"/>
    </xf>
    <xf numFmtId="0" fontId="5" fillId="0" borderId="0" xfId="0" applyFont="1" applyBorder="1" applyAlignment="1" applyProtection="1">
      <alignment horizontal="center" vertical="center"/>
    </xf>
    <xf numFmtId="0" fontId="0" fillId="0" borderId="10" xfId="0" applyBorder="1" applyAlignment="1">
      <alignment horizontal="center" vertical="center"/>
    </xf>
    <xf numFmtId="0" fontId="10" fillId="0" borderId="0" xfId="0" applyFont="1" applyBorder="1" applyAlignment="1" applyProtection="1">
      <alignment horizontal="center" vertical="top"/>
    </xf>
    <xf numFmtId="0" fontId="10" fillId="0" borderId="10" xfId="0" applyFont="1" applyBorder="1" applyAlignment="1" applyProtection="1">
      <alignment horizontal="center" vertical="top"/>
    </xf>
    <xf numFmtId="0" fontId="19" fillId="27" borderId="0" xfId="0" applyFont="1" applyFill="1" applyBorder="1" applyAlignment="1" applyProtection="1">
      <alignment horizontal="left" vertical="center"/>
    </xf>
    <xf numFmtId="0" fontId="0" fillId="27" borderId="0" xfId="0" applyFill="1" applyAlignment="1"/>
    <xf numFmtId="0" fontId="0" fillId="0" borderId="0" xfId="0" applyBorder="1" applyAlignment="1" applyProtection="1">
      <alignment horizontal="center" vertical="center"/>
    </xf>
    <xf numFmtId="0" fontId="0" fillId="0" borderId="0" xfId="0" applyAlignment="1">
      <alignment horizontal="center" vertical="center"/>
    </xf>
    <xf numFmtId="0" fontId="19" fillId="24" borderId="0" xfId="0" applyFont="1" applyFill="1" applyBorder="1" applyAlignment="1">
      <alignment horizontal="left" vertical="center"/>
    </xf>
    <xf numFmtId="0" fontId="53" fillId="24" borderId="0" xfId="0" applyFont="1" applyFill="1" applyBorder="1" applyAlignment="1">
      <alignment horizontal="left" vertical="center"/>
    </xf>
    <xf numFmtId="0" fontId="58" fillId="33" borderId="0" xfId="0" applyFont="1" applyFill="1" applyBorder="1" applyAlignment="1" applyProtection="1">
      <alignment horizontal="center" vertical="center"/>
    </xf>
    <xf numFmtId="0" fontId="59" fillId="33" borderId="0" xfId="0" applyFont="1" applyFill="1" applyAlignment="1" applyProtection="1">
      <alignment horizontal="center" vertical="center"/>
    </xf>
    <xf numFmtId="0" fontId="0" fillId="0" borderId="10" xfId="0" applyBorder="1" applyAlignment="1" applyProtection="1">
      <alignment horizontal="center" vertical="center"/>
    </xf>
    <xf numFmtId="0" fontId="1" fillId="0" borderId="0" xfId="0" applyFont="1" applyFill="1" applyBorder="1" applyAlignment="1" applyProtection="1">
      <alignment horizontal="center" vertical="center"/>
    </xf>
    <xf numFmtId="0" fontId="1" fillId="0" borderId="0" xfId="0" applyFont="1" applyBorder="1" applyAlignment="1" applyProtection="1">
      <alignment horizontal="center" vertical="center"/>
    </xf>
    <xf numFmtId="0" fontId="1" fillId="0" borderId="10" xfId="0" applyFont="1" applyBorder="1" applyAlignment="1" applyProtection="1">
      <alignment horizontal="center" vertical="center"/>
    </xf>
    <xf numFmtId="0" fontId="3" fillId="0" borderId="0" xfId="0" applyFont="1" applyBorder="1" applyAlignment="1" applyProtection="1"/>
    <xf numFmtId="0" fontId="0" fillId="0" borderId="0" xfId="0" applyAlignment="1" applyProtection="1"/>
    <xf numFmtId="0" fontId="1" fillId="0" borderId="0" xfId="0" applyFont="1" applyAlignment="1" applyProtection="1"/>
    <xf numFmtId="0" fontId="50" fillId="0" borderId="0" xfId="44" applyFont="1" applyBorder="1" applyAlignment="1">
      <alignment horizontal="left"/>
    </xf>
    <xf numFmtId="0" fontId="1" fillId="0" borderId="0" xfId="44" applyAlignment="1">
      <alignment horizontal="left"/>
    </xf>
    <xf numFmtId="0" fontId="25" fillId="0" borderId="0" xfId="44" applyFont="1" applyAlignment="1" applyProtection="1">
      <alignment horizontal="left" vertical="center" wrapText="1"/>
    </xf>
    <xf numFmtId="0" fontId="1" fillId="0" borderId="0" xfId="44" applyAlignment="1">
      <alignment horizontal="left" vertical="center" wrapText="1"/>
    </xf>
    <xf numFmtId="0" fontId="1" fillId="0" borderId="0" xfId="44" applyFont="1" applyBorder="1" applyAlignment="1" applyProtection="1">
      <alignment horizontal="center"/>
    </xf>
    <xf numFmtId="0" fontId="1" fillId="0" borderId="10" xfId="44" applyFont="1" applyBorder="1" applyAlignment="1" applyProtection="1">
      <alignment horizontal="center"/>
    </xf>
    <xf numFmtId="0" fontId="1" fillId="0" borderId="0" xfId="44" applyFont="1" applyFill="1" applyBorder="1" applyAlignment="1" applyProtection="1">
      <alignment horizontal="center" vertical="top"/>
    </xf>
    <xf numFmtId="0" fontId="1" fillId="0" borderId="10" xfId="44" applyFont="1" applyFill="1" applyBorder="1" applyAlignment="1" applyProtection="1">
      <alignment horizontal="center" vertical="top"/>
    </xf>
    <xf numFmtId="0" fontId="15" fillId="30" borderId="0" xfId="44" applyFont="1" applyFill="1" applyBorder="1" applyAlignment="1" applyProtection="1">
      <alignment horizontal="left" vertical="center"/>
    </xf>
    <xf numFmtId="0" fontId="53" fillId="30" borderId="0" xfId="44" applyFont="1" applyFill="1" applyAlignment="1" applyProtection="1">
      <alignment horizontal="left" vertical="center"/>
    </xf>
    <xf numFmtId="0" fontId="3" fillId="0" borderId="0" xfId="0" applyFont="1" applyBorder="1" applyAlignment="1" applyProtection="1">
      <alignment horizontal="left"/>
    </xf>
    <xf numFmtId="0" fontId="0" fillId="0" borderId="0" xfId="0" applyAlignment="1" applyProtection="1">
      <alignment horizontal="left"/>
    </xf>
    <xf numFmtId="0" fontId="4" fillId="0" borderId="0" xfId="0" applyFont="1" applyFill="1" applyBorder="1" applyAlignment="1" applyProtection="1">
      <alignment horizontal="center" vertical="top"/>
    </xf>
    <xf numFmtId="0" fontId="4" fillId="0" borderId="10" xfId="0" applyFont="1" applyFill="1" applyBorder="1" applyAlignment="1" applyProtection="1">
      <alignment horizontal="center" vertical="top"/>
    </xf>
    <xf numFmtId="0" fontId="4" fillId="0" borderId="0" xfId="0" applyFont="1" applyBorder="1" applyAlignment="1" applyProtection="1">
      <alignment horizontal="center"/>
    </xf>
    <xf numFmtId="0" fontId="4" fillId="0" borderId="10" xfId="0" applyFont="1" applyBorder="1" applyAlignment="1" applyProtection="1">
      <alignment horizontal="center"/>
    </xf>
    <xf numFmtId="0" fontId="11" fillId="0" borderId="17" xfId="35" applyBorder="1" applyAlignment="1" applyProtection="1">
      <alignment horizontal="left"/>
    </xf>
    <xf numFmtId="0" fontId="7" fillId="0" borderId="11" xfId="44" applyFont="1" applyBorder="1" applyAlignment="1" applyProtection="1">
      <alignment horizontal="left" wrapText="1"/>
    </xf>
    <xf numFmtId="0" fontId="2" fillId="0" borderId="11" xfId="44" applyFont="1" applyBorder="1" applyAlignment="1" applyProtection="1">
      <alignment horizontal="left" wrapText="1"/>
    </xf>
    <xf numFmtId="0" fontId="1" fillId="0" borderId="0" xfId="44" applyBorder="1" applyAlignment="1" applyProtection="1">
      <alignment horizontal="left"/>
    </xf>
    <xf numFmtId="0" fontId="1" fillId="0" borderId="10" xfId="44" applyBorder="1" applyAlignment="1" applyProtection="1">
      <alignment horizontal="left"/>
    </xf>
    <xf numFmtId="0" fontId="1" fillId="0" borderId="15" xfId="44" applyFont="1" applyBorder="1" applyAlignment="1" applyProtection="1">
      <alignment horizontal="center"/>
    </xf>
    <xf numFmtId="0" fontId="1" fillId="0" borderId="16" xfId="44" applyFont="1" applyBorder="1" applyAlignment="1" applyProtection="1">
      <alignment horizontal="center"/>
    </xf>
    <xf numFmtId="0" fontId="1" fillId="0" borderId="0" xfId="0" applyFont="1" applyAlignment="1">
      <alignment horizontal="right"/>
    </xf>
    <xf numFmtId="0" fontId="6" fillId="0" borderId="0" xfId="0" applyFont="1" applyAlignment="1">
      <alignment horizontal="right"/>
    </xf>
    <xf numFmtId="0" fontId="1" fillId="0" borderId="0" xfId="0" applyFont="1" applyBorder="1" applyAlignment="1">
      <alignment horizontal="center"/>
    </xf>
    <xf numFmtId="0" fontId="10" fillId="0" borderId="0" xfId="0" applyFont="1" applyAlignment="1">
      <alignment horizontal="center"/>
    </xf>
    <xf numFmtId="0" fontId="10" fillId="0" borderId="10" xfId="0" applyFont="1" applyBorder="1" applyAlignment="1"/>
    <xf numFmtId="0" fontId="23" fillId="0" borderId="46" xfId="0" applyFont="1" applyBorder="1" applyAlignment="1" applyProtection="1">
      <alignment horizontal="center" textRotation="90"/>
    </xf>
    <xf numFmtId="0" fontId="3" fillId="0" borderId="21" xfId="44" applyFont="1" applyBorder="1" applyAlignment="1">
      <alignment horizontal="left" vertical="top"/>
    </xf>
    <xf numFmtId="0" fontId="3" fillId="0" borderId="15" xfId="44" applyFont="1" applyBorder="1" applyAlignment="1">
      <alignment horizontal="left" vertical="top"/>
    </xf>
    <xf numFmtId="0" fontId="3" fillId="0" borderId="16" xfId="44" applyFont="1" applyBorder="1" applyAlignment="1">
      <alignment horizontal="left" vertical="top"/>
    </xf>
    <xf numFmtId="0" fontId="1" fillId="0" borderId="22" xfId="44" applyFont="1" applyBorder="1" applyAlignment="1"/>
    <xf numFmtId="0" fontId="1" fillId="0" borderId="18" xfId="44" applyFont="1" applyBorder="1" applyAlignment="1"/>
    <xf numFmtId="0" fontId="3" fillId="0" borderId="22" xfId="44" applyFont="1" applyFill="1" applyBorder="1" applyAlignment="1">
      <alignment horizontal="left" vertical="top"/>
    </xf>
    <xf numFmtId="0" fontId="3" fillId="0" borderId="18" xfId="44" applyFont="1" applyFill="1" applyBorder="1" applyAlignment="1">
      <alignment horizontal="left" vertical="top"/>
    </xf>
    <xf numFmtId="0" fontId="3" fillId="0" borderId="22" xfId="44" applyFont="1" applyBorder="1" applyAlignment="1"/>
    <xf numFmtId="0" fontId="3" fillId="0" borderId="18" xfId="44" applyFont="1" applyBorder="1" applyAlignment="1"/>
    <xf numFmtId="0" fontId="3" fillId="0" borderId="22" xfId="44" applyFont="1" applyBorder="1" applyAlignment="1">
      <alignment horizontal="center"/>
    </xf>
    <xf numFmtId="0" fontId="3" fillId="0" borderId="18" xfId="44" applyFont="1" applyBorder="1" applyAlignment="1">
      <alignment horizontal="center"/>
    </xf>
    <xf numFmtId="0" fontId="3" fillId="0" borderId="22" xfId="44" applyFont="1" applyFill="1" applyBorder="1" applyAlignment="1">
      <alignment horizontal="center" vertical="top"/>
    </xf>
    <xf numFmtId="0" fontId="3" fillId="0" borderId="18" xfId="44" applyFont="1" applyFill="1" applyBorder="1" applyAlignment="1">
      <alignment horizontal="center" vertical="top"/>
    </xf>
    <xf numFmtId="0" fontId="3" fillId="0" borderId="23" xfId="44" applyFont="1" applyBorder="1" applyAlignment="1">
      <alignment horizontal="left" vertical="top"/>
    </xf>
    <xf numFmtId="0" fontId="3" fillId="0" borderId="0" xfId="44" applyFont="1" applyBorder="1" applyAlignment="1">
      <alignment horizontal="left" vertical="top"/>
    </xf>
    <xf numFmtId="0" fontId="3" fillId="0" borderId="10" xfId="44" applyFont="1" applyBorder="1" applyAlignment="1">
      <alignment horizontal="left" vertical="top"/>
    </xf>
    <xf numFmtId="0" fontId="3" fillId="25" borderId="0" xfId="44" applyFont="1" applyFill="1" applyBorder="1" applyAlignment="1">
      <alignment horizontal="center" vertical="center"/>
    </xf>
    <xf numFmtId="0" fontId="1" fillId="0" borderId="17" xfId="44" applyFont="1" applyBorder="1" applyAlignment="1">
      <alignment horizontal="center"/>
    </xf>
    <xf numFmtId="0" fontId="1" fillId="0" borderId="18" xfId="44" applyFont="1" applyBorder="1" applyAlignment="1">
      <alignment horizontal="center"/>
    </xf>
    <xf numFmtId="0" fontId="3" fillId="25" borderId="22" xfId="44" applyFont="1" applyFill="1" applyBorder="1" applyAlignment="1">
      <alignment horizontal="left" vertical="top"/>
    </xf>
    <xf numFmtId="0" fontId="3" fillId="25" borderId="17" xfId="44" applyFont="1" applyFill="1" applyBorder="1" applyAlignment="1">
      <alignment horizontal="left" vertical="top"/>
    </xf>
    <xf numFmtId="0" fontId="3" fillId="25" borderId="18" xfId="44" applyFont="1" applyFill="1" applyBorder="1" applyAlignment="1">
      <alignment horizontal="left" vertical="top"/>
    </xf>
    <xf numFmtId="0" fontId="1" fillId="0" borderId="17" xfId="44" applyFont="1" applyBorder="1" applyAlignment="1">
      <alignment horizontal="left"/>
    </xf>
    <xf numFmtId="0" fontId="1" fillId="0" borderId="18" xfId="44" applyFont="1" applyBorder="1" applyAlignment="1">
      <alignment horizontal="left"/>
    </xf>
    <xf numFmtId="0" fontId="3" fillId="0" borderId="0" xfId="44" applyFont="1" applyBorder="1" applyAlignment="1">
      <alignment horizontal="left"/>
    </xf>
    <xf numFmtId="0" fontId="1" fillId="0" borderId="21" xfId="44" applyFont="1" applyBorder="1" applyAlignment="1"/>
    <xf numFmtId="0" fontId="1" fillId="0" borderId="16" xfId="44" applyFont="1" applyBorder="1" applyAlignment="1"/>
    <xf numFmtId="0" fontId="1" fillId="0" borderId="17" xfId="44" applyFont="1" applyBorder="1" applyAlignment="1"/>
    <xf numFmtId="0" fontId="3" fillId="0" borderId="0" xfId="44" applyFont="1" applyFill="1" applyBorder="1" applyAlignment="1">
      <alignment horizontal="center" vertical="center"/>
    </xf>
    <xf numFmtId="0" fontId="3" fillId="25" borderId="22" xfId="44" applyFont="1" applyFill="1" applyBorder="1" applyAlignment="1">
      <alignment horizontal="center" vertical="center"/>
    </xf>
    <xf numFmtId="0" fontId="3" fillId="25" borderId="17" xfId="44" applyFont="1" applyFill="1" applyBorder="1" applyAlignment="1">
      <alignment horizontal="center" vertical="center"/>
    </xf>
    <xf numFmtId="0" fontId="3" fillId="25" borderId="18" xfId="44" applyFont="1" applyFill="1" applyBorder="1" applyAlignment="1">
      <alignment horizontal="center" vertical="center"/>
    </xf>
    <xf numFmtId="0" fontId="3" fillId="25" borderId="0" xfId="44" applyFont="1" applyFill="1" applyBorder="1" applyAlignment="1">
      <alignment horizontal="left" vertical="top"/>
    </xf>
    <xf numFmtId="0" fontId="1" fillId="0" borderId="15" xfId="44" applyFont="1" applyBorder="1" applyAlignment="1">
      <alignment horizontal="left"/>
    </xf>
    <xf numFmtId="0" fontId="1" fillId="0" borderId="16" xfId="44" applyFont="1" applyBorder="1" applyAlignment="1">
      <alignment horizontal="left"/>
    </xf>
    <xf numFmtId="0" fontId="3" fillId="0" borderId="21" xfId="44" applyFont="1" applyFill="1" applyBorder="1" applyAlignment="1">
      <alignment horizontal="left"/>
    </xf>
    <xf numFmtId="0" fontId="3" fillId="0" borderId="16" xfId="44" applyFont="1" applyFill="1" applyBorder="1" applyAlignment="1">
      <alignment horizontal="left"/>
    </xf>
    <xf numFmtId="0" fontId="1" fillId="0" borderId="0" xfId="44" applyFont="1" applyBorder="1" applyAlignment="1"/>
    <xf numFmtId="0" fontId="5" fillId="25" borderId="0" xfId="44" applyFont="1" applyFill="1" applyBorder="1" applyAlignment="1">
      <alignment horizontal="center" vertical="center"/>
    </xf>
    <xf numFmtId="0" fontId="1" fillId="0" borderId="11" xfId="44" applyFont="1" applyBorder="1" applyAlignment="1">
      <alignment horizontal="left"/>
    </xf>
    <xf numFmtId="0" fontId="1" fillId="0" borderId="31" xfId="44" applyFont="1" applyBorder="1" applyAlignment="1">
      <alignment horizontal="left"/>
    </xf>
    <xf numFmtId="0" fontId="1" fillId="0" borderId="22" xfId="44" applyFont="1" applyBorder="1" applyAlignment="1">
      <alignment horizontal="left"/>
    </xf>
    <xf numFmtId="0" fontId="3" fillId="0" borderId="0" xfId="44" applyFont="1" applyFill="1" applyBorder="1" applyAlignment="1">
      <alignment horizontal="left"/>
    </xf>
    <xf numFmtId="0" fontId="3" fillId="0" borderId="39" xfId="44" applyFont="1" applyFill="1" applyBorder="1" applyAlignment="1">
      <alignment horizontal="left"/>
    </xf>
    <xf numFmtId="0" fontId="51" fillId="25" borderId="0" xfId="44" applyFont="1" applyFill="1" applyBorder="1" applyAlignment="1">
      <alignment horizontal="left"/>
    </xf>
    <xf numFmtId="0" fontId="1" fillId="0" borderId="0" xfId="44" applyFont="1" applyAlignment="1">
      <alignment horizontal="center" vertical="center"/>
    </xf>
    <xf numFmtId="0" fontId="1" fillId="0" borderId="0" xfId="44" applyFont="1" applyFill="1" applyBorder="1" applyAlignment="1">
      <alignment horizontal="center" vertical="center"/>
    </xf>
    <xf numFmtId="0" fontId="1" fillId="0" borderId="0" xfId="44" applyFont="1" applyBorder="1" applyAlignment="1">
      <alignment horizontal="center" vertical="center"/>
    </xf>
    <xf numFmtId="0" fontId="1" fillId="0" borderId="12" xfId="44" applyFont="1" applyBorder="1" applyAlignment="1"/>
    <xf numFmtId="0" fontId="3" fillId="0" borderId="15" xfId="44" applyFont="1" applyBorder="1" applyAlignment="1">
      <alignment horizontal="left"/>
    </xf>
    <xf numFmtId="0" fontId="1" fillId="0" borderId="0" xfId="44" applyFont="1" applyBorder="1" applyAlignment="1">
      <alignment horizontal="left"/>
    </xf>
    <xf numFmtId="0" fontId="3" fillId="0" borderId="10" xfId="44" applyFont="1" applyFill="1" applyBorder="1" applyAlignment="1">
      <alignment horizontal="left"/>
    </xf>
    <xf numFmtId="0" fontId="3" fillId="0" borderId="47" xfId="44" applyFont="1" applyFill="1" applyBorder="1" applyAlignment="1">
      <alignment horizontal="left"/>
    </xf>
    <xf numFmtId="0" fontId="52" fillId="0" borderId="0" xfId="44" applyFont="1" applyBorder="1" applyAlignment="1"/>
    <xf numFmtId="0" fontId="1" fillId="0" borderId="0" xfId="44" applyBorder="1" applyAlignment="1"/>
    <xf numFmtId="0" fontId="1" fillId="0" borderId="0" xfId="44" applyAlignment="1">
      <alignment horizontal="center" vertical="center"/>
    </xf>
    <xf numFmtId="0" fontId="1" fillId="0" borderId="19" xfId="44" applyFont="1" applyBorder="1" applyAlignment="1"/>
    <xf numFmtId="0" fontId="1" fillId="0" borderId="12" xfId="44" applyFont="1" applyBorder="1" applyAlignment="1">
      <alignment horizontal="left"/>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28" builtinId="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45">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theme="1"/>
        <name val="Cambria"/>
        <scheme val="none"/>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EAEAEA"/>
    </indexed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g"/><Relationship Id="rId3" Type="http://schemas.openxmlformats.org/officeDocument/2006/relationships/image" Target="../media/image3.jpg"/><Relationship Id="rId7" Type="http://schemas.openxmlformats.org/officeDocument/2006/relationships/image" Target="../media/image7.jp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0" Type="http://schemas.openxmlformats.org/officeDocument/2006/relationships/image" Target="../media/image10.jpg"/><Relationship Id="rId4" Type="http://schemas.openxmlformats.org/officeDocument/2006/relationships/image" Target="../media/image4.jpg"/><Relationship Id="rId9" Type="http://schemas.openxmlformats.org/officeDocument/2006/relationships/image" Target="../media/image9.jpg"/></Relationships>
</file>

<file path=xl/drawings/_rels/drawing2.xml.rels><?xml version="1.0" encoding="UTF-8" standalone="yes"?>
<Relationships xmlns="http://schemas.openxmlformats.org/package/2006/relationships"><Relationship Id="rId3" Type="http://schemas.openxmlformats.org/officeDocument/2006/relationships/image" Target="../media/image14.jpeg"/><Relationship Id="rId2" Type="http://schemas.openxmlformats.org/officeDocument/2006/relationships/image" Target="../media/image13.png"/><Relationship Id="rId1" Type="http://schemas.openxmlformats.org/officeDocument/2006/relationships/image" Target="../media/image12.jpeg"/></Relationships>
</file>

<file path=xl/drawings/_rels/drawing3.xml.rels><?xml version="1.0" encoding="UTF-8" standalone="yes"?>
<Relationships xmlns="http://schemas.openxmlformats.org/package/2006/relationships"><Relationship Id="rId8" Type="http://schemas.openxmlformats.org/officeDocument/2006/relationships/image" Target="../media/image22.jpg"/><Relationship Id="rId3" Type="http://schemas.openxmlformats.org/officeDocument/2006/relationships/image" Target="../media/image17.jpg"/><Relationship Id="rId7" Type="http://schemas.openxmlformats.org/officeDocument/2006/relationships/image" Target="../media/image21.jpg"/><Relationship Id="rId2" Type="http://schemas.openxmlformats.org/officeDocument/2006/relationships/image" Target="../media/image16.jpg"/><Relationship Id="rId1" Type="http://schemas.openxmlformats.org/officeDocument/2006/relationships/image" Target="../media/image15.jpeg"/><Relationship Id="rId6" Type="http://schemas.openxmlformats.org/officeDocument/2006/relationships/image" Target="../media/image20.jpg"/><Relationship Id="rId5" Type="http://schemas.openxmlformats.org/officeDocument/2006/relationships/image" Target="../media/image19.jpeg"/><Relationship Id="rId4" Type="http://schemas.openxmlformats.org/officeDocument/2006/relationships/image" Target="../media/image18.jpg"/><Relationship Id="rId9" Type="http://schemas.openxmlformats.org/officeDocument/2006/relationships/image" Target="../media/image23.jpg"/></Relationships>
</file>

<file path=xl/drawings/_rels/drawing4.xml.rels><?xml version="1.0" encoding="UTF-8" standalone="yes"?>
<Relationships xmlns="http://schemas.openxmlformats.org/package/2006/relationships"><Relationship Id="rId1" Type="http://schemas.openxmlformats.org/officeDocument/2006/relationships/image" Target="../media/image24.jpg"/></Relationships>
</file>

<file path=xl/drawings/_rels/drawing5.xml.rels><?xml version="1.0" encoding="UTF-8" standalone="yes"?>
<Relationships xmlns="http://schemas.openxmlformats.org/package/2006/relationships"><Relationship Id="rId1" Type="http://schemas.openxmlformats.org/officeDocument/2006/relationships/image" Target="../media/image25.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7</xdr:row>
      <xdr:rowOff>19070</xdr:rowOff>
    </xdr:from>
    <xdr:to>
      <xdr:col>0</xdr:col>
      <xdr:colOff>933574</xdr:colOff>
      <xdr:row>12</xdr:row>
      <xdr:rowOff>95394</xdr:rowOff>
    </xdr:to>
    <xdr:pic>
      <xdr:nvPicPr>
        <xdr:cNvPr id="17" name="Picture 1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 y="1247795"/>
          <a:ext cx="885949" cy="885949"/>
        </a:xfrm>
        <a:prstGeom prst="rect">
          <a:avLst/>
        </a:prstGeom>
      </xdr:spPr>
    </xdr:pic>
    <xdr:clientData/>
  </xdr:twoCellAnchor>
  <xdr:twoCellAnchor editAs="oneCell">
    <xdr:from>
      <xdr:col>0</xdr:col>
      <xdr:colOff>123825</xdr:colOff>
      <xdr:row>30</xdr:row>
      <xdr:rowOff>28592</xdr:rowOff>
    </xdr:from>
    <xdr:to>
      <xdr:col>1</xdr:col>
      <xdr:colOff>9643</xdr:colOff>
      <xdr:row>35</xdr:row>
      <xdr:rowOff>66810</xdr:rowOff>
    </xdr:to>
    <xdr:pic>
      <xdr:nvPicPr>
        <xdr:cNvPr id="18" name="Picture 1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3825" y="4876817"/>
          <a:ext cx="847843" cy="847843"/>
        </a:xfrm>
        <a:prstGeom prst="rect">
          <a:avLst/>
        </a:prstGeom>
      </xdr:spPr>
    </xdr:pic>
    <xdr:clientData/>
  </xdr:twoCellAnchor>
  <xdr:twoCellAnchor editAs="oneCell">
    <xdr:from>
      <xdr:col>0</xdr:col>
      <xdr:colOff>47625</xdr:colOff>
      <xdr:row>53</xdr:row>
      <xdr:rowOff>28595</xdr:rowOff>
    </xdr:from>
    <xdr:to>
      <xdr:col>0</xdr:col>
      <xdr:colOff>933574</xdr:colOff>
      <xdr:row>58</xdr:row>
      <xdr:rowOff>104919</xdr:rowOff>
    </xdr:to>
    <xdr:pic>
      <xdr:nvPicPr>
        <xdr:cNvPr id="19" name="Picture 18"/>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7625" y="8496320"/>
          <a:ext cx="885949" cy="885949"/>
        </a:xfrm>
        <a:prstGeom prst="rect">
          <a:avLst/>
        </a:prstGeom>
      </xdr:spPr>
    </xdr:pic>
    <xdr:clientData/>
  </xdr:twoCellAnchor>
  <xdr:twoCellAnchor editAs="oneCell">
    <xdr:from>
      <xdr:col>0</xdr:col>
      <xdr:colOff>66675</xdr:colOff>
      <xdr:row>74</xdr:row>
      <xdr:rowOff>171467</xdr:rowOff>
    </xdr:from>
    <xdr:to>
      <xdr:col>1</xdr:col>
      <xdr:colOff>28704</xdr:colOff>
      <xdr:row>80</xdr:row>
      <xdr:rowOff>95396</xdr:rowOff>
    </xdr:to>
    <xdr:pic>
      <xdr:nvPicPr>
        <xdr:cNvPr id="20" name="Picture 19"/>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 y="11906267"/>
          <a:ext cx="924054" cy="924054"/>
        </a:xfrm>
        <a:prstGeom prst="rect">
          <a:avLst/>
        </a:prstGeom>
      </xdr:spPr>
    </xdr:pic>
    <xdr:clientData/>
  </xdr:twoCellAnchor>
  <xdr:twoCellAnchor editAs="oneCell">
    <xdr:from>
      <xdr:col>0</xdr:col>
      <xdr:colOff>66675</xdr:colOff>
      <xdr:row>99</xdr:row>
      <xdr:rowOff>19067</xdr:rowOff>
    </xdr:from>
    <xdr:to>
      <xdr:col>0</xdr:col>
      <xdr:colOff>914518</xdr:colOff>
      <xdr:row>104</xdr:row>
      <xdr:rowOff>57285</xdr:rowOff>
    </xdr:to>
    <xdr:pic>
      <xdr:nvPicPr>
        <xdr:cNvPr id="21" name="Picture 20"/>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6675" y="15725792"/>
          <a:ext cx="847843" cy="847843"/>
        </a:xfrm>
        <a:prstGeom prst="rect">
          <a:avLst/>
        </a:prstGeom>
      </xdr:spPr>
    </xdr:pic>
    <xdr:clientData/>
  </xdr:twoCellAnchor>
  <xdr:twoCellAnchor editAs="oneCell">
    <xdr:from>
      <xdr:col>0</xdr:col>
      <xdr:colOff>104775</xdr:colOff>
      <xdr:row>122</xdr:row>
      <xdr:rowOff>38100</xdr:rowOff>
    </xdr:from>
    <xdr:to>
      <xdr:col>1</xdr:col>
      <xdr:colOff>28575</xdr:colOff>
      <xdr:row>127</xdr:row>
      <xdr:rowOff>114300</xdr:rowOff>
    </xdr:to>
    <xdr:pic>
      <xdr:nvPicPr>
        <xdr:cNvPr id="22" name="Picture 21"/>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4775" y="19364325"/>
          <a:ext cx="885825" cy="885825"/>
        </a:xfrm>
        <a:prstGeom prst="rect">
          <a:avLst/>
        </a:prstGeom>
      </xdr:spPr>
    </xdr:pic>
    <xdr:clientData/>
  </xdr:twoCellAnchor>
  <xdr:twoCellAnchor editAs="oneCell">
    <xdr:from>
      <xdr:col>0</xdr:col>
      <xdr:colOff>85725</xdr:colOff>
      <xdr:row>145</xdr:row>
      <xdr:rowOff>38119</xdr:rowOff>
    </xdr:from>
    <xdr:to>
      <xdr:col>0</xdr:col>
      <xdr:colOff>933568</xdr:colOff>
      <xdr:row>150</xdr:row>
      <xdr:rowOff>76337</xdr:rowOff>
    </xdr:to>
    <xdr:pic>
      <xdr:nvPicPr>
        <xdr:cNvPr id="23" name="Picture 22"/>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5725" y="22983844"/>
          <a:ext cx="847843" cy="847843"/>
        </a:xfrm>
        <a:prstGeom prst="rect">
          <a:avLst/>
        </a:prstGeom>
      </xdr:spPr>
    </xdr:pic>
    <xdr:clientData/>
  </xdr:twoCellAnchor>
  <xdr:twoCellAnchor editAs="oneCell">
    <xdr:from>
      <xdr:col>0</xdr:col>
      <xdr:colOff>47625</xdr:colOff>
      <xdr:row>169</xdr:row>
      <xdr:rowOff>28594</xdr:rowOff>
    </xdr:from>
    <xdr:to>
      <xdr:col>0</xdr:col>
      <xdr:colOff>952626</xdr:colOff>
      <xdr:row>174</xdr:row>
      <xdr:rowOff>123970</xdr:rowOff>
    </xdr:to>
    <xdr:pic>
      <xdr:nvPicPr>
        <xdr:cNvPr id="24" name="Picture 23"/>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7625" y="26822419"/>
          <a:ext cx="905001" cy="905001"/>
        </a:xfrm>
        <a:prstGeom prst="rect">
          <a:avLst/>
        </a:prstGeom>
      </xdr:spPr>
    </xdr:pic>
    <xdr:clientData/>
  </xdr:twoCellAnchor>
  <xdr:twoCellAnchor editAs="oneCell">
    <xdr:from>
      <xdr:col>0</xdr:col>
      <xdr:colOff>95250</xdr:colOff>
      <xdr:row>192</xdr:row>
      <xdr:rowOff>14308</xdr:rowOff>
    </xdr:from>
    <xdr:to>
      <xdr:col>0</xdr:col>
      <xdr:colOff>943093</xdr:colOff>
      <xdr:row>197</xdr:row>
      <xdr:rowOff>52526</xdr:rowOff>
    </xdr:to>
    <xdr:pic>
      <xdr:nvPicPr>
        <xdr:cNvPr id="25" name="Picture 24"/>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5250" y="30427633"/>
          <a:ext cx="847843" cy="847843"/>
        </a:xfrm>
        <a:prstGeom prst="rect">
          <a:avLst/>
        </a:prstGeom>
      </xdr:spPr>
    </xdr:pic>
    <xdr:clientData/>
  </xdr:twoCellAnchor>
  <xdr:twoCellAnchor editAs="oneCell">
    <xdr:from>
      <xdr:col>0</xdr:col>
      <xdr:colOff>47625</xdr:colOff>
      <xdr:row>216</xdr:row>
      <xdr:rowOff>85746</xdr:rowOff>
    </xdr:from>
    <xdr:to>
      <xdr:col>0</xdr:col>
      <xdr:colOff>933574</xdr:colOff>
      <xdr:row>222</xdr:row>
      <xdr:rowOff>145</xdr:rowOff>
    </xdr:to>
    <xdr:pic>
      <xdr:nvPicPr>
        <xdr:cNvPr id="27" name="Picture 26"/>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7625" y="37966671"/>
          <a:ext cx="885949" cy="885949"/>
        </a:xfrm>
        <a:prstGeom prst="rect">
          <a:avLst/>
        </a:prstGeom>
      </xdr:spPr>
    </xdr:pic>
    <xdr:clientData/>
  </xdr:twoCellAnchor>
  <xdr:twoCellAnchor editAs="oneCell">
    <xdr:from>
      <xdr:col>0</xdr:col>
      <xdr:colOff>76200</xdr:colOff>
      <xdr:row>229</xdr:row>
      <xdr:rowOff>114319</xdr:rowOff>
    </xdr:from>
    <xdr:to>
      <xdr:col>0</xdr:col>
      <xdr:colOff>952622</xdr:colOff>
      <xdr:row>235</xdr:row>
      <xdr:rowOff>19191</xdr:rowOff>
    </xdr:to>
    <xdr:pic>
      <xdr:nvPicPr>
        <xdr:cNvPr id="28" name="Picture 27"/>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6200" y="39995494"/>
          <a:ext cx="876422" cy="8764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6</xdr:row>
      <xdr:rowOff>28576</xdr:rowOff>
    </xdr:from>
    <xdr:to>
      <xdr:col>0</xdr:col>
      <xdr:colOff>914400</xdr:colOff>
      <xdr:row>11</xdr:row>
      <xdr:rowOff>55844</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1343026"/>
          <a:ext cx="838200" cy="8464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25</xdr:row>
      <xdr:rowOff>9525</xdr:rowOff>
    </xdr:from>
    <xdr:to>
      <xdr:col>0</xdr:col>
      <xdr:colOff>1071612</xdr:colOff>
      <xdr:row>29</xdr:row>
      <xdr:rowOff>76200</xdr:rowOff>
    </xdr:to>
    <xdr:pic>
      <xdr:nvPicPr>
        <xdr:cNvPr id="3"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7625" y="4848225"/>
          <a:ext cx="1023987"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104775</xdr:colOff>
      <xdr:row>14</xdr:row>
      <xdr:rowOff>200025</xdr:rowOff>
    </xdr:from>
    <xdr:to>
      <xdr:col>0</xdr:col>
      <xdr:colOff>961383</xdr:colOff>
      <xdr:row>18</xdr:row>
      <xdr:rowOff>114300</xdr:rowOff>
    </xdr:to>
    <xdr:pic>
      <xdr:nvPicPr>
        <xdr:cNvPr id="4" name="Picture 9"/>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4775" y="3009900"/>
          <a:ext cx="856608"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35</xdr:row>
      <xdr:rowOff>38100</xdr:rowOff>
    </xdr:from>
    <xdr:to>
      <xdr:col>0</xdr:col>
      <xdr:colOff>790575</xdr:colOff>
      <xdr:row>39</xdr:row>
      <xdr:rowOff>38100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5" y="5229225"/>
          <a:ext cx="647700" cy="647700"/>
        </a:xfrm>
        <a:prstGeom prst="rect">
          <a:avLst/>
        </a:prstGeom>
      </xdr:spPr>
    </xdr:pic>
    <xdr:clientData/>
  </xdr:twoCellAnchor>
  <xdr:twoCellAnchor editAs="oneCell">
    <xdr:from>
      <xdr:col>0</xdr:col>
      <xdr:colOff>76203</xdr:colOff>
      <xdr:row>3</xdr:row>
      <xdr:rowOff>85725</xdr:rowOff>
    </xdr:from>
    <xdr:to>
      <xdr:col>0</xdr:col>
      <xdr:colOff>699675</xdr:colOff>
      <xdr:row>7</xdr:row>
      <xdr:rowOff>13872</xdr:rowOff>
    </xdr:to>
    <xdr:pic>
      <xdr:nvPicPr>
        <xdr:cNvPr id="5" name="Pictur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203" y="685800"/>
          <a:ext cx="623472" cy="623472"/>
        </a:xfrm>
        <a:prstGeom prst="rect">
          <a:avLst/>
        </a:prstGeom>
      </xdr:spPr>
    </xdr:pic>
    <xdr:clientData/>
  </xdr:twoCellAnchor>
  <xdr:twoCellAnchor editAs="oneCell">
    <xdr:from>
      <xdr:col>0</xdr:col>
      <xdr:colOff>12088</xdr:colOff>
      <xdr:row>7</xdr:row>
      <xdr:rowOff>142874</xdr:rowOff>
    </xdr:from>
    <xdr:to>
      <xdr:col>0</xdr:col>
      <xdr:colOff>571499</xdr:colOff>
      <xdr:row>11</xdr:row>
      <xdr:rowOff>16485</xdr:rowOff>
    </xdr:to>
    <xdr:pic>
      <xdr:nvPicPr>
        <xdr:cNvPr id="6" name="Picture 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88" y="1438274"/>
          <a:ext cx="559411" cy="559411"/>
        </a:xfrm>
        <a:prstGeom prst="rect">
          <a:avLst/>
        </a:prstGeom>
      </xdr:spPr>
    </xdr:pic>
    <xdr:clientData/>
  </xdr:twoCellAnchor>
  <xdr:twoCellAnchor editAs="oneCell">
    <xdr:from>
      <xdr:col>0</xdr:col>
      <xdr:colOff>8036</xdr:colOff>
      <xdr:row>11</xdr:row>
      <xdr:rowOff>9526</xdr:rowOff>
    </xdr:from>
    <xdr:to>
      <xdr:col>0</xdr:col>
      <xdr:colOff>514350</xdr:colOff>
      <xdr:row>14</xdr:row>
      <xdr:rowOff>11015</xdr:rowOff>
    </xdr:to>
    <xdr:pic>
      <xdr:nvPicPr>
        <xdr:cNvPr id="7" name="Picture 6"/>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036" y="1990726"/>
          <a:ext cx="506314" cy="506314"/>
        </a:xfrm>
        <a:prstGeom prst="rect">
          <a:avLst/>
        </a:prstGeom>
      </xdr:spPr>
    </xdr:pic>
    <xdr:clientData/>
  </xdr:twoCellAnchor>
  <xdr:twoCellAnchor editAs="oneCell">
    <xdr:from>
      <xdr:col>0</xdr:col>
      <xdr:colOff>0</xdr:colOff>
      <xdr:row>14</xdr:row>
      <xdr:rowOff>57150</xdr:rowOff>
    </xdr:from>
    <xdr:to>
      <xdr:col>0</xdr:col>
      <xdr:colOff>685800</xdr:colOff>
      <xdr:row>18</xdr:row>
      <xdr:rowOff>85725</xdr:rowOff>
    </xdr:to>
    <xdr:pic>
      <xdr:nvPicPr>
        <xdr:cNvPr id="8" name="Picture 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2543175"/>
          <a:ext cx="685800" cy="685800"/>
        </a:xfrm>
        <a:prstGeom prst="rect">
          <a:avLst/>
        </a:prstGeom>
      </xdr:spPr>
    </xdr:pic>
    <xdr:clientData/>
  </xdr:twoCellAnchor>
  <xdr:twoCellAnchor editAs="oneCell">
    <xdr:from>
      <xdr:col>0</xdr:col>
      <xdr:colOff>0</xdr:colOff>
      <xdr:row>56</xdr:row>
      <xdr:rowOff>152400</xdr:rowOff>
    </xdr:from>
    <xdr:to>
      <xdr:col>0</xdr:col>
      <xdr:colOff>771525</xdr:colOff>
      <xdr:row>61</xdr:row>
      <xdr:rowOff>114300</xdr:rowOff>
    </xdr:to>
    <xdr:pic>
      <xdr:nvPicPr>
        <xdr:cNvPr id="10" name="Picture 9"/>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9486900"/>
          <a:ext cx="771525" cy="771525"/>
        </a:xfrm>
        <a:prstGeom prst="rect">
          <a:avLst/>
        </a:prstGeom>
      </xdr:spPr>
    </xdr:pic>
    <xdr:clientData/>
  </xdr:twoCellAnchor>
  <xdr:twoCellAnchor editAs="oneCell">
    <xdr:from>
      <xdr:col>0</xdr:col>
      <xdr:colOff>0</xdr:colOff>
      <xdr:row>50</xdr:row>
      <xdr:rowOff>0</xdr:rowOff>
    </xdr:from>
    <xdr:to>
      <xdr:col>1</xdr:col>
      <xdr:colOff>95250</xdr:colOff>
      <xdr:row>55</xdr:row>
      <xdr:rowOff>104775</xdr:rowOff>
    </xdr:to>
    <xdr:pic>
      <xdr:nvPicPr>
        <xdr:cNvPr id="11" name="il_fi"/>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0" y="95250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xdr:row>
      <xdr:rowOff>0</xdr:rowOff>
    </xdr:from>
    <xdr:to>
      <xdr:col>1</xdr:col>
      <xdr:colOff>95250</xdr:colOff>
      <xdr:row>48</xdr:row>
      <xdr:rowOff>85725</xdr:rowOff>
    </xdr:to>
    <xdr:pic>
      <xdr:nvPicPr>
        <xdr:cNvPr id="12" name="il_fi"/>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0" y="8372475"/>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xdr:row>
      <xdr:rowOff>76200</xdr:rowOff>
    </xdr:from>
    <xdr:to>
      <xdr:col>0</xdr:col>
      <xdr:colOff>685800</xdr:colOff>
      <xdr:row>22</xdr:row>
      <xdr:rowOff>104775</xdr:rowOff>
    </xdr:to>
    <xdr:pic>
      <xdr:nvPicPr>
        <xdr:cNvPr id="13" name="Picture 1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0" y="3219450"/>
          <a:ext cx="685800" cy="6858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5</xdr:row>
      <xdr:rowOff>47624</xdr:rowOff>
    </xdr:from>
    <xdr:ext cx="809625" cy="809625"/>
    <xdr:pic>
      <xdr:nvPicPr>
        <xdr:cNvPr id="2" name="Picture 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0" y="1085849"/>
          <a:ext cx="80962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5</xdr:row>
      <xdr:rowOff>0</xdr:rowOff>
    </xdr:from>
    <xdr:to>
      <xdr:col>0</xdr:col>
      <xdr:colOff>771525</xdr:colOff>
      <xdr:row>11</xdr:row>
      <xdr:rowOff>2431</xdr:rowOff>
    </xdr:to>
    <xdr:pic>
      <xdr:nvPicPr>
        <xdr:cNvPr id="3" name="Picture 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828675"/>
          <a:ext cx="742950" cy="9168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trax.boy-scouts.net/faq.htm" TargetMode="External"/><Relationship Id="rId7" Type="http://schemas.openxmlformats.org/officeDocument/2006/relationships/printerSettings" Target="../printerSettings/printerSettings1.bin"/><Relationship Id="rId2" Type="http://schemas.openxmlformats.org/officeDocument/2006/relationships/hyperlink" Target="mailto:aedmunds@bellsouth.net" TargetMode="External"/><Relationship Id="rId1" Type="http://schemas.openxmlformats.org/officeDocument/2006/relationships/hyperlink" Target="mailto:aedmunds@bellsouth.net." TargetMode="External"/><Relationship Id="rId6" Type="http://schemas.openxmlformats.org/officeDocument/2006/relationships/hyperlink" Target="mailto:scouttrax@yahoo.com" TargetMode="External"/><Relationship Id="rId5" Type="http://schemas.openxmlformats.org/officeDocument/2006/relationships/hyperlink" Target="http://groups.yahoo.com/group/scouttrax/" TargetMode="External"/><Relationship Id="rId4" Type="http://schemas.openxmlformats.org/officeDocument/2006/relationships/hyperlink" Target="http://trax.boy-scouts.net/gstrax.ht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hyperlink" Target="http://www.girlscouts.org/cookies" TargetMode="External"/><Relationship Id="rId7" Type="http://schemas.openxmlformats.org/officeDocument/2006/relationships/comments" Target="../comments4.xml"/><Relationship Id="rId2" Type="http://schemas.openxmlformats.org/officeDocument/2006/relationships/hyperlink" Target="http://www.girlscouts.org/global_action_award" TargetMode="External"/><Relationship Id="rId1" Type="http://schemas.openxmlformats.org/officeDocument/2006/relationships/hyperlink" Target="http://www.girlscouts.org/world_thinking_day" TargetMode="External"/><Relationship Id="rId6" Type="http://schemas.openxmlformats.org/officeDocument/2006/relationships/vmlDrawing" Target="../drawings/vmlDrawing4.vml"/><Relationship Id="rId5" Type="http://schemas.openxmlformats.org/officeDocument/2006/relationships/drawing" Target="../drawings/drawing3.xml"/><Relationship Id="rId4"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sheetPr>
  <dimension ref="A1:I45"/>
  <sheetViews>
    <sheetView showGridLines="0" zoomScaleNormal="100" workbookViewId="0">
      <selection activeCell="F3" sqref="F3:H3"/>
    </sheetView>
  </sheetViews>
  <sheetFormatPr defaultRowHeight="12.75" x14ac:dyDescent="0.2"/>
  <cols>
    <col min="1" max="1" width="4.140625" customWidth="1"/>
    <col min="2" max="2" width="20.85546875" bestFit="1" customWidth="1"/>
    <col min="3" max="3" width="9.140625" bestFit="1" customWidth="1"/>
    <col min="4" max="4" width="5.140625" customWidth="1"/>
    <col min="5" max="5" width="17.5703125" customWidth="1"/>
    <col min="9" max="9" width="12.28515625" customWidth="1"/>
  </cols>
  <sheetData>
    <row r="1" spans="1:9" x14ac:dyDescent="0.2">
      <c r="A1" s="61" t="s">
        <v>28</v>
      </c>
      <c r="B1" s="61"/>
      <c r="C1" s="61"/>
      <c r="D1" s="61"/>
      <c r="E1" s="61"/>
      <c r="F1" s="61"/>
      <c r="G1" s="61"/>
      <c r="H1" s="61"/>
      <c r="I1" s="61"/>
    </row>
    <row r="2" spans="1:9" ht="9" customHeight="1" thickBot="1" x14ac:dyDescent="0.25"/>
    <row r="3" spans="1:9" ht="13.5" thickBot="1" x14ac:dyDescent="0.25">
      <c r="A3" s="384" t="s">
        <v>50</v>
      </c>
      <c r="B3" s="384"/>
      <c r="C3" s="384"/>
      <c r="D3" s="384"/>
      <c r="E3" s="385"/>
      <c r="F3" s="386"/>
      <c r="G3" s="387"/>
      <c r="H3" s="388"/>
    </row>
    <row r="4" spans="1:9" ht="9" customHeight="1" thickBot="1" x14ac:dyDescent="0.25"/>
    <row r="5" spans="1:9" ht="13.5" thickBot="1" x14ac:dyDescent="0.25">
      <c r="A5" s="60" t="s">
        <v>51</v>
      </c>
      <c r="B5" s="60"/>
      <c r="C5" s="60"/>
      <c r="D5" s="60"/>
      <c r="E5" s="83"/>
      <c r="F5" s="309"/>
    </row>
    <row r="6" spans="1:9" ht="9" customHeight="1" x14ac:dyDescent="0.2"/>
    <row r="7" spans="1:9" x14ac:dyDescent="0.2">
      <c r="A7" s="75" t="s">
        <v>85</v>
      </c>
      <c r="B7" s="6"/>
      <c r="C7" s="6"/>
      <c r="D7" s="6"/>
      <c r="E7" s="6"/>
      <c r="F7" s="6"/>
      <c r="G7" s="6"/>
      <c r="H7" s="6"/>
      <c r="I7" s="6"/>
    </row>
    <row r="8" spans="1:9" ht="25.5" customHeight="1" x14ac:dyDescent="0.2">
      <c r="A8" s="6"/>
      <c r="B8" s="389" t="s">
        <v>86</v>
      </c>
      <c r="C8" s="389"/>
      <c r="D8" s="389"/>
      <c r="E8" s="389"/>
      <c r="F8" s="389"/>
      <c r="G8" s="389"/>
      <c r="H8" s="389"/>
      <c r="I8" s="389"/>
    </row>
    <row r="9" spans="1:9" ht="20.25" customHeight="1" x14ac:dyDescent="0.2">
      <c r="A9" s="52" t="s">
        <v>13</v>
      </c>
      <c r="B9" s="52"/>
      <c r="C9" s="52"/>
      <c r="D9" s="52"/>
      <c r="E9" s="52"/>
      <c r="F9" s="52"/>
      <c r="G9" s="52"/>
      <c r="H9" s="52"/>
      <c r="I9" s="52"/>
    </row>
    <row r="10" spans="1:9" ht="41.25" customHeight="1" x14ac:dyDescent="0.2">
      <c r="B10" s="373" t="s">
        <v>408</v>
      </c>
      <c r="C10" s="372"/>
      <c r="D10" s="372"/>
      <c r="E10" s="372"/>
      <c r="F10" s="372"/>
      <c r="G10" s="372"/>
      <c r="H10" s="372"/>
      <c r="I10" s="372"/>
    </row>
    <row r="11" spans="1:9" ht="20.25" customHeight="1" x14ac:dyDescent="0.2">
      <c r="A11" s="52" t="s">
        <v>48</v>
      </c>
      <c r="B11" s="52"/>
      <c r="C11" s="52"/>
      <c r="D11" s="52"/>
      <c r="E11" s="52"/>
      <c r="F11" s="52"/>
      <c r="G11" s="52"/>
      <c r="H11" s="52"/>
      <c r="I11" s="52"/>
    </row>
    <row r="12" spans="1:9" ht="25.5" customHeight="1" x14ac:dyDescent="0.2">
      <c r="B12" s="372" t="s">
        <v>45</v>
      </c>
      <c r="C12" s="372"/>
      <c r="D12" s="372"/>
      <c r="E12" s="372"/>
      <c r="F12" s="372"/>
      <c r="G12" s="372"/>
      <c r="H12" s="372"/>
      <c r="I12" s="372"/>
    </row>
    <row r="13" spans="1:9" ht="20.25" customHeight="1" x14ac:dyDescent="0.2">
      <c r="A13" s="52" t="s">
        <v>87</v>
      </c>
      <c r="B13" s="52"/>
      <c r="C13" s="52"/>
      <c r="D13" s="52"/>
      <c r="E13" s="52"/>
      <c r="F13" s="52"/>
      <c r="G13" s="52"/>
      <c r="H13" s="52"/>
      <c r="I13" s="52"/>
    </row>
    <row r="14" spans="1:9" ht="52.5" customHeight="1" x14ac:dyDescent="0.2">
      <c r="B14" s="372" t="s">
        <v>88</v>
      </c>
      <c r="C14" s="372"/>
      <c r="D14" s="372"/>
      <c r="E14" s="372"/>
      <c r="F14" s="372"/>
      <c r="G14" s="372"/>
      <c r="H14" s="372"/>
      <c r="I14" s="372"/>
    </row>
    <row r="15" spans="1:9" ht="20.25" customHeight="1" x14ac:dyDescent="0.2">
      <c r="A15" s="52" t="s">
        <v>49</v>
      </c>
      <c r="B15" s="52"/>
      <c r="C15" s="52"/>
      <c r="D15" s="52"/>
      <c r="E15" s="52"/>
      <c r="F15" s="52"/>
      <c r="G15" s="52"/>
      <c r="H15" s="52"/>
      <c r="I15" s="52"/>
    </row>
    <row r="16" spans="1:9" ht="26.25" customHeight="1" x14ac:dyDescent="0.2">
      <c r="B16" s="372" t="s">
        <v>89</v>
      </c>
      <c r="C16" s="372"/>
      <c r="D16" s="372"/>
      <c r="E16" s="372"/>
      <c r="F16" s="372"/>
      <c r="G16" s="372"/>
      <c r="H16" s="372"/>
      <c r="I16" s="372"/>
    </row>
    <row r="17" spans="1:9" s="6" customFormat="1" ht="18" customHeight="1" x14ac:dyDescent="0.2">
      <c r="A17" s="75" t="s">
        <v>91</v>
      </c>
      <c r="B17" s="86"/>
      <c r="C17" s="86"/>
      <c r="D17" s="86"/>
      <c r="E17" s="86"/>
      <c r="F17" s="86"/>
      <c r="G17" s="86"/>
      <c r="H17" s="86"/>
      <c r="I17" s="86"/>
    </row>
    <row r="18" spans="1:9" s="6" customFormat="1" ht="27.75" customHeight="1" x14ac:dyDescent="0.2">
      <c r="B18" s="390" t="s">
        <v>92</v>
      </c>
      <c r="C18" s="390"/>
      <c r="D18" s="390"/>
      <c r="E18" s="390"/>
      <c r="F18" s="390"/>
      <c r="G18" s="390"/>
      <c r="H18" s="390"/>
      <c r="I18" s="390"/>
    </row>
    <row r="19" spans="1:9" ht="20.25" customHeight="1" x14ac:dyDescent="0.2">
      <c r="A19" s="52" t="s">
        <v>410</v>
      </c>
      <c r="B19" s="52"/>
      <c r="C19" s="52"/>
      <c r="D19" s="52"/>
      <c r="E19" s="52"/>
      <c r="F19" s="52"/>
      <c r="G19" s="52"/>
      <c r="H19" s="52"/>
      <c r="I19" s="52"/>
    </row>
    <row r="20" spans="1:9" s="8" customFormat="1" x14ac:dyDescent="0.2">
      <c r="A20"/>
      <c r="B20" s="372" t="s">
        <v>14</v>
      </c>
      <c r="C20" s="372"/>
      <c r="D20" s="372"/>
      <c r="E20" s="372"/>
      <c r="F20" s="372"/>
      <c r="G20" s="372"/>
      <c r="H20" s="372"/>
      <c r="I20" s="372"/>
    </row>
    <row r="21" spans="1:9" ht="20.25" customHeight="1" x14ac:dyDescent="0.2">
      <c r="A21" s="60" t="s">
        <v>3</v>
      </c>
      <c r="B21" s="60"/>
      <c r="C21" s="60"/>
      <c r="D21" s="60"/>
      <c r="E21" s="60"/>
      <c r="F21" s="60"/>
      <c r="G21" s="60"/>
      <c r="H21" s="60"/>
      <c r="I21" s="60"/>
    </row>
    <row r="22" spans="1:9" ht="104.25" customHeight="1" x14ac:dyDescent="0.2">
      <c r="B22" s="372" t="s">
        <v>70</v>
      </c>
      <c r="C22" s="372"/>
      <c r="D22" s="372"/>
      <c r="E22" s="372"/>
      <c r="F22" s="372"/>
      <c r="G22" s="372"/>
      <c r="H22" s="372"/>
      <c r="I22" s="372"/>
    </row>
    <row r="23" spans="1:9" ht="21" customHeight="1" x14ac:dyDescent="0.2">
      <c r="A23" s="1" t="s">
        <v>4</v>
      </c>
      <c r="B23" s="13"/>
      <c r="C23" s="13"/>
      <c r="D23" s="13"/>
      <c r="E23" s="13"/>
      <c r="F23" s="13"/>
      <c r="G23" s="13"/>
      <c r="H23" s="13"/>
      <c r="I23" s="13"/>
    </row>
    <row r="24" spans="1:9" ht="65.25" customHeight="1" x14ac:dyDescent="0.2">
      <c r="B24" s="372" t="s">
        <v>71</v>
      </c>
      <c r="C24" s="372"/>
      <c r="D24" s="372"/>
      <c r="E24" s="372"/>
      <c r="F24" s="372"/>
      <c r="G24" s="372"/>
      <c r="H24" s="372"/>
      <c r="I24" s="372"/>
    </row>
    <row r="25" spans="1:9" ht="20.25" customHeight="1" x14ac:dyDescent="0.2">
      <c r="A25" s="52" t="s">
        <v>409</v>
      </c>
      <c r="B25" s="52"/>
      <c r="C25" s="52"/>
      <c r="D25" s="52"/>
      <c r="E25" s="52"/>
      <c r="F25" s="52"/>
      <c r="G25" s="52"/>
      <c r="H25" s="52"/>
      <c r="I25" s="52"/>
    </row>
    <row r="26" spans="1:9" ht="40.5" customHeight="1" x14ac:dyDescent="0.2">
      <c r="B26" s="379" t="s">
        <v>411</v>
      </c>
      <c r="C26" s="377"/>
      <c r="D26" s="377"/>
      <c r="E26" s="377"/>
      <c r="F26" s="377"/>
      <c r="G26" s="377"/>
      <c r="H26" s="377"/>
      <c r="I26" s="377"/>
    </row>
    <row r="27" spans="1:9" ht="12.75" customHeight="1" x14ac:dyDescent="0.2">
      <c r="A27" s="1" t="s">
        <v>5</v>
      </c>
      <c r="B27" s="55"/>
      <c r="C27" s="55"/>
      <c r="D27" s="55"/>
      <c r="E27" s="55"/>
      <c r="F27" s="55"/>
      <c r="G27" s="55"/>
      <c r="H27" s="55"/>
      <c r="I27" s="55"/>
    </row>
    <row r="28" spans="1:9" ht="40.5" customHeight="1" x14ac:dyDescent="0.2">
      <c r="B28" s="372" t="s">
        <v>6</v>
      </c>
      <c r="C28" s="372"/>
      <c r="D28" s="372"/>
      <c r="E28" s="372"/>
      <c r="F28" s="372"/>
      <c r="G28" s="372"/>
      <c r="H28" s="372"/>
      <c r="I28" s="372"/>
    </row>
    <row r="29" spans="1:9" x14ac:dyDescent="0.2">
      <c r="B29" s="55"/>
      <c r="C29" s="378" t="s">
        <v>7</v>
      </c>
      <c r="D29" s="378"/>
      <c r="E29" s="378"/>
      <c r="F29" s="55"/>
      <c r="G29" s="55"/>
      <c r="H29" s="55"/>
      <c r="I29" s="55"/>
    </row>
    <row r="30" spans="1:9" x14ac:dyDescent="0.2">
      <c r="B30" s="366"/>
      <c r="C30" s="378" t="s">
        <v>391</v>
      </c>
      <c r="D30" s="378"/>
      <c r="E30" s="378"/>
      <c r="F30" s="377"/>
      <c r="G30" s="366"/>
      <c r="H30" s="366"/>
      <c r="I30" s="366"/>
    </row>
    <row r="31" spans="1:9" ht="51" customHeight="1" x14ac:dyDescent="0.2">
      <c r="B31" s="377" t="s">
        <v>8</v>
      </c>
      <c r="C31" s="377"/>
      <c r="D31" s="377"/>
      <c r="E31" s="377"/>
      <c r="F31" s="377"/>
      <c r="G31" s="377"/>
      <c r="H31" s="377"/>
      <c r="I31" s="377"/>
    </row>
    <row r="32" spans="1:9" ht="20.25" customHeight="1" x14ac:dyDescent="0.2">
      <c r="A32" s="52" t="s">
        <v>29</v>
      </c>
      <c r="B32" s="52"/>
      <c r="C32" s="52"/>
      <c r="D32" s="52"/>
      <c r="E32" s="52"/>
      <c r="F32" s="52"/>
      <c r="G32" s="52"/>
      <c r="H32" s="52"/>
      <c r="I32" s="52"/>
    </row>
    <row r="33" spans="1:9" ht="54.75" customHeight="1" x14ac:dyDescent="0.2">
      <c r="B33" s="379" t="s">
        <v>239</v>
      </c>
      <c r="C33" s="377"/>
      <c r="D33" s="377"/>
      <c r="E33" s="377"/>
      <c r="F33" s="377"/>
      <c r="G33" s="377"/>
      <c r="H33" s="377"/>
      <c r="I33" s="377"/>
    </row>
    <row r="34" spans="1:9" ht="18" customHeight="1" x14ac:dyDescent="0.2">
      <c r="A34" s="60" t="s">
        <v>9</v>
      </c>
      <c r="B34" s="60"/>
      <c r="C34" s="60"/>
      <c r="D34" s="60"/>
      <c r="E34" s="60"/>
      <c r="F34" s="60"/>
      <c r="G34" s="60"/>
      <c r="H34" s="60"/>
      <c r="I34" s="60"/>
    </row>
    <row r="35" spans="1:9" x14ac:dyDescent="0.2">
      <c r="B35" s="372" t="s">
        <v>30</v>
      </c>
      <c r="C35" s="372"/>
      <c r="D35" s="372"/>
      <c r="E35" s="372"/>
      <c r="F35" s="372"/>
      <c r="G35" s="372"/>
      <c r="H35" s="372"/>
      <c r="I35" s="372"/>
    </row>
    <row r="36" spans="1:9" ht="54" customHeight="1" x14ac:dyDescent="0.2">
      <c r="B36" s="372" t="s">
        <v>81</v>
      </c>
      <c r="C36" s="372"/>
      <c r="D36" s="372"/>
      <c r="E36" s="372"/>
      <c r="F36" s="372"/>
      <c r="G36" s="372"/>
      <c r="H36" s="372"/>
      <c r="I36" s="372"/>
    </row>
    <row r="37" spans="1:9" ht="33" customHeight="1" x14ac:dyDescent="0.2">
      <c r="B37" s="373" t="s">
        <v>415</v>
      </c>
      <c r="C37" s="372"/>
      <c r="D37" s="372"/>
      <c r="E37" s="374" t="s">
        <v>416</v>
      </c>
      <c r="F37" s="375"/>
      <c r="G37" s="376"/>
      <c r="H37" s="381"/>
      <c r="I37" s="381"/>
    </row>
    <row r="38" spans="1:9" ht="8.25" customHeight="1" x14ac:dyDescent="0.2">
      <c r="B38" s="365"/>
      <c r="C38" s="365"/>
      <c r="D38" s="365"/>
      <c r="E38" s="375"/>
      <c r="F38" s="375"/>
      <c r="G38" s="376"/>
      <c r="H38" s="365"/>
      <c r="I38" s="365"/>
    </row>
    <row r="39" spans="1:9" ht="27.75" customHeight="1" x14ac:dyDescent="0.2">
      <c r="B39" s="372" t="s">
        <v>31</v>
      </c>
      <c r="C39" s="372"/>
      <c r="D39" s="372"/>
      <c r="E39" s="372"/>
      <c r="F39" s="372"/>
      <c r="G39" s="372"/>
      <c r="H39" s="372"/>
      <c r="I39" s="372"/>
    </row>
    <row r="40" spans="1:9" s="8" customFormat="1" ht="25.5" customHeight="1" x14ac:dyDescent="0.2">
      <c r="A40"/>
      <c r="B40" s="372" t="s">
        <v>10</v>
      </c>
      <c r="C40" s="372"/>
      <c r="D40" s="372"/>
      <c r="E40" s="372"/>
      <c r="F40" s="372"/>
      <c r="G40" s="372"/>
      <c r="H40" s="372"/>
      <c r="I40" s="372"/>
    </row>
    <row r="41" spans="1:9" ht="19.5" customHeight="1" x14ac:dyDescent="0.2">
      <c r="A41" s="1" t="s">
        <v>11</v>
      </c>
      <c r="B41" s="13"/>
      <c r="C41" s="13"/>
      <c r="D41" s="13"/>
      <c r="E41" s="13"/>
      <c r="F41" s="13"/>
      <c r="G41" s="13"/>
      <c r="H41" s="13"/>
      <c r="I41" s="13"/>
    </row>
    <row r="42" spans="1:9" x14ac:dyDescent="0.2">
      <c r="A42" s="8"/>
      <c r="B42" s="374" t="s">
        <v>12</v>
      </c>
      <c r="C42" s="374"/>
      <c r="D42" s="382" t="s">
        <v>417</v>
      </c>
      <c r="E42" s="383"/>
      <c r="F42" s="383"/>
      <c r="G42" s="383"/>
      <c r="H42" s="383"/>
      <c r="I42" s="62"/>
    </row>
    <row r="43" spans="1:9" x14ac:dyDescent="0.2">
      <c r="A43" s="380" t="s">
        <v>32</v>
      </c>
      <c r="B43" s="380"/>
      <c r="C43" s="380"/>
      <c r="D43" s="380"/>
      <c r="E43" s="380"/>
      <c r="F43" s="380"/>
      <c r="G43" s="380"/>
      <c r="H43" s="380"/>
      <c r="I43" s="380"/>
    </row>
    <row r="44" spans="1:9" x14ac:dyDescent="0.2">
      <c r="B44" s="305" t="s">
        <v>412</v>
      </c>
      <c r="C44" s="308">
        <v>41121</v>
      </c>
      <c r="D44" s="12" t="s">
        <v>392</v>
      </c>
    </row>
    <row r="45" spans="1:9" x14ac:dyDescent="0.2">
      <c r="B45" s="368" t="s">
        <v>413</v>
      </c>
      <c r="C45" s="308">
        <v>41145</v>
      </c>
      <c r="D45" s="371" t="s">
        <v>414</v>
      </c>
    </row>
  </sheetData>
  <sheetProtection password="9A15" sheet="1" objects="1" scenarios="1" selectLockedCells="1"/>
  <mergeCells count="28">
    <mergeCell ref="B26:I26"/>
    <mergeCell ref="A3:E3"/>
    <mergeCell ref="F3:H3"/>
    <mergeCell ref="B24:I24"/>
    <mergeCell ref="B8:I8"/>
    <mergeCell ref="B14:I14"/>
    <mergeCell ref="B10:I10"/>
    <mergeCell ref="B12:I12"/>
    <mergeCell ref="B16:I16"/>
    <mergeCell ref="B18:I18"/>
    <mergeCell ref="B20:I20"/>
    <mergeCell ref="B22:I22"/>
    <mergeCell ref="A43:I43"/>
    <mergeCell ref="B42:C42"/>
    <mergeCell ref="H37:I37"/>
    <mergeCell ref="E38:G38"/>
    <mergeCell ref="D42:H42"/>
    <mergeCell ref="B40:I40"/>
    <mergeCell ref="B28:I28"/>
    <mergeCell ref="B37:D37"/>
    <mergeCell ref="E37:G37"/>
    <mergeCell ref="B35:I35"/>
    <mergeCell ref="B39:I39"/>
    <mergeCell ref="B36:I36"/>
    <mergeCell ref="B31:I31"/>
    <mergeCell ref="C29:E29"/>
    <mergeCell ref="C30:F30"/>
    <mergeCell ref="B33:I33"/>
  </mergeCells>
  <phoneticPr fontId="2" type="noConversion"/>
  <hyperlinks>
    <hyperlink ref="B42" r:id="rId1" display="aedmunds@bellsouth.net."/>
    <hyperlink ref="B42:C42" r:id="rId2" display="aedmunds@bellsouth.net"/>
    <hyperlink ref="C29" r:id="rId3"/>
    <hyperlink ref="E37" r:id="rId4" display="http://trax.boy-scouts.net/gstrax.htm"/>
    <hyperlink ref="C30" r:id="rId5"/>
    <hyperlink ref="D42" r:id="rId6"/>
  </hyperlinks>
  <pageMargins left="0.75" right="0.75" top="1" bottom="1" header="0.5" footer="0.5"/>
  <pageSetup scale="94" orientation="portrait" horizontalDpi="4294967293" r:id="rId7"/>
  <headerFooter alignWithMargins="0">
    <oddHeader>&amp;C&amp;"Arial,Bold"&amp;14AmbassadorTrax&amp;12
Instructions Page - &amp;D</oddHeader>
  </headerFooter>
  <rowBreaks count="1" manualBreakCount="1">
    <brk id="26" max="8"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G180"/>
  <sheetViews>
    <sheetView showGridLines="0" zoomScaleNormal="100" workbookViewId="0">
      <selection activeCell="B1" sqref="B1"/>
    </sheetView>
  </sheetViews>
  <sheetFormatPr defaultRowHeight="12.75" x14ac:dyDescent="0.2"/>
  <cols>
    <col min="1" max="1" width="18.28515625" bestFit="1" customWidth="1"/>
    <col min="2" max="2" width="26.42578125" bestFit="1" customWidth="1"/>
    <col min="3" max="3" width="15.140625" customWidth="1"/>
    <col min="4" max="4" width="24.7109375" customWidth="1"/>
    <col min="5" max="5" width="2.7109375" style="6" customWidth="1"/>
    <col min="6" max="6" width="14" bestFit="1" customWidth="1"/>
    <col min="7" max="7" width="24.85546875" customWidth="1"/>
  </cols>
  <sheetData>
    <row r="1" spans="1:7" ht="28.5" customHeight="1" x14ac:dyDescent="0.25">
      <c r="A1" s="38" t="str">
        <f ca="1">'Ambassador 1'!$A$1</f>
        <v>Ambassador 1</v>
      </c>
      <c r="B1" s="39" t="s">
        <v>26</v>
      </c>
      <c r="C1" s="63" t="s">
        <v>21</v>
      </c>
      <c r="D1" s="40"/>
      <c r="E1" s="392" t="s">
        <v>66</v>
      </c>
      <c r="F1" s="34"/>
      <c r="G1" s="35"/>
    </row>
    <row r="2" spans="1:7" x14ac:dyDescent="0.2">
      <c r="A2" s="7" t="s">
        <v>96</v>
      </c>
      <c r="B2" s="48"/>
      <c r="C2" s="47" t="s">
        <v>43</v>
      </c>
      <c r="D2" s="108"/>
      <c r="E2" s="392"/>
      <c r="F2" s="34"/>
      <c r="G2" s="35"/>
    </row>
    <row r="3" spans="1:7" x14ac:dyDescent="0.2">
      <c r="A3" s="391" t="s">
        <v>34</v>
      </c>
      <c r="B3" s="391"/>
      <c r="C3" s="391" t="s">
        <v>35</v>
      </c>
      <c r="D3" s="391"/>
      <c r="E3" s="393"/>
      <c r="F3" s="4" t="s">
        <v>38</v>
      </c>
      <c r="G3" s="36"/>
    </row>
    <row r="4" spans="1:7" x14ac:dyDescent="0.2">
      <c r="A4" s="4" t="s">
        <v>36</v>
      </c>
      <c r="B4" s="101"/>
      <c r="C4" s="4" t="s">
        <v>36</v>
      </c>
      <c r="D4" s="19"/>
      <c r="E4" s="393"/>
      <c r="G4" s="5"/>
    </row>
    <row r="5" spans="1:7" x14ac:dyDescent="0.2">
      <c r="A5" s="4" t="s">
        <v>38</v>
      </c>
      <c r="B5" s="101"/>
      <c r="C5" s="4" t="s">
        <v>38</v>
      </c>
      <c r="D5" s="19"/>
      <c r="E5" s="393"/>
      <c r="F5" s="4" t="s">
        <v>67</v>
      </c>
      <c r="G5" s="19"/>
    </row>
    <row r="6" spans="1:7" x14ac:dyDescent="0.2">
      <c r="A6" s="4" t="s">
        <v>39</v>
      </c>
      <c r="B6" s="101"/>
      <c r="C6" s="4" t="s">
        <v>39</v>
      </c>
      <c r="D6" s="19"/>
      <c r="E6" s="393"/>
      <c r="G6" s="5"/>
    </row>
    <row r="7" spans="1:7" x14ac:dyDescent="0.2">
      <c r="A7" s="4" t="s">
        <v>37</v>
      </c>
      <c r="B7" s="17"/>
      <c r="C7" s="4" t="s">
        <v>37</v>
      </c>
      <c r="D7" s="19"/>
      <c r="E7" s="393"/>
      <c r="F7" s="4" t="s">
        <v>41</v>
      </c>
      <c r="G7" s="95"/>
    </row>
    <row r="8" spans="1:7" x14ac:dyDescent="0.2">
      <c r="A8" s="4" t="s">
        <v>41</v>
      </c>
      <c r="B8" s="94"/>
      <c r="C8" s="4" t="s">
        <v>41</v>
      </c>
      <c r="D8" s="95"/>
      <c r="E8" s="393"/>
      <c r="G8" s="5"/>
    </row>
    <row r="9" spans="1:7" x14ac:dyDescent="0.2">
      <c r="A9" s="4" t="s">
        <v>40</v>
      </c>
      <c r="B9" s="94"/>
      <c r="C9" s="4" t="s">
        <v>40</v>
      </c>
      <c r="D9" s="95"/>
      <c r="E9" s="393"/>
      <c r="F9" s="4" t="s">
        <v>40</v>
      </c>
      <c r="G9" s="95"/>
    </row>
    <row r="10" spans="1:7" x14ac:dyDescent="0.2">
      <c r="A10" s="4" t="s">
        <v>43</v>
      </c>
      <c r="B10" s="94"/>
      <c r="C10" s="4" t="s">
        <v>43</v>
      </c>
      <c r="D10" s="95"/>
      <c r="E10" s="393"/>
      <c r="G10" s="5"/>
    </row>
    <row r="11" spans="1:7" x14ac:dyDescent="0.2">
      <c r="A11" s="4" t="s">
        <v>44</v>
      </c>
      <c r="B11" s="17"/>
      <c r="C11" s="4" t="s">
        <v>44</v>
      </c>
      <c r="D11" s="19"/>
      <c r="E11" s="393"/>
      <c r="F11" s="4" t="s">
        <v>43</v>
      </c>
      <c r="G11" s="95"/>
    </row>
    <row r="12" spans="1:7" x14ac:dyDescent="0.2">
      <c r="A12" s="16" t="s">
        <v>42</v>
      </c>
      <c r="B12" s="18"/>
      <c r="C12" s="16" t="s">
        <v>42</v>
      </c>
      <c r="D12" s="20"/>
      <c r="E12" s="394"/>
      <c r="F12" s="16"/>
      <c r="G12" s="37"/>
    </row>
    <row r="13" spans="1:7" ht="28.5" customHeight="1" x14ac:dyDescent="0.25">
      <c r="A13" s="38" t="str">
        <f ca="1">'Ambassador 2'!A1</f>
        <v>Ambassador 2</v>
      </c>
      <c r="B13" s="39"/>
      <c r="C13" s="63" t="s">
        <v>21</v>
      </c>
      <c r="D13" s="40"/>
      <c r="E13" s="392" t="s">
        <v>66</v>
      </c>
      <c r="F13" s="34"/>
      <c r="G13" s="35"/>
    </row>
    <row r="14" spans="1:7" x14ac:dyDescent="0.2">
      <c r="A14" s="7" t="s">
        <v>96</v>
      </c>
      <c r="B14" s="48"/>
      <c r="C14" s="47" t="s">
        <v>43</v>
      </c>
      <c r="D14" s="108"/>
      <c r="E14" s="392"/>
      <c r="F14" s="34"/>
      <c r="G14" s="35"/>
    </row>
    <row r="15" spans="1:7" x14ac:dyDescent="0.2">
      <c r="A15" s="391" t="s">
        <v>34</v>
      </c>
      <c r="B15" s="391"/>
      <c r="C15" s="391" t="s">
        <v>35</v>
      </c>
      <c r="D15" s="391"/>
      <c r="E15" s="393"/>
      <c r="F15" s="4" t="s">
        <v>38</v>
      </c>
      <c r="G15" s="36"/>
    </row>
    <row r="16" spans="1:7" x14ac:dyDescent="0.2">
      <c r="A16" s="4" t="s">
        <v>36</v>
      </c>
      <c r="B16" s="101"/>
      <c r="C16" s="4" t="s">
        <v>36</v>
      </c>
      <c r="D16" s="19"/>
      <c r="E16" s="393"/>
      <c r="G16" s="5"/>
    </row>
    <row r="17" spans="1:7" x14ac:dyDescent="0.2">
      <c r="A17" s="4" t="s">
        <v>38</v>
      </c>
      <c r="B17" s="101"/>
      <c r="C17" s="4" t="s">
        <v>38</v>
      </c>
      <c r="D17" s="19"/>
      <c r="E17" s="393"/>
      <c r="F17" s="4" t="s">
        <v>67</v>
      </c>
      <c r="G17" s="19"/>
    </row>
    <row r="18" spans="1:7" x14ac:dyDescent="0.2">
      <c r="A18" s="4" t="s">
        <v>39</v>
      </c>
      <c r="B18" s="101"/>
      <c r="C18" s="4" t="s">
        <v>39</v>
      </c>
      <c r="D18" s="19"/>
      <c r="E18" s="393"/>
      <c r="G18" s="5"/>
    </row>
    <row r="19" spans="1:7" x14ac:dyDescent="0.2">
      <c r="A19" s="4" t="s">
        <v>37</v>
      </c>
      <c r="B19" s="17"/>
      <c r="C19" s="4" t="s">
        <v>37</v>
      </c>
      <c r="D19" s="19"/>
      <c r="E19" s="393"/>
      <c r="F19" s="4" t="s">
        <v>41</v>
      </c>
      <c r="G19" s="95"/>
    </row>
    <row r="20" spans="1:7" x14ac:dyDescent="0.2">
      <c r="A20" s="4" t="s">
        <v>41</v>
      </c>
      <c r="B20" s="94"/>
      <c r="C20" s="4" t="s">
        <v>41</v>
      </c>
      <c r="D20" s="95"/>
      <c r="E20" s="393"/>
      <c r="G20" s="5"/>
    </row>
    <row r="21" spans="1:7" x14ac:dyDescent="0.2">
      <c r="A21" s="4" t="s">
        <v>40</v>
      </c>
      <c r="B21" s="94"/>
      <c r="C21" s="4" t="s">
        <v>40</v>
      </c>
      <c r="D21" s="95"/>
      <c r="E21" s="393"/>
      <c r="F21" s="4" t="s">
        <v>40</v>
      </c>
      <c r="G21" s="95"/>
    </row>
    <row r="22" spans="1:7" x14ac:dyDescent="0.2">
      <c r="A22" s="4" t="s">
        <v>43</v>
      </c>
      <c r="B22" s="94"/>
      <c r="C22" s="4" t="s">
        <v>43</v>
      </c>
      <c r="D22" s="95"/>
      <c r="E22" s="393"/>
      <c r="G22" s="5"/>
    </row>
    <row r="23" spans="1:7" x14ac:dyDescent="0.2">
      <c r="A23" s="4" t="s">
        <v>44</v>
      </c>
      <c r="B23" s="17"/>
      <c r="C23" s="4" t="s">
        <v>44</v>
      </c>
      <c r="D23" s="19"/>
      <c r="E23" s="393"/>
      <c r="F23" s="4" t="s">
        <v>43</v>
      </c>
      <c r="G23" s="95"/>
    </row>
    <row r="24" spans="1:7" x14ac:dyDescent="0.2">
      <c r="A24" s="16" t="s">
        <v>42</v>
      </c>
      <c r="B24" s="18"/>
      <c r="C24" s="16" t="s">
        <v>42</v>
      </c>
      <c r="D24" s="20"/>
      <c r="E24" s="394"/>
      <c r="F24" s="16"/>
      <c r="G24" s="37"/>
    </row>
    <row r="25" spans="1:7" ht="28.5" customHeight="1" x14ac:dyDescent="0.25">
      <c r="A25" s="38" t="str">
        <f ca="1">'Ambassador 3'!A1</f>
        <v>Ambassador 3</v>
      </c>
      <c r="B25" s="39"/>
      <c r="C25" s="63" t="s">
        <v>21</v>
      </c>
      <c r="D25" s="40"/>
      <c r="E25" s="392" t="s">
        <v>66</v>
      </c>
      <c r="F25" s="34"/>
      <c r="G25" s="35"/>
    </row>
    <row r="26" spans="1:7" x14ac:dyDescent="0.2">
      <c r="A26" s="224" t="s">
        <v>96</v>
      </c>
      <c r="B26" s="48"/>
      <c r="C26" s="47" t="s">
        <v>43</v>
      </c>
      <c r="D26" s="108"/>
      <c r="E26" s="392"/>
      <c r="F26" s="34"/>
      <c r="G26" s="35"/>
    </row>
    <row r="27" spans="1:7" x14ac:dyDescent="0.2">
      <c r="A27" s="391" t="s">
        <v>34</v>
      </c>
      <c r="B27" s="391"/>
      <c r="C27" s="391" t="s">
        <v>35</v>
      </c>
      <c r="D27" s="391"/>
      <c r="E27" s="393"/>
      <c r="F27" s="4" t="s">
        <v>38</v>
      </c>
      <c r="G27" s="36"/>
    </row>
    <row r="28" spans="1:7" x14ac:dyDescent="0.2">
      <c r="A28" s="4" t="s">
        <v>36</v>
      </c>
      <c r="B28" s="101"/>
      <c r="C28" s="4" t="s">
        <v>36</v>
      </c>
      <c r="D28" s="19"/>
      <c r="E28" s="393"/>
      <c r="G28" s="5"/>
    </row>
    <row r="29" spans="1:7" x14ac:dyDescent="0.2">
      <c r="A29" s="4" t="s">
        <v>38</v>
      </c>
      <c r="B29" s="101"/>
      <c r="C29" s="4" t="s">
        <v>38</v>
      </c>
      <c r="D29" s="19"/>
      <c r="E29" s="393"/>
      <c r="F29" s="4" t="s">
        <v>67</v>
      </c>
      <c r="G29" s="19"/>
    </row>
    <row r="30" spans="1:7" x14ac:dyDescent="0.2">
      <c r="A30" s="4" t="s">
        <v>39</v>
      </c>
      <c r="B30" s="101"/>
      <c r="C30" s="4" t="s">
        <v>39</v>
      </c>
      <c r="D30" s="19"/>
      <c r="E30" s="393"/>
      <c r="G30" s="5"/>
    </row>
    <row r="31" spans="1:7" x14ac:dyDescent="0.2">
      <c r="A31" s="4" t="s">
        <v>37</v>
      </c>
      <c r="B31" s="17"/>
      <c r="C31" s="4" t="s">
        <v>37</v>
      </c>
      <c r="D31" s="19"/>
      <c r="E31" s="393"/>
      <c r="F31" s="4" t="s">
        <v>41</v>
      </c>
      <c r="G31" s="95"/>
    </row>
    <row r="32" spans="1:7" x14ac:dyDescent="0.2">
      <c r="A32" s="4" t="s">
        <v>41</v>
      </c>
      <c r="B32" s="94"/>
      <c r="C32" s="4" t="s">
        <v>41</v>
      </c>
      <c r="D32" s="95"/>
      <c r="E32" s="393"/>
      <c r="G32" s="5"/>
    </row>
    <row r="33" spans="1:7" x14ac:dyDescent="0.2">
      <c r="A33" s="4" t="s">
        <v>40</v>
      </c>
      <c r="B33" s="94"/>
      <c r="C33" s="4" t="s">
        <v>40</v>
      </c>
      <c r="D33" s="95"/>
      <c r="E33" s="393"/>
      <c r="F33" s="4" t="s">
        <v>40</v>
      </c>
      <c r="G33" s="95"/>
    </row>
    <row r="34" spans="1:7" x14ac:dyDescent="0.2">
      <c r="A34" s="4" t="s">
        <v>43</v>
      </c>
      <c r="B34" s="94"/>
      <c r="C34" s="4" t="s">
        <v>43</v>
      </c>
      <c r="D34" s="95"/>
      <c r="E34" s="393"/>
      <c r="G34" s="5"/>
    </row>
    <row r="35" spans="1:7" x14ac:dyDescent="0.2">
      <c r="A35" s="4" t="s">
        <v>44</v>
      </c>
      <c r="B35" s="17"/>
      <c r="C35" s="4" t="s">
        <v>44</v>
      </c>
      <c r="D35" s="19"/>
      <c r="E35" s="393"/>
      <c r="F35" s="4" t="s">
        <v>43</v>
      </c>
      <c r="G35" s="95"/>
    </row>
    <row r="36" spans="1:7" x14ac:dyDescent="0.2">
      <c r="A36" s="16" t="s">
        <v>42</v>
      </c>
      <c r="B36" s="18"/>
      <c r="C36" s="16" t="s">
        <v>42</v>
      </c>
      <c r="D36" s="20"/>
      <c r="E36" s="394"/>
      <c r="F36" s="16"/>
      <c r="G36" s="37"/>
    </row>
    <row r="37" spans="1:7" ht="28.5" customHeight="1" x14ac:dyDescent="0.25">
      <c r="A37" s="38" t="str">
        <f ca="1">'Ambassador 4'!A1</f>
        <v>Ambassador 4</v>
      </c>
      <c r="B37" s="39"/>
      <c r="C37" s="63" t="s">
        <v>21</v>
      </c>
      <c r="D37" s="40"/>
      <c r="E37" s="392" t="s">
        <v>66</v>
      </c>
      <c r="F37" s="34"/>
      <c r="G37" s="35"/>
    </row>
    <row r="38" spans="1:7" x14ac:dyDescent="0.2">
      <c r="A38" s="7" t="s">
        <v>96</v>
      </c>
      <c r="B38" s="48"/>
      <c r="C38" s="47" t="s">
        <v>43</v>
      </c>
      <c r="D38" s="108"/>
      <c r="E38" s="392"/>
      <c r="F38" s="34"/>
      <c r="G38" s="35"/>
    </row>
    <row r="39" spans="1:7" x14ac:dyDescent="0.2">
      <c r="A39" s="395" t="s">
        <v>34</v>
      </c>
      <c r="B39" s="395"/>
      <c r="C39" s="391" t="s">
        <v>35</v>
      </c>
      <c r="D39" s="391"/>
      <c r="E39" s="393"/>
      <c r="F39" s="4" t="s">
        <v>38</v>
      </c>
      <c r="G39" s="36"/>
    </row>
    <row r="40" spans="1:7" x14ac:dyDescent="0.2">
      <c r="A40" s="4" t="s">
        <v>36</v>
      </c>
      <c r="B40" s="101"/>
      <c r="C40" s="4" t="s">
        <v>36</v>
      </c>
      <c r="D40" s="19"/>
      <c r="E40" s="393"/>
      <c r="G40" s="5"/>
    </row>
    <row r="41" spans="1:7" x14ac:dyDescent="0.2">
      <c r="A41" s="4" t="s">
        <v>38</v>
      </c>
      <c r="B41" s="101"/>
      <c r="C41" s="4" t="s">
        <v>38</v>
      </c>
      <c r="D41" s="19"/>
      <c r="E41" s="393"/>
      <c r="F41" s="4" t="s">
        <v>67</v>
      </c>
      <c r="G41" s="19"/>
    </row>
    <row r="42" spans="1:7" x14ac:dyDescent="0.2">
      <c r="A42" s="4" t="s">
        <v>39</v>
      </c>
      <c r="B42" s="101"/>
      <c r="C42" s="4" t="s">
        <v>39</v>
      </c>
      <c r="D42" s="19"/>
      <c r="E42" s="393"/>
      <c r="G42" s="5"/>
    </row>
    <row r="43" spans="1:7" x14ac:dyDescent="0.2">
      <c r="A43" s="4" t="s">
        <v>37</v>
      </c>
      <c r="B43" s="101"/>
      <c r="C43" s="4" t="s">
        <v>37</v>
      </c>
      <c r="D43" s="19"/>
      <c r="E43" s="393"/>
      <c r="F43" s="4" t="s">
        <v>41</v>
      </c>
      <c r="G43" s="95"/>
    </row>
    <row r="44" spans="1:7" x14ac:dyDescent="0.2">
      <c r="A44" s="4" t="s">
        <v>41</v>
      </c>
      <c r="B44" s="94"/>
      <c r="C44" s="4" t="s">
        <v>41</v>
      </c>
      <c r="D44" s="95"/>
      <c r="E44" s="393"/>
      <c r="G44" s="5"/>
    </row>
    <row r="45" spans="1:7" x14ac:dyDescent="0.2">
      <c r="A45" s="4" t="s">
        <v>40</v>
      </c>
      <c r="B45" s="94"/>
      <c r="C45" s="4" t="s">
        <v>40</v>
      </c>
      <c r="D45" s="95"/>
      <c r="E45" s="393"/>
      <c r="F45" s="4" t="s">
        <v>40</v>
      </c>
      <c r="G45" s="95"/>
    </row>
    <row r="46" spans="1:7" x14ac:dyDescent="0.2">
      <c r="A46" s="4" t="s">
        <v>43</v>
      </c>
      <c r="B46" s="94"/>
      <c r="C46" s="4" t="s">
        <v>43</v>
      </c>
      <c r="D46" s="95"/>
      <c r="E46" s="393"/>
      <c r="G46" s="5"/>
    </row>
    <row r="47" spans="1:7" x14ac:dyDescent="0.2">
      <c r="A47" s="4" t="s">
        <v>44</v>
      </c>
      <c r="B47" s="17"/>
      <c r="C47" s="4" t="s">
        <v>44</v>
      </c>
      <c r="D47" s="19"/>
      <c r="E47" s="393"/>
      <c r="F47" s="4" t="s">
        <v>43</v>
      </c>
      <c r="G47" s="95"/>
    </row>
    <row r="48" spans="1:7" x14ac:dyDescent="0.2">
      <c r="A48" s="16" t="s">
        <v>42</v>
      </c>
      <c r="B48" s="18"/>
      <c r="C48" s="16" t="s">
        <v>42</v>
      </c>
      <c r="D48" s="20"/>
      <c r="E48" s="394"/>
      <c r="F48" s="16"/>
      <c r="G48" s="37"/>
    </row>
    <row r="49" spans="1:7" ht="28.5" customHeight="1" x14ac:dyDescent="0.25">
      <c r="A49" s="38" t="str">
        <f ca="1">'Ambassador 5'!A1</f>
        <v>Ambassador 5</v>
      </c>
      <c r="B49" s="39"/>
      <c r="C49" s="63" t="s">
        <v>21</v>
      </c>
      <c r="D49" s="41"/>
      <c r="E49" s="392" t="s">
        <v>66</v>
      </c>
      <c r="F49" s="34"/>
      <c r="G49" s="35"/>
    </row>
    <row r="50" spans="1:7" x14ac:dyDescent="0.2">
      <c r="A50" s="7" t="s">
        <v>96</v>
      </c>
      <c r="B50" s="306" t="s">
        <v>150</v>
      </c>
      <c r="C50" s="47" t="s">
        <v>43</v>
      </c>
      <c r="D50" s="108"/>
      <c r="E50" s="392"/>
      <c r="F50" s="34"/>
      <c r="G50" s="35"/>
    </row>
    <row r="51" spans="1:7" x14ac:dyDescent="0.2">
      <c r="A51" s="391" t="s">
        <v>34</v>
      </c>
      <c r="B51" s="391"/>
      <c r="C51" s="391" t="s">
        <v>35</v>
      </c>
      <c r="D51" s="391"/>
      <c r="E51" s="393"/>
      <c r="F51" s="4" t="s">
        <v>38</v>
      </c>
      <c r="G51" s="36"/>
    </row>
    <row r="52" spans="1:7" x14ac:dyDescent="0.2">
      <c r="A52" s="4" t="s">
        <v>36</v>
      </c>
      <c r="B52" s="101"/>
      <c r="C52" s="4" t="s">
        <v>36</v>
      </c>
      <c r="D52" s="19"/>
      <c r="E52" s="393"/>
      <c r="G52" s="5"/>
    </row>
    <row r="53" spans="1:7" x14ac:dyDescent="0.2">
      <c r="A53" s="4" t="s">
        <v>38</v>
      </c>
      <c r="B53" s="101"/>
      <c r="C53" s="4" t="s">
        <v>38</v>
      </c>
      <c r="D53" s="19"/>
      <c r="E53" s="393"/>
      <c r="F53" s="4" t="s">
        <v>67</v>
      </c>
      <c r="G53" s="19"/>
    </row>
    <row r="54" spans="1:7" x14ac:dyDescent="0.2">
      <c r="A54" s="4" t="s">
        <v>39</v>
      </c>
      <c r="B54" s="101"/>
      <c r="C54" s="4" t="s">
        <v>39</v>
      </c>
      <c r="D54" s="19"/>
      <c r="E54" s="393"/>
      <c r="G54" s="5"/>
    </row>
    <row r="55" spans="1:7" x14ac:dyDescent="0.2">
      <c r="A55" s="4" t="s">
        <v>37</v>
      </c>
      <c r="B55" s="101"/>
      <c r="C55" s="4" t="s">
        <v>37</v>
      </c>
      <c r="D55" s="19"/>
      <c r="E55" s="393"/>
      <c r="F55" s="4" t="s">
        <v>41</v>
      </c>
      <c r="G55" s="95"/>
    </row>
    <row r="56" spans="1:7" x14ac:dyDescent="0.2">
      <c r="A56" s="4" t="s">
        <v>41</v>
      </c>
      <c r="B56" s="94"/>
      <c r="C56" s="4" t="s">
        <v>41</v>
      </c>
      <c r="D56" s="95"/>
      <c r="E56" s="393"/>
      <c r="G56" s="5"/>
    </row>
    <row r="57" spans="1:7" x14ac:dyDescent="0.2">
      <c r="A57" s="4" t="s">
        <v>40</v>
      </c>
      <c r="B57" s="94"/>
      <c r="C57" s="4" t="s">
        <v>40</v>
      </c>
      <c r="D57" s="95"/>
      <c r="E57" s="393"/>
      <c r="F57" s="4" t="s">
        <v>40</v>
      </c>
      <c r="G57" s="95"/>
    </row>
    <row r="58" spans="1:7" x14ac:dyDescent="0.2">
      <c r="A58" s="4" t="s">
        <v>43</v>
      </c>
      <c r="B58" s="94"/>
      <c r="C58" s="4" t="s">
        <v>43</v>
      </c>
      <c r="D58" s="95"/>
      <c r="E58" s="393"/>
      <c r="G58" s="5"/>
    </row>
    <row r="59" spans="1:7" x14ac:dyDescent="0.2">
      <c r="A59" s="4" t="s">
        <v>44</v>
      </c>
      <c r="B59" s="17"/>
      <c r="C59" s="4" t="s">
        <v>44</v>
      </c>
      <c r="D59" s="19"/>
      <c r="E59" s="393"/>
      <c r="F59" s="4" t="s">
        <v>43</v>
      </c>
      <c r="G59" s="95"/>
    </row>
    <row r="60" spans="1:7" x14ac:dyDescent="0.2">
      <c r="A60" s="16" t="s">
        <v>42</v>
      </c>
      <c r="B60" s="18"/>
      <c r="C60" s="16" t="s">
        <v>42</v>
      </c>
      <c r="D60" s="20"/>
      <c r="E60" s="394"/>
      <c r="F60" s="16"/>
      <c r="G60" s="37"/>
    </row>
    <row r="61" spans="1:7" ht="28.5" customHeight="1" x14ac:dyDescent="0.25">
      <c r="A61" s="38" t="str">
        <f ca="1">'Ambassador 6'!A1</f>
        <v>Ambassador 6</v>
      </c>
      <c r="B61" s="39" t="s">
        <v>20</v>
      </c>
      <c r="C61" s="63" t="s">
        <v>21</v>
      </c>
      <c r="D61" s="40"/>
      <c r="E61" s="392" t="s">
        <v>66</v>
      </c>
      <c r="F61" s="34"/>
      <c r="G61" s="35"/>
    </row>
    <row r="62" spans="1:7" x14ac:dyDescent="0.2">
      <c r="A62" s="7" t="s">
        <v>96</v>
      </c>
      <c r="B62" s="48"/>
      <c r="C62" s="47" t="s">
        <v>43</v>
      </c>
      <c r="D62" s="108"/>
      <c r="E62" s="392"/>
      <c r="F62" s="34"/>
      <c r="G62" s="35"/>
    </row>
    <row r="63" spans="1:7" x14ac:dyDescent="0.2">
      <c r="A63" s="391" t="s">
        <v>34</v>
      </c>
      <c r="B63" s="391"/>
      <c r="C63" s="391" t="s">
        <v>35</v>
      </c>
      <c r="D63" s="391"/>
      <c r="E63" s="393"/>
      <c r="F63" s="4" t="s">
        <v>38</v>
      </c>
      <c r="G63" s="36"/>
    </row>
    <row r="64" spans="1:7" x14ac:dyDescent="0.2">
      <c r="A64" s="4" t="s">
        <v>36</v>
      </c>
      <c r="B64" s="101"/>
      <c r="C64" s="4" t="s">
        <v>36</v>
      </c>
      <c r="D64" s="19"/>
      <c r="E64" s="393"/>
      <c r="G64" s="5"/>
    </row>
    <row r="65" spans="1:7" x14ac:dyDescent="0.2">
      <c r="A65" s="4" t="s">
        <v>38</v>
      </c>
      <c r="B65" s="101"/>
      <c r="C65" s="4" t="s">
        <v>38</v>
      </c>
      <c r="D65" s="19"/>
      <c r="E65" s="393"/>
      <c r="F65" s="4" t="s">
        <v>67</v>
      </c>
      <c r="G65" s="19"/>
    </row>
    <row r="66" spans="1:7" x14ac:dyDescent="0.2">
      <c r="A66" s="4" t="s">
        <v>39</v>
      </c>
      <c r="B66" s="101"/>
      <c r="C66" s="4" t="s">
        <v>39</v>
      </c>
      <c r="D66" s="19"/>
      <c r="E66" s="393"/>
      <c r="G66" s="5"/>
    </row>
    <row r="67" spans="1:7" x14ac:dyDescent="0.2">
      <c r="A67" s="4" t="s">
        <v>37</v>
      </c>
      <c r="B67" s="17"/>
      <c r="C67" s="4" t="s">
        <v>37</v>
      </c>
      <c r="D67" s="19"/>
      <c r="E67" s="393"/>
      <c r="F67" s="4" t="s">
        <v>41</v>
      </c>
      <c r="G67" s="95"/>
    </row>
    <row r="68" spans="1:7" x14ac:dyDescent="0.2">
      <c r="A68" s="4" t="s">
        <v>41</v>
      </c>
      <c r="B68" s="94"/>
      <c r="C68" s="4" t="s">
        <v>41</v>
      </c>
      <c r="D68" s="95"/>
      <c r="E68" s="393"/>
      <c r="G68" s="5"/>
    </row>
    <row r="69" spans="1:7" x14ac:dyDescent="0.2">
      <c r="A69" s="4" t="s">
        <v>40</v>
      </c>
      <c r="B69" s="94"/>
      <c r="C69" s="4" t="s">
        <v>40</v>
      </c>
      <c r="D69" s="95"/>
      <c r="E69" s="393"/>
      <c r="F69" s="4" t="s">
        <v>40</v>
      </c>
      <c r="G69" s="95"/>
    </row>
    <row r="70" spans="1:7" x14ac:dyDescent="0.2">
      <c r="A70" s="4" t="s">
        <v>43</v>
      </c>
      <c r="B70" s="94"/>
      <c r="C70" s="4" t="s">
        <v>43</v>
      </c>
      <c r="D70" s="95"/>
      <c r="E70" s="393"/>
      <c r="G70" s="5"/>
    </row>
    <row r="71" spans="1:7" x14ac:dyDescent="0.2">
      <c r="A71" s="4" t="s">
        <v>44</v>
      </c>
      <c r="B71" s="17"/>
      <c r="C71" s="4" t="s">
        <v>44</v>
      </c>
      <c r="D71" s="19"/>
      <c r="E71" s="393"/>
      <c r="F71" s="4" t="s">
        <v>43</v>
      </c>
      <c r="G71" s="95"/>
    </row>
    <row r="72" spans="1:7" x14ac:dyDescent="0.2">
      <c r="A72" s="16" t="s">
        <v>42</v>
      </c>
      <c r="B72" s="18"/>
      <c r="C72" s="16" t="s">
        <v>42</v>
      </c>
      <c r="D72" s="20"/>
      <c r="E72" s="394"/>
      <c r="F72" s="16"/>
      <c r="G72" s="37"/>
    </row>
    <row r="73" spans="1:7" ht="28.5" customHeight="1" x14ac:dyDescent="0.25">
      <c r="A73" s="38" t="str">
        <f ca="1">'Ambassador 7'!A1</f>
        <v>Ambassador 7</v>
      </c>
      <c r="B73" s="39" t="s">
        <v>20</v>
      </c>
      <c r="C73" s="63" t="s">
        <v>21</v>
      </c>
      <c r="D73" s="40"/>
      <c r="E73" s="392" t="s">
        <v>66</v>
      </c>
      <c r="F73" s="34"/>
      <c r="G73" s="35"/>
    </row>
    <row r="74" spans="1:7" x14ac:dyDescent="0.2">
      <c r="A74" s="7" t="s">
        <v>96</v>
      </c>
      <c r="B74" s="48"/>
      <c r="C74" s="47" t="s">
        <v>43</v>
      </c>
      <c r="D74" s="108"/>
      <c r="E74" s="392"/>
      <c r="F74" s="34"/>
      <c r="G74" s="35"/>
    </row>
    <row r="75" spans="1:7" x14ac:dyDescent="0.2">
      <c r="A75" s="391" t="s">
        <v>34</v>
      </c>
      <c r="B75" s="391"/>
      <c r="C75" s="391" t="s">
        <v>35</v>
      </c>
      <c r="D75" s="391"/>
      <c r="E75" s="393"/>
      <c r="F75" s="4" t="s">
        <v>38</v>
      </c>
      <c r="G75" s="36"/>
    </row>
    <row r="76" spans="1:7" x14ac:dyDescent="0.2">
      <c r="A76" s="4" t="s">
        <v>36</v>
      </c>
      <c r="B76" s="101"/>
      <c r="C76" s="4" t="s">
        <v>36</v>
      </c>
      <c r="D76" s="19"/>
      <c r="E76" s="393"/>
      <c r="G76" s="5"/>
    </row>
    <row r="77" spans="1:7" x14ac:dyDescent="0.2">
      <c r="A77" s="4" t="s">
        <v>38</v>
      </c>
      <c r="B77" s="101"/>
      <c r="C77" s="4" t="s">
        <v>38</v>
      </c>
      <c r="D77" s="19"/>
      <c r="E77" s="393"/>
      <c r="F77" s="4" t="s">
        <v>67</v>
      </c>
      <c r="G77" s="19"/>
    </row>
    <row r="78" spans="1:7" x14ac:dyDescent="0.2">
      <c r="A78" s="4" t="s">
        <v>39</v>
      </c>
      <c r="B78" s="101"/>
      <c r="C78" s="4" t="s">
        <v>39</v>
      </c>
      <c r="D78" s="19"/>
      <c r="E78" s="393"/>
      <c r="G78" s="5"/>
    </row>
    <row r="79" spans="1:7" x14ac:dyDescent="0.2">
      <c r="A79" s="4" t="s">
        <v>37</v>
      </c>
      <c r="B79" s="101"/>
      <c r="C79" s="4" t="s">
        <v>37</v>
      </c>
      <c r="D79" s="19"/>
      <c r="E79" s="393"/>
      <c r="F79" s="4" t="s">
        <v>41</v>
      </c>
      <c r="G79" s="95"/>
    </row>
    <row r="80" spans="1:7" x14ac:dyDescent="0.2">
      <c r="A80" s="4" t="s">
        <v>41</v>
      </c>
      <c r="B80" s="94"/>
      <c r="C80" s="4" t="s">
        <v>41</v>
      </c>
      <c r="D80" s="95"/>
      <c r="E80" s="393"/>
      <c r="G80" s="5"/>
    </row>
    <row r="81" spans="1:7" x14ac:dyDescent="0.2">
      <c r="A81" s="4" t="s">
        <v>40</v>
      </c>
      <c r="B81" s="94"/>
      <c r="C81" s="4" t="s">
        <v>40</v>
      </c>
      <c r="D81" s="95"/>
      <c r="E81" s="393"/>
      <c r="F81" s="4" t="s">
        <v>40</v>
      </c>
      <c r="G81" s="95"/>
    </row>
    <row r="82" spans="1:7" x14ac:dyDescent="0.2">
      <c r="A82" s="4" t="s">
        <v>43</v>
      </c>
      <c r="B82" s="94"/>
      <c r="C82" s="4" t="s">
        <v>43</v>
      </c>
      <c r="D82" s="95"/>
      <c r="E82" s="393"/>
      <c r="G82" s="5"/>
    </row>
    <row r="83" spans="1:7" x14ac:dyDescent="0.2">
      <c r="A83" s="4" t="s">
        <v>44</v>
      </c>
      <c r="B83" s="17"/>
      <c r="C83" s="4" t="s">
        <v>44</v>
      </c>
      <c r="D83" s="19"/>
      <c r="E83" s="393"/>
      <c r="F83" s="4" t="s">
        <v>43</v>
      </c>
      <c r="G83" s="95"/>
    </row>
    <row r="84" spans="1:7" x14ac:dyDescent="0.2">
      <c r="A84" s="16" t="s">
        <v>42</v>
      </c>
      <c r="B84" s="18"/>
      <c r="C84" s="16" t="s">
        <v>42</v>
      </c>
      <c r="D84" s="20"/>
      <c r="E84" s="394"/>
      <c r="F84" s="16"/>
      <c r="G84" s="37"/>
    </row>
    <row r="85" spans="1:7" ht="28.5" customHeight="1" x14ac:dyDescent="0.25">
      <c r="A85" s="38" t="str">
        <f ca="1">'Ambassador 8'!A1</f>
        <v>Ambassador 8</v>
      </c>
      <c r="B85" s="39" t="s">
        <v>20</v>
      </c>
      <c r="C85" s="63" t="s">
        <v>21</v>
      </c>
      <c r="D85" s="40"/>
      <c r="E85" s="392" t="s">
        <v>66</v>
      </c>
      <c r="F85" s="34"/>
      <c r="G85" s="35"/>
    </row>
    <row r="86" spans="1:7" x14ac:dyDescent="0.2">
      <c r="A86" s="7" t="s">
        <v>96</v>
      </c>
      <c r="B86" s="48"/>
      <c r="C86" s="47" t="s">
        <v>43</v>
      </c>
      <c r="D86" s="108"/>
      <c r="E86" s="392"/>
      <c r="F86" s="34"/>
      <c r="G86" s="35"/>
    </row>
    <row r="87" spans="1:7" x14ac:dyDescent="0.2">
      <c r="A87" s="391" t="s">
        <v>34</v>
      </c>
      <c r="B87" s="391"/>
      <c r="C87" s="391" t="s">
        <v>35</v>
      </c>
      <c r="D87" s="391"/>
      <c r="E87" s="393"/>
      <c r="F87" s="4" t="s">
        <v>38</v>
      </c>
      <c r="G87" s="36"/>
    </row>
    <row r="88" spans="1:7" x14ac:dyDescent="0.2">
      <c r="A88" s="4" t="s">
        <v>36</v>
      </c>
      <c r="B88" s="101"/>
      <c r="C88" s="4" t="s">
        <v>36</v>
      </c>
      <c r="D88" s="19"/>
      <c r="E88" s="393"/>
      <c r="G88" s="5"/>
    </row>
    <row r="89" spans="1:7" x14ac:dyDescent="0.2">
      <c r="A89" s="4" t="s">
        <v>38</v>
      </c>
      <c r="B89" s="101"/>
      <c r="C89" s="4" t="s">
        <v>38</v>
      </c>
      <c r="D89" s="19"/>
      <c r="E89" s="393"/>
      <c r="F89" s="4" t="s">
        <v>67</v>
      </c>
      <c r="G89" s="19"/>
    </row>
    <row r="90" spans="1:7" x14ac:dyDescent="0.2">
      <c r="A90" s="4" t="s">
        <v>39</v>
      </c>
      <c r="B90" s="101"/>
      <c r="C90" s="4" t="s">
        <v>39</v>
      </c>
      <c r="D90" s="19"/>
      <c r="E90" s="393"/>
      <c r="G90" s="5"/>
    </row>
    <row r="91" spans="1:7" x14ac:dyDescent="0.2">
      <c r="A91" s="4" t="s">
        <v>37</v>
      </c>
      <c r="B91" s="101"/>
      <c r="C91" s="4" t="s">
        <v>37</v>
      </c>
      <c r="D91" s="19"/>
      <c r="E91" s="393"/>
      <c r="F91" s="4" t="s">
        <v>41</v>
      </c>
      <c r="G91" s="95"/>
    </row>
    <row r="92" spans="1:7" x14ac:dyDescent="0.2">
      <c r="A92" s="4" t="s">
        <v>41</v>
      </c>
      <c r="B92" s="94"/>
      <c r="C92" s="4" t="s">
        <v>41</v>
      </c>
      <c r="D92" s="95"/>
      <c r="E92" s="393"/>
      <c r="G92" s="5"/>
    </row>
    <row r="93" spans="1:7" x14ac:dyDescent="0.2">
      <c r="A93" s="4" t="s">
        <v>40</v>
      </c>
      <c r="B93" s="94"/>
      <c r="C93" s="4" t="s">
        <v>40</v>
      </c>
      <c r="D93" s="95"/>
      <c r="E93" s="393"/>
      <c r="F93" s="4" t="s">
        <v>40</v>
      </c>
      <c r="G93" s="95"/>
    </row>
    <row r="94" spans="1:7" x14ac:dyDescent="0.2">
      <c r="A94" s="4" t="s">
        <v>43</v>
      </c>
      <c r="B94" s="94"/>
      <c r="C94" s="4" t="s">
        <v>43</v>
      </c>
      <c r="D94" s="95"/>
      <c r="E94" s="393"/>
      <c r="G94" s="5"/>
    </row>
    <row r="95" spans="1:7" x14ac:dyDescent="0.2">
      <c r="A95" s="4" t="s">
        <v>44</v>
      </c>
      <c r="B95" s="17"/>
      <c r="C95" s="4" t="s">
        <v>44</v>
      </c>
      <c r="D95" s="19"/>
      <c r="E95" s="393"/>
      <c r="F95" s="4" t="s">
        <v>43</v>
      </c>
      <c r="G95" s="95"/>
    </row>
    <row r="96" spans="1:7" x14ac:dyDescent="0.2">
      <c r="A96" s="16" t="s">
        <v>42</v>
      </c>
      <c r="B96" s="18"/>
      <c r="C96" s="16" t="s">
        <v>42</v>
      </c>
      <c r="D96" s="20"/>
      <c r="E96" s="394"/>
      <c r="F96" s="16"/>
      <c r="G96" s="37"/>
    </row>
    <row r="97" spans="1:7" ht="28.5" customHeight="1" x14ac:dyDescent="0.25">
      <c r="A97" s="38" t="str">
        <f ca="1">'Ambassador 9'!A1</f>
        <v>Ambassador 9</v>
      </c>
      <c r="B97" s="39" t="s">
        <v>20</v>
      </c>
      <c r="C97" s="63" t="s">
        <v>21</v>
      </c>
      <c r="D97" s="40"/>
      <c r="E97" s="392" t="s">
        <v>66</v>
      </c>
      <c r="F97" s="34"/>
      <c r="G97" s="35"/>
    </row>
    <row r="98" spans="1:7" x14ac:dyDescent="0.2">
      <c r="A98" s="7" t="s">
        <v>96</v>
      </c>
      <c r="B98" s="48"/>
      <c r="C98" s="47" t="s">
        <v>43</v>
      </c>
      <c r="D98" s="108"/>
      <c r="E98" s="392"/>
      <c r="F98" s="34"/>
      <c r="G98" s="35"/>
    </row>
    <row r="99" spans="1:7" x14ac:dyDescent="0.2">
      <c r="A99" s="391" t="s">
        <v>34</v>
      </c>
      <c r="B99" s="391"/>
      <c r="C99" s="391" t="s">
        <v>35</v>
      </c>
      <c r="D99" s="391"/>
      <c r="E99" s="393"/>
      <c r="F99" s="4" t="s">
        <v>38</v>
      </c>
      <c r="G99" s="36"/>
    </row>
    <row r="100" spans="1:7" x14ac:dyDescent="0.2">
      <c r="A100" s="4" t="s">
        <v>36</v>
      </c>
      <c r="B100" s="101"/>
      <c r="C100" s="4" t="s">
        <v>36</v>
      </c>
      <c r="D100" s="19"/>
      <c r="E100" s="393"/>
      <c r="G100" s="5"/>
    </row>
    <row r="101" spans="1:7" x14ac:dyDescent="0.2">
      <c r="A101" s="4" t="s">
        <v>38</v>
      </c>
      <c r="B101" s="101"/>
      <c r="C101" s="4" t="s">
        <v>38</v>
      </c>
      <c r="D101" s="19"/>
      <c r="E101" s="393"/>
      <c r="F101" s="4" t="s">
        <v>67</v>
      </c>
      <c r="G101" s="19"/>
    </row>
    <row r="102" spans="1:7" x14ac:dyDescent="0.2">
      <c r="A102" s="4" t="s">
        <v>39</v>
      </c>
      <c r="B102" s="101"/>
      <c r="C102" s="4" t="s">
        <v>39</v>
      </c>
      <c r="D102" s="19"/>
      <c r="E102" s="393"/>
      <c r="G102" s="5"/>
    </row>
    <row r="103" spans="1:7" x14ac:dyDescent="0.2">
      <c r="A103" s="4" t="s">
        <v>37</v>
      </c>
      <c r="B103" s="17"/>
      <c r="C103" s="4" t="s">
        <v>37</v>
      </c>
      <c r="D103" s="19"/>
      <c r="E103" s="393"/>
      <c r="F103" s="4" t="s">
        <v>41</v>
      </c>
      <c r="G103" s="95"/>
    </row>
    <row r="104" spans="1:7" x14ac:dyDescent="0.2">
      <c r="A104" s="4" t="s">
        <v>41</v>
      </c>
      <c r="B104" s="94"/>
      <c r="C104" s="4" t="s">
        <v>41</v>
      </c>
      <c r="D104" s="95"/>
      <c r="E104" s="393"/>
      <c r="G104" s="5"/>
    </row>
    <row r="105" spans="1:7" x14ac:dyDescent="0.2">
      <c r="A105" s="4" t="s">
        <v>40</v>
      </c>
      <c r="B105" s="94"/>
      <c r="C105" s="4" t="s">
        <v>40</v>
      </c>
      <c r="D105" s="95"/>
      <c r="E105" s="393"/>
      <c r="F105" s="4" t="s">
        <v>40</v>
      </c>
      <c r="G105" s="95"/>
    </row>
    <row r="106" spans="1:7" x14ac:dyDescent="0.2">
      <c r="A106" s="4" t="s">
        <v>43</v>
      </c>
      <c r="B106" s="94"/>
      <c r="C106" s="4" t="s">
        <v>43</v>
      </c>
      <c r="D106" s="95"/>
      <c r="E106" s="393"/>
      <c r="G106" s="5"/>
    </row>
    <row r="107" spans="1:7" x14ac:dyDescent="0.2">
      <c r="A107" s="4" t="s">
        <v>44</v>
      </c>
      <c r="B107" s="17"/>
      <c r="C107" s="4" t="s">
        <v>44</v>
      </c>
      <c r="D107" s="19"/>
      <c r="E107" s="393"/>
      <c r="F107" s="4" t="s">
        <v>43</v>
      </c>
      <c r="G107" s="95"/>
    </row>
    <row r="108" spans="1:7" x14ac:dyDescent="0.2">
      <c r="A108" s="16" t="s">
        <v>42</v>
      </c>
      <c r="B108" s="18"/>
      <c r="C108" s="16" t="s">
        <v>42</v>
      </c>
      <c r="D108" s="20"/>
      <c r="E108" s="394"/>
      <c r="F108" s="16"/>
      <c r="G108" s="37"/>
    </row>
    <row r="109" spans="1:7" ht="28.5" customHeight="1" x14ac:dyDescent="0.25">
      <c r="A109" s="38" t="str">
        <f ca="1">'Ambassador 10'!A1</f>
        <v>Ambassador 10</v>
      </c>
      <c r="B109" s="39" t="s">
        <v>20</v>
      </c>
      <c r="C109" s="63" t="s">
        <v>21</v>
      </c>
      <c r="D109" s="40"/>
      <c r="E109" s="392" t="s">
        <v>66</v>
      </c>
      <c r="F109" s="34"/>
      <c r="G109" s="35"/>
    </row>
    <row r="110" spans="1:7" x14ac:dyDescent="0.2">
      <c r="A110" s="7" t="s">
        <v>96</v>
      </c>
      <c r="B110" s="48"/>
      <c r="C110" s="47" t="s">
        <v>43</v>
      </c>
      <c r="D110" s="108"/>
      <c r="E110" s="392"/>
      <c r="F110" s="34"/>
      <c r="G110" s="35"/>
    </row>
    <row r="111" spans="1:7" x14ac:dyDescent="0.2">
      <c r="A111" s="391" t="s">
        <v>34</v>
      </c>
      <c r="B111" s="391"/>
      <c r="C111" s="391" t="s">
        <v>35</v>
      </c>
      <c r="D111" s="391"/>
      <c r="E111" s="393"/>
      <c r="F111" s="4" t="s">
        <v>38</v>
      </c>
      <c r="G111" s="36"/>
    </row>
    <row r="112" spans="1:7" x14ac:dyDescent="0.2">
      <c r="A112" s="4" t="s">
        <v>36</v>
      </c>
      <c r="B112" s="101"/>
      <c r="C112" s="4" t="s">
        <v>36</v>
      </c>
      <c r="D112" s="19"/>
      <c r="E112" s="393"/>
      <c r="G112" s="5"/>
    </row>
    <row r="113" spans="1:7" x14ac:dyDescent="0.2">
      <c r="A113" s="4" t="s">
        <v>38</v>
      </c>
      <c r="B113" s="101"/>
      <c r="C113" s="4" t="s">
        <v>38</v>
      </c>
      <c r="D113" s="19"/>
      <c r="E113" s="393"/>
      <c r="F113" s="4" t="s">
        <v>67</v>
      </c>
      <c r="G113" s="19"/>
    </row>
    <row r="114" spans="1:7" x14ac:dyDescent="0.2">
      <c r="A114" s="4" t="s">
        <v>39</v>
      </c>
      <c r="B114" s="101"/>
      <c r="C114" s="4" t="s">
        <v>39</v>
      </c>
      <c r="D114" s="19"/>
      <c r="E114" s="393"/>
      <c r="G114" s="5"/>
    </row>
    <row r="115" spans="1:7" x14ac:dyDescent="0.2">
      <c r="A115" s="4" t="s">
        <v>37</v>
      </c>
      <c r="B115" s="17"/>
      <c r="C115" s="4" t="s">
        <v>37</v>
      </c>
      <c r="D115" s="19"/>
      <c r="E115" s="393"/>
      <c r="F115" s="4" t="s">
        <v>41</v>
      </c>
      <c r="G115" s="95"/>
    </row>
    <row r="116" spans="1:7" x14ac:dyDescent="0.2">
      <c r="A116" s="4" t="s">
        <v>41</v>
      </c>
      <c r="B116" s="94"/>
      <c r="C116" s="4" t="s">
        <v>41</v>
      </c>
      <c r="D116" s="95"/>
      <c r="E116" s="393"/>
      <c r="G116" s="5"/>
    </row>
    <row r="117" spans="1:7" x14ac:dyDescent="0.2">
      <c r="A117" s="4" t="s">
        <v>40</v>
      </c>
      <c r="B117" s="94"/>
      <c r="C117" s="4" t="s">
        <v>40</v>
      </c>
      <c r="D117" s="95"/>
      <c r="E117" s="393"/>
      <c r="F117" s="4" t="s">
        <v>40</v>
      </c>
      <c r="G117" s="95"/>
    </row>
    <row r="118" spans="1:7" x14ac:dyDescent="0.2">
      <c r="A118" s="4" t="s">
        <v>43</v>
      </c>
      <c r="B118" s="94"/>
      <c r="C118" s="4" t="s">
        <v>43</v>
      </c>
      <c r="D118" s="95"/>
      <c r="E118" s="393"/>
      <c r="G118" s="5"/>
    </row>
    <row r="119" spans="1:7" x14ac:dyDescent="0.2">
      <c r="A119" s="4" t="s">
        <v>44</v>
      </c>
      <c r="B119" s="17"/>
      <c r="C119" s="4" t="s">
        <v>44</v>
      </c>
      <c r="D119" s="19"/>
      <c r="E119" s="393"/>
      <c r="F119" s="4" t="s">
        <v>43</v>
      </c>
      <c r="G119" s="95"/>
    </row>
    <row r="120" spans="1:7" x14ac:dyDescent="0.2">
      <c r="A120" s="16" t="s">
        <v>42</v>
      </c>
      <c r="B120" s="18"/>
      <c r="C120" s="16" t="s">
        <v>42</v>
      </c>
      <c r="D120" s="20"/>
      <c r="E120" s="394"/>
      <c r="F120" s="16"/>
      <c r="G120" s="37"/>
    </row>
    <row r="121" spans="1:7" ht="28.5" customHeight="1" x14ac:dyDescent="0.25">
      <c r="A121" s="38" t="str">
        <f ca="1">'Ambassador 11'!A1</f>
        <v>Ambassador 11</v>
      </c>
      <c r="B121" s="39" t="s">
        <v>20</v>
      </c>
      <c r="C121" s="63" t="s">
        <v>21</v>
      </c>
      <c r="D121" s="40"/>
      <c r="E121" s="392" t="s">
        <v>66</v>
      </c>
      <c r="F121" s="34"/>
      <c r="G121" s="35"/>
    </row>
    <row r="122" spans="1:7" x14ac:dyDescent="0.2">
      <c r="A122" s="7" t="s">
        <v>96</v>
      </c>
      <c r="B122" s="48"/>
      <c r="C122" s="47" t="s">
        <v>43</v>
      </c>
      <c r="D122" s="108"/>
      <c r="E122" s="392"/>
      <c r="F122" s="34"/>
      <c r="G122" s="35"/>
    </row>
    <row r="123" spans="1:7" x14ac:dyDescent="0.2">
      <c r="A123" s="391" t="s">
        <v>34</v>
      </c>
      <c r="B123" s="391"/>
      <c r="C123" s="391" t="s">
        <v>35</v>
      </c>
      <c r="D123" s="391"/>
      <c r="E123" s="393"/>
      <c r="F123" s="4" t="s">
        <v>38</v>
      </c>
      <c r="G123" s="36"/>
    </row>
    <row r="124" spans="1:7" x14ac:dyDescent="0.2">
      <c r="A124" s="4" t="s">
        <v>36</v>
      </c>
      <c r="B124" s="101"/>
      <c r="C124" s="4" t="s">
        <v>36</v>
      </c>
      <c r="D124" s="19"/>
      <c r="E124" s="393"/>
      <c r="G124" s="5"/>
    </row>
    <row r="125" spans="1:7" x14ac:dyDescent="0.2">
      <c r="A125" s="4" t="s">
        <v>38</v>
      </c>
      <c r="B125" s="101"/>
      <c r="C125" s="4" t="s">
        <v>38</v>
      </c>
      <c r="D125" s="19"/>
      <c r="E125" s="393"/>
      <c r="F125" s="4" t="s">
        <v>67</v>
      </c>
      <c r="G125" s="19"/>
    </row>
    <row r="126" spans="1:7" x14ac:dyDescent="0.2">
      <c r="A126" s="4" t="s">
        <v>39</v>
      </c>
      <c r="B126" s="101"/>
      <c r="C126" s="4" t="s">
        <v>39</v>
      </c>
      <c r="D126" s="19"/>
      <c r="E126" s="393"/>
      <c r="G126" s="5"/>
    </row>
    <row r="127" spans="1:7" x14ac:dyDescent="0.2">
      <c r="A127" s="4" t="s">
        <v>37</v>
      </c>
      <c r="B127" s="101"/>
      <c r="C127" s="4" t="s">
        <v>37</v>
      </c>
      <c r="D127" s="19"/>
      <c r="E127" s="393"/>
      <c r="F127" s="4" t="s">
        <v>41</v>
      </c>
      <c r="G127" s="95"/>
    </row>
    <row r="128" spans="1:7" x14ac:dyDescent="0.2">
      <c r="A128" s="4" t="s">
        <v>41</v>
      </c>
      <c r="B128" s="94"/>
      <c r="C128" s="4" t="s">
        <v>41</v>
      </c>
      <c r="D128" s="95"/>
      <c r="E128" s="393"/>
      <c r="G128" s="5"/>
    </row>
    <row r="129" spans="1:7" x14ac:dyDescent="0.2">
      <c r="A129" s="4" t="s">
        <v>40</v>
      </c>
      <c r="B129" s="94"/>
      <c r="C129" s="4" t="s">
        <v>40</v>
      </c>
      <c r="D129" s="95"/>
      <c r="E129" s="393"/>
      <c r="F129" s="4" t="s">
        <v>40</v>
      </c>
      <c r="G129" s="95"/>
    </row>
    <row r="130" spans="1:7" x14ac:dyDescent="0.2">
      <c r="A130" s="4" t="s">
        <v>43</v>
      </c>
      <c r="B130" s="94"/>
      <c r="C130" s="4" t="s">
        <v>43</v>
      </c>
      <c r="D130" s="95"/>
      <c r="E130" s="393"/>
      <c r="G130" s="5"/>
    </row>
    <row r="131" spans="1:7" x14ac:dyDescent="0.2">
      <c r="A131" s="4" t="s">
        <v>44</v>
      </c>
      <c r="B131" s="17"/>
      <c r="C131" s="4" t="s">
        <v>44</v>
      </c>
      <c r="D131" s="19"/>
      <c r="E131" s="393"/>
      <c r="F131" s="4" t="s">
        <v>43</v>
      </c>
      <c r="G131" s="95"/>
    </row>
    <row r="132" spans="1:7" x14ac:dyDescent="0.2">
      <c r="A132" s="16" t="s">
        <v>42</v>
      </c>
      <c r="B132" s="18"/>
      <c r="C132" s="16" t="s">
        <v>42</v>
      </c>
      <c r="D132" s="20"/>
      <c r="E132" s="394"/>
      <c r="F132" s="16"/>
      <c r="G132" s="37"/>
    </row>
    <row r="133" spans="1:7" ht="28.5" customHeight="1" x14ac:dyDescent="0.25">
      <c r="A133" s="38" t="str">
        <f ca="1">'Ambassador 12'!A1</f>
        <v>Ambassador 12</v>
      </c>
      <c r="B133" s="39" t="s">
        <v>20</v>
      </c>
      <c r="C133" s="63" t="s">
        <v>21</v>
      </c>
      <c r="D133" s="40"/>
      <c r="E133" s="392" t="s">
        <v>66</v>
      </c>
      <c r="F133" s="34"/>
      <c r="G133" s="35"/>
    </row>
    <row r="134" spans="1:7" x14ac:dyDescent="0.2">
      <c r="A134" s="7" t="s">
        <v>96</v>
      </c>
      <c r="B134" s="48"/>
      <c r="C134" s="47" t="s">
        <v>43</v>
      </c>
      <c r="D134" s="108"/>
      <c r="E134" s="392"/>
      <c r="F134" s="34"/>
      <c r="G134" s="35"/>
    </row>
    <row r="135" spans="1:7" x14ac:dyDescent="0.2">
      <c r="A135" s="391" t="s">
        <v>34</v>
      </c>
      <c r="B135" s="391"/>
      <c r="C135" s="391" t="s">
        <v>35</v>
      </c>
      <c r="D135" s="391"/>
      <c r="E135" s="393"/>
      <c r="F135" s="4" t="s">
        <v>38</v>
      </c>
      <c r="G135" s="36"/>
    </row>
    <row r="136" spans="1:7" x14ac:dyDescent="0.2">
      <c r="A136" s="4" t="s">
        <v>36</v>
      </c>
      <c r="B136" s="101"/>
      <c r="C136" s="4" t="s">
        <v>36</v>
      </c>
      <c r="D136" s="19"/>
      <c r="E136" s="393"/>
      <c r="G136" s="5"/>
    </row>
    <row r="137" spans="1:7" x14ac:dyDescent="0.2">
      <c r="A137" s="4" t="s">
        <v>38</v>
      </c>
      <c r="B137" s="101"/>
      <c r="C137" s="4" t="s">
        <v>38</v>
      </c>
      <c r="D137" s="19"/>
      <c r="E137" s="393"/>
      <c r="F137" s="4" t="s">
        <v>67</v>
      </c>
      <c r="G137" s="19"/>
    </row>
    <row r="138" spans="1:7" x14ac:dyDescent="0.2">
      <c r="A138" s="4" t="s">
        <v>39</v>
      </c>
      <c r="B138" s="101"/>
      <c r="C138" s="4" t="s">
        <v>39</v>
      </c>
      <c r="D138" s="19"/>
      <c r="E138" s="393"/>
      <c r="G138" s="5"/>
    </row>
    <row r="139" spans="1:7" x14ac:dyDescent="0.2">
      <c r="A139" s="4" t="s">
        <v>37</v>
      </c>
      <c r="B139" s="17"/>
      <c r="C139" s="4" t="s">
        <v>37</v>
      </c>
      <c r="D139" s="19"/>
      <c r="E139" s="393"/>
      <c r="F139" s="4" t="s">
        <v>41</v>
      </c>
      <c r="G139" s="95"/>
    </row>
    <row r="140" spans="1:7" x14ac:dyDescent="0.2">
      <c r="A140" s="4" t="s">
        <v>41</v>
      </c>
      <c r="B140" s="94"/>
      <c r="C140" s="4" t="s">
        <v>41</v>
      </c>
      <c r="D140" s="95"/>
      <c r="E140" s="393"/>
      <c r="G140" s="5"/>
    </row>
    <row r="141" spans="1:7" x14ac:dyDescent="0.2">
      <c r="A141" s="4" t="s">
        <v>40</v>
      </c>
      <c r="B141" s="94"/>
      <c r="C141" s="4" t="s">
        <v>40</v>
      </c>
      <c r="D141" s="95"/>
      <c r="E141" s="393"/>
      <c r="F141" s="4" t="s">
        <v>40</v>
      </c>
      <c r="G141" s="95"/>
    </row>
    <row r="142" spans="1:7" x14ac:dyDescent="0.2">
      <c r="A142" s="4" t="s">
        <v>43</v>
      </c>
      <c r="B142" s="94"/>
      <c r="C142" s="4" t="s">
        <v>43</v>
      </c>
      <c r="D142" s="95"/>
      <c r="E142" s="393"/>
      <c r="G142" s="5"/>
    </row>
    <row r="143" spans="1:7" x14ac:dyDescent="0.2">
      <c r="A143" s="4" t="s">
        <v>44</v>
      </c>
      <c r="B143" s="17"/>
      <c r="C143" s="4" t="s">
        <v>44</v>
      </c>
      <c r="D143" s="19"/>
      <c r="E143" s="393"/>
      <c r="F143" s="4" t="s">
        <v>43</v>
      </c>
      <c r="G143" s="95"/>
    </row>
    <row r="144" spans="1:7" x14ac:dyDescent="0.2">
      <c r="A144" s="16" t="s">
        <v>42</v>
      </c>
      <c r="B144" s="18"/>
      <c r="C144" s="16" t="s">
        <v>42</v>
      </c>
      <c r="D144" s="20"/>
      <c r="E144" s="394"/>
      <c r="F144" s="16"/>
      <c r="G144" s="37"/>
    </row>
    <row r="145" spans="1:7" ht="28.5" customHeight="1" x14ac:dyDescent="0.25">
      <c r="A145" s="38" t="str">
        <f ca="1">'Ambassador 13'!A1</f>
        <v>Ambassador 13</v>
      </c>
      <c r="B145" s="39" t="s">
        <v>20</v>
      </c>
      <c r="C145" s="63" t="s">
        <v>21</v>
      </c>
      <c r="D145" s="40"/>
      <c r="E145" s="392" t="s">
        <v>66</v>
      </c>
      <c r="F145" s="34"/>
      <c r="G145" s="35"/>
    </row>
    <row r="146" spans="1:7" x14ac:dyDescent="0.2">
      <c r="A146" s="7" t="s">
        <v>96</v>
      </c>
      <c r="B146" s="48"/>
      <c r="C146" s="47" t="s">
        <v>43</v>
      </c>
      <c r="D146" s="108"/>
      <c r="E146" s="392"/>
      <c r="F146" s="34"/>
      <c r="G146" s="35"/>
    </row>
    <row r="147" spans="1:7" x14ac:dyDescent="0.2">
      <c r="A147" s="391" t="s">
        <v>34</v>
      </c>
      <c r="B147" s="391"/>
      <c r="C147" s="391" t="s">
        <v>35</v>
      </c>
      <c r="D147" s="391"/>
      <c r="E147" s="393"/>
      <c r="F147" s="4" t="s">
        <v>38</v>
      </c>
      <c r="G147" s="36"/>
    </row>
    <row r="148" spans="1:7" x14ac:dyDescent="0.2">
      <c r="A148" s="4" t="s">
        <v>36</v>
      </c>
      <c r="B148" s="101"/>
      <c r="C148" s="4" t="s">
        <v>36</v>
      </c>
      <c r="D148" s="19"/>
      <c r="E148" s="393"/>
      <c r="G148" s="5"/>
    </row>
    <row r="149" spans="1:7" x14ac:dyDescent="0.2">
      <c r="A149" s="4" t="s">
        <v>38</v>
      </c>
      <c r="B149" s="101"/>
      <c r="C149" s="4" t="s">
        <v>38</v>
      </c>
      <c r="D149" s="19"/>
      <c r="E149" s="393"/>
      <c r="F149" s="4" t="s">
        <v>67</v>
      </c>
      <c r="G149" s="19"/>
    </row>
    <row r="150" spans="1:7" x14ac:dyDescent="0.2">
      <c r="A150" s="4" t="s">
        <v>39</v>
      </c>
      <c r="B150" s="101"/>
      <c r="C150" s="4" t="s">
        <v>39</v>
      </c>
      <c r="D150" s="19"/>
      <c r="E150" s="393"/>
      <c r="G150" s="5"/>
    </row>
    <row r="151" spans="1:7" x14ac:dyDescent="0.2">
      <c r="A151" s="4" t="s">
        <v>37</v>
      </c>
      <c r="B151" s="17"/>
      <c r="C151" s="4" t="s">
        <v>37</v>
      </c>
      <c r="D151" s="19"/>
      <c r="E151" s="393"/>
      <c r="F151" s="4" t="s">
        <v>41</v>
      </c>
      <c r="G151" s="95"/>
    </row>
    <row r="152" spans="1:7" x14ac:dyDescent="0.2">
      <c r="A152" s="4" t="s">
        <v>41</v>
      </c>
      <c r="B152" s="94"/>
      <c r="C152" s="4" t="s">
        <v>41</v>
      </c>
      <c r="D152" s="95"/>
      <c r="E152" s="393"/>
      <c r="G152" s="5"/>
    </row>
    <row r="153" spans="1:7" x14ac:dyDescent="0.2">
      <c r="A153" s="4" t="s">
        <v>40</v>
      </c>
      <c r="B153" s="94"/>
      <c r="C153" s="4" t="s">
        <v>40</v>
      </c>
      <c r="D153" s="95"/>
      <c r="E153" s="393"/>
      <c r="F153" s="4" t="s">
        <v>40</v>
      </c>
      <c r="G153" s="95"/>
    </row>
    <row r="154" spans="1:7" x14ac:dyDescent="0.2">
      <c r="A154" s="4" t="s">
        <v>43</v>
      </c>
      <c r="B154" s="94"/>
      <c r="C154" s="4" t="s">
        <v>43</v>
      </c>
      <c r="D154" s="95"/>
      <c r="E154" s="393"/>
      <c r="G154" s="96"/>
    </row>
    <row r="155" spans="1:7" x14ac:dyDescent="0.2">
      <c r="A155" s="4" t="s">
        <v>44</v>
      </c>
      <c r="B155" s="17"/>
      <c r="C155" s="4" t="s">
        <v>44</v>
      </c>
      <c r="D155" s="19"/>
      <c r="E155" s="393"/>
      <c r="F155" s="4" t="s">
        <v>43</v>
      </c>
      <c r="G155" s="95"/>
    </row>
    <row r="156" spans="1:7" x14ac:dyDescent="0.2">
      <c r="A156" s="16" t="s">
        <v>42</v>
      </c>
      <c r="B156" s="18"/>
      <c r="C156" s="16" t="s">
        <v>42</v>
      </c>
      <c r="D156" s="20"/>
      <c r="E156" s="394"/>
      <c r="F156" s="16"/>
      <c r="G156" s="37"/>
    </row>
    <row r="157" spans="1:7" ht="28.5" customHeight="1" x14ac:dyDescent="0.25">
      <c r="A157" s="38" t="str">
        <f ca="1">'Ambassador 14'!A1</f>
        <v>Ambassador 14</v>
      </c>
      <c r="B157" s="39" t="s">
        <v>20</v>
      </c>
      <c r="C157" s="63" t="s">
        <v>21</v>
      </c>
      <c r="D157" s="41"/>
      <c r="E157" s="392" t="s">
        <v>66</v>
      </c>
      <c r="F157" s="34"/>
      <c r="G157" s="35"/>
    </row>
    <row r="158" spans="1:7" x14ac:dyDescent="0.2">
      <c r="A158" s="7" t="s">
        <v>96</v>
      </c>
      <c r="B158" s="48"/>
      <c r="C158" s="47" t="s">
        <v>43</v>
      </c>
      <c r="D158" s="108"/>
      <c r="E158" s="392"/>
      <c r="F158" s="34"/>
      <c r="G158" s="35"/>
    </row>
    <row r="159" spans="1:7" x14ac:dyDescent="0.2">
      <c r="A159" s="391" t="s">
        <v>34</v>
      </c>
      <c r="B159" s="391"/>
      <c r="C159" s="391" t="s">
        <v>35</v>
      </c>
      <c r="D159" s="391"/>
      <c r="E159" s="393"/>
      <c r="F159" s="4" t="s">
        <v>38</v>
      </c>
      <c r="G159" s="36"/>
    </row>
    <row r="160" spans="1:7" x14ac:dyDescent="0.2">
      <c r="A160" s="4" t="s">
        <v>36</v>
      </c>
      <c r="B160" s="101"/>
      <c r="C160" s="4" t="s">
        <v>36</v>
      </c>
      <c r="D160" s="19"/>
      <c r="E160" s="393"/>
      <c r="G160" s="5"/>
    </row>
    <row r="161" spans="1:7" x14ac:dyDescent="0.2">
      <c r="A161" s="4" t="s">
        <v>38</v>
      </c>
      <c r="B161" s="101"/>
      <c r="C161" s="4" t="s">
        <v>38</v>
      </c>
      <c r="D161" s="19"/>
      <c r="E161" s="393"/>
      <c r="F161" s="4" t="s">
        <v>67</v>
      </c>
      <c r="G161" s="19"/>
    </row>
    <row r="162" spans="1:7" x14ac:dyDescent="0.2">
      <c r="A162" s="4" t="s">
        <v>39</v>
      </c>
      <c r="B162" s="101"/>
      <c r="C162" s="4" t="s">
        <v>39</v>
      </c>
      <c r="D162" s="19"/>
      <c r="E162" s="393"/>
      <c r="G162" s="5"/>
    </row>
    <row r="163" spans="1:7" x14ac:dyDescent="0.2">
      <c r="A163" s="4" t="s">
        <v>37</v>
      </c>
      <c r="B163" s="17"/>
      <c r="C163" s="4" t="s">
        <v>37</v>
      </c>
      <c r="D163" s="19"/>
      <c r="E163" s="393"/>
      <c r="F163" s="4" t="s">
        <v>41</v>
      </c>
      <c r="G163" s="95"/>
    </row>
    <row r="164" spans="1:7" x14ac:dyDescent="0.2">
      <c r="A164" s="4" t="s">
        <v>41</v>
      </c>
      <c r="B164" s="94"/>
      <c r="C164" s="4" t="s">
        <v>41</v>
      </c>
      <c r="D164" s="95"/>
      <c r="E164" s="393"/>
      <c r="G164" s="5"/>
    </row>
    <row r="165" spans="1:7" x14ac:dyDescent="0.2">
      <c r="A165" s="4" t="s">
        <v>40</v>
      </c>
      <c r="B165" s="94"/>
      <c r="C165" s="4" t="s">
        <v>40</v>
      </c>
      <c r="D165" s="95"/>
      <c r="E165" s="393"/>
      <c r="F165" s="4" t="s">
        <v>40</v>
      </c>
      <c r="G165" s="95"/>
    </row>
    <row r="166" spans="1:7" x14ac:dyDescent="0.2">
      <c r="A166" s="4" t="s">
        <v>43</v>
      </c>
      <c r="B166" s="94"/>
      <c r="C166" s="4" t="s">
        <v>43</v>
      </c>
      <c r="D166" s="95"/>
      <c r="E166" s="393"/>
      <c r="G166" s="5"/>
    </row>
    <row r="167" spans="1:7" x14ac:dyDescent="0.2">
      <c r="A167" s="4" t="s">
        <v>44</v>
      </c>
      <c r="B167" s="17"/>
      <c r="C167" s="4" t="s">
        <v>44</v>
      </c>
      <c r="D167" s="19"/>
      <c r="E167" s="393"/>
      <c r="F167" s="4" t="s">
        <v>43</v>
      </c>
      <c r="G167" s="95"/>
    </row>
    <row r="168" spans="1:7" x14ac:dyDescent="0.2">
      <c r="A168" s="16" t="s">
        <v>42</v>
      </c>
      <c r="B168" s="18"/>
      <c r="C168" s="16" t="s">
        <v>42</v>
      </c>
      <c r="D168" s="20"/>
      <c r="E168" s="394"/>
      <c r="F168" s="16"/>
      <c r="G168" s="37"/>
    </row>
    <row r="169" spans="1:7" ht="28.5" customHeight="1" x14ac:dyDescent="0.25">
      <c r="A169" s="38" t="str">
        <f ca="1">'Ambassador 15'!A1</f>
        <v>Ambassador 15</v>
      </c>
      <c r="B169" s="39" t="s">
        <v>20</v>
      </c>
      <c r="C169" s="63" t="s">
        <v>21</v>
      </c>
      <c r="D169" s="41"/>
      <c r="E169" s="392" t="s">
        <v>66</v>
      </c>
      <c r="F169" s="34"/>
      <c r="G169" s="35"/>
    </row>
    <row r="170" spans="1:7" x14ac:dyDescent="0.2">
      <c r="A170" s="7" t="s">
        <v>96</v>
      </c>
      <c r="B170" s="48"/>
      <c r="C170" s="47" t="s">
        <v>43</v>
      </c>
      <c r="D170" s="108"/>
      <c r="E170" s="392"/>
      <c r="F170" s="34"/>
      <c r="G170" s="35"/>
    </row>
    <row r="171" spans="1:7" x14ac:dyDescent="0.2">
      <c r="A171" s="391" t="s">
        <v>34</v>
      </c>
      <c r="B171" s="391"/>
      <c r="C171" s="391" t="s">
        <v>35</v>
      </c>
      <c r="D171" s="391"/>
      <c r="E171" s="393"/>
      <c r="F171" s="4" t="s">
        <v>38</v>
      </c>
      <c r="G171" s="36"/>
    </row>
    <row r="172" spans="1:7" x14ac:dyDescent="0.2">
      <c r="A172" s="4" t="s">
        <v>36</v>
      </c>
      <c r="B172" s="101"/>
      <c r="C172" s="4" t="s">
        <v>36</v>
      </c>
      <c r="D172" s="19"/>
      <c r="E172" s="393"/>
      <c r="G172" s="5"/>
    </row>
    <row r="173" spans="1:7" x14ac:dyDescent="0.2">
      <c r="A173" s="4" t="s">
        <v>38</v>
      </c>
      <c r="B173" s="101"/>
      <c r="C173" s="4" t="s">
        <v>38</v>
      </c>
      <c r="D173" s="19"/>
      <c r="E173" s="393"/>
      <c r="F173" s="4" t="s">
        <v>67</v>
      </c>
      <c r="G173" s="19"/>
    </row>
    <row r="174" spans="1:7" x14ac:dyDescent="0.2">
      <c r="A174" s="4" t="s">
        <v>39</v>
      </c>
      <c r="B174" s="101"/>
      <c r="C174" s="4" t="s">
        <v>39</v>
      </c>
      <c r="D174" s="19"/>
      <c r="E174" s="393"/>
      <c r="G174" s="5"/>
    </row>
    <row r="175" spans="1:7" x14ac:dyDescent="0.2">
      <c r="A175" s="4" t="s">
        <v>37</v>
      </c>
      <c r="B175" s="101"/>
      <c r="C175" s="4" t="s">
        <v>37</v>
      </c>
      <c r="D175" s="19"/>
      <c r="E175" s="393"/>
      <c r="F175" s="4" t="s">
        <v>41</v>
      </c>
      <c r="G175" s="95"/>
    </row>
    <row r="176" spans="1:7" x14ac:dyDescent="0.2">
      <c r="A176" s="4" t="s">
        <v>41</v>
      </c>
      <c r="B176" s="94"/>
      <c r="C176" s="4" t="s">
        <v>41</v>
      </c>
      <c r="D176" s="95"/>
      <c r="E176" s="393"/>
      <c r="G176" s="5"/>
    </row>
    <row r="177" spans="1:7" x14ac:dyDescent="0.2">
      <c r="A177" s="4" t="s">
        <v>40</v>
      </c>
      <c r="B177" s="94"/>
      <c r="C177" s="4" t="s">
        <v>40</v>
      </c>
      <c r="D177" s="95"/>
      <c r="E177" s="393"/>
      <c r="F177" s="4" t="s">
        <v>40</v>
      </c>
      <c r="G177" s="95"/>
    </row>
    <row r="178" spans="1:7" x14ac:dyDescent="0.2">
      <c r="A178" s="4" t="s">
        <v>43</v>
      </c>
      <c r="B178" s="94"/>
      <c r="C178" s="4" t="s">
        <v>43</v>
      </c>
      <c r="D178" s="95"/>
      <c r="E178" s="393"/>
      <c r="G178" s="5"/>
    </row>
    <row r="179" spans="1:7" x14ac:dyDescent="0.2">
      <c r="A179" s="4" t="s">
        <v>44</v>
      </c>
      <c r="B179" s="17"/>
      <c r="C179" s="4" t="s">
        <v>44</v>
      </c>
      <c r="D179" s="19"/>
      <c r="E179" s="393"/>
      <c r="F179" s="4" t="s">
        <v>43</v>
      </c>
      <c r="G179" s="95"/>
    </row>
    <row r="180" spans="1:7" x14ac:dyDescent="0.2">
      <c r="A180" s="16" t="s">
        <v>42</v>
      </c>
      <c r="B180" s="18"/>
      <c r="C180" s="16" t="s">
        <v>42</v>
      </c>
      <c r="D180" s="20"/>
      <c r="E180" s="394"/>
      <c r="F180" s="16"/>
      <c r="G180" s="37"/>
    </row>
  </sheetData>
  <sheetProtection password="9A15" sheet="1" objects="1" scenarios="1" selectLockedCells="1"/>
  <protectedRanges>
    <protectedRange sqref="D61:G62 D133:G134 D85:G86 D1:G2 D145:G146 D13:G14 D49:G50 D73:G74 D97:G98 D157:G158 D109:G110 D25:G26 D121:G122 D37:G38 D169:G170" name="Range2"/>
    <protectedRange sqref="B1:B2 B73:B74 B157:B158 B13:B14 B121:B122 B37:B38 B49:B50 B61:B62 B25:B26 B85:B86 B145:B146 B97:B98 B109:B110 B133:B134 B169:B170" name="Range1"/>
  </protectedRanges>
  <mergeCells count="45">
    <mergeCell ref="E49:E60"/>
    <mergeCell ref="E61:E72"/>
    <mergeCell ref="E73:E84"/>
    <mergeCell ref="E85:E96"/>
    <mergeCell ref="E169:E180"/>
    <mergeCell ref="E97:E108"/>
    <mergeCell ref="E109:E120"/>
    <mergeCell ref="E121:E132"/>
    <mergeCell ref="E133:E144"/>
    <mergeCell ref="E1:E12"/>
    <mergeCell ref="E13:E24"/>
    <mergeCell ref="E25:E36"/>
    <mergeCell ref="E37:E48"/>
    <mergeCell ref="A3:B3"/>
    <mergeCell ref="C3:D3"/>
    <mergeCell ref="C15:D15"/>
    <mergeCell ref="A15:B15"/>
    <mergeCell ref="A27:B27"/>
    <mergeCell ref="C27:D27"/>
    <mergeCell ref="A51:B51"/>
    <mergeCell ref="C51:D51"/>
    <mergeCell ref="C63:D63"/>
    <mergeCell ref="A63:B63"/>
    <mergeCell ref="C39:D39"/>
    <mergeCell ref="A39:B39"/>
    <mergeCell ref="A135:B135"/>
    <mergeCell ref="C135:D135"/>
    <mergeCell ref="A75:B75"/>
    <mergeCell ref="C75:D75"/>
    <mergeCell ref="C87:D87"/>
    <mergeCell ref="A87:B87"/>
    <mergeCell ref="A99:B99"/>
    <mergeCell ref="C99:D99"/>
    <mergeCell ref="A123:B123"/>
    <mergeCell ref="C123:D123"/>
    <mergeCell ref="A111:B111"/>
    <mergeCell ref="C111:D111"/>
    <mergeCell ref="A171:B171"/>
    <mergeCell ref="C171:D171"/>
    <mergeCell ref="E145:E156"/>
    <mergeCell ref="A147:B147"/>
    <mergeCell ref="C147:D147"/>
    <mergeCell ref="E157:E168"/>
    <mergeCell ref="A159:B159"/>
    <mergeCell ref="C159:D159"/>
  </mergeCells>
  <phoneticPr fontId="2" type="noConversion"/>
  <pageMargins left="0.5" right="0.5" top="1" bottom="0.75" header="0.5" footer="0.5"/>
  <pageSetup scale="89" orientation="landscape" horizontalDpi="4294967293" r:id="rId1"/>
  <headerFooter alignWithMargins="0">
    <oddHeader>&amp;C&amp;"Arial,Bold"&amp;14AmbassadorTrax&amp;"Arial,Regular"&amp;10
&amp;"Arial,Bold"&amp;12Parent Contact Info - &amp;D</oddHeader>
    <oddFooter>&amp;CPage &amp;P</oddFooter>
  </headerFooter>
  <rowBreaks count="4" manualBreakCount="4">
    <brk id="36" max="16383" man="1"/>
    <brk id="72" max="16383" man="1"/>
    <brk id="108" max="16383" man="1"/>
    <brk id="144"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pageSetUpPr fitToPage="1"/>
  </sheetPr>
  <dimension ref="A1:Y18"/>
  <sheetViews>
    <sheetView showGridLines="0" zoomScaleNormal="100" workbookViewId="0">
      <selection activeCell="D6" sqref="D6"/>
    </sheetView>
  </sheetViews>
  <sheetFormatPr defaultRowHeight="12.75" x14ac:dyDescent="0.2"/>
  <cols>
    <col min="1" max="1" width="2.5703125" customWidth="1"/>
    <col min="2" max="3" width="17.7109375" customWidth="1"/>
    <col min="4" max="25" width="3.28515625" customWidth="1"/>
  </cols>
  <sheetData>
    <row r="1" spans="1:25" ht="15" customHeight="1" x14ac:dyDescent="0.25">
      <c r="A1" s="226"/>
      <c r="B1" s="227" t="s">
        <v>22</v>
      </c>
      <c r="C1" s="228">
        <f>Instructions!F3</f>
        <v>0</v>
      </c>
      <c r="D1" s="400" t="str">
        <f ca="1">'Ambassador 1'!$A$1</f>
        <v>Ambassador 1</v>
      </c>
      <c r="E1" s="400" t="str">
        <f ca="1">'Ambassador 2'!$A$1</f>
        <v>Ambassador 2</v>
      </c>
      <c r="F1" s="400" t="str">
        <f ca="1">'Ambassador 3'!$A$1</f>
        <v>Ambassador 3</v>
      </c>
      <c r="G1" s="400" t="str">
        <f ca="1">'Ambassador 4'!$A$1</f>
        <v>Ambassador 4</v>
      </c>
      <c r="H1" s="400" t="str">
        <f ca="1">'Ambassador 5'!$A$1</f>
        <v>Ambassador 5</v>
      </c>
      <c r="I1" s="400" t="str">
        <f ca="1">'Ambassador 6'!$A$1</f>
        <v>Ambassador 6</v>
      </c>
      <c r="J1" s="400" t="str">
        <f ca="1">'Ambassador 7'!$A$1</f>
        <v>Ambassador 7</v>
      </c>
      <c r="K1" s="400" t="str">
        <f ca="1">'Ambassador 8'!$A$1</f>
        <v>Ambassador 8</v>
      </c>
      <c r="L1" s="400" t="str">
        <f ca="1">'Ambassador 9'!$A$1</f>
        <v>Ambassador 9</v>
      </c>
      <c r="M1" s="400" t="str">
        <f ca="1">'Ambassador 10'!$A$1</f>
        <v>Ambassador 10</v>
      </c>
      <c r="N1" s="400" t="str">
        <f ca="1">'Ambassador 11'!$A$1</f>
        <v>Ambassador 11</v>
      </c>
      <c r="O1" s="400" t="str">
        <f ca="1">'Ambassador 12'!$A$1</f>
        <v>Ambassador 12</v>
      </c>
      <c r="P1" s="400" t="str">
        <f ca="1">'Ambassador 13'!$A$1</f>
        <v>Ambassador 13</v>
      </c>
      <c r="Q1" s="400" t="str">
        <f ca="1">'Ambassador 14'!$A$1</f>
        <v>Ambassador 14</v>
      </c>
      <c r="R1" s="400" t="str">
        <f ca="1">'Ambassador 15'!$A$1</f>
        <v>Ambassador 15</v>
      </c>
      <c r="S1" s="407" t="s">
        <v>57</v>
      </c>
      <c r="T1" s="407" t="s">
        <v>58</v>
      </c>
      <c r="U1" s="407" t="s">
        <v>59</v>
      </c>
      <c r="V1" s="407" t="s">
        <v>60</v>
      </c>
      <c r="W1" s="407" t="s">
        <v>61</v>
      </c>
      <c r="X1" s="407" t="s">
        <v>62</v>
      </c>
      <c r="Y1" s="404" t="s">
        <v>63</v>
      </c>
    </row>
    <row r="2" spans="1:25" ht="15" customHeight="1" x14ac:dyDescent="0.25">
      <c r="A2" s="3"/>
      <c r="B2" s="84" t="s">
        <v>23</v>
      </c>
      <c r="C2" s="103">
        <f>Instructions!F5</f>
        <v>0</v>
      </c>
      <c r="D2" s="401"/>
      <c r="E2" s="401"/>
      <c r="F2" s="401"/>
      <c r="G2" s="401"/>
      <c r="H2" s="401"/>
      <c r="I2" s="401"/>
      <c r="J2" s="401"/>
      <c r="K2" s="401"/>
      <c r="L2" s="401"/>
      <c r="M2" s="401"/>
      <c r="N2" s="401"/>
      <c r="O2" s="401"/>
      <c r="P2" s="401"/>
      <c r="Q2" s="401"/>
      <c r="R2" s="401"/>
      <c r="S2" s="408"/>
      <c r="T2" s="408"/>
      <c r="U2" s="408"/>
      <c r="V2" s="408"/>
      <c r="W2" s="408"/>
      <c r="X2" s="408"/>
      <c r="Y2" s="405"/>
    </row>
    <row r="3" spans="1:25" ht="15" customHeight="1" x14ac:dyDescent="0.2">
      <c r="A3" s="410"/>
      <c r="B3" s="410"/>
      <c r="C3" s="411"/>
      <c r="D3" s="401"/>
      <c r="E3" s="401"/>
      <c r="F3" s="401"/>
      <c r="G3" s="401"/>
      <c r="H3" s="401"/>
      <c r="I3" s="401"/>
      <c r="J3" s="401"/>
      <c r="K3" s="401"/>
      <c r="L3" s="401"/>
      <c r="M3" s="401"/>
      <c r="N3" s="401"/>
      <c r="O3" s="401"/>
      <c r="P3" s="401"/>
      <c r="Q3" s="401"/>
      <c r="R3" s="401"/>
      <c r="S3" s="408"/>
      <c r="T3" s="408"/>
      <c r="U3" s="408"/>
      <c r="V3" s="408"/>
      <c r="W3" s="408"/>
      <c r="X3" s="408"/>
      <c r="Y3" s="405"/>
    </row>
    <row r="4" spans="1:25" ht="18" customHeight="1" x14ac:dyDescent="0.2">
      <c r="A4" s="415" t="s">
        <v>77</v>
      </c>
      <c r="B4" s="415"/>
      <c r="C4" s="416"/>
      <c r="D4" s="402"/>
      <c r="E4" s="402"/>
      <c r="F4" s="402"/>
      <c r="G4" s="402"/>
      <c r="H4" s="402"/>
      <c r="I4" s="402"/>
      <c r="J4" s="402"/>
      <c r="K4" s="402"/>
      <c r="L4" s="402"/>
      <c r="M4" s="402"/>
      <c r="N4" s="402"/>
      <c r="O4" s="402"/>
      <c r="P4" s="402"/>
      <c r="Q4" s="402"/>
      <c r="R4" s="402"/>
      <c r="S4" s="409"/>
      <c r="T4" s="409"/>
      <c r="U4" s="409"/>
      <c r="V4" s="409"/>
      <c r="W4" s="409"/>
      <c r="X4" s="409"/>
      <c r="Y4" s="406"/>
    </row>
    <row r="5" spans="1:25" ht="20.25" customHeight="1" x14ac:dyDescent="0.2">
      <c r="A5" s="191"/>
      <c r="B5" s="396"/>
      <c r="C5" s="396"/>
      <c r="D5" s="398"/>
      <c r="E5" s="399"/>
      <c r="F5" s="399"/>
      <c r="G5" s="399"/>
      <c r="H5" s="399"/>
      <c r="I5" s="399"/>
      <c r="J5" s="399"/>
      <c r="K5" s="399"/>
      <c r="L5" s="399"/>
      <c r="M5" s="399"/>
      <c r="N5" s="399"/>
      <c r="O5" s="399"/>
      <c r="P5" s="399"/>
      <c r="Q5" s="399"/>
      <c r="R5" s="399"/>
      <c r="S5" s="399"/>
      <c r="T5" s="399"/>
      <c r="U5" s="399"/>
      <c r="V5" s="399"/>
      <c r="W5" s="399"/>
      <c r="X5" s="399"/>
      <c r="Y5" s="399"/>
    </row>
    <row r="6" spans="1:25" x14ac:dyDescent="0.2">
      <c r="A6" s="2">
        <v>1</v>
      </c>
      <c r="B6" s="403" t="s">
        <v>64</v>
      </c>
      <c r="C6" s="403"/>
      <c r="D6" s="15"/>
      <c r="E6" s="15"/>
      <c r="F6" s="15"/>
      <c r="G6" s="15"/>
      <c r="H6" s="15"/>
      <c r="I6" s="15"/>
      <c r="J6" s="15"/>
      <c r="K6" s="15"/>
      <c r="L6" s="15"/>
      <c r="M6" s="15"/>
      <c r="N6" s="15"/>
      <c r="O6" s="15"/>
      <c r="P6" s="15"/>
      <c r="Q6" s="15"/>
      <c r="R6" s="15"/>
      <c r="S6" s="175"/>
      <c r="T6" s="175"/>
      <c r="U6" s="175"/>
      <c r="V6" s="175"/>
      <c r="W6" s="175"/>
      <c r="X6" s="175"/>
      <c r="Y6" s="175"/>
    </row>
    <row r="7" spans="1:25" x14ac:dyDescent="0.2">
      <c r="A7" s="2">
        <v>2</v>
      </c>
      <c r="B7" s="403" t="s">
        <v>54</v>
      </c>
      <c r="C7" s="403"/>
      <c r="D7" s="15"/>
      <c r="E7" s="15"/>
      <c r="F7" s="15"/>
      <c r="G7" s="15"/>
      <c r="H7" s="15"/>
      <c r="I7" s="15"/>
      <c r="J7" s="15"/>
      <c r="K7" s="15"/>
      <c r="L7" s="15"/>
      <c r="M7" s="15"/>
      <c r="N7" s="15"/>
      <c r="O7" s="15"/>
      <c r="P7" s="15"/>
      <c r="Q7" s="15"/>
      <c r="R7" s="15"/>
      <c r="S7" s="175"/>
      <c r="T7" s="175"/>
      <c r="U7" s="175"/>
      <c r="V7" s="175"/>
      <c r="W7" s="175"/>
      <c r="X7" s="175"/>
      <c r="Y7" s="175"/>
    </row>
    <row r="8" spans="1:25" x14ac:dyDescent="0.2">
      <c r="A8" s="2">
        <v>3</v>
      </c>
      <c r="B8" s="403" t="s">
        <v>55</v>
      </c>
      <c r="C8" s="403"/>
      <c r="D8" s="15"/>
      <c r="E8" s="15"/>
      <c r="F8" s="15"/>
      <c r="G8" s="15"/>
      <c r="H8" s="15"/>
      <c r="I8" s="15"/>
      <c r="J8" s="15"/>
      <c r="K8" s="15"/>
      <c r="L8" s="15"/>
      <c r="M8" s="15"/>
      <c r="N8" s="15"/>
      <c r="O8" s="15"/>
      <c r="P8" s="15"/>
      <c r="Q8" s="15"/>
      <c r="R8" s="15"/>
      <c r="S8" s="42"/>
      <c r="T8" s="43"/>
      <c r="U8" s="43"/>
      <c r="V8" s="43"/>
      <c r="W8" s="43"/>
      <c r="X8" s="43"/>
      <c r="Y8" s="43"/>
    </row>
    <row r="9" spans="1:25" x14ac:dyDescent="0.2">
      <c r="A9" s="2">
        <v>4</v>
      </c>
      <c r="B9" s="413" t="s">
        <v>18</v>
      </c>
      <c r="C9" s="414"/>
      <c r="D9" s="15"/>
      <c r="E9" s="15"/>
      <c r="F9" s="15"/>
      <c r="G9" s="15"/>
      <c r="H9" s="15"/>
      <c r="I9" s="15"/>
      <c r="J9" s="15"/>
      <c r="K9" s="15"/>
      <c r="L9" s="15"/>
      <c r="M9" s="15"/>
      <c r="N9" s="15"/>
      <c r="O9" s="15"/>
      <c r="P9" s="15"/>
      <c r="Q9" s="15"/>
      <c r="R9" s="15"/>
      <c r="S9" s="44"/>
      <c r="T9" s="45"/>
      <c r="U9" s="45"/>
      <c r="V9" s="45"/>
      <c r="W9" s="45"/>
      <c r="X9" s="45"/>
      <c r="Y9" s="45"/>
    </row>
    <row r="10" spans="1:25" ht="13.5" thickBot="1" x14ac:dyDescent="0.25">
      <c r="A10" s="2">
        <v>5</v>
      </c>
      <c r="B10" s="413" t="s">
        <v>65</v>
      </c>
      <c r="C10" s="414"/>
      <c r="D10" s="15"/>
      <c r="E10" s="15"/>
      <c r="F10" s="15"/>
      <c r="G10" s="15"/>
      <c r="H10" s="15"/>
      <c r="I10" s="15"/>
      <c r="J10" s="15"/>
      <c r="K10" s="15"/>
      <c r="L10" s="15"/>
      <c r="M10" s="15"/>
      <c r="N10" s="15"/>
      <c r="O10" s="15"/>
      <c r="P10" s="15"/>
      <c r="Q10" s="15"/>
      <c r="R10" s="15"/>
      <c r="S10" s="175"/>
      <c r="T10" s="175"/>
      <c r="U10" s="175"/>
      <c r="V10" s="175"/>
      <c r="W10" s="175"/>
      <c r="X10" s="175"/>
      <c r="Y10" s="175"/>
    </row>
    <row r="11" spans="1:25" ht="13.5" thickBot="1" x14ac:dyDescent="0.25">
      <c r="B11" s="412" t="s">
        <v>27</v>
      </c>
      <c r="C11" s="412"/>
      <c r="D11" s="11" t="str">
        <f>IF(AND(D6="A",D7="A",D8="A",D9="A",D10="A"),"C",IF(COUNTIF(D6:D10,"A")&gt;0,"P"," "))</f>
        <v xml:space="preserve"> </v>
      </c>
      <c r="E11" s="11" t="str">
        <f t="shared" ref="E11:L11" si="0">IF(AND(E6="A",E7="A",E8="A",E9="A",E10="A"),"C",IF(COUNTIF(E6:E10,"A")&gt;0,"P"," "))</f>
        <v xml:space="preserve"> </v>
      </c>
      <c r="F11" s="11" t="str">
        <f t="shared" si="0"/>
        <v xml:space="preserve"> </v>
      </c>
      <c r="G11" s="11" t="str">
        <f t="shared" si="0"/>
        <v xml:space="preserve"> </v>
      </c>
      <c r="H11" s="11" t="str">
        <f t="shared" si="0"/>
        <v xml:space="preserve"> </v>
      </c>
      <c r="I11" s="11" t="str">
        <f t="shared" si="0"/>
        <v xml:space="preserve"> </v>
      </c>
      <c r="J11" s="11" t="str">
        <f t="shared" si="0"/>
        <v xml:space="preserve"> </v>
      </c>
      <c r="K11" s="11" t="str">
        <f t="shared" si="0"/>
        <v xml:space="preserve"> </v>
      </c>
      <c r="L11" s="11" t="str">
        <f t="shared" si="0"/>
        <v xml:space="preserve"> </v>
      </c>
      <c r="M11" s="11" t="str">
        <f t="shared" ref="M11:R11" si="1">IF(AND(M6="A",M7="A",M8="A",M9="A",M10="A"),"C",IF(COUNTIF(M6:M10,"A")&gt;0,"P"," "))</f>
        <v xml:space="preserve"> </v>
      </c>
      <c r="N11" s="11" t="str">
        <f t="shared" si="1"/>
        <v xml:space="preserve"> </v>
      </c>
      <c r="O11" s="11" t="str">
        <f t="shared" si="1"/>
        <v xml:space="preserve"> </v>
      </c>
      <c r="P11" s="11" t="str">
        <f t="shared" si="1"/>
        <v xml:space="preserve"> </v>
      </c>
      <c r="Q11" s="11" t="str">
        <f t="shared" si="1"/>
        <v xml:space="preserve"> </v>
      </c>
      <c r="R11" s="11" t="str">
        <f t="shared" si="1"/>
        <v xml:space="preserve"> </v>
      </c>
      <c r="S11" s="11" t="str">
        <f>IF(AND(S6="A",S7="A",S10="A"),"C",IF(COUNTIF(S6:S10,"A")&gt;0,"P"," "))</f>
        <v xml:space="preserve"> </v>
      </c>
      <c r="T11" s="11" t="str">
        <f t="shared" ref="T11:Y11" si="2">IF(AND(T6="A",T7="A",T10="A"),"C",IF(COUNTIF(T6:T10,"A")&gt;0,"P"," "))</f>
        <v xml:space="preserve"> </v>
      </c>
      <c r="U11" s="11" t="str">
        <f t="shared" si="2"/>
        <v xml:space="preserve"> </v>
      </c>
      <c r="V11" s="11" t="str">
        <f t="shared" si="2"/>
        <v xml:space="preserve"> </v>
      </c>
      <c r="W11" s="11" t="str">
        <f t="shared" si="2"/>
        <v xml:space="preserve"> </v>
      </c>
      <c r="X11" s="11" t="str">
        <f t="shared" si="2"/>
        <v xml:space="preserve"> </v>
      </c>
      <c r="Y11" s="11" t="str">
        <f t="shared" si="2"/>
        <v xml:space="preserve"> </v>
      </c>
    </row>
    <row r="12" spans="1:25" x14ac:dyDescent="0.2">
      <c r="A12" s="14"/>
      <c r="B12" s="396"/>
      <c r="C12" s="396"/>
      <c r="D12" s="397"/>
      <c r="E12" s="396"/>
      <c r="F12" s="396"/>
      <c r="G12" s="396"/>
      <c r="H12" s="396"/>
      <c r="I12" s="396"/>
      <c r="J12" s="396"/>
      <c r="K12" s="396"/>
      <c r="L12" s="396"/>
      <c r="M12" s="396"/>
      <c r="N12" s="396"/>
      <c r="O12" s="396"/>
      <c r="P12" s="396"/>
      <c r="Q12" s="396"/>
      <c r="R12" s="396"/>
      <c r="S12" s="396"/>
      <c r="T12" s="396"/>
      <c r="U12" s="396"/>
      <c r="V12" s="396"/>
      <c r="W12" s="396"/>
      <c r="X12" s="396"/>
      <c r="Y12" s="396"/>
    </row>
    <row r="13" spans="1:25" x14ac:dyDescent="0.2">
      <c r="A13" s="2">
        <v>1</v>
      </c>
      <c r="B13" s="403" t="s">
        <v>64</v>
      </c>
      <c r="C13" s="403"/>
      <c r="D13" s="15"/>
      <c r="E13" s="15"/>
      <c r="F13" s="15"/>
      <c r="G13" s="15"/>
      <c r="H13" s="15"/>
      <c r="I13" s="15"/>
      <c r="J13" s="15"/>
      <c r="K13" s="15"/>
      <c r="L13" s="15"/>
      <c r="M13" s="15"/>
      <c r="N13" s="15"/>
      <c r="O13" s="15"/>
      <c r="P13" s="15"/>
      <c r="Q13" s="15"/>
      <c r="R13" s="15"/>
      <c r="S13" s="175"/>
      <c r="T13" s="175"/>
      <c r="U13" s="175"/>
      <c r="V13" s="175"/>
      <c r="W13" s="175"/>
      <c r="X13" s="175"/>
      <c r="Y13" s="175"/>
    </row>
    <row r="14" spans="1:25" x14ac:dyDescent="0.2">
      <c r="A14" s="2">
        <v>2</v>
      </c>
      <c r="B14" s="403" t="s">
        <v>54</v>
      </c>
      <c r="C14" s="403"/>
      <c r="D14" s="15"/>
      <c r="E14" s="15"/>
      <c r="F14" s="15"/>
      <c r="G14" s="15"/>
      <c r="H14" s="15"/>
      <c r="I14" s="15"/>
      <c r="J14" s="15"/>
      <c r="K14" s="15"/>
      <c r="L14" s="15"/>
      <c r="M14" s="15"/>
      <c r="N14" s="15"/>
      <c r="O14" s="15"/>
      <c r="P14" s="15"/>
      <c r="Q14" s="15"/>
      <c r="R14" s="15"/>
      <c r="S14" s="175"/>
      <c r="T14" s="175"/>
      <c r="U14" s="175"/>
      <c r="V14" s="175"/>
      <c r="W14" s="175"/>
      <c r="X14" s="175"/>
      <c r="Y14" s="175"/>
    </row>
    <row r="15" spans="1:25" x14ac:dyDescent="0.2">
      <c r="A15" s="2">
        <v>3</v>
      </c>
      <c r="B15" s="403" t="s">
        <v>55</v>
      </c>
      <c r="C15" s="403"/>
      <c r="D15" s="15"/>
      <c r="E15" s="15"/>
      <c r="F15" s="15"/>
      <c r="G15" s="15"/>
      <c r="H15" s="15"/>
      <c r="I15" s="15"/>
      <c r="J15" s="15"/>
      <c r="K15" s="15"/>
      <c r="L15" s="15"/>
      <c r="M15" s="15"/>
      <c r="N15" s="15"/>
      <c r="O15" s="15"/>
      <c r="P15" s="15"/>
      <c r="Q15" s="15"/>
      <c r="R15" s="15"/>
      <c r="S15" s="42"/>
      <c r="T15" s="43"/>
      <c r="U15" s="43"/>
      <c r="V15" s="43"/>
      <c r="W15" s="43"/>
      <c r="X15" s="43"/>
      <c r="Y15" s="43"/>
    </row>
    <row r="16" spans="1:25" ht="12.75" customHeight="1" x14ac:dyDescent="0.2">
      <c r="A16" s="2">
        <v>4</v>
      </c>
      <c r="B16" s="413" t="s">
        <v>18</v>
      </c>
      <c r="C16" s="414"/>
      <c r="D16" s="15"/>
      <c r="E16" s="15"/>
      <c r="F16" s="15"/>
      <c r="G16" s="15"/>
      <c r="H16" s="15"/>
      <c r="I16" s="15"/>
      <c r="J16" s="15"/>
      <c r="K16" s="15"/>
      <c r="L16" s="15"/>
      <c r="M16" s="15"/>
      <c r="N16" s="15"/>
      <c r="O16" s="15"/>
      <c r="P16" s="15"/>
      <c r="Q16" s="15"/>
      <c r="R16" s="15"/>
      <c r="S16" s="44"/>
      <c r="T16" s="45"/>
      <c r="U16" s="45"/>
      <c r="V16" s="45"/>
      <c r="W16" s="45"/>
      <c r="X16" s="45"/>
      <c r="Y16" s="45"/>
    </row>
    <row r="17" spans="1:25" ht="13.5" thickBot="1" x14ac:dyDescent="0.25">
      <c r="A17" s="2">
        <v>5</v>
      </c>
      <c r="B17" s="413" t="s">
        <v>65</v>
      </c>
      <c r="C17" s="414"/>
      <c r="D17" s="15"/>
      <c r="E17" s="15"/>
      <c r="F17" s="15"/>
      <c r="G17" s="15"/>
      <c r="H17" s="15"/>
      <c r="I17" s="15"/>
      <c r="J17" s="15"/>
      <c r="K17" s="15"/>
      <c r="L17" s="15"/>
      <c r="M17" s="15"/>
      <c r="N17" s="15"/>
      <c r="O17" s="15"/>
      <c r="P17" s="15"/>
      <c r="Q17" s="15"/>
      <c r="R17" s="15"/>
      <c r="S17" s="175"/>
      <c r="T17" s="175"/>
      <c r="U17" s="175"/>
      <c r="V17" s="175"/>
      <c r="W17" s="175"/>
      <c r="X17" s="175"/>
      <c r="Y17" s="175"/>
    </row>
    <row r="18" spans="1:25" ht="13.5" thickBot="1" x14ac:dyDescent="0.25">
      <c r="B18" s="412" t="s">
        <v>27</v>
      </c>
      <c r="C18" s="412"/>
      <c r="D18" s="11" t="str">
        <f t="shared" ref="D18:L18" si="3">IF(AND(D13="A",D14="A",D15="A",D16="A",D17="A"),"C",IF(COUNTIF(D13:D17,"A")&gt;0,"P"," "))</f>
        <v xml:space="preserve"> </v>
      </c>
      <c r="E18" s="11" t="str">
        <f t="shared" si="3"/>
        <v xml:space="preserve"> </v>
      </c>
      <c r="F18" s="11" t="str">
        <f t="shared" si="3"/>
        <v xml:space="preserve"> </v>
      </c>
      <c r="G18" s="11" t="str">
        <f t="shared" si="3"/>
        <v xml:space="preserve"> </v>
      </c>
      <c r="H18" s="11" t="str">
        <f t="shared" si="3"/>
        <v xml:space="preserve"> </v>
      </c>
      <c r="I18" s="11" t="str">
        <f t="shared" si="3"/>
        <v xml:space="preserve"> </v>
      </c>
      <c r="J18" s="11" t="str">
        <f t="shared" si="3"/>
        <v xml:space="preserve"> </v>
      </c>
      <c r="K18" s="11" t="str">
        <f t="shared" si="3"/>
        <v xml:space="preserve"> </v>
      </c>
      <c r="L18" s="11" t="str">
        <f t="shared" si="3"/>
        <v xml:space="preserve"> </v>
      </c>
      <c r="M18" s="11" t="str">
        <f t="shared" ref="M18:R18" si="4">IF(AND(M13="A",M14="A",M15="A",M16="A",M17="A"),"C",IF(COUNTIF(M13:M17,"A")&gt;0,"P"," "))</f>
        <v xml:space="preserve"> </v>
      </c>
      <c r="N18" s="11" t="str">
        <f t="shared" si="4"/>
        <v xml:space="preserve"> </v>
      </c>
      <c r="O18" s="11" t="str">
        <f t="shared" si="4"/>
        <v xml:space="preserve"> </v>
      </c>
      <c r="P18" s="11" t="str">
        <f t="shared" si="4"/>
        <v xml:space="preserve"> </v>
      </c>
      <c r="Q18" s="11" t="str">
        <f t="shared" si="4"/>
        <v xml:space="preserve"> </v>
      </c>
      <c r="R18" s="11" t="str">
        <f t="shared" si="4"/>
        <v xml:space="preserve"> </v>
      </c>
      <c r="S18" s="11" t="str">
        <f t="shared" ref="S18:Y18" si="5">IF(AND(S13="A",S14="A",S17="A"),"C",IF(COUNTIF(S13:S17,"A")&gt;0,"P"," "))</f>
        <v xml:space="preserve"> </v>
      </c>
      <c r="T18" s="11" t="str">
        <f t="shared" si="5"/>
        <v xml:space="preserve"> </v>
      </c>
      <c r="U18" s="11" t="str">
        <f t="shared" si="5"/>
        <v xml:space="preserve"> </v>
      </c>
      <c r="V18" s="11" t="str">
        <f t="shared" si="5"/>
        <v xml:space="preserve"> </v>
      </c>
      <c r="W18" s="11" t="str">
        <f t="shared" si="5"/>
        <v xml:space="preserve"> </v>
      </c>
      <c r="X18" s="11" t="str">
        <f t="shared" si="5"/>
        <v xml:space="preserve"> </v>
      </c>
      <c r="Y18" s="11" t="str">
        <f t="shared" si="5"/>
        <v xml:space="preserve"> </v>
      </c>
    </row>
  </sheetData>
  <sheetProtection password="9A15" sheet="1" objects="1" scenarios="1" selectLockedCells="1"/>
  <mergeCells count="38">
    <mergeCell ref="I1:I4"/>
    <mergeCell ref="X1:X4"/>
    <mergeCell ref="U1:U4"/>
    <mergeCell ref="O1:O4"/>
    <mergeCell ref="P1:P4"/>
    <mergeCell ref="K1:K4"/>
    <mergeCell ref="T1:T4"/>
    <mergeCell ref="Q1:Q4"/>
    <mergeCell ref="R1:R4"/>
    <mergeCell ref="V1:V4"/>
    <mergeCell ref="W1:W4"/>
    <mergeCell ref="A4:C4"/>
    <mergeCell ref="B11:C11"/>
    <mergeCell ref="B10:C10"/>
    <mergeCell ref="B9:C9"/>
    <mergeCell ref="B8:C8"/>
    <mergeCell ref="B7:C7"/>
    <mergeCell ref="B18:C18"/>
    <mergeCell ref="B16:C16"/>
    <mergeCell ref="B17:C17"/>
    <mergeCell ref="B14:C14"/>
    <mergeCell ref="B15:C15"/>
    <mergeCell ref="B12:Y12"/>
    <mergeCell ref="B5:Y5"/>
    <mergeCell ref="G1:G4"/>
    <mergeCell ref="B6:C6"/>
    <mergeCell ref="B13:C13"/>
    <mergeCell ref="J1:J4"/>
    <mergeCell ref="D1:D4"/>
    <mergeCell ref="M1:M4"/>
    <mergeCell ref="N1:N4"/>
    <mergeCell ref="E1:E4"/>
    <mergeCell ref="L1:L4"/>
    <mergeCell ref="H1:H4"/>
    <mergeCell ref="F1:F4"/>
    <mergeCell ref="Y1:Y4"/>
    <mergeCell ref="S1:S4"/>
    <mergeCell ref="A3:C3"/>
  </mergeCells>
  <phoneticPr fontId="2" type="noConversion"/>
  <pageMargins left="0.75" right="0.7" top="1" bottom="1" header="0.5" footer="0.5"/>
  <pageSetup orientation="landscape" r:id="rId1"/>
  <headerFooter alignWithMargins="0">
    <oddHeader>&amp;C&amp;"Arial,Bold"&amp;14CadetteTrax&amp;12
Registration - &amp;D</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pageSetUpPr fitToPage="1"/>
  </sheetPr>
  <dimension ref="A1:Q48"/>
  <sheetViews>
    <sheetView showGridLines="0" zoomScaleNormal="100" workbookViewId="0">
      <pane ySplit="4" topLeftCell="A5" activePane="bottomLeft" state="frozen"/>
      <selection pane="bottomLeft" activeCell="A5" sqref="A5"/>
    </sheetView>
  </sheetViews>
  <sheetFormatPr defaultRowHeight="12.75" x14ac:dyDescent="0.2"/>
  <cols>
    <col min="1" max="1" width="12.140625" style="113" bestFit="1" customWidth="1"/>
    <col min="2" max="16" width="7.7109375" style="113" customWidth="1"/>
    <col min="17" max="16384" width="9.140625" style="113"/>
  </cols>
  <sheetData>
    <row r="1" spans="1:17" ht="25.5" customHeight="1" x14ac:dyDescent="0.2">
      <c r="A1" s="419" t="s">
        <v>90</v>
      </c>
      <c r="B1" s="400" t="str">
        <f ca="1">'Ambassador 1'!$A$1</f>
        <v>Ambassador 1</v>
      </c>
      <c r="C1" s="400" t="str">
        <f ca="1">'Ambassador 2'!$A$1</f>
        <v>Ambassador 2</v>
      </c>
      <c r="D1" s="400" t="str">
        <f ca="1">'Ambassador 3'!$A$1</f>
        <v>Ambassador 3</v>
      </c>
      <c r="E1" s="400" t="str">
        <f ca="1">'Ambassador 4'!$A$1</f>
        <v>Ambassador 4</v>
      </c>
      <c r="F1" s="400" t="str">
        <f ca="1">'Ambassador 5'!$A$1</f>
        <v>Ambassador 5</v>
      </c>
      <c r="G1" s="400" t="str">
        <f ca="1">'Ambassador 6'!$A$1</f>
        <v>Ambassador 6</v>
      </c>
      <c r="H1" s="400" t="str">
        <f ca="1">'Ambassador 7'!$A$1</f>
        <v>Ambassador 7</v>
      </c>
      <c r="I1" s="400" t="str">
        <f ca="1">'Ambassador 8'!$A$1</f>
        <v>Ambassador 8</v>
      </c>
      <c r="J1" s="400" t="str">
        <f ca="1">'Ambassador 9'!$A$1</f>
        <v>Ambassador 9</v>
      </c>
      <c r="K1" s="400" t="str">
        <f ca="1">'Ambassador 10'!$A$1</f>
        <v>Ambassador 10</v>
      </c>
      <c r="L1" s="400" t="str">
        <f ca="1">'Ambassador 11'!$A$1</f>
        <v>Ambassador 11</v>
      </c>
      <c r="M1" s="400" t="str">
        <f ca="1">'Ambassador 12'!$A$1</f>
        <v>Ambassador 12</v>
      </c>
      <c r="N1" s="400" t="str">
        <f ca="1">'Ambassador 13'!$A$1</f>
        <v>Ambassador 13</v>
      </c>
      <c r="O1" s="400" t="str">
        <f ca="1">'Ambassador 14'!$A$1</f>
        <v>Ambassador 14</v>
      </c>
      <c r="P1" s="400" t="str">
        <f ca="1">'Ambassador 15'!$A$1</f>
        <v>Ambassador 15</v>
      </c>
      <c r="Q1" s="417" t="s">
        <v>0</v>
      </c>
    </row>
    <row r="2" spans="1:17" x14ac:dyDescent="0.2">
      <c r="A2" s="419"/>
      <c r="B2" s="401"/>
      <c r="C2" s="401"/>
      <c r="D2" s="401"/>
      <c r="E2" s="401"/>
      <c r="F2" s="401"/>
      <c r="G2" s="401"/>
      <c r="H2" s="401"/>
      <c r="I2" s="401"/>
      <c r="J2" s="401"/>
      <c r="K2" s="401"/>
      <c r="L2" s="401"/>
      <c r="M2" s="401"/>
      <c r="N2" s="401"/>
      <c r="O2" s="401"/>
      <c r="P2" s="401"/>
      <c r="Q2" s="417"/>
    </row>
    <row r="3" spans="1:17" x14ac:dyDescent="0.2">
      <c r="B3" s="401"/>
      <c r="C3" s="401"/>
      <c r="D3" s="401"/>
      <c r="E3" s="401"/>
      <c r="F3" s="401"/>
      <c r="G3" s="401"/>
      <c r="H3" s="401"/>
      <c r="I3" s="401"/>
      <c r="J3" s="401"/>
      <c r="K3" s="401"/>
      <c r="L3" s="401"/>
      <c r="M3" s="401"/>
      <c r="N3" s="401"/>
      <c r="O3" s="401"/>
      <c r="P3" s="401"/>
      <c r="Q3" s="417"/>
    </row>
    <row r="4" spans="1:17" x14ac:dyDescent="0.2">
      <c r="A4" s="114" t="s">
        <v>47</v>
      </c>
      <c r="B4" s="402"/>
      <c r="C4" s="402"/>
      <c r="D4" s="402"/>
      <c r="E4" s="402"/>
      <c r="F4" s="402"/>
      <c r="G4" s="402"/>
      <c r="H4" s="402"/>
      <c r="I4" s="402"/>
      <c r="J4" s="402"/>
      <c r="K4" s="402"/>
      <c r="L4" s="402"/>
      <c r="M4" s="402"/>
      <c r="N4" s="402"/>
      <c r="O4" s="402"/>
      <c r="P4" s="402"/>
      <c r="Q4" s="418"/>
    </row>
    <row r="5" spans="1:17" x14ac:dyDescent="0.2">
      <c r="A5" s="115"/>
      <c r="B5" s="104"/>
      <c r="C5" s="104"/>
      <c r="D5" s="104"/>
      <c r="E5" s="104"/>
      <c r="F5" s="104"/>
      <c r="G5" s="104"/>
      <c r="H5" s="104"/>
      <c r="I5" s="104"/>
      <c r="J5" s="104"/>
      <c r="K5" s="104"/>
      <c r="L5" s="104"/>
      <c r="M5" s="104"/>
      <c r="N5" s="104"/>
      <c r="O5" s="104"/>
      <c r="P5" s="104"/>
      <c r="Q5" s="105">
        <f t="shared" ref="Q5:Q24" si="0">SUM(B5:P5)</f>
        <v>0</v>
      </c>
    </row>
    <row r="6" spans="1:17" x14ac:dyDescent="0.2">
      <c r="A6" s="116"/>
      <c r="B6" s="104"/>
      <c r="C6" s="104"/>
      <c r="D6" s="104"/>
      <c r="E6" s="104"/>
      <c r="F6" s="104"/>
      <c r="G6" s="104"/>
      <c r="H6" s="104"/>
      <c r="I6" s="104"/>
      <c r="J6" s="104"/>
      <c r="K6" s="104"/>
      <c r="L6" s="104"/>
      <c r="M6" s="104"/>
      <c r="N6" s="104"/>
      <c r="O6" s="104"/>
      <c r="P6" s="104"/>
      <c r="Q6" s="105">
        <f t="shared" si="0"/>
        <v>0</v>
      </c>
    </row>
    <row r="7" spans="1:17" x14ac:dyDescent="0.2">
      <c r="A7" s="115"/>
      <c r="B7" s="104"/>
      <c r="C7" s="104"/>
      <c r="D7" s="104"/>
      <c r="E7" s="104"/>
      <c r="F7" s="104"/>
      <c r="G7" s="104"/>
      <c r="H7" s="104"/>
      <c r="I7" s="104"/>
      <c r="J7" s="104"/>
      <c r="K7" s="104"/>
      <c r="L7" s="104"/>
      <c r="M7" s="104"/>
      <c r="N7" s="104"/>
      <c r="O7" s="104"/>
      <c r="P7" s="104"/>
      <c r="Q7" s="105">
        <f t="shared" si="0"/>
        <v>0</v>
      </c>
    </row>
    <row r="8" spans="1:17" x14ac:dyDescent="0.2">
      <c r="A8" s="115"/>
      <c r="B8" s="104"/>
      <c r="C8" s="104"/>
      <c r="D8" s="104"/>
      <c r="E8" s="104"/>
      <c r="F8" s="104"/>
      <c r="G8" s="104"/>
      <c r="H8" s="104"/>
      <c r="I8" s="104"/>
      <c r="J8" s="104"/>
      <c r="K8" s="104"/>
      <c r="L8" s="104"/>
      <c r="M8" s="104"/>
      <c r="N8" s="104"/>
      <c r="O8" s="104"/>
      <c r="P8" s="104"/>
      <c r="Q8" s="105">
        <f t="shared" si="0"/>
        <v>0</v>
      </c>
    </row>
    <row r="9" spans="1:17" x14ac:dyDescent="0.2">
      <c r="A9" s="115"/>
      <c r="B9" s="104"/>
      <c r="C9" s="104"/>
      <c r="D9" s="104"/>
      <c r="E9" s="104"/>
      <c r="F9" s="104"/>
      <c r="G9" s="104"/>
      <c r="H9" s="104"/>
      <c r="I9" s="104"/>
      <c r="J9" s="104"/>
      <c r="K9" s="104"/>
      <c r="L9" s="104"/>
      <c r="M9" s="104"/>
      <c r="N9" s="104"/>
      <c r="O9" s="104"/>
      <c r="P9" s="104"/>
      <c r="Q9" s="105">
        <f t="shared" si="0"/>
        <v>0</v>
      </c>
    </row>
    <row r="10" spans="1:17" x14ac:dyDescent="0.2">
      <c r="A10" s="115"/>
      <c r="B10" s="104"/>
      <c r="C10" s="104"/>
      <c r="D10" s="104"/>
      <c r="E10" s="104"/>
      <c r="F10" s="104"/>
      <c r="G10" s="104"/>
      <c r="H10" s="104"/>
      <c r="I10" s="104"/>
      <c r="J10" s="104"/>
      <c r="K10" s="104"/>
      <c r="L10" s="104"/>
      <c r="M10" s="104"/>
      <c r="N10" s="104"/>
      <c r="O10" s="104"/>
      <c r="P10" s="104"/>
      <c r="Q10" s="105">
        <f t="shared" si="0"/>
        <v>0</v>
      </c>
    </row>
    <row r="11" spans="1:17" x14ac:dyDescent="0.2">
      <c r="A11" s="115"/>
      <c r="B11" s="104"/>
      <c r="C11" s="104"/>
      <c r="D11" s="104"/>
      <c r="E11" s="104"/>
      <c r="F11" s="104"/>
      <c r="G11" s="104"/>
      <c r="H11" s="104"/>
      <c r="I11" s="104"/>
      <c r="J11" s="104"/>
      <c r="K11" s="104"/>
      <c r="L11" s="104"/>
      <c r="M11" s="104"/>
      <c r="N11" s="104"/>
      <c r="O11" s="104"/>
      <c r="P11" s="104"/>
      <c r="Q11" s="105">
        <f t="shared" si="0"/>
        <v>0</v>
      </c>
    </row>
    <row r="12" spans="1:17" x14ac:dyDescent="0.2">
      <c r="A12" s="115"/>
      <c r="B12" s="104"/>
      <c r="C12" s="104"/>
      <c r="D12" s="104"/>
      <c r="E12" s="104"/>
      <c r="F12" s="104"/>
      <c r="G12" s="104"/>
      <c r="H12" s="104"/>
      <c r="I12" s="104"/>
      <c r="J12" s="104"/>
      <c r="K12" s="104"/>
      <c r="L12" s="104"/>
      <c r="M12" s="104"/>
      <c r="N12" s="104"/>
      <c r="O12" s="104"/>
      <c r="P12" s="104"/>
      <c r="Q12" s="105">
        <f t="shared" si="0"/>
        <v>0</v>
      </c>
    </row>
    <row r="13" spans="1:17" x14ac:dyDescent="0.2">
      <c r="A13" s="115"/>
      <c r="B13" s="104"/>
      <c r="C13" s="104"/>
      <c r="D13" s="104"/>
      <c r="E13" s="104"/>
      <c r="F13" s="104"/>
      <c r="G13" s="104"/>
      <c r="H13" s="104"/>
      <c r="I13" s="104"/>
      <c r="J13" s="104"/>
      <c r="K13" s="104"/>
      <c r="L13" s="104"/>
      <c r="M13" s="104"/>
      <c r="N13" s="104"/>
      <c r="O13" s="104"/>
      <c r="P13" s="104"/>
      <c r="Q13" s="105">
        <f t="shared" si="0"/>
        <v>0</v>
      </c>
    </row>
    <row r="14" spans="1:17" x14ac:dyDescent="0.2">
      <c r="A14" s="115"/>
      <c r="B14" s="104"/>
      <c r="C14" s="104"/>
      <c r="D14" s="104"/>
      <c r="E14" s="104"/>
      <c r="F14" s="104"/>
      <c r="G14" s="104"/>
      <c r="H14" s="104"/>
      <c r="I14" s="104"/>
      <c r="J14" s="104"/>
      <c r="K14" s="104"/>
      <c r="L14" s="104"/>
      <c r="M14" s="104"/>
      <c r="N14" s="104"/>
      <c r="O14" s="104"/>
      <c r="P14" s="104"/>
      <c r="Q14" s="105">
        <f t="shared" si="0"/>
        <v>0</v>
      </c>
    </row>
    <row r="15" spans="1:17" x14ac:dyDescent="0.2">
      <c r="A15" s="115"/>
      <c r="B15" s="104"/>
      <c r="C15" s="104"/>
      <c r="D15" s="104"/>
      <c r="E15" s="104"/>
      <c r="F15" s="104"/>
      <c r="G15" s="104"/>
      <c r="H15" s="104"/>
      <c r="I15" s="104"/>
      <c r="J15" s="104"/>
      <c r="K15" s="104"/>
      <c r="L15" s="104"/>
      <c r="M15" s="104"/>
      <c r="N15" s="104"/>
      <c r="O15" s="104"/>
      <c r="P15" s="104"/>
      <c r="Q15" s="105">
        <f t="shared" si="0"/>
        <v>0</v>
      </c>
    </row>
    <row r="16" spans="1:17" x14ac:dyDescent="0.2">
      <c r="A16" s="115"/>
      <c r="B16" s="104"/>
      <c r="C16" s="104"/>
      <c r="D16" s="104"/>
      <c r="E16" s="104"/>
      <c r="F16" s="104"/>
      <c r="G16" s="104"/>
      <c r="H16" s="104"/>
      <c r="I16" s="104"/>
      <c r="J16" s="104"/>
      <c r="K16" s="104"/>
      <c r="L16" s="104"/>
      <c r="M16" s="104"/>
      <c r="N16" s="104"/>
      <c r="O16" s="104"/>
      <c r="P16" s="104"/>
      <c r="Q16" s="105">
        <f t="shared" si="0"/>
        <v>0</v>
      </c>
    </row>
    <row r="17" spans="1:17" x14ac:dyDescent="0.2">
      <c r="A17" s="115"/>
      <c r="B17" s="104"/>
      <c r="C17" s="104"/>
      <c r="D17" s="104"/>
      <c r="E17" s="104"/>
      <c r="F17" s="104"/>
      <c r="G17" s="104"/>
      <c r="H17" s="104"/>
      <c r="I17" s="104"/>
      <c r="J17" s="104"/>
      <c r="K17" s="104"/>
      <c r="L17" s="104"/>
      <c r="M17" s="104"/>
      <c r="N17" s="104"/>
      <c r="O17" s="104"/>
      <c r="P17" s="104"/>
      <c r="Q17" s="105">
        <f t="shared" si="0"/>
        <v>0</v>
      </c>
    </row>
    <row r="18" spans="1:17" x14ac:dyDescent="0.2">
      <c r="A18" s="115"/>
      <c r="B18" s="104"/>
      <c r="C18" s="104"/>
      <c r="D18" s="104"/>
      <c r="E18" s="104"/>
      <c r="F18" s="104"/>
      <c r="G18" s="104"/>
      <c r="H18" s="104"/>
      <c r="I18" s="104"/>
      <c r="J18" s="104"/>
      <c r="K18" s="104"/>
      <c r="L18" s="104"/>
      <c r="M18" s="104"/>
      <c r="N18" s="104"/>
      <c r="O18" s="104"/>
      <c r="P18" s="104"/>
      <c r="Q18" s="105">
        <f t="shared" si="0"/>
        <v>0</v>
      </c>
    </row>
    <row r="19" spans="1:17" x14ac:dyDescent="0.2">
      <c r="A19" s="115"/>
      <c r="B19" s="104"/>
      <c r="C19" s="104"/>
      <c r="D19" s="104"/>
      <c r="E19" s="104"/>
      <c r="F19" s="104"/>
      <c r="G19" s="104"/>
      <c r="H19" s="104"/>
      <c r="I19" s="104"/>
      <c r="J19" s="104"/>
      <c r="K19" s="104"/>
      <c r="L19" s="104"/>
      <c r="M19" s="104"/>
      <c r="N19" s="104"/>
      <c r="O19" s="104"/>
      <c r="P19" s="104"/>
      <c r="Q19" s="105">
        <f t="shared" si="0"/>
        <v>0</v>
      </c>
    </row>
    <row r="20" spans="1:17" x14ac:dyDescent="0.2">
      <c r="A20" s="115"/>
      <c r="B20" s="104"/>
      <c r="C20" s="104"/>
      <c r="D20" s="104"/>
      <c r="E20" s="104"/>
      <c r="F20" s="104"/>
      <c r="G20" s="104"/>
      <c r="H20" s="104"/>
      <c r="I20" s="104"/>
      <c r="J20" s="104"/>
      <c r="K20" s="104"/>
      <c r="L20" s="104"/>
      <c r="M20" s="104"/>
      <c r="N20" s="104"/>
      <c r="O20" s="104"/>
      <c r="P20" s="104"/>
      <c r="Q20" s="105">
        <f t="shared" si="0"/>
        <v>0</v>
      </c>
    </row>
    <row r="21" spans="1:17" x14ac:dyDescent="0.2">
      <c r="A21" s="115"/>
      <c r="B21" s="104"/>
      <c r="C21" s="104"/>
      <c r="D21" s="104"/>
      <c r="E21" s="104"/>
      <c r="F21" s="104"/>
      <c r="G21" s="104"/>
      <c r="H21" s="104"/>
      <c r="I21" s="104"/>
      <c r="J21" s="104"/>
      <c r="K21" s="104"/>
      <c r="L21" s="104"/>
      <c r="M21" s="104"/>
      <c r="N21" s="104"/>
      <c r="O21" s="104"/>
      <c r="P21" s="104"/>
      <c r="Q21" s="105">
        <f t="shared" si="0"/>
        <v>0</v>
      </c>
    </row>
    <row r="22" spans="1:17" x14ac:dyDescent="0.2">
      <c r="A22" s="115"/>
      <c r="B22" s="104"/>
      <c r="C22" s="104"/>
      <c r="D22" s="104"/>
      <c r="E22" s="104"/>
      <c r="F22" s="104"/>
      <c r="G22" s="104"/>
      <c r="H22" s="104"/>
      <c r="I22" s="104"/>
      <c r="J22" s="104"/>
      <c r="K22" s="104"/>
      <c r="L22" s="104"/>
      <c r="M22" s="104"/>
      <c r="N22" s="104"/>
      <c r="O22" s="104"/>
      <c r="P22" s="104"/>
      <c r="Q22" s="105">
        <f t="shared" si="0"/>
        <v>0</v>
      </c>
    </row>
    <row r="23" spans="1:17" x14ac:dyDescent="0.2">
      <c r="A23" s="115"/>
      <c r="B23" s="104"/>
      <c r="C23" s="104"/>
      <c r="D23" s="104"/>
      <c r="E23" s="104"/>
      <c r="F23" s="104"/>
      <c r="G23" s="104"/>
      <c r="H23" s="104"/>
      <c r="I23" s="104"/>
      <c r="J23" s="104"/>
      <c r="K23" s="104"/>
      <c r="L23" s="104"/>
      <c r="M23" s="104"/>
      <c r="N23" s="104"/>
      <c r="O23" s="104"/>
      <c r="P23" s="104"/>
      <c r="Q23" s="105">
        <f t="shared" si="0"/>
        <v>0</v>
      </c>
    </row>
    <row r="24" spans="1:17" ht="13.5" thickBot="1" x14ac:dyDescent="0.25">
      <c r="A24" s="115"/>
      <c r="B24" s="104"/>
      <c r="C24" s="104"/>
      <c r="D24" s="104"/>
      <c r="E24" s="104"/>
      <c r="F24" s="104"/>
      <c r="G24" s="104"/>
      <c r="H24" s="104"/>
      <c r="I24" s="104"/>
      <c r="J24" s="104"/>
      <c r="K24" s="104"/>
      <c r="L24" s="104"/>
      <c r="M24" s="104"/>
      <c r="N24" s="104"/>
      <c r="O24" s="104"/>
      <c r="P24" s="104"/>
      <c r="Q24" s="105">
        <f t="shared" si="0"/>
        <v>0</v>
      </c>
    </row>
    <row r="25" spans="1:17" ht="26.25" thickBot="1" x14ac:dyDescent="0.25">
      <c r="A25" s="117" t="s">
        <v>1</v>
      </c>
      <c r="B25" s="106">
        <f t="shared" ref="B25:Q25" si="1">SUM(B5:B24)</f>
        <v>0</v>
      </c>
      <c r="C25" s="106">
        <f t="shared" si="1"/>
        <v>0</v>
      </c>
      <c r="D25" s="106">
        <f t="shared" si="1"/>
        <v>0</v>
      </c>
      <c r="E25" s="106">
        <f t="shared" si="1"/>
        <v>0</v>
      </c>
      <c r="F25" s="106">
        <f t="shared" si="1"/>
        <v>0</v>
      </c>
      <c r="G25" s="106">
        <f t="shared" si="1"/>
        <v>0</v>
      </c>
      <c r="H25" s="106">
        <f t="shared" si="1"/>
        <v>0</v>
      </c>
      <c r="I25" s="106">
        <f t="shared" si="1"/>
        <v>0</v>
      </c>
      <c r="J25" s="106">
        <f t="shared" si="1"/>
        <v>0</v>
      </c>
      <c r="K25" s="106">
        <f t="shared" si="1"/>
        <v>0</v>
      </c>
      <c r="L25" s="106">
        <f t="shared" si="1"/>
        <v>0</v>
      </c>
      <c r="M25" s="106">
        <f t="shared" si="1"/>
        <v>0</v>
      </c>
      <c r="N25" s="106">
        <f t="shared" si="1"/>
        <v>0</v>
      </c>
      <c r="O25" s="106">
        <f t="shared" si="1"/>
        <v>0</v>
      </c>
      <c r="P25" s="106">
        <f t="shared" si="1"/>
        <v>0</v>
      </c>
      <c r="Q25" s="118">
        <f t="shared" si="1"/>
        <v>0</v>
      </c>
    </row>
    <row r="28" spans="1:17" x14ac:dyDescent="0.2">
      <c r="A28" s="115"/>
      <c r="B28" s="104"/>
      <c r="C28" s="104"/>
      <c r="D28" s="104"/>
      <c r="E28" s="104"/>
      <c r="F28" s="104"/>
      <c r="G28" s="104"/>
      <c r="H28" s="104"/>
      <c r="I28" s="104"/>
      <c r="J28" s="104"/>
      <c r="K28" s="104"/>
      <c r="L28" s="104"/>
      <c r="M28" s="104"/>
      <c r="N28" s="104"/>
      <c r="O28" s="104"/>
      <c r="P28" s="104"/>
      <c r="Q28" s="105">
        <f t="shared" ref="Q28:Q47" si="2">SUM(B28:P28)</f>
        <v>0</v>
      </c>
    </row>
    <row r="29" spans="1:17" x14ac:dyDescent="0.2">
      <c r="A29" s="116"/>
      <c r="B29" s="104"/>
      <c r="C29" s="104"/>
      <c r="D29" s="104"/>
      <c r="E29" s="104"/>
      <c r="F29" s="104"/>
      <c r="G29" s="104"/>
      <c r="H29" s="104"/>
      <c r="I29" s="104"/>
      <c r="J29" s="104"/>
      <c r="K29" s="104"/>
      <c r="L29" s="104"/>
      <c r="M29" s="104"/>
      <c r="N29" s="104"/>
      <c r="O29" s="104"/>
      <c r="P29" s="104"/>
      <c r="Q29" s="105">
        <f t="shared" si="2"/>
        <v>0</v>
      </c>
    </row>
    <row r="30" spans="1:17" x14ac:dyDescent="0.2">
      <c r="A30" s="115"/>
      <c r="B30" s="104"/>
      <c r="C30" s="104"/>
      <c r="D30" s="104"/>
      <c r="E30" s="104"/>
      <c r="F30" s="104"/>
      <c r="G30" s="104"/>
      <c r="H30" s="104"/>
      <c r="I30" s="104"/>
      <c r="J30" s="104"/>
      <c r="K30" s="104"/>
      <c r="L30" s="104"/>
      <c r="M30" s="104"/>
      <c r="N30" s="104"/>
      <c r="O30" s="104"/>
      <c r="P30" s="104"/>
      <c r="Q30" s="105">
        <f t="shared" si="2"/>
        <v>0</v>
      </c>
    </row>
    <row r="31" spans="1:17" x14ac:dyDescent="0.2">
      <c r="A31" s="115"/>
      <c r="B31" s="104"/>
      <c r="C31" s="104"/>
      <c r="D31" s="104"/>
      <c r="E31" s="104"/>
      <c r="F31" s="104"/>
      <c r="G31" s="104"/>
      <c r="H31" s="104"/>
      <c r="I31" s="104"/>
      <c r="J31" s="104"/>
      <c r="K31" s="104"/>
      <c r="L31" s="104"/>
      <c r="M31" s="104"/>
      <c r="N31" s="104"/>
      <c r="O31" s="104"/>
      <c r="P31" s="104"/>
      <c r="Q31" s="105">
        <f t="shared" si="2"/>
        <v>0</v>
      </c>
    </row>
    <row r="32" spans="1:17" x14ac:dyDescent="0.2">
      <c r="A32" s="115"/>
      <c r="B32" s="104"/>
      <c r="C32" s="104"/>
      <c r="D32" s="104"/>
      <c r="E32" s="104"/>
      <c r="F32" s="104"/>
      <c r="G32" s="104"/>
      <c r="H32" s="104"/>
      <c r="I32" s="104"/>
      <c r="J32" s="104"/>
      <c r="K32" s="104"/>
      <c r="L32" s="104"/>
      <c r="M32" s="104"/>
      <c r="N32" s="104"/>
      <c r="O32" s="104"/>
      <c r="P32" s="104"/>
      <c r="Q32" s="105">
        <f t="shared" si="2"/>
        <v>0</v>
      </c>
    </row>
    <row r="33" spans="1:17" x14ac:dyDescent="0.2">
      <c r="A33" s="115"/>
      <c r="B33" s="104"/>
      <c r="C33" s="104"/>
      <c r="D33" s="104"/>
      <c r="E33" s="104"/>
      <c r="F33" s="104"/>
      <c r="G33" s="104"/>
      <c r="H33" s="104"/>
      <c r="I33" s="104"/>
      <c r="J33" s="104"/>
      <c r="K33" s="104"/>
      <c r="L33" s="104"/>
      <c r="M33" s="104"/>
      <c r="N33" s="104"/>
      <c r="O33" s="104"/>
      <c r="P33" s="104"/>
      <c r="Q33" s="105">
        <f t="shared" si="2"/>
        <v>0</v>
      </c>
    </row>
    <row r="34" spans="1:17" x14ac:dyDescent="0.2">
      <c r="A34" s="115"/>
      <c r="B34" s="104"/>
      <c r="C34" s="104"/>
      <c r="D34" s="104"/>
      <c r="E34" s="104"/>
      <c r="F34" s="104"/>
      <c r="G34" s="104"/>
      <c r="H34" s="104"/>
      <c r="I34" s="104"/>
      <c r="J34" s="104"/>
      <c r="K34" s="104"/>
      <c r="L34" s="104"/>
      <c r="M34" s="104"/>
      <c r="N34" s="104"/>
      <c r="O34" s="104"/>
      <c r="P34" s="104"/>
      <c r="Q34" s="105">
        <f t="shared" si="2"/>
        <v>0</v>
      </c>
    </row>
    <row r="35" spans="1:17" x14ac:dyDescent="0.2">
      <c r="A35" s="115"/>
      <c r="B35" s="104"/>
      <c r="C35" s="104"/>
      <c r="D35" s="104"/>
      <c r="E35" s="104"/>
      <c r="F35" s="104"/>
      <c r="G35" s="104"/>
      <c r="H35" s="104"/>
      <c r="I35" s="104"/>
      <c r="J35" s="104"/>
      <c r="K35" s="104"/>
      <c r="L35" s="104"/>
      <c r="M35" s="104"/>
      <c r="N35" s="104"/>
      <c r="O35" s="104"/>
      <c r="P35" s="104"/>
      <c r="Q35" s="105">
        <f t="shared" si="2"/>
        <v>0</v>
      </c>
    </row>
    <row r="36" spans="1:17" x14ac:dyDescent="0.2">
      <c r="A36" s="115"/>
      <c r="B36" s="104"/>
      <c r="C36" s="104"/>
      <c r="D36" s="104"/>
      <c r="E36" s="104"/>
      <c r="F36" s="104"/>
      <c r="G36" s="104"/>
      <c r="H36" s="104"/>
      <c r="I36" s="104"/>
      <c r="J36" s="104"/>
      <c r="K36" s="104"/>
      <c r="L36" s="104"/>
      <c r="M36" s="104"/>
      <c r="N36" s="104"/>
      <c r="O36" s="104"/>
      <c r="P36" s="104"/>
      <c r="Q36" s="105">
        <f t="shared" si="2"/>
        <v>0</v>
      </c>
    </row>
    <row r="37" spans="1:17" x14ac:dyDescent="0.2">
      <c r="A37" s="115"/>
      <c r="B37" s="104"/>
      <c r="C37" s="104"/>
      <c r="D37" s="104"/>
      <c r="E37" s="104"/>
      <c r="F37" s="104"/>
      <c r="G37" s="104"/>
      <c r="H37" s="104"/>
      <c r="I37" s="104"/>
      <c r="J37" s="104"/>
      <c r="K37" s="104"/>
      <c r="L37" s="104"/>
      <c r="M37" s="104"/>
      <c r="N37" s="104"/>
      <c r="O37" s="104"/>
      <c r="P37" s="104"/>
      <c r="Q37" s="105">
        <f t="shared" si="2"/>
        <v>0</v>
      </c>
    </row>
    <row r="38" spans="1:17" x14ac:dyDescent="0.2">
      <c r="A38" s="115"/>
      <c r="B38" s="104"/>
      <c r="C38" s="104"/>
      <c r="D38" s="104"/>
      <c r="E38" s="104"/>
      <c r="F38" s="104"/>
      <c r="G38" s="104"/>
      <c r="H38" s="104"/>
      <c r="I38" s="104"/>
      <c r="J38" s="104"/>
      <c r="K38" s="104"/>
      <c r="L38" s="104"/>
      <c r="M38" s="104"/>
      <c r="N38" s="104"/>
      <c r="O38" s="104"/>
      <c r="P38" s="104"/>
      <c r="Q38" s="105">
        <f t="shared" si="2"/>
        <v>0</v>
      </c>
    </row>
    <row r="39" spans="1:17" x14ac:dyDescent="0.2">
      <c r="A39" s="115"/>
      <c r="B39" s="104"/>
      <c r="C39" s="104"/>
      <c r="D39" s="104"/>
      <c r="E39" s="104"/>
      <c r="F39" s="104"/>
      <c r="G39" s="104"/>
      <c r="H39" s="104"/>
      <c r="I39" s="104"/>
      <c r="J39" s="104"/>
      <c r="K39" s="104"/>
      <c r="L39" s="104"/>
      <c r="M39" s="104"/>
      <c r="N39" s="104"/>
      <c r="O39" s="104"/>
      <c r="P39" s="104"/>
      <c r="Q39" s="105">
        <f t="shared" si="2"/>
        <v>0</v>
      </c>
    </row>
    <row r="40" spans="1:17" x14ac:dyDescent="0.2">
      <c r="A40" s="115"/>
      <c r="B40" s="104"/>
      <c r="C40" s="104"/>
      <c r="D40" s="104"/>
      <c r="E40" s="104"/>
      <c r="F40" s="104"/>
      <c r="G40" s="104"/>
      <c r="H40" s="104"/>
      <c r="I40" s="104"/>
      <c r="J40" s="104"/>
      <c r="K40" s="104"/>
      <c r="L40" s="104"/>
      <c r="M40" s="104"/>
      <c r="N40" s="104"/>
      <c r="O40" s="104"/>
      <c r="P40" s="104"/>
      <c r="Q40" s="105">
        <f t="shared" si="2"/>
        <v>0</v>
      </c>
    </row>
    <row r="41" spans="1:17" x14ac:dyDescent="0.2">
      <c r="A41" s="115"/>
      <c r="B41" s="104"/>
      <c r="C41" s="104"/>
      <c r="D41" s="104"/>
      <c r="E41" s="104"/>
      <c r="F41" s="104"/>
      <c r="G41" s="104"/>
      <c r="H41" s="104"/>
      <c r="I41" s="104"/>
      <c r="J41" s="104"/>
      <c r="K41" s="104"/>
      <c r="L41" s="104"/>
      <c r="M41" s="104"/>
      <c r="N41" s="104"/>
      <c r="O41" s="104"/>
      <c r="P41" s="104"/>
      <c r="Q41" s="105">
        <f t="shared" si="2"/>
        <v>0</v>
      </c>
    </row>
    <row r="42" spans="1:17" x14ac:dyDescent="0.2">
      <c r="A42" s="115"/>
      <c r="B42" s="104"/>
      <c r="C42" s="104"/>
      <c r="D42" s="104"/>
      <c r="E42" s="104"/>
      <c r="F42" s="104"/>
      <c r="G42" s="104"/>
      <c r="H42" s="104"/>
      <c r="I42" s="104"/>
      <c r="J42" s="104"/>
      <c r="K42" s="104"/>
      <c r="L42" s="104"/>
      <c r="M42" s="104"/>
      <c r="N42" s="104"/>
      <c r="O42" s="104"/>
      <c r="P42" s="104"/>
      <c r="Q42" s="105">
        <f t="shared" si="2"/>
        <v>0</v>
      </c>
    </row>
    <row r="43" spans="1:17" x14ac:dyDescent="0.2">
      <c r="A43" s="115"/>
      <c r="B43" s="104"/>
      <c r="C43" s="104"/>
      <c r="D43" s="104"/>
      <c r="E43" s="104"/>
      <c r="F43" s="104"/>
      <c r="G43" s="104"/>
      <c r="H43" s="104"/>
      <c r="I43" s="104"/>
      <c r="J43" s="104"/>
      <c r="K43" s="104"/>
      <c r="L43" s="104"/>
      <c r="M43" s="104"/>
      <c r="N43" s="104"/>
      <c r="O43" s="104"/>
      <c r="P43" s="104"/>
      <c r="Q43" s="105">
        <f t="shared" si="2"/>
        <v>0</v>
      </c>
    </row>
    <row r="44" spans="1:17" x14ac:dyDescent="0.2">
      <c r="A44" s="115"/>
      <c r="B44" s="104"/>
      <c r="C44" s="104"/>
      <c r="D44" s="104"/>
      <c r="E44" s="104"/>
      <c r="F44" s="104"/>
      <c r="G44" s="104"/>
      <c r="H44" s="104"/>
      <c r="I44" s="104"/>
      <c r="J44" s="104"/>
      <c r="K44" s="104"/>
      <c r="L44" s="104"/>
      <c r="M44" s="104"/>
      <c r="N44" s="104"/>
      <c r="O44" s="104"/>
      <c r="P44" s="104"/>
      <c r="Q44" s="105">
        <f t="shared" si="2"/>
        <v>0</v>
      </c>
    </row>
    <row r="45" spans="1:17" x14ac:dyDescent="0.2">
      <c r="A45" s="115"/>
      <c r="B45" s="104"/>
      <c r="C45" s="104"/>
      <c r="D45" s="104"/>
      <c r="E45" s="104"/>
      <c r="F45" s="104"/>
      <c r="G45" s="104"/>
      <c r="H45" s="104"/>
      <c r="I45" s="104"/>
      <c r="J45" s="104"/>
      <c r="K45" s="104"/>
      <c r="L45" s="104"/>
      <c r="M45" s="104"/>
      <c r="N45" s="104"/>
      <c r="O45" s="104"/>
      <c r="P45" s="104"/>
      <c r="Q45" s="105">
        <f t="shared" si="2"/>
        <v>0</v>
      </c>
    </row>
    <row r="46" spans="1:17" x14ac:dyDescent="0.2">
      <c r="A46" s="115"/>
      <c r="B46" s="104"/>
      <c r="C46" s="104"/>
      <c r="D46" s="104"/>
      <c r="E46" s="104"/>
      <c r="F46" s="104"/>
      <c r="G46" s="104"/>
      <c r="H46" s="104"/>
      <c r="I46" s="104"/>
      <c r="J46" s="104"/>
      <c r="K46" s="104"/>
      <c r="L46" s="104"/>
      <c r="M46" s="104"/>
      <c r="N46" s="104"/>
      <c r="O46" s="104"/>
      <c r="P46" s="104"/>
      <c r="Q46" s="105">
        <f t="shared" si="2"/>
        <v>0</v>
      </c>
    </row>
    <row r="47" spans="1:17" ht="13.5" thickBot="1" x14ac:dyDescent="0.25">
      <c r="A47" s="115"/>
      <c r="B47" s="104"/>
      <c r="C47" s="104"/>
      <c r="D47" s="104"/>
      <c r="E47" s="104"/>
      <c r="F47" s="104"/>
      <c r="G47" s="104"/>
      <c r="H47" s="104"/>
      <c r="I47" s="104"/>
      <c r="J47" s="104"/>
      <c r="K47" s="104"/>
      <c r="L47" s="104"/>
      <c r="M47" s="104"/>
      <c r="N47" s="104"/>
      <c r="O47" s="104"/>
      <c r="P47" s="104"/>
      <c r="Q47" s="105">
        <f t="shared" si="2"/>
        <v>0</v>
      </c>
    </row>
    <row r="48" spans="1:17" ht="26.25" thickBot="1" x14ac:dyDescent="0.25">
      <c r="A48" s="117" t="s">
        <v>1</v>
      </c>
      <c r="B48" s="106">
        <f t="shared" ref="B48:Q48" si="3">SUM(B28:B47)</f>
        <v>0</v>
      </c>
      <c r="C48" s="106">
        <f t="shared" si="3"/>
        <v>0</v>
      </c>
      <c r="D48" s="106">
        <f t="shared" si="3"/>
        <v>0</v>
      </c>
      <c r="E48" s="106">
        <f t="shared" si="3"/>
        <v>0</v>
      </c>
      <c r="F48" s="106">
        <f t="shared" si="3"/>
        <v>0</v>
      </c>
      <c r="G48" s="106">
        <f t="shared" si="3"/>
        <v>0</v>
      </c>
      <c r="H48" s="106">
        <f t="shared" si="3"/>
        <v>0</v>
      </c>
      <c r="I48" s="106">
        <f t="shared" si="3"/>
        <v>0</v>
      </c>
      <c r="J48" s="106">
        <f t="shared" si="3"/>
        <v>0</v>
      </c>
      <c r="K48" s="106">
        <f t="shared" si="3"/>
        <v>0</v>
      </c>
      <c r="L48" s="106">
        <f t="shared" si="3"/>
        <v>0</v>
      </c>
      <c r="M48" s="106">
        <f t="shared" si="3"/>
        <v>0</v>
      </c>
      <c r="N48" s="106">
        <f t="shared" si="3"/>
        <v>0</v>
      </c>
      <c r="O48" s="106">
        <f t="shared" si="3"/>
        <v>0</v>
      </c>
      <c r="P48" s="106">
        <f t="shared" si="3"/>
        <v>0</v>
      </c>
      <c r="Q48" s="118">
        <f t="shared" si="3"/>
        <v>0</v>
      </c>
    </row>
  </sheetData>
  <sheetProtection password="9A15" sheet="1" objects="1" scenarios="1" selectLockedCells="1"/>
  <mergeCells count="17">
    <mergeCell ref="F1:F4"/>
    <mergeCell ref="G1:G4"/>
    <mergeCell ref="H1:H4"/>
    <mergeCell ref="I1:I4"/>
    <mergeCell ref="J1:J4"/>
    <mergeCell ref="A1:A2"/>
    <mergeCell ref="B1:B4"/>
    <mergeCell ref="C1:C4"/>
    <mergeCell ref="D1:D4"/>
    <mergeCell ref="E1:E4"/>
    <mergeCell ref="N1:N4"/>
    <mergeCell ref="O1:O4"/>
    <mergeCell ref="P1:P4"/>
    <mergeCell ref="Q1:Q4"/>
    <mergeCell ref="K1:K4"/>
    <mergeCell ref="L1:L4"/>
    <mergeCell ref="M1:M4"/>
  </mergeCells>
  <pageMargins left="0.7" right="0.7" top="0.75" bottom="0.75" header="0.3" footer="0.3"/>
  <pageSetup scale="77" orientation="landscape" horizontalDpi="300" verticalDpi="300" r:id="rId1"/>
  <headerFooter>
    <oddHeader>&amp;C&amp;"Arial,Bold"&amp;14AmbassadorTrax
&amp;12Dues Page - &amp;D</oddHeader>
    <oddFooter>&amp;CPage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pageSetUpPr fitToPage="1"/>
  </sheetPr>
  <dimension ref="A1:Q104"/>
  <sheetViews>
    <sheetView showGridLines="0" zoomScaleNormal="100" workbookViewId="0">
      <pane ySplit="4" topLeftCell="A5" activePane="bottomLeft" state="frozen"/>
      <selection pane="bottomLeft" activeCell="A5" sqref="A5"/>
    </sheetView>
  </sheetViews>
  <sheetFormatPr defaultRowHeight="12.75" x14ac:dyDescent="0.2"/>
  <cols>
    <col min="1" max="1" width="10.85546875" style="6" customWidth="1"/>
    <col min="2" max="2" width="53" style="6" customWidth="1"/>
    <col min="3" max="17" width="3.28515625" style="6" customWidth="1"/>
    <col min="18" max="16384" width="9.140625" style="6"/>
  </cols>
  <sheetData>
    <row r="1" spans="1:17" ht="18" customHeight="1" x14ac:dyDescent="0.2">
      <c r="A1" s="420" t="s">
        <v>46</v>
      </c>
      <c r="B1" s="421"/>
      <c r="C1" s="400" t="str">
        <f ca="1">'Ambassador 1'!$A$1</f>
        <v>Ambassador 1</v>
      </c>
      <c r="D1" s="400" t="str">
        <f ca="1">'Ambassador 2'!$A$1</f>
        <v>Ambassador 2</v>
      </c>
      <c r="E1" s="400" t="str">
        <f ca="1">'Ambassador 3'!$A$1</f>
        <v>Ambassador 3</v>
      </c>
      <c r="F1" s="400" t="str">
        <f ca="1">'Ambassador 4'!$A$1</f>
        <v>Ambassador 4</v>
      </c>
      <c r="G1" s="400" t="str">
        <f ca="1">'Ambassador 5'!$A$1</f>
        <v>Ambassador 5</v>
      </c>
      <c r="H1" s="400" t="str">
        <f ca="1">'Ambassador 6'!$A$1</f>
        <v>Ambassador 6</v>
      </c>
      <c r="I1" s="400" t="str">
        <f ca="1">'Ambassador 7'!$A$1</f>
        <v>Ambassador 7</v>
      </c>
      <c r="J1" s="400" t="str">
        <f ca="1">'Ambassador 8'!$A$1</f>
        <v>Ambassador 8</v>
      </c>
      <c r="K1" s="400" t="str">
        <f ca="1">'Ambassador 9'!$A$1</f>
        <v>Ambassador 9</v>
      </c>
      <c r="L1" s="400" t="str">
        <f ca="1">'Ambassador 10'!$A$1</f>
        <v>Ambassador 10</v>
      </c>
      <c r="M1" s="400" t="str">
        <f ca="1">'Ambassador 11'!$A$1</f>
        <v>Ambassador 11</v>
      </c>
      <c r="N1" s="400" t="str">
        <f ca="1">'Ambassador 12'!$A$1</f>
        <v>Ambassador 12</v>
      </c>
      <c r="O1" s="400" t="str">
        <f ca="1">'Ambassador 13'!$A$1</f>
        <v>Ambassador 13</v>
      </c>
      <c r="P1" s="400" t="str">
        <f ca="1">'Ambassador 14'!$A$1</f>
        <v>Ambassador 14</v>
      </c>
      <c r="Q1" s="400" t="str">
        <f ca="1">'Ambassador 15'!$A$1</f>
        <v>Ambassador 15</v>
      </c>
    </row>
    <row r="2" spans="1:17" ht="18" customHeight="1" x14ac:dyDescent="0.2">
      <c r="A2" s="422" t="s">
        <v>19</v>
      </c>
      <c r="B2" s="423"/>
      <c r="C2" s="401"/>
      <c r="D2" s="401"/>
      <c r="E2" s="401"/>
      <c r="F2" s="401"/>
      <c r="G2" s="401"/>
      <c r="H2" s="401"/>
      <c r="I2" s="401"/>
      <c r="J2" s="401"/>
      <c r="K2" s="401"/>
      <c r="L2" s="401"/>
      <c r="M2" s="401"/>
      <c r="N2" s="401"/>
      <c r="O2" s="401"/>
      <c r="P2" s="401"/>
      <c r="Q2" s="401"/>
    </row>
    <row r="3" spans="1:17" ht="18" customHeight="1" x14ac:dyDescent="0.2">
      <c r="A3" s="5"/>
      <c r="B3" s="271"/>
      <c r="C3" s="401"/>
      <c r="D3" s="401"/>
      <c r="E3" s="401"/>
      <c r="F3" s="401"/>
      <c r="G3" s="401"/>
      <c r="H3" s="401"/>
      <c r="I3" s="401"/>
      <c r="J3" s="401"/>
      <c r="K3" s="401"/>
      <c r="L3" s="401"/>
      <c r="M3" s="401"/>
      <c r="N3" s="401"/>
      <c r="O3" s="401"/>
      <c r="P3" s="401"/>
      <c r="Q3" s="401"/>
    </row>
    <row r="4" spans="1:17" ht="18" customHeight="1" x14ac:dyDescent="0.2">
      <c r="A4" s="272" t="s">
        <v>47</v>
      </c>
      <c r="B4" s="273" t="s">
        <v>53</v>
      </c>
      <c r="C4" s="402"/>
      <c r="D4" s="402"/>
      <c r="E4" s="402"/>
      <c r="F4" s="402"/>
      <c r="G4" s="402"/>
      <c r="H4" s="402"/>
      <c r="I4" s="402"/>
      <c r="J4" s="402"/>
      <c r="K4" s="402"/>
      <c r="L4" s="402"/>
      <c r="M4" s="402"/>
      <c r="N4" s="402"/>
      <c r="O4" s="402"/>
      <c r="P4" s="402"/>
      <c r="Q4" s="402"/>
    </row>
    <row r="5" spans="1:17" x14ac:dyDescent="0.2">
      <c r="A5" s="32"/>
      <c r="B5" s="24"/>
      <c r="C5" s="9"/>
      <c r="D5" s="9"/>
      <c r="E5" s="9"/>
      <c r="F5" s="9"/>
      <c r="G5" s="9"/>
      <c r="H5" s="15"/>
      <c r="I5" s="9"/>
      <c r="J5" s="15"/>
      <c r="K5" s="15"/>
      <c r="L5" s="15"/>
      <c r="M5" s="15"/>
      <c r="N5" s="15"/>
      <c r="O5" s="15"/>
      <c r="P5" s="15"/>
      <c r="Q5" s="15"/>
    </row>
    <row r="6" spans="1:17" x14ac:dyDescent="0.2">
      <c r="A6" s="307"/>
      <c r="B6" s="24"/>
      <c r="C6" s="9"/>
      <c r="D6" s="9"/>
      <c r="E6" s="9"/>
      <c r="F6" s="9"/>
      <c r="G6" s="9"/>
      <c r="H6" s="9"/>
      <c r="I6" s="9"/>
      <c r="J6" s="9"/>
      <c r="K6" s="9"/>
      <c r="L6" s="9"/>
      <c r="M6" s="9"/>
      <c r="N6" s="9"/>
      <c r="O6" s="9"/>
      <c r="P6" s="9"/>
      <c r="Q6" s="9"/>
    </row>
    <row r="7" spans="1:17" x14ac:dyDescent="0.2">
      <c r="A7" s="307"/>
      <c r="B7" s="24"/>
      <c r="C7" s="9"/>
      <c r="D7" s="9"/>
      <c r="E7" s="9"/>
      <c r="F7" s="9"/>
      <c r="G7" s="9"/>
      <c r="H7" s="9"/>
      <c r="I7" s="9"/>
      <c r="J7" s="9"/>
      <c r="K7" s="9"/>
      <c r="L7" s="9"/>
      <c r="M7" s="9"/>
      <c r="N7" s="9"/>
      <c r="O7" s="9"/>
      <c r="P7" s="9"/>
      <c r="Q7" s="9"/>
    </row>
    <row r="8" spans="1:17" x14ac:dyDescent="0.2">
      <c r="A8" s="32"/>
      <c r="B8" s="25"/>
      <c r="C8" s="9"/>
      <c r="D8" s="9"/>
      <c r="E8" s="9"/>
      <c r="F8" s="9"/>
      <c r="G8" s="9"/>
      <c r="H8" s="9"/>
      <c r="I8" s="9"/>
      <c r="J8" s="9"/>
      <c r="K8" s="9"/>
      <c r="L8" s="9"/>
      <c r="M8" s="9"/>
      <c r="N8" s="9"/>
      <c r="O8" s="9"/>
      <c r="P8" s="9"/>
      <c r="Q8" s="9"/>
    </row>
    <row r="9" spans="1:17" x14ac:dyDescent="0.2">
      <c r="A9" s="32"/>
      <c r="B9" s="25"/>
      <c r="C9" s="9"/>
      <c r="D9" s="9"/>
      <c r="E9" s="9"/>
      <c r="F9" s="9"/>
      <c r="G9" s="9"/>
      <c r="H9" s="9"/>
      <c r="I9" s="9"/>
      <c r="J9" s="9"/>
      <c r="K9" s="9"/>
      <c r="L9" s="9"/>
      <c r="M9" s="9"/>
      <c r="N9" s="9"/>
      <c r="O9" s="9"/>
      <c r="P9" s="9"/>
      <c r="Q9" s="9"/>
    </row>
    <row r="10" spans="1:17" x14ac:dyDescent="0.2">
      <c r="A10" s="32"/>
      <c r="B10" s="24"/>
      <c r="C10" s="9"/>
      <c r="D10" s="9"/>
      <c r="E10" s="9"/>
      <c r="F10" s="9"/>
      <c r="G10" s="9"/>
      <c r="H10" s="9"/>
      <c r="I10" s="9"/>
      <c r="J10" s="9"/>
      <c r="K10" s="9"/>
      <c r="L10" s="9"/>
      <c r="M10" s="9"/>
      <c r="N10" s="9"/>
      <c r="O10" s="9"/>
      <c r="P10" s="9"/>
      <c r="Q10" s="9"/>
    </row>
    <row r="11" spans="1:17" x14ac:dyDescent="0.2">
      <c r="A11" s="32"/>
      <c r="B11" s="25"/>
      <c r="C11" s="9"/>
      <c r="D11" s="9"/>
      <c r="E11" s="9"/>
      <c r="F11" s="9"/>
      <c r="G11" s="9"/>
      <c r="H11" s="9"/>
      <c r="I11" s="9"/>
      <c r="J11" s="9"/>
      <c r="K11" s="9"/>
      <c r="L11" s="9"/>
      <c r="M11" s="9"/>
      <c r="N11" s="9"/>
      <c r="O11" s="9"/>
      <c r="P11" s="9"/>
      <c r="Q11" s="9"/>
    </row>
    <row r="12" spans="1:17" x14ac:dyDescent="0.2">
      <c r="A12" s="32"/>
      <c r="B12" s="25"/>
      <c r="C12" s="9"/>
      <c r="D12" s="9"/>
      <c r="E12" s="9"/>
      <c r="F12" s="9"/>
      <c r="G12" s="9"/>
      <c r="H12" s="9"/>
      <c r="I12" s="9"/>
      <c r="J12" s="9"/>
      <c r="K12" s="9"/>
      <c r="L12" s="9"/>
      <c r="M12" s="9"/>
      <c r="N12" s="9"/>
      <c r="O12" s="9"/>
      <c r="P12" s="9"/>
      <c r="Q12" s="9"/>
    </row>
    <row r="13" spans="1:17" x14ac:dyDescent="0.2">
      <c r="A13" s="32"/>
      <c r="B13" s="24"/>
      <c r="C13" s="9"/>
      <c r="D13" s="9"/>
      <c r="E13" s="9"/>
      <c r="F13" s="9"/>
      <c r="G13" s="9"/>
      <c r="H13" s="9"/>
      <c r="I13" s="9"/>
      <c r="J13" s="9"/>
      <c r="K13" s="9"/>
      <c r="L13" s="9"/>
      <c r="M13" s="9"/>
      <c r="N13" s="9"/>
      <c r="O13" s="9"/>
      <c r="P13" s="9"/>
      <c r="Q13" s="9"/>
    </row>
    <row r="14" spans="1:17" x14ac:dyDescent="0.2">
      <c r="A14" s="32"/>
      <c r="B14" s="25"/>
      <c r="C14" s="9"/>
      <c r="D14" s="9"/>
      <c r="E14" s="9"/>
      <c r="F14" s="9"/>
      <c r="G14" s="9"/>
      <c r="H14" s="9"/>
      <c r="I14" s="9"/>
      <c r="J14" s="9"/>
      <c r="K14" s="9"/>
      <c r="L14" s="9"/>
      <c r="M14" s="9"/>
      <c r="N14" s="9"/>
      <c r="O14" s="9"/>
      <c r="P14" s="9"/>
      <c r="Q14" s="9"/>
    </row>
    <row r="15" spans="1:17" x14ac:dyDescent="0.2">
      <c r="A15" s="32"/>
      <c r="B15" s="25"/>
      <c r="C15" s="9"/>
      <c r="D15" s="9"/>
      <c r="E15" s="9"/>
      <c r="F15" s="9"/>
      <c r="G15" s="9"/>
      <c r="H15" s="9"/>
      <c r="I15" s="9"/>
      <c r="J15" s="9"/>
      <c r="K15" s="9"/>
      <c r="L15" s="9"/>
      <c r="M15" s="9"/>
      <c r="N15" s="9"/>
      <c r="O15" s="9"/>
      <c r="P15" s="9"/>
      <c r="Q15" s="9"/>
    </row>
    <row r="16" spans="1:17" x14ac:dyDescent="0.2">
      <c r="A16" s="32"/>
      <c r="B16" s="25"/>
      <c r="C16" s="9"/>
      <c r="D16" s="9"/>
      <c r="E16" s="9"/>
      <c r="F16" s="9"/>
      <c r="G16" s="9"/>
      <c r="H16" s="9"/>
      <c r="I16" s="9"/>
      <c r="J16" s="9"/>
      <c r="K16" s="9"/>
      <c r="L16" s="9"/>
      <c r="M16" s="9"/>
      <c r="N16" s="9"/>
      <c r="O16" s="9"/>
      <c r="P16" s="9"/>
      <c r="Q16" s="9"/>
    </row>
    <row r="17" spans="1:17" x14ac:dyDescent="0.2">
      <c r="A17" s="32"/>
      <c r="B17" s="25"/>
      <c r="C17" s="9"/>
      <c r="D17" s="9"/>
      <c r="E17" s="9"/>
      <c r="F17" s="9"/>
      <c r="G17" s="9"/>
      <c r="H17" s="9"/>
      <c r="I17" s="9"/>
      <c r="J17" s="9"/>
      <c r="K17" s="9"/>
      <c r="L17" s="9"/>
      <c r="M17" s="9"/>
      <c r="N17" s="9"/>
      <c r="O17" s="9"/>
      <c r="P17" s="9"/>
      <c r="Q17" s="9"/>
    </row>
    <row r="18" spans="1:17" x14ac:dyDescent="0.2">
      <c r="A18" s="32"/>
      <c r="B18" s="24"/>
      <c r="C18" s="21"/>
      <c r="D18" s="21"/>
      <c r="E18" s="21"/>
      <c r="F18" s="21"/>
      <c r="G18" s="21"/>
      <c r="H18" s="21"/>
      <c r="I18" s="21"/>
      <c r="J18" s="21"/>
      <c r="K18" s="21"/>
      <c r="L18" s="21"/>
      <c r="M18" s="21"/>
      <c r="N18" s="21"/>
      <c r="O18" s="21"/>
      <c r="P18" s="21"/>
      <c r="Q18" s="21"/>
    </row>
    <row r="19" spans="1:17" x14ac:dyDescent="0.2">
      <c r="A19" s="32"/>
      <c r="B19" s="25"/>
      <c r="C19" s="9"/>
      <c r="D19" s="10"/>
      <c r="E19" s="10"/>
      <c r="F19" s="10"/>
      <c r="G19" s="10"/>
      <c r="H19" s="10"/>
      <c r="I19" s="10"/>
      <c r="J19" s="10"/>
      <c r="K19" s="10"/>
      <c r="L19" s="10"/>
      <c r="M19" s="10"/>
      <c r="N19" s="10"/>
      <c r="O19" s="9"/>
      <c r="P19" s="10"/>
      <c r="Q19" s="10"/>
    </row>
    <row r="20" spans="1:17" x14ac:dyDescent="0.2">
      <c r="A20" s="32"/>
      <c r="B20" s="25"/>
      <c r="C20" s="22"/>
      <c r="D20" s="22"/>
      <c r="E20" s="22"/>
      <c r="F20" s="22"/>
      <c r="G20" s="22"/>
      <c r="H20" s="22"/>
      <c r="I20" s="22"/>
      <c r="J20" s="22"/>
      <c r="K20" s="22"/>
      <c r="L20" s="22"/>
      <c r="M20" s="22"/>
      <c r="N20" s="22"/>
      <c r="O20" s="22"/>
      <c r="P20" s="22"/>
      <c r="Q20" s="22"/>
    </row>
    <row r="21" spans="1:17" x14ac:dyDescent="0.2">
      <c r="A21" s="32"/>
      <c r="B21" s="26"/>
      <c r="C21" s="23"/>
      <c r="D21" s="23"/>
      <c r="E21" s="23"/>
      <c r="F21" s="23"/>
      <c r="G21" s="23"/>
      <c r="H21" s="23"/>
      <c r="I21" s="23"/>
      <c r="J21" s="23"/>
      <c r="K21" s="23"/>
      <c r="L21" s="23"/>
      <c r="M21" s="23"/>
      <c r="N21" s="23"/>
      <c r="O21" s="23"/>
      <c r="P21" s="23"/>
      <c r="Q21" s="23"/>
    </row>
    <row r="22" spans="1:17" x14ac:dyDescent="0.2">
      <c r="A22" s="32"/>
      <c r="B22" s="26"/>
      <c r="C22" s="23"/>
      <c r="D22" s="23"/>
      <c r="E22" s="23"/>
      <c r="F22" s="23"/>
      <c r="G22" s="23"/>
      <c r="H22" s="23"/>
      <c r="I22" s="23"/>
      <c r="J22" s="23"/>
      <c r="K22" s="23"/>
      <c r="L22" s="23"/>
      <c r="M22" s="23"/>
      <c r="N22" s="23"/>
      <c r="O22" s="23"/>
      <c r="P22" s="23"/>
      <c r="Q22" s="23"/>
    </row>
    <row r="23" spans="1:17" x14ac:dyDescent="0.2">
      <c r="A23" s="32"/>
      <c r="B23" s="27"/>
      <c r="C23" s="9"/>
      <c r="D23" s="9"/>
      <c r="E23" s="9"/>
      <c r="F23" s="9"/>
      <c r="G23" s="9"/>
      <c r="H23" s="9"/>
      <c r="I23" s="9"/>
      <c r="J23" s="9"/>
      <c r="K23" s="9"/>
      <c r="L23" s="9"/>
      <c r="M23" s="9"/>
      <c r="N23" s="9"/>
      <c r="O23" s="9"/>
      <c r="P23" s="9"/>
      <c r="Q23" s="9"/>
    </row>
    <row r="24" spans="1:17" x14ac:dyDescent="0.2">
      <c r="A24" s="32"/>
      <c r="B24" s="26"/>
      <c r="C24" s="9"/>
      <c r="D24" s="9"/>
      <c r="E24" s="9"/>
      <c r="F24" s="9"/>
      <c r="G24" s="9"/>
      <c r="H24" s="9"/>
      <c r="I24" s="9"/>
      <c r="J24" s="9"/>
      <c r="K24" s="9"/>
      <c r="L24" s="9"/>
      <c r="M24" s="9"/>
      <c r="N24" s="9"/>
      <c r="O24" s="9"/>
      <c r="P24" s="9"/>
      <c r="Q24" s="9"/>
    </row>
    <row r="25" spans="1:17" x14ac:dyDescent="0.2">
      <c r="A25" s="32"/>
      <c r="B25" s="25"/>
      <c r="C25" s="9"/>
      <c r="D25" s="9"/>
      <c r="E25" s="9"/>
      <c r="F25" s="9"/>
      <c r="G25" s="9"/>
      <c r="H25" s="9"/>
      <c r="I25" s="9"/>
      <c r="J25" s="9"/>
      <c r="K25" s="9"/>
      <c r="L25" s="9"/>
      <c r="M25" s="9"/>
      <c r="N25" s="9"/>
      <c r="O25" s="9"/>
      <c r="P25" s="9"/>
      <c r="Q25" s="9"/>
    </row>
    <row r="26" spans="1:17" x14ac:dyDescent="0.2">
      <c r="A26" s="32"/>
      <c r="B26" s="28"/>
      <c r="C26" s="9"/>
      <c r="D26" s="9"/>
      <c r="E26" s="9"/>
      <c r="F26" s="9"/>
      <c r="G26" s="9"/>
      <c r="H26" s="9"/>
      <c r="I26" s="9"/>
      <c r="J26" s="9"/>
      <c r="K26" s="9"/>
      <c r="L26" s="9"/>
      <c r="M26" s="9"/>
      <c r="N26" s="9"/>
      <c r="O26" s="9"/>
      <c r="P26" s="9"/>
      <c r="Q26" s="9"/>
    </row>
    <row r="27" spans="1:17" x14ac:dyDescent="0.2">
      <c r="A27" s="32"/>
      <c r="B27" s="25"/>
      <c r="C27" s="9"/>
      <c r="D27" s="9"/>
      <c r="E27" s="9"/>
      <c r="F27" s="9"/>
      <c r="G27" s="9"/>
      <c r="H27" s="9"/>
      <c r="I27" s="9"/>
      <c r="J27" s="9"/>
      <c r="K27" s="9"/>
      <c r="L27" s="9"/>
      <c r="M27" s="9"/>
      <c r="N27" s="9"/>
      <c r="O27" s="9"/>
      <c r="P27" s="9"/>
      <c r="Q27" s="9"/>
    </row>
    <row r="28" spans="1:17" x14ac:dyDescent="0.2">
      <c r="A28" s="32"/>
      <c r="B28" s="28"/>
      <c r="C28" s="9"/>
      <c r="D28" s="9"/>
      <c r="E28" s="9"/>
      <c r="F28" s="9"/>
      <c r="G28" s="9"/>
      <c r="H28" s="9"/>
      <c r="I28" s="9"/>
      <c r="J28" s="9"/>
      <c r="K28" s="9"/>
      <c r="L28" s="9"/>
      <c r="M28" s="9"/>
      <c r="N28" s="9"/>
      <c r="O28" s="9"/>
      <c r="P28" s="9"/>
      <c r="Q28" s="9"/>
    </row>
    <row r="29" spans="1:17" x14ac:dyDescent="0.2">
      <c r="A29" s="32"/>
      <c r="B29" s="29"/>
      <c r="C29" s="9"/>
      <c r="D29" s="9"/>
      <c r="E29" s="9"/>
      <c r="F29" s="9"/>
      <c r="G29" s="9"/>
      <c r="H29" s="9"/>
      <c r="I29" s="9"/>
      <c r="J29" s="9"/>
      <c r="K29" s="9"/>
      <c r="L29" s="9"/>
      <c r="M29" s="9"/>
      <c r="N29" s="9"/>
      <c r="O29" s="9"/>
      <c r="P29" s="9"/>
      <c r="Q29" s="9"/>
    </row>
    <row r="30" spans="1:17" x14ac:dyDescent="0.2">
      <c r="A30" s="32"/>
      <c r="B30" s="25"/>
      <c r="C30" s="9"/>
      <c r="D30" s="9"/>
      <c r="E30" s="9"/>
      <c r="F30" s="9"/>
      <c r="G30" s="9"/>
      <c r="H30" s="9"/>
      <c r="I30" s="9"/>
      <c r="J30" s="9"/>
      <c r="K30" s="9"/>
      <c r="L30" s="9"/>
      <c r="M30" s="9"/>
      <c r="N30" s="9"/>
      <c r="O30" s="9"/>
      <c r="P30" s="9"/>
      <c r="Q30" s="9"/>
    </row>
    <row r="31" spans="1:17" x14ac:dyDescent="0.2">
      <c r="A31" s="32"/>
      <c r="B31" s="25"/>
      <c r="C31" s="9"/>
      <c r="D31" s="9"/>
      <c r="E31" s="9"/>
      <c r="F31" s="9"/>
      <c r="G31" s="9"/>
      <c r="H31" s="9"/>
      <c r="I31" s="9"/>
      <c r="J31" s="9"/>
      <c r="K31" s="9"/>
      <c r="L31" s="9"/>
      <c r="M31" s="9"/>
      <c r="N31" s="9"/>
      <c r="O31" s="9"/>
      <c r="P31" s="9"/>
      <c r="Q31" s="9"/>
    </row>
    <row r="32" spans="1:17" x14ac:dyDescent="0.2">
      <c r="A32" s="32"/>
      <c r="B32" s="25"/>
      <c r="C32" s="9"/>
      <c r="D32" s="9"/>
      <c r="E32" s="9"/>
      <c r="F32" s="9"/>
      <c r="G32" s="9"/>
      <c r="H32" s="9"/>
      <c r="I32" s="9"/>
      <c r="J32" s="9"/>
      <c r="K32" s="9"/>
      <c r="L32" s="9"/>
      <c r="M32" s="9"/>
      <c r="N32" s="9"/>
      <c r="O32" s="9"/>
      <c r="P32" s="9"/>
      <c r="Q32" s="9"/>
    </row>
    <row r="33" spans="1:17" x14ac:dyDescent="0.2">
      <c r="A33" s="32"/>
      <c r="B33" s="29"/>
      <c r="C33" s="9"/>
      <c r="D33" s="9"/>
      <c r="E33" s="9"/>
      <c r="F33" s="9"/>
      <c r="G33" s="9"/>
      <c r="H33" s="9"/>
      <c r="I33" s="9"/>
      <c r="J33" s="9"/>
      <c r="K33" s="9"/>
      <c r="L33" s="9"/>
      <c r="M33" s="9"/>
      <c r="N33" s="9"/>
      <c r="O33" s="9"/>
      <c r="P33" s="9"/>
      <c r="Q33" s="9"/>
    </row>
    <row r="34" spans="1:17" x14ac:dyDescent="0.2">
      <c r="A34" s="32"/>
      <c r="B34" s="25"/>
      <c r="C34" s="9"/>
      <c r="D34" s="9"/>
      <c r="E34" s="9"/>
      <c r="F34" s="9"/>
      <c r="G34" s="9"/>
      <c r="H34" s="9"/>
      <c r="I34" s="9"/>
      <c r="J34" s="9"/>
      <c r="K34" s="9"/>
      <c r="L34" s="9"/>
      <c r="M34" s="9"/>
      <c r="N34" s="9"/>
      <c r="O34" s="9"/>
      <c r="P34" s="9"/>
      <c r="Q34" s="9"/>
    </row>
    <row r="35" spans="1:17" x14ac:dyDescent="0.2">
      <c r="A35" s="32"/>
      <c r="B35" s="25"/>
      <c r="C35" s="9"/>
      <c r="D35" s="9"/>
      <c r="E35" s="9"/>
      <c r="F35" s="9"/>
      <c r="G35" s="9"/>
      <c r="H35" s="9"/>
      <c r="I35" s="9"/>
      <c r="J35" s="9"/>
      <c r="K35" s="9"/>
      <c r="L35" s="9"/>
      <c r="M35" s="9"/>
      <c r="N35" s="9"/>
      <c r="O35" s="9"/>
      <c r="P35" s="9"/>
      <c r="Q35" s="9"/>
    </row>
    <row r="36" spans="1:17" x14ac:dyDescent="0.2">
      <c r="A36" s="32"/>
      <c r="B36" s="25"/>
      <c r="C36" s="9"/>
      <c r="D36" s="9"/>
      <c r="E36" s="9"/>
      <c r="F36" s="9"/>
      <c r="G36" s="9"/>
      <c r="H36" s="9"/>
      <c r="I36" s="9"/>
      <c r="J36" s="9"/>
      <c r="K36" s="9"/>
      <c r="L36" s="9"/>
      <c r="M36" s="9"/>
      <c r="N36" s="9"/>
      <c r="O36" s="9"/>
      <c r="P36" s="9"/>
      <c r="Q36" s="9"/>
    </row>
    <row r="37" spans="1:17" x14ac:dyDescent="0.2">
      <c r="A37" s="32"/>
      <c r="B37" s="25"/>
      <c r="C37" s="9"/>
      <c r="D37" s="9"/>
      <c r="E37" s="9"/>
      <c r="F37" s="9"/>
      <c r="G37" s="9"/>
      <c r="H37" s="9"/>
      <c r="I37" s="9"/>
      <c r="J37" s="9"/>
      <c r="K37" s="9"/>
      <c r="L37" s="9"/>
      <c r="M37" s="9"/>
      <c r="N37" s="9"/>
      <c r="O37" s="9"/>
      <c r="P37" s="9"/>
      <c r="Q37" s="9"/>
    </row>
    <row r="38" spans="1:17" x14ac:dyDescent="0.2">
      <c r="A38" s="32"/>
      <c r="B38" s="25"/>
      <c r="C38" s="9"/>
      <c r="D38" s="9"/>
      <c r="E38" s="9"/>
      <c r="F38" s="9"/>
      <c r="G38" s="9"/>
      <c r="H38" s="9"/>
      <c r="I38" s="9"/>
      <c r="J38" s="9"/>
      <c r="K38" s="9"/>
      <c r="L38" s="9"/>
      <c r="M38" s="9"/>
      <c r="N38" s="9"/>
      <c r="O38" s="9"/>
      <c r="P38" s="9"/>
      <c r="Q38" s="9"/>
    </row>
    <row r="39" spans="1:17" x14ac:dyDescent="0.2">
      <c r="A39" s="32"/>
      <c r="B39" s="25"/>
      <c r="C39" s="9"/>
      <c r="D39" s="9"/>
      <c r="E39" s="9"/>
      <c r="F39" s="9"/>
      <c r="G39" s="9"/>
      <c r="H39" s="9"/>
      <c r="I39" s="9"/>
      <c r="J39" s="9"/>
      <c r="K39" s="9"/>
      <c r="L39" s="9"/>
      <c r="M39" s="9"/>
      <c r="N39" s="9"/>
      <c r="O39" s="9"/>
      <c r="P39" s="9"/>
      <c r="Q39" s="9"/>
    </row>
    <row r="40" spans="1:17" x14ac:dyDescent="0.2">
      <c r="A40" s="32"/>
      <c r="B40" s="25"/>
      <c r="C40" s="9"/>
      <c r="D40" s="9"/>
      <c r="E40" s="9"/>
      <c r="F40" s="9"/>
      <c r="G40" s="9"/>
      <c r="H40" s="9"/>
      <c r="I40" s="9"/>
      <c r="J40" s="9"/>
      <c r="K40" s="9"/>
      <c r="L40" s="9"/>
      <c r="M40" s="9"/>
      <c r="N40" s="9"/>
      <c r="O40" s="9"/>
      <c r="P40" s="9"/>
      <c r="Q40" s="9"/>
    </row>
    <row r="41" spans="1:17" x14ac:dyDescent="0.2">
      <c r="A41" s="32"/>
      <c r="B41" s="25"/>
      <c r="C41" s="9"/>
      <c r="D41" s="9"/>
      <c r="E41" s="9"/>
      <c r="F41" s="9"/>
      <c r="G41" s="9"/>
      <c r="H41" s="9"/>
      <c r="I41" s="9"/>
      <c r="J41" s="9"/>
      <c r="K41" s="9"/>
      <c r="L41" s="9"/>
      <c r="M41" s="9"/>
      <c r="N41" s="9"/>
      <c r="O41" s="9"/>
      <c r="P41" s="9"/>
      <c r="Q41" s="9"/>
    </row>
    <row r="42" spans="1:17" x14ac:dyDescent="0.2">
      <c r="A42" s="32"/>
      <c r="B42" s="25"/>
      <c r="C42" s="9"/>
      <c r="D42" s="9"/>
      <c r="E42" s="9"/>
      <c r="F42" s="9"/>
      <c r="G42" s="9"/>
      <c r="H42" s="9"/>
      <c r="I42" s="9"/>
      <c r="J42" s="9"/>
      <c r="K42" s="9"/>
      <c r="L42" s="9"/>
      <c r="M42" s="9"/>
      <c r="N42" s="9"/>
      <c r="O42" s="9"/>
      <c r="P42" s="9"/>
      <c r="Q42" s="9"/>
    </row>
    <row r="43" spans="1:17" x14ac:dyDescent="0.2">
      <c r="A43" s="32"/>
      <c r="B43" s="25"/>
      <c r="C43" s="9"/>
      <c r="D43" s="9"/>
      <c r="E43" s="9"/>
      <c r="F43" s="9"/>
      <c r="G43" s="9"/>
      <c r="H43" s="9"/>
      <c r="I43" s="9"/>
      <c r="J43" s="9"/>
      <c r="K43" s="9"/>
      <c r="L43" s="9"/>
      <c r="M43" s="9"/>
      <c r="N43" s="9"/>
      <c r="O43" s="9"/>
      <c r="P43" s="9"/>
      <c r="Q43" s="9"/>
    </row>
    <row r="44" spans="1:17" x14ac:dyDescent="0.2">
      <c r="A44" s="32"/>
      <c r="B44" s="25"/>
      <c r="C44" s="9"/>
      <c r="D44" s="9"/>
      <c r="E44" s="9"/>
      <c r="F44" s="9"/>
      <c r="G44" s="9"/>
      <c r="H44" s="9"/>
      <c r="I44" s="9"/>
      <c r="J44" s="9"/>
      <c r="K44" s="9"/>
      <c r="L44" s="9"/>
      <c r="M44" s="9"/>
      <c r="N44" s="9"/>
      <c r="O44" s="9"/>
      <c r="P44" s="9"/>
      <c r="Q44" s="9"/>
    </row>
    <row r="45" spans="1:17" x14ac:dyDescent="0.2">
      <c r="A45" s="32"/>
      <c r="B45" s="25"/>
      <c r="C45" s="9"/>
      <c r="D45" s="9"/>
      <c r="E45" s="9"/>
      <c r="F45" s="9"/>
      <c r="G45" s="9"/>
      <c r="H45" s="9"/>
      <c r="I45" s="9"/>
      <c r="J45" s="9"/>
      <c r="K45" s="9"/>
      <c r="L45" s="9"/>
      <c r="M45" s="9"/>
      <c r="N45" s="9"/>
      <c r="O45" s="9"/>
      <c r="P45" s="9"/>
      <c r="Q45" s="9"/>
    </row>
    <row r="46" spans="1:17" x14ac:dyDescent="0.2">
      <c r="A46" s="32"/>
      <c r="B46" s="25"/>
      <c r="C46" s="9"/>
      <c r="D46" s="9"/>
      <c r="E46" s="9"/>
      <c r="F46" s="9"/>
      <c r="G46" s="9"/>
      <c r="H46" s="9"/>
      <c r="I46" s="9"/>
      <c r="J46" s="9"/>
      <c r="K46" s="9"/>
      <c r="L46" s="9"/>
      <c r="M46" s="9"/>
      <c r="N46" s="9"/>
      <c r="O46" s="9"/>
      <c r="P46" s="9"/>
      <c r="Q46" s="9"/>
    </row>
    <row r="47" spans="1:17" x14ac:dyDescent="0.2">
      <c r="A47" s="32"/>
      <c r="B47" s="25"/>
      <c r="C47" s="9"/>
      <c r="D47" s="9"/>
      <c r="E47" s="9"/>
      <c r="F47" s="9"/>
      <c r="G47" s="9"/>
      <c r="H47" s="9"/>
      <c r="I47" s="9"/>
      <c r="J47" s="9"/>
      <c r="K47" s="9"/>
      <c r="L47" s="9"/>
      <c r="M47" s="9"/>
      <c r="N47" s="9"/>
      <c r="O47" s="9"/>
      <c r="P47" s="9"/>
      <c r="Q47" s="9"/>
    </row>
    <row r="48" spans="1:17" x14ac:dyDescent="0.2">
      <c r="A48" s="32"/>
      <c r="B48" s="25"/>
      <c r="C48" s="9"/>
      <c r="D48" s="9"/>
      <c r="E48" s="9"/>
      <c r="F48" s="9"/>
      <c r="G48" s="9"/>
      <c r="H48" s="9"/>
      <c r="I48" s="9"/>
      <c r="J48" s="9"/>
      <c r="K48" s="9"/>
      <c r="L48" s="9"/>
      <c r="M48" s="9"/>
      <c r="N48" s="9"/>
      <c r="O48" s="9"/>
      <c r="P48" s="9"/>
      <c r="Q48" s="9"/>
    </row>
    <row r="49" spans="1:17" x14ac:dyDescent="0.2">
      <c r="A49" s="32"/>
      <c r="B49" s="25"/>
      <c r="C49" s="9"/>
      <c r="D49" s="9"/>
      <c r="E49" s="9"/>
      <c r="F49" s="9"/>
      <c r="G49" s="9"/>
      <c r="H49" s="9"/>
      <c r="I49" s="9"/>
      <c r="J49" s="9"/>
      <c r="K49" s="9"/>
      <c r="L49" s="9"/>
      <c r="M49" s="9"/>
      <c r="N49" s="9"/>
      <c r="O49" s="9"/>
      <c r="P49" s="9"/>
      <c r="Q49" s="9"/>
    </row>
    <row r="50" spans="1:17" x14ac:dyDescent="0.2">
      <c r="A50" s="32"/>
      <c r="B50" s="25"/>
      <c r="C50" s="9"/>
      <c r="D50" s="9"/>
      <c r="E50" s="9"/>
      <c r="F50" s="9"/>
      <c r="G50" s="9"/>
      <c r="H50" s="9"/>
      <c r="I50" s="9"/>
      <c r="J50" s="9"/>
      <c r="K50" s="9"/>
      <c r="L50" s="9"/>
      <c r="M50" s="9"/>
      <c r="N50" s="9"/>
      <c r="O50" s="9"/>
      <c r="P50" s="9"/>
      <c r="Q50" s="9"/>
    </row>
    <row r="51" spans="1:17" x14ac:dyDescent="0.2">
      <c r="A51" s="32"/>
      <c r="B51" s="25"/>
      <c r="C51" s="9"/>
      <c r="D51" s="9"/>
      <c r="E51" s="9"/>
      <c r="F51" s="9"/>
      <c r="G51" s="9"/>
      <c r="H51" s="9"/>
      <c r="I51" s="9"/>
      <c r="J51" s="9"/>
      <c r="K51" s="9"/>
      <c r="L51" s="9"/>
      <c r="M51" s="9"/>
      <c r="N51" s="9"/>
      <c r="O51" s="9"/>
      <c r="P51" s="9"/>
      <c r="Q51" s="9"/>
    </row>
    <row r="52" spans="1:17" x14ac:dyDescent="0.2">
      <c r="A52" s="32"/>
      <c r="B52" s="25"/>
      <c r="C52" s="9"/>
      <c r="D52" s="9"/>
      <c r="E52" s="9"/>
      <c r="F52" s="9"/>
      <c r="G52" s="9"/>
      <c r="H52" s="9"/>
      <c r="I52" s="9"/>
      <c r="J52" s="9"/>
      <c r="K52" s="9"/>
      <c r="L52" s="9"/>
      <c r="M52" s="9"/>
      <c r="N52" s="9"/>
      <c r="O52" s="9"/>
      <c r="P52" s="9"/>
      <c r="Q52" s="9"/>
    </row>
    <row r="53" spans="1:17" x14ac:dyDescent="0.2">
      <c r="A53" s="32"/>
      <c r="B53" s="25"/>
      <c r="C53" s="9"/>
      <c r="D53" s="9"/>
      <c r="E53" s="9"/>
      <c r="F53" s="9"/>
      <c r="G53" s="9"/>
      <c r="H53" s="9"/>
      <c r="I53" s="9"/>
      <c r="J53" s="9"/>
      <c r="K53" s="9"/>
      <c r="L53" s="9"/>
      <c r="M53" s="9"/>
      <c r="N53" s="9"/>
      <c r="O53" s="9"/>
      <c r="P53" s="9"/>
      <c r="Q53" s="9"/>
    </row>
    <row r="54" spans="1:17" x14ac:dyDescent="0.2">
      <c r="A54" s="32"/>
      <c r="B54" s="25"/>
      <c r="C54" s="9"/>
      <c r="D54" s="9"/>
      <c r="E54" s="9"/>
      <c r="F54" s="9"/>
      <c r="G54" s="9"/>
      <c r="H54" s="9"/>
      <c r="I54" s="9"/>
      <c r="J54" s="9"/>
      <c r="K54" s="9"/>
      <c r="L54" s="9"/>
      <c r="M54" s="9"/>
      <c r="N54" s="9"/>
      <c r="O54" s="9"/>
      <c r="P54" s="9"/>
      <c r="Q54" s="9"/>
    </row>
    <row r="55" spans="1:17" x14ac:dyDescent="0.2">
      <c r="A55" s="32"/>
      <c r="B55" s="25"/>
      <c r="C55" s="9"/>
      <c r="D55" s="9"/>
      <c r="E55" s="9"/>
      <c r="F55" s="9"/>
      <c r="G55" s="9"/>
      <c r="H55" s="9"/>
      <c r="I55" s="9"/>
      <c r="J55" s="9"/>
      <c r="K55" s="9"/>
      <c r="L55" s="9"/>
      <c r="M55" s="9"/>
      <c r="N55" s="9"/>
      <c r="O55" s="9"/>
      <c r="P55" s="9"/>
      <c r="Q55" s="9"/>
    </row>
    <row r="56" spans="1:17" x14ac:dyDescent="0.2">
      <c r="A56" s="32"/>
      <c r="B56" s="25"/>
      <c r="C56" s="9"/>
      <c r="D56" s="9"/>
      <c r="E56" s="9"/>
      <c r="F56" s="9"/>
      <c r="G56" s="9"/>
      <c r="H56" s="9"/>
      <c r="I56" s="9"/>
      <c r="J56" s="9"/>
      <c r="K56" s="9"/>
      <c r="L56" s="9"/>
      <c r="M56" s="9"/>
      <c r="N56" s="9"/>
      <c r="O56" s="9"/>
      <c r="P56" s="9"/>
      <c r="Q56" s="9"/>
    </row>
    <row r="57" spans="1:17" x14ac:dyDescent="0.2">
      <c r="A57" s="32"/>
      <c r="B57" s="25"/>
      <c r="C57" s="9"/>
      <c r="D57" s="9"/>
      <c r="E57" s="9"/>
      <c r="F57" s="9"/>
      <c r="G57" s="9"/>
      <c r="H57" s="9"/>
      <c r="I57" s="9"/>
      <c r="J57" s="9"/>
      <c r="K57" s="9"/>
      <c r="L57" s="9"/>
      <c r="M57" s="9"/>
      <c r="N57" s="9"/>
      <c r="O57" s="9"/>
      <c r="P57" s="9"/>
      <c r="Q57" s="9"/>
    </row>
    <row r="58" spans="1:17" x14ac:dyDescent="0.2">
      <c r="A58" s="32"/>
      <c r="B58" s="25"/>
      <c r="C58" s="9"/>
      <c r="D58" s="9"/>
      <c r="E58" s="9"/>
      <c r="F58" s="9"/>
      <c r="G58" s="9"/>
      <c r="H58" s="9"/>
      <c r="I58" s="9"/>
      <c r="J58" s="9"/>
      <c r="K58" s="9"/>
      <c r="L58" s="9"/>
      <c r="M58" s="9"/>
      <c r="N58" s="9"/>
      <c r="O58" s="9"/>
      <c r="P58" s="9"/>
      <c r="Q58" s="9"/>
    </row>
    <row r="59" spans="1:17" x14ac:dyDescent="0.2">
      <c r="A59" s="32"/>
      <c r="B59" s="25"/>
      <c r="C59" s="9"/>
      <c r="D59" s="9"/>
      <c r="E59" s="9"/>
      <c r="F59" s="9"/>
      <c r="G59" s="9"/>
      <c r="H59" s="9"/>
      <c r="I59" s="9"/>
      <c r="J59" s="9"/>
      <c r="K59" s="9"/>
      <c r="L59" s="9"/>
      <c r="M59" s="9"/>
      <c r="N59" s="9"/>
      <c r="O59" s="9"/>
      <c r="P59" s="9"/>
      <c r="Q59" s="9"/>
    </row>
    <row r="60" spans="1:17" x14ac:dyDescent="0.2">
      <c r="A60" s="32"/>
      <c r="B60" s="30"/>
      <c r="C60" s="9"/>
      <c r="D60" s="9"/>
      <c r="E60" s="9"/>
      <c r="F60" s="9"/>
      <c r="G60" s="9"/>
      <c r="H60" s="9"/>
      <c r="I60" s="9"/>
      <c r="J60" s="9"/>
      <c r="K60" s="9"/>
      <c r="L60" s="9"/>
      <c r="M60" s="9"/>
      <c r="N60" s="9"/>
      <c r="O60" s="9"/>
      <c r="P60" s="9"/>
      <c r="Q60" s="9"/>
    </row>
    <row r="61" spans="1:17" x14ac:dyDescent="0.2">
      <c r="A61" s="32"/>
      <c r="B61" s="31"/>
      <c r="C61" s="23"/>
      <c r="D61" s="23"/>
      <c r="E61" s="23"/>
      <c r="F61" s="23"/>
      <c r="G61" s="23"/>
      <c r="H61" s="23"/>
      <c r="I61" s="23"/>
      <c r="J61" s="23"/>
      <c r="K61" s="23"/>
      <c r="L61" s="23"/>
      <c r="M61" s="23"/>
      <c r="N61" s="23"/>
      <c r="O61" s="23"/>
      <c r="P61" s="23"/>
      <c r="Q61" s="23"/>
    </row>
    <row r="62" spans="1:17" x14ac:dyDescent="0.2">
      <c r="A62" s="32"/>
      <c r="B62" s="31"/>
      <c r="C62" s="23"/>
      <c r="D62" s="23"/>
      <c r="E62" s="23"/>
      <c r="F62" s="23"/>
      <c r="G62" s="23"/>
      <c r="H62" s="23"/>
      <c r="I62" s="23"/>
      <c r="J62" s="23"/>
      <c r="K62" s="23"/>
      <c r="L62" s="23"/>
      <c r="M62" s="23"/>
      <c r="N62" s="23"/>
      <c r="O62" s="23"/>
      <c r="P62" s="23"/>
      <c r="Q62" s="23"/>
    </row>
    <row r="63" spans="1:17" x14ac:dyDescent="0.2">
      <c r="A63" s="32"/>
      <c r="B63" s="31"/>
      <c r="C63" s="23"/>
      <c r="D63" s="23"/>
      <c r="E63" s="23"/>
      <c r="F63" s="23"/>
      <c r="G63" s="23"/>
      <c r="H63" s="23"/>
      <c r="I63" s="23"/>
      <c r="J63" s="23"/>
      <c r="K63" s="23"/>
      <c r="L63" s="23"/>
      <c r="M63" s="23"/>
      <c r="N63" s="23"/>
      <c r="O63" s="23"/>
      <c r="P63" s="23"/>
      <c r="Q63" s="23"/>
    </row>
    <row r="64" spans="1:17" x14ac:dyDescent="0.2">
      <c r="A64" s="32"/>
      <c r="B64" s="31"/>
      <c r="C64" s="23"/>
      <c r="D64" s="23"/>
      <c r="E64" s="23"/>
      <c r="F64" s="23"/>
      <c r="G64" s="23"/>
      <c r="H64" s="23"/>
      <c r="I64" s="23"/>
      <c r="J64" s="23"/>
      <c r="K64" s="23"/>
      <c r="L64" s="23"/>
      <c r="M64" s="23"/>
      <c r="N64" s="23"/>
      <c r="O64" s="23"/>
      <c r="P64" s="23"/>
      <c r="Q64" s="23"/>
    </row>
    <row r="65" spans="1:17" x14ac:dyDescent="0.2">
      <c r="A65" s="32"/>
      <c r="B65" s="31"/>
      <c r="C65" s="23"/>
      <c r="D65" s="23"/>
      <c r="E65" s="23"/>
      <c r="F65" s="23"/>
      <c r="G65" s="23"/>
      <c r="H65" s="23"/>
      <c r="I65" s="23"/>
      <c r="J65" s="23"/>
      <c r="K65" s="23"/>
      <c r="L65" s="23"/>
      <c r="M65" s="23"/>
      <c r="N65" s="23"/>
      <c r="O65" s="23"/>
      <c r="P65" s="23"/>
      <c r="Q65" s="23"/>
    </row>
    <row r="66" spans="1:17" x14ac:dyDescent="0.2">
      <c r="A66" s="32"/>
      <c r="B66" s="31"/>
      <c r="C66" s="23"/>
      <c r="D66" s="23"/>
      <c r="E66" s="23"/>
      <c r="F66" s="23"/>
      <c r="G66" s="23"/>
      <c r="H66" s="23"/>
      <c r="I66" s="23"/>
      <c r="J66" s="23"/>
      <c r="K66" s="23"/>
      <c r="L66" s="23"/>
      <c r="M66" s="23"/>
      <c r="N66" s="23"/>
      <c r="O66" s="23"/>
      <c r="P66" s="23"/>
      <c r="Q66" s="23"/>
    </row>
    <row r="67" spans="1:17" x14ac:dyDescent="0.2">
      <c r="A67" s="32"/>
      <c r="B67" s="31"/>
      <c r="C67" s="23"/>
      <c r="D67" s="23"/>
      <c r="E67" s="23"/>
      <c r="F67" s="23"/>
      <c r="G67" s="23"/>
      <c r="H67" s="23"/>
      <c r="I67" s="23"/>
      <c r="J67" s="23"/>
      <c r="K67" s="23"/>
      <c r="L67" s="23"/>
      <c r="M67" s="23"/>
      <c r="N67" s="23"/>
      <c r="O67" s="23"/>
      <c r="P67" s="23"/>
      <c r="Q67" s="23"/>
    </row>
    <row r="68" spans="1:17" x14ac:dyDescent="0.2">
      <c r="A68" s="32"/>
      <c r="B68" s="31"/>
      <c r="C68" s="23"/>
      <c r="D68" s="23"/>
      <c r="E68" s="23"/>
      <c r="F68" s="23"/>
      <c r="G68" s="23"/>
      <c r="H68" s="23"/>
      <c r="I68" s="23"/>
      <c r="J68" s="23"/>
      <c r="K68" s="23"/>
      <c r="L68" s="23"/>
      <c r="M68" s="23"/>
      <c r="N68" s="23"/>
      <c r="O68" s="23"/>
      <c r="P68" s="23"/>
      <c r="Q68" s="23"/>
    </row>
    <row r="69" spans="1:17" x14ac:dyDescent="0.2">
      <c r="A69" s="32"/>
      <c r="B69" s="31"/>
      <c r="C69" s="23"/>
      <c r="D69" s="23"/>
      <c r="E69" s="23"/>
      <c r="F69" s="23"/>
      <c r="G69" s="23"/>
      <c r="H69" s="23"/>
      <c r="I69" s="23"/>
      <c r="J69" s="23"/>
      <c r="K69" s="23"/>
      <c r="L69" s="23"/>
      <c r="M69" s="23"/>
      <c r="N69" s="23"/>
      <c r="O69" s="23"/>
      <c r="P69" s="23"/>
      <c r="Q69" s="23"/>
    </row>
    <row r="70" spans="1:17" x14ac:dyDescent="0.2">
      <c r="A70" s="32"/>
      <c r="B70" s="31"/>
      <c r="C70" s="23"/>
      <c r="D70" s="23"/>
      <c r="E70" s="23"/>
      <c r="F70" s="23"/>
      <c r="G70" s="23"/>
      <c r="H70" s="23"/>
      <c r="I70" s="23"/>
      <c r="J70" s="23"/>
      <c r="K70" s="23"/>
      <c r="L70" s="23"/>
      <c r="M70" s="23"/>
      <c r="N70" s="23"/>
      <c r="O70" s="23"/>
      <c r="P70" s="23"/>
      <c r="Q70" s="23"/>
    </row>
    <row r="71" spans="1:17" x14ac:dyDescent="0.2">
      <c r="A71" s="32"/>
      <c r="B71" s="31"/>
      <c r="C71" s="23"/>
      <c r="D71" s="23"/>
      <c r="E71" s="23"/>
      <c r="F71" s="23"/>
      <c r="G71" s="23"/>
      <c r="H71" s="23"/>
      <c r="I71" s="23"/>
      <c r="J71" s="23"/>
      <c r="K71" s="23"/>
      <c r="L71" s="23"/>
      <c r="M71" s="23"/>
      <c r="N71" s="23"/>
      <c r="O71" s="23"/>
      <c r="P71" s="23"/>
      <c r="Q71" s="23"/>
    </row>
    <row r="72" spans="1:17" x14ac:dyDescent="0.2">
      <c r="A72" s="32"/>
      <c r="B72" s="31"/>
      <c r="C72" s="23"/>
      <c r="D72" s="23"/>
      <c r="E72" s="23"/>
      <c r="F72" s="23"/>
      <c r="G72" s="23"/>
      <c r="H72" s="23"/>
      <c r="I72" s="23"/>
      <c r="J72" s="23"/>
      <c r="K72" s="23"/>
      <c r="L72" s="23"/>
      <c r="M72" s="23"/>
      <c r="N72" s="23"/>
      <c r="O72" s="23"/>
      <c r="P72" s="23"/>
      <c r="Q72" s="23"/>
    </row>
    <row r="73" spans="1:17" x14ac:dyDescent="0.2">
      <c r="A73" s="32"/>
      <c r="B73" s="31"/>
      <c r="C73" s="23"/>
      <c r="D73" s="23"/>
      <c r="E73" s="23"/>
      <c r="F73" s="23"/>
      <c r="G73" s="23"/>
      <c r="H73" s="23"/>
      <c r="I73" s="23"/>
      <c r="J73" s="23"/>
      <c r="K73" s="23"/>
      <c r="L73" s="23"/>
      <c r="M73" s="23"/>
      <c r="N73" s="23"/>
      <c r="O73" s="23"/>
      <c r="P73" s="23"/>
      <c r="Q73" s="23"/>
    </row>
    <row r="74" spans="1:17" x14ac:dyDescent="0.2">
      <c r="A74" s="32"/>
      <c r="B74" s="31"/>
      <c r="C74" s="23"/>
      <c r="D74" s="23"/>
      <c r="E74" s="23"/>
      <c r="F74" s="23"/>
      <c r="G74" s="23"/>
      <c r="H74" s="23"/>
      <c r="I74" s="23"/>
      <c r="J74" s="23"/>
      <c r="K74" s="23"/>
      <c r="L74" s="23"/>
      <c r="M74" s="23"/>
      <c r="N74" s="23"/>
      <c r="O74" s="23"/>
      <c r="P74" s="23"/>
      <c r="Q74" s="23"/>
    </row>
    <row r="75" spans="1:17" x14ac:dyDescent="0.2">
      <c r="A75" s="32"/>
      <c r="B75" s="31"/>
      <c r="C75" s="23"/>
      <c r="D75" s="23"/>
      <c r="E75" s="23"/>
      <c r="F75" s="23"/>
      <c r="G75" s="23"/>
      <c r="H75" s="23"/>
      <c r="I75" s="23"/>
      <c r="J75" s="23"/>
      <c r="K75" s="23"/>
      <c r="L75" s="23"/>
      <c r="M75" s="23"/>
      <c r="N75" s="23"/>
      <c r="O75" s="23"/>
      <c r="P75" s="23"/>
      <c r="Q75" s="23"/>
    </row>
    <row r="76" spans="1:17" x14ac:dyDescent="0.2">
      <c r="A76" s="32"/>
      <c r="B76" s="31"/>
      <c r="C76" s="23"/>
      <c r="D76" s="23"/>
      <c r="E76" s="23"/>
      <c r="F76" s="23"/>
      <c r="G76" s="23"/>
      <c r="H76" s="23"/>
      <c r="I76" s="23"/>
      <c r="J76" s="23"/>
      <c r="K76" s="23"/>
      <c r="L76" s="23"/>
      <c r="M76" s="23"/>
      <c r="N76" s="23"/>
      <c r="O76" s="23"/>
      <c r="P76" s="23"/>
      <c r="Q76" s="23"/>
    </row>
    <row r="77" spans="1:17" x14ac:dyDescent="0.2">
      <c r="A77" s="32"/>
      <c r="B77" s="31"/>
      <c r="C77" s="23"/>
      <c r="D77" s="23"/>
      <c r="E77" s="23"/>
      <c r="F77" s="23"/>
      <c r="G77" s="23"/>
      <c r="H77" s="23"/>
      <c r="I77" s="23"/>
      <c r="J77" s="23"/>
      <c r="K77" s="23"/>
      <c r="L77" s="23"/>
      <c r="M77" s="23"/>
      <c r="N77" s="23"/>
      <c r="O77" s="23"/>
      <c r="P77" s="23"/>
      <c r="Q77" s="23"/>
    </row>
    <row r="78" spans="1:17" x14ac:dyDescent="0.2">
      <c r="A78" s="32"/>
      <c r="B78" s="31"/>
      <c r="C78" s="23"/>
      <c r="D78" s="23"/>
      <c r="E78" s="23"/>
      <c r="F78" s="23"/>
      <c r="G78" s="23"/>
      <c r="H78" s="23"/>
      <c r="I78" s="23"/>
      <c r="J78" s="23"/>
      <c r="K78" s="23"/>
      <c r="L78" s="23"/>
      <c r="M78" s="23"/>
      <c r="N78" s="23"/>
      <c r="O78" s="23"/>
      <c r="P78" s="23"/>
      <c r="Q78" s="23"/>
    </row>
    <row r="79" spans="1:17" x14ac:dyDescent="0.2">
      <c r="A79" s="32"/>
      <c r="B79" s="31"/>
      <c r="C79" s="23"/>
      <c r="D79" s="23"/>
      <c r="E79" s="23"/>
      <c r="F79" s="23"/>
      <c r="G79" s="23"/>
      <c r="H79" s="23"/>
      <c r="I79" s="23"/>
      <c r="J79" s="23"/>
      <c r="K79" s="23"/>
      <c r="L79" s="23"/>
      <c r="M79" s="23"/>
      <c r="N79" s="23"/>
      <c r="O79" s="23"/>
      <c r="P79" s="23"/>
      <c r="Q79" s="23"/>
    </row>
    <row r="80" spans="1:17" x14ac:dyDescent="0.2">
      <c r="A80" s="32"/>
      <c r="B80" s="31"/>
      <c r="C80" s="23"/>
      <c r="D80" s="23"/>
      <c r="E80" s="23"/>
      <c r="F80" s="23"/>
      <c r="G80" s="23"/>
      <c r="H80" s="23"/>
      <c r="I80" s="23"/>
      <c r="J80" s="23"/>
      <c r="K80" s="23"/>
      <c r="L80" s="23"/>
      <c r="M80" s="23"/>
      <c r="N80" s="23"/>
      <c r="O80" s="23"/>
      <c r="P80" s="23"/>
      <c r="Q80" s="23"/>
    </row>
    <row r="81" spans="1:17" x14ac:dyDescent="0.2">
      <c r="A81" s="32"/>
      <c r="B81" s="31"/>
      <c r="C81" s="23"/>
      <c r="D81" s="23"/>
      <c r="E81" s="23"/>
      <c r="F81" s="23"/>
      <c r="G81" s="23"/>
      <c r="H81" s="23"/>
      <c r="I81" s="23"/>
      <c r="J81" s="23"/>
      <c r="K81" s="23"/>
      <c r="L81" s="23"/>
      <c r="M81" s="23"/>
      <c r="N81" s="23"/>
      <c r="O81" s="23"/>
      <c r="P81" s="23"/>
      <c r="Q81" s="23"/>
    </row>
    <row r="82" spans="1:17" x14ac:dyDescent="0.2">
      <c r="A82" s="32"/>
      <c r="B82" s="31"/>
      <c r="C82" s="23"/>
      <c r="D82" s="23"/>
      <c r="E82" s="23"/>
      <c r="F82" s="23"/>
      <c r="G82" s="23"/>
      <c r="H82" s="23"/>
      <c r="I82" s="23"/>
      <c r="J82" s="23"/>
      <c r="K82" s="23"/>
      <c r="L82" s="23"/>
      <c r="M82" s="23"/>
      <c r="N82" s="23"/>
      <c r="O82" s="23"/>
      <c r="P82" s="23"/>
      <c r="Q82" s="23"/>
    </row>
    <row r="83" spans="1:17" x14ac:dyDescent="0.2">
      <c r="A83" s="32"/>
      <c r="B83" s="31"/>
      <c r="C83" s="23"/>
      <c r="D83" s="23"/>
      <c r="E83" s="23"/>
      <c r="F83" s="23"/>
      <c r="G83" s="23"/>
      <c r="H83" s="23"/>
      <c r="I83" s="23"/>
      <c r="J83" s="23"/>
      <c r="K83" s="23"/>
      <c r="L83" s="23"/>
      <c r="M83" s="23"/>
      <c r="N83" s="23"/>
      <c r="O83" s="23"/>
      <c r="P83" s="23"/>
      <c r="Q83" s="23"/>
    </row>
    <row r="84" spans="1:17" x14ac:dyDescent="0.2">
      <c r="A84" s="32"/>
      <c r="B84" s="31"/>
      <c r="C84" s="23"/>
      <c r="D84" s="23"/>
      <c r="E84" s="23"/>
      <c r="F84" s="23"/>
      <c r="G84" s="23"/>
      <c r="H84" s="23"/>
      <c r="I84" s="23"/>
      <c r="J84" s="23"/>
      <c r="K84" s="23"/>
      <c r="L84" s="23"/>
      <c r="M84" s="23"/>
      <c r="N84" s="23"/>
      <c r="O84" s="23"/>
      <c r="P84" s="23"/>
      <c r="Q84" s="23"/>
    </row>
    <row r="85" spans="1:17" x14ac:dyDescent="0.2">
      <c r="A85" s="32"/>
      <c r="B85" s="31"/>
      <c r="C85" s="23"/>
      <c r="D85" s="23"/>
      <c r="E85" s="23"/>
      <c r="F85" s="23"/>
      <c r="G85" s="23"/>
      <c r="H85" s="23"/>
      <c r="I85" s="23"/>
      <c r="J85" s="23"/>
      <c r="K85" s="23"/>
      <c r="L85" s="23"/>
      <c r="M85" s="23"/>
      <c r="N85" s="23"/>
      <c r="O85" s="23"/>
      <c r="P85" s="23"/>
      <c r="Q85" s="23"/>
    </row>
    <row r="86" spans="1:17" x14ac:dyDescent="0.2">
      <c r="A86" s="32"/>
      <c r="B86" s="31"/>
      <c r="C86" s="23"/>
      <c r="D86" s="23"/>
      <c r="E86" s="23"/>
      <c r="F86" s="23"/>
      <c r="G86" s="23"/>
      <c r="H86" s="23"/>
      <c r="I86" s="23"/>
      <c r="J86" s="23"/>
      <c r="K86" s="23"/>
      <c r="L86" s="23"/>
      <c r="M86" s="23"/>
      <c r="N86" s="23"/>
      <c r="O86" s="23"/>
      <c r="P86" s="23"/>
      <c r="Q86" s="23"/>
    </row>
    <row r="87" spans="1:17" x14ac:dyDescent="0.2">
      <c r="A87" s="32"/>
      <c r="B87" s="31"/>
      <c r="C87" s="23"/>
      <c r="D87" s="23"/>
      <c r="E87" s="23"/>
      <c r="F87" s="23"/>
      <c r="G87" s="23"/>
      <c r="H87" s="23"/>
      <c r="I87" s="23"/>
      <c r="J87" s="23"/>
      <c r="K87" s="23"/>
      <c r="L87" s="23"/>
      <c r="M87" s="23"/>
      <c r="N87" s="23"/>
      <c r="O87" s="23"/>
      <c r="P87" s="23"/>
      <c r="Q87" s="23"/>
    </row>
    <row r="88" spans="1:17" x14ac:dyDescent="0.2">
      <c r="A88" s="32"/>
      <c r="B88" s="31"/>
      <c r="C88" s="23"/>
      <c r="D88" s="23"/>
      <c r="E88" s="23"/>
      <c r="F88" s="23"/>
      <c r="G88" s="23"/>
      <c r="H88" s="23"/>
      <c r="I88" s="23"/>
      <c r="J88" s="23"/>
      <c r="K88" s="23"/>
      <c r="L88" s="23"/>
      <c r="M88" s="23"/>
      <c r="N88" s="23"/>
      <c r="O88" s="23"/>
      <c r="P88" s="23"/>
      <c r="Q88" s="23"/>
    </row>
    <row r="89" spans="1:17" x14ac:dyDescent="0.2">
      <c r="A89" s="32"/>
      <c r="B89" s="31"/>
      <c r="C89" s="23"/>
      <c r="D89" s="23"/>
      <c r="E89" s="23"/>
      <c r="F89" s="23"/>
      <c r="G89" s="23"/>
      <c r="H89" s="23"/>
      <c r="I89" s="23"/>
      <c r="J89" s="23"/>
      <c r="K89" s="23"/>
      <c r="L89" s="23"/>
      <c r="M89" s="23"/>
      <c r="N89" s="23"/>
      <c r="O89" s="23"/>
      <c r="P89" s="23"/>
      <c r="Q89" s="23"/>
    </row>
    <row r="90" spans="1:17" x14ac:dyDescent="0.2">
      <c r="A90" s="32"/>
      <c r="B90" s="31"/>
      <c r="C90" s="23"/>
      <c r="D90" s="23"/>
      <c r="E90" s="23"/>
      <c r="F90" s="23"/>
      <c r="G90" s="23"/>
      <c r="H90" s="23"/>
      <c r="I90" s="23"/>
      <c r="J90" s="23"/>
      <c r="K90" s="23"/>
      <c r="L90" s="23"/>
      <c r="M90" s="23"/>
      <c r="N90" s="23"/>
      <c r="O90" s="23"/>
      <c r="P90" s="23"/>
      <c r="Q90" s="23"/>
    </row>
    <row r="91" spans="1:17" x14ac:dyDescent="0.2">
      <c r="A91" s="32"/>
      <c r="B91" s="31"/>
      <c r="C91" s="23"/>
      <c r="D91" s="23"/>
      <c r="E91" s="23"/>
      <c r="F91" s="23"/>
      <c r="G91" s="23"/>
      <c r="H91" s="23"/>
      <c r="I91" s="23"/>
      <c r="J91" s="23"/>
      <c r="K91" s="23"/>
      <c r="L91" s="23"/>
      <c r="M91" s="23"/>
      <c r="N91" s="23"/>
      <c r="O91" s="23"/>
      <c r="P91" s="23"/>
      <c r="Q91" s="23"/>
    </row>
    <row r="92" spans="1:17" x14ac:dyDescent="0.2">
      <c r="A92" s="32"/>
      <c r="B92" s="31"/>
      <c r="C92" s="23"/>
      <c r="D92" s="23"/>
      <c r="E92" s="23"/>
      <c r="F92" s="23"/>
      <c r="G92" s="23"/>
      <c r="H92" s="23"/>
      <c r="I92" s="23"/>
      <c r="J92" s="23"/>
      <c r="K92" s="23"/>
      <c r="L92" s="23"/>
      <c r="M92" s="23"/>
      <c r="N92" s="23"/>
      <c r="O92" s="23"/>
      <c r="P92" s="23"/>
      <c r="Q92" s="23"/>
    </row>
    <row r="93" spans="1:17" x14ac:dyDescent="0.2">
      <c r="A93" s="32"/>
      <c r="B93" s="31"/>
      <c r="C93" s="23"/>
      <c r="D93" s="23"/>
      <c r="E93" s="23"/>
      <c r="F93" s="23"/>
      <c r="G93" s="23"/>
      <c r="H93" s="23"/>
      <c r="I93" s="23"/>
      <c r="J93" s="23"/>
      <c r="K93" s="23"/>
      <c r="L93" s="23"/>
      <c r="M93" s="23"/>
      <c r="N93" s="23"/>
      <c r="O93" s="23"/>
      <c r="P93" s="23"/>
      <c r="Q93" s="23"/>
    </row>
    <row r="94" spans="1:17" x14ac:dyDescent="0.2">
      <c r="A94" s="32"/>
      <c r="B94" s="31"/>
      <c r="C94" s="23"/>
      <c r="D94" s="23"/>
      <c r="E94" s="23"/>
      <c r="F94" s="23"/>
      <c r="G94" s="23"/>
      <c r="H94" s="23"/>
      <c r="I94" s="23"/>
      <c r="J94" s="23"/>
      <c r="K94" s="23"/>
      <c r="L94" s="23"/>
      <c r="M94" s="23"/>
      <c r="N94" s="23"/>
      <c r="O94" s="23"/>
      <c r="P94" s="23"/>
      <c r="Q94" s="23"/>
    </row>
    <row r="95" spans="1:17" x14ac:dyDescent="0.2">
      <c r="A95" s="32"/>
      <c r="B95" s="31"/>
      <c r="C95" s="23"/>
      <c r="D95" s="23"/>
      <c r="E95" s="23"/>
      <c r="F95" s="23"/>
      <c r="G95" s="23"/>
      <c r="H95" s="23"/>
      <c r="I95" s="23"/>
      <c r="J95" s="23"/>
      <c r="K95" s="23"/>
      <c r="L95" s="23"/>
      <c r="M95" s="23"/>
      <c r="N95" s="23"/>
      <c r="O95" s="23"/>
      <c r="P95" s="23"/>
      <c r="Q95" s="23"/>
    </row>
    <row r="96" spans="1:17" x14ac:dyDescent="0.2">
      <c r="A96" s="32"/>
      <c r="B96" s="31"/>
      <c r="C96" s="23"/>
      <c r="D96" s="23"/>
      <c r="E96" s="23"/>
      <c r="F96" s="23"/>
      <c r="G96" s="23"/>
      <c r="H96" s="23"/>
      <c r="I96" s="23"/>
      <c r="J96" s="23"/>
      <c r="K96" s="23"/>
      <c r="L96" s="23"/>
      <c r="M96" s="23"/>
      <c r="N96" s="23"/>
      <c r="O96" s="23"/>
      <c r="P96" s="23"/>
      <c r="Q96" s="23"/>
    </row>
    <row r="97" spans="1:17" x14ac:dyDescent="0.2">
      <c r="A97" s="32"/>
      <c r="B97" s="31"/>
      <c r="C97" s="23"/>
      <c r="D97" s="23"/>
      <c r="E97" s="23"/>
      <c r="F97" s="23"/>
      <c r="G97" s="23"/>
      <c r="H97" s="23"/>
      <c r="I97" s="23"/>
      <c r="J97" s="23"/>
      <c r="K97" s="23"/>
      <c r="L97" s="23"/>
      <c r="M97" s="23"/>
      <c r="N97" s="23"/>
      <c r="O97" s="23"/>
      <c r="P97" s="23"/>
      <c r="Q97" s="23"/>
    </row>
    <row r="98" spans="1:17" x14ac:dyDescent="0.2">
      <c r="A98" s="32"/>
      <c r="B98" s="31"/>
      <c r="C98" s="23"/>
      <c r="D98" s="23"/>
      <c r="E98" s="23"/>
      <c r="F98" s="23"/>
      <c r="G98" s="23"/>
      <c r="H98" s="23"/>
      <c r="I98" s="23"/>
      <c r="J98" s="23"/>
      <c r="K98" s="23"/>
      <c r="L98" s="23"/>
      <c r="M98" s="23"/>
      <c r="N98" s="23"/>
      <c r="O98" s="23"/>
      <c r="P98" s="23"/>
      <c r="Q98" s="23"/>
    </row>
    <row r="99" spans="1:17" x14ac:dyDescent="0.2">
      <c r="A99" s="32"/>
      <c r="B99" s="31"/>
      <c r="C99" s="23"/>
      <c r="D99" s="23"/>
      <c r="E99" s="23"/>
      <c r="F99" s="23"/>
      <c r="G99" s="23"/>
      <c r="H99" s="23"/>
      <c r="I99" s="23"/>
      <c r="J99" s="23"/>
      <c r="K99" s="23"/>
      <c r="L99" s="23"/>
      <c r="M99" s="23"/>
      <c r="N99" s="23"/>
      <c r="O99" s="23"/>
      <c r="P99" s="23"/>
      <c r="Q99" s="23"/>
    </row>
    <row r="100" spans="1:17" x14ac:dyDescent="0.2">
      <c r="A100" s="32"/>
      <c r="B100" s="31"/>
      <c r="C100" s="23"/>
      <c r="D100" s="23"/>
      <c r="E100" s="23"/>
      <c r="F100" s="23"/>
      <c r="G100" s="23"/>
      <c r="H100" s="23"/>
      <c r="I100" s="23"/>
      <c r="J100" s="23"/>
      <c r="K100" s="23"/>
      <c r="L100" s="23"/>
      <c r="M100" s="23"/>
      <c r="N100" s="23"/>
      <c r="O100" s="23"/>
      <c r="P100" s="23"/>
      <c r="Q100" s="23"/>
    </row>
    <row r="101" spans="1:17" x14ac:dyDescent="0.2">
      <c r="A101" s="32"/>
      <c r="B101" s="31"/>
      <c r="C101" s="23"/>
      <c r="D101" s="23"/>
      <c r="E101" s="23"/>
      <c r="F101" s="23"/>
      <c r="G101" s="23"/>
      <c r="H101" s="23"/>
      <c r="I101" s="23"/>
      <c r="J101" s="23"/>
      <c r="K101" s="23"/>
      <c r="L101" s="23"/>
      <c r="M101" s="23"/>
      <c r="N101" s="23"/>
      <c r="O101" s="23"/>
      <c r="P101" s="23"/>
      <c r="Q101" s="23"/>
    </row>
    <row r="102" spans="1:17" x14ac:dyDescent="0.2">
      <c r="A102" s="32"/>
      <c r="B102" s="31"/>
      <c r="C102" s="23"/>
      <c r="D102" s="23"/>
      <c r="E102" s="23"/>
      <c r="F102" s="23"/>
      <c r="G102" s="23"/>
      <c r="H102" s="23"/>
      <c r="I102" s="23"/>
      <c r="J102" s="23"/>
      <c r="K102" s="23"/>
      <c r="L102" s="23"/>
      <c r="M102" s="23"/>
      <c r="N102" s="23"/>
      <c r="O102" s="23"/>
      <c r="P102" s="23"/>
      <c r="Q102" s="23"/>
    </row>
    <row r="103" spans="1:17" x14ac:dyDescent="0.2">
      <c r="A103" s="32"/>
      <c r="B103" s="31"/>
      <c r="C103" s="23"/>
      <c r="D103" s="23"/>
      <c r="E103" s="23"/>
      <c r="F103" s="23"/>
      <c r="G103" s="23"/>
      <c r="H103" s="23"/>
      <c r="I103" s="23"/>
      <c r="J103" s="23"/>
      <c r="K103" s="23"/>
      <c r="L103" s="23"/>
      <c r="M103" s="23"/>
      <c r="N103" s="23"/>
      <c r="O103" s="23"/>
      <c r="P103" s="23"/>
      <c r="Q103" s="23"/>
    </row>
    <row r="104" spans="1:17" x14ac:dyDescent="0.2">
      <c r="A104" s="32"/>
      <c r="B104" s="31"/>
      <c r="C104" s="23"/>
      <c r="D104" s="23"/>
      <c r="E104" s="23"/>
      <c r="F104" s="23"/>
      <c r="G104" s="23"/>
      <c r="H104" s="23"/>
      <c r="I104" s="23"/>
      <c r="J104" s="23"/>
      <c r="K104" s="23"/>
      <c r="L104" s="23"/>
      <c r="M104" s="23"/>
      <c r="N104" s="23"/>
      <c r="O104" s="23"/>
      <c r="P104" s="23"/>
      <c r="Q104" s="23"/>
    </row>
  </sheetData>
  <sheetProtection password="9A15" sheet="1" objects="1" scenarios="1" selectLockedCells="1"/>
  <mergeCells count="17">
    <mergeCell ref="P1:P4"/>
    <mergeCell ref="Q1:Q4"/>
    <mergeCell ref="E1:E4"/>
    <mergeCell ref="G1:G4"/>
    <mergeCell ref="I1:I4"/>
    <mergeCell ref="O1:O4"/>
    <mergeCell ref="A1:B1"/>
    <mergeCell ref="L1:L4"/>
    <mergeCell ref="M1:M4"/>
    <mergeCell ref="N1:N4"/>
    <mergeCell ref="C1:C4"/>
    <mergeCell ref="H1:H4"/>
    <mergeCell ref="F1:F4"/>
    <mergeCell ref="J1:J4"/>
    <mergeCell ref="K1:K4"/>
    <mergeCell ref="A2:B2"/>
    <mergeCell ref="D1:D4"/>
  </mergeCells>
  <phoneticPr fontId="2" type="noConversion"/>
  <pageMargins left="0.5" right="0.5" top="1" bottom="1" header="0.5" footer="0.5"/>
  <pageSetup scale="86" fitToHeight="0" orientation="portrait" r:id="rId1"/>
  <headerFooter alignWithMargins="0">
    <oddHeader>&amp;C&amp;"Arial,Bold"&amp;14AmbassadorTrax&amp;12
Events Attended - &amp;D</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3" tint="0.39997558519241921"/>
  </sheetPr>
  <dimension ref="A1:U241"/>
  <sheetViews>
    <sheetView showGridLines="0" zoomScaleNormal="100" workbookViewId="0">
      <pane ySplit="4" topLeftCell="A5" activePane="bottomLeft" state="frozen"/>
      <selection pane="bottomLeft" activeCell="U7" sqref="U7:U240"/>
    </sheetView>
  </sheetViews>
  <sheetFormatPr defaultRowHeight="12.75" x14ac:dyDescent="0.2"/>
  <cols>
    <col min="1" max="1" width="14.42578125" style="3" customWidth="1"/>
    <col min="2" max="2" width="2.7109375" style="3" customWidth="1"/>
    <col min="3" max="3" width="34.140625" style="274" bestFit="1" customWidth="1"/>
    <col min="4" max="18" width="3.28515625" style="112" customWidth="1"/>
    <col min="19" max="16384" width="9.140625" style="3"/>
  </cols>
  <sheetData>
    <row r="1" spans="1:21" ht="15.75" customHeight="1" x14ac:dyDescent="0.2">
      <c r="A1" s="67"/>
      <c r="B1" s="119" t="s">
        <v>97</v>
      </c>
      <c r="C1" s="120">
        <f>Instructions!F3</f>
        <v>0</v>
      </c>
      <c r="D1" s="400" t="str">
        <f ca="1">'Ambassador 1'!$A$1</f>
        <v>Ambassador 1</v>
      </c>
      <c r="E1" s="400" t="str">
        <f ca="1">'Ambassador 2'!$A$1</f>
        <v>Ambassador 2</v>
      </c>
      <c r="F1" s="400" t="str">
        <f ca="1">'Ambassador 3'!$A$1</f>
        <v>Ambassador 3</v>
      </c>
      <c r="G1" s="400" t="str">
        <f ca="1">'Ambassador 4'!$A$1</f>
        <v>Ambassador 4</v>
      </c>
      <c r="H1" s="400" t="str">
        <f ca="1">'Ambassador 5'!$A$1</f>
        <v>Ambassador 5</v>
      </c>
      <c r="I1" s="400" t="str">
        <f ca="1">'Ambassador 6'!$A$1</f>
        <v>Ambassador 6</v>
      </c>
      <c r="J1" s="400" t="str">
        <f ca="1">'Ambassador 7'!$A$1</f>
        <v>Ambassador 7</v>
      </c>
      <c r="K1" s="400" t="str">
        <f ca="1">'Ambassador 8'!$A$1</f>
        <v>Ambassador 8</v>
      </c>
      <c r="L1" s="400" t="str">
        <f ca="1">'Ambassador 9'!$A$1</f>
        <v>Ambassador 9</v>
      </c>
      <c r="M1" s="400" t="str">
        <f ca="1">'Ambassador 10'!$A$1</f>
        <v>Ambassador 10</v>
      </c>
      <c r="N1" s="400" t="str">
        <f ca="1">'Ambassador 11'!$A$1</f>
        <v>Ambassador 11</v>
      </c>
      <c r="O1" s="400" t="str">
        <f ca="1">'Ambassador 12'!$A$1</f>
        <v>Ambassador 12</v>
      </c>
      <c r="P1" s="400" t="str">
        <f ca="1">'Ambassador 13'!$A$1</f>
        <v>Ambassador 13</v>
      </c>
      <c r="Q1" s="400" t="str">
        <f ca="1">'Ambassador 14'!$A$1</f>
        <v>Ambassador 14</v>
      </c>
      <c r="R1" s="400" t="str">
        <f ca="1">'Ambassador 15'!$A$1</f>
        <v>Ambassador 15</v>
      </c>
    </row>
    <row r="2" spans="1:21" ht="15.75" customHeight="1" x14ac:dyDescent="0.2">
      <c r="A2" s="67"/>
      <c r="B2" s="110" t="s">
        <v>98</v>
      </c>
      <c r="C2" s="270">
        <f>Instructions!F5</f>
        <v>0</v>
      </c>
      <c r="D2" s="401"/>
      <c r="E2" s="401"/>
      <c r="F2" s="401"/>
      <c r="G2" s="401"/>
      <c r="H2" s="401"/>
      <c r="I2" s="401"/>
      <c r="J2" s="401"/>
      <c r="K2" s="401"/>
      <c r="L2" s="401"/>
      <c r="M2" s="401"/>
      <c r="N2" s="401"/>
      <c r="O2" s="401"/>
      <c r="P2" s="401"/>
      <c r="Q2" s="401"/>
      <c r="R2" s="401"/>
    </row>
    <row r="3" spans="1:21" ht="15.75" customHeight="1" x14ac:dyDescent="0.2">
      <c r="A3" s="426" t="s">
        <v>78</v>
      </c>
      <c r="B3" s="427"/>
      <c r="C3" s="421"/>
      <c r="D3" s="401"/>
      <c r="E3" s="401"/>
      <c r="F3" s="401"/>
      <c r="G3" s="401"/>
      <c r="H3" s="401"/>
      <c r="I3" s="401"/>
      <c r="J3" s="401"/>
      <c r="K3" s="401"/>
      <c r="L3" s="401"/>
      <c r="M3" s="401"/>
      <c r="N3" s="401"/>
      <c r="O3" s="401"/>
      <c r="P3" s="401"/>
      <c r="Q3" s="401"/>
      <c r="R3" s="401"/>
    </row>
    <row r="4" spans="1:21" ht="15.75" customHeight="1" x14ac:dyDescent="0.2">
      <c r="D4" s="402"/>
      <c r="E4" s="402"/>
      <c r="F4" s="402"/>
      <c r="G4" s="402"/>
      <c r="H4" s="402"/>
      <c r="I4" s="402"/>
      <c r="J4" s="402"/>
      <c r="K4" s="402"/>
      <c r="L4" s="402"/>
      <c r="M4" s="402"/>
      <c r="N4" s="402"/>
      <c r="O4" s="402"/>
      <c r="P4" s="402"/>
      <c r="Q4" s="402"/>
      <c r="R4" s="402"/>
    </row>
    <row r="5" spans="1:21" ht="18" x14ac:dyDescent="0.2">
      <c r="A5" s="424" t="s">
        <v>99</v>
      </c>
      <c r="B5" s="425"/>
      <c r="C5" s="425"/>
      <c r="D5" s="425"/>
      <c r="E5" s="425"/>
      <c r="F5" s="425"/>
      <c r="G5" s="425"/>
      <c r="H5" s="425"/>
      <c r="I5" s="425"/>
      <c r="J5" s="425"/>
      <c r="K5" s="425"/>
      <c r="L5" s="425"/>
      <c r="M5" s="425"/>
      <c r="N5" s="425"/>
      <c r="O5" s="425"/>
      <c r="P5" s="425"/>
      <c r="Q5" s="425"/>
      <c r="R5" s="425"/>
    </row>
    <row r="6" spans="1:21" ht="15" x14ac:dyDescent="0.25">
      <c r="A6" s="6"/>
      <c r="B6" s="125" t="s">
        <v>151</v>
      </c>
      <c r="C6" s="126"/>
      <c r="D6" s="127"/>
      <c r="E6" s="127"/>
      <c r="F6" s="127"/>
      <c r="G6" s="127"/>
      <c r="H6" s="127"/>
      <c r="I6" s="127"/>
      <c r="J6" s="127"/>
      <c r="K6" s="127"/>
      <c r="L6" s="127"/>
      <c r="M6" s="127"/>
      <c r="N6" s="127"/>
      <c r="O6" s="127"/>
      <c r="P6" s="127"/>
      <c r="Q6" s="127"/>
      <c r="R6" s="127"/>
    </row>
    <row r="7" spans="1:21" x14ac:dyDescent="0.2">
      <c r="A7" s="6"/>
      <c r="B7" s="71">
        <v>1</v>
      </c>
      <c r="C7" s="276" t="s">
        <v>162</v>
      </c>
      <c r="D7" s="128"/>
      <c r="E7" s="129"/>
      <c r="F7" s="129"/>
      <c r="G7" s="129"/>
      <c r="H7" s="129"/>
      <c r="I7" s="129"/>
      <c r="J7" s="129"/>
      <c r="K7" s="129"/>
      <c r="L7" s="129"/>
      <c r="M7" s="129"/>
      <c r="N7" s="129"/>
      <c r="O7" s="129"/>
      <c r="P7" s="129"/>
      <c r="Q7" s="129"/>
      <c r="R7" s="129"/>
      <c r="U7" s="3" t="str">
        <f>GetComments(C7)</f>
        <v>Explore the power of photography Your goal in this badge is to tell a story important to you through photos. So before you delve into the technicalities of your camera and learn basic skills, use this step to explore the stories that photgraphy can tell.</v>
      </c>
    </row>
    <row r="8" spans="1:21" x14ac:dyDescent="0.2">
      <c r="A8" s="6"/>
      <c r="B8" s="130"/>
      <c r="C8" s="277" t="s">
        <v>167</v>
      </c>
      <c r="D8" s="50"/>
      <c r="E8" s="33"/>
      <c r="F8" s="33"/>
      <c r="G8" s="33"/>
      <c r="H8" s="33"/>
      <c r="I8" s="33"/>
      <c r="J8" s="33"/>
      <c r="K8" s="33"/>
      <c r="L8" s="33"/>
      <c r="M8" s="33"/>
      <c r="N8" s="33"/>
      <c r="O8" s="33"/>
      <c r="P8" s="33"/>
      <c r="Q8" s="33"/>
      <c r="R8" s="33"/>
      <c r="U8" s="3" t="str">
        <f t="shared" ref="U8:U71" si="0">GetComments(C8)</f>
        <v>Look at each photo without reading the accompanying text and see if you can "read" the story it tells. Note what makes at least 20 photos powerful, so you can try the techniques. If you can, gather reprodcutions of your  favorites to keep for reference.</v>
      </c>
    </row>
    <row r="9" spans="1:21" x14ac:dyDescent="0.2">
      <c r="A9" s="6"/>
      <c r="B9" s="130"/>
      <c r="C9" s="277" t="s">
        <v>168</v>
      </c>
      <c r="D9" s="50"/>
      <c r="E9" s="33"/>
      <c r="F9" s="33"/>
      <c r="G9" s="33"/>
      <c r="H9" s="33"/>
      <c r="I9" s="33"/>
      <c r="J9" s="33"/>
      <c r="K9" s="33"/>
      <c r="L9" s="33"/>
      <c r="M9" s="33"/>
      <c r="N9" s="33"/>
      <c r="O9" s="33"/>
      <c r="P9" s="33"/>
      <c r="Q9" s="33"/>
      <c r="R9" s="33"/>
      <c r="U9" s="3" t="str">
        <f t="shared" si="0"/>
        <v>Create a photography timeline. Make a timeline to show how photography has changed over the years, including at least 10 major moments in photography history. Then, find 10 or more photogaphs that are especially meaningful to you, research who took them and when, and add them to your timeline. Choose photos whose stories will help you develop ideas of your own.</v>
      </c>
    </row>
    <row r="10" spans="1:21" x14ac:dyDescent="0.2">
      <c r="A10" s="6"/>
      <c r="B10" s="130"/>
      <c r="C10" s="277" t="s">
        <v>142</v>
      </c>
      <c r="D10" s="131"/>
      <c r="E10" s="33"/>
      <c r="F10" s="33"/>
      <c r="G10" s="33"/>
      <c r="H10" s="33"/>
      <c r="I10" s="33"/>
      <c r="J10" s="33"/>
      <c r="K10" s="33"/>
      <c r="L10" s="33"/>
      <c r="M10" s="33"/>
      <c r="N10" s="33"/>
      <c r="O10" s="33"/>
      <c r="P10" s="33"/>
      <c r="Q10" s="33"/>
      <c r="R10" s="33"/>
      <c r="U10" s="3" t="str">
        <f t="shared" si="0"/>
        <v>Make sticky-note comics. Get the hang of comic stories by drawing one of these on a sticky note (rough, rough sketching, remember!):
a dog floating on a raft
a hawk diving
a girl at bat
Take another sticky note and add:
the cat that's swimming past the dog
the prey the hawk is diving for
the ball the girl is trying to hit
Now, take a third sticky note and add another element to each panel:
another cat chasing the first cat that's swimming past the dog
a larger hawk after the prey the hawk is diving for
the catcher waiting for the ball the girl is trying to hit
Now, imagine how these could be turned into a comic story. Then make up a story with friends.
FOR MORE FUN: Draw all nine scenarios and make them tell one story!</v>
      </c>
    </row>
    <row r="11" spans="1:21" x14ac:dyDescent="0.2">
      <c r="A11" s="6"/>
      <c r="B11" s="71">
        <v>2</v>
      </c>
      <c r="C11" s="132" t="s">
        <v>164</v>
      </c>
      <c r="D11" s="123" t="str">
        <f>IF(COUNTIF(D8:D10,"A")&gt;=1,"C",IF(COUNTIF(D8:D10,"A")&gt;0,"P"," "))</f>
        <v xml:space="preserve"> </v>
      </c>
      <c r="E11" s="123" t="str">
        <f t="shared" ref="E11:R11" si="1">IF(COUNTIF(E8:E10,"A")&gt;=1,"C",IF(COUNTIF(E8:E10,"A")&gt;0,"P"," "))</f>
        <v xml:space="preserve"> </v>
      </c>
      <c r="F11" s="123" t="str">
        <f t="shared" si="1"/>
        <v xml:space="preserve"> </v>
      </c>
      <c r="G11" s="123" t="str">
        <f t="shared" si="1"/>
        <v xml:space="preserve"> </v>
      </c>
      <c r="H11" s="123" t="str">
        <f t="shared" si="1"/>
        <v xml:space="preserve"> </v>
      </c>
      <c r="I11" s="123" t="str">
        <f t="shared" si="1"/>
        <v xml:space="preserve"> </v>
      </c>
      <c r="J11" s="123" t="str">
        <f t="shared" si="1"/>
        <v xml:space="preserve"> </v>
      </c>
      <c r="K11" s="123" t="str">
        <f t="shared" si="1"/>
        <v xml:space="preserve"> </v>
      </c>
      <c r="L11" s="123" t="str">
        <f t="shared" si="1"/>
        <v xml:space="preserve"> </v>
      </c>
      <c r="M11" s="123" t="str">
        <f t="shared" si="1"/>
        <v xml:space="preserve"> </v>
      </c>
      <c r="N11" s="123" t="str">
        <f t="shared" si="1"/>
        <v xml:space="preserve"> </v>
      </c>
      <c r="O11" s="123" t="str">
        <f t="shared" si="1"/>
        <v xml:space="preserve"> </v>
      </c>
      <c r="P11" s="123" t="str">
        <f t="shared" si="1"/>
        <v xml:space="preserve"> </v>
      </c>
      <c r="Q11" s="123" t="str">
        <f t="shared" si="1"/>
        <v xml:space="preserve"> </v>
      </c>
      <c r="R11" s="123" t="str">
        <f t="shared" si="1"/>
        <v xml:space="preserve"> </v>
      </c>
      <c r="U11" s="3" t="str">
        <f t="shared" si="0"/>
        <v>Focus on composition: Shoot five landscapes Now, it's time to get into photo basics! Do a little reseach into the four elements of composition: the "rule of thirds," framing, depth, and lead lines. When you photograph your landscapes, keep composition guidelines in mind.</v>
      </c>
    </row>
    <row r="12" spans="1:21" x14ac:dyDescent="0.2">
      <c r="A12" s="6"/>
      <c r="B12" s="130"/>
      <c r="C12" s="277" t="s">
        <v>169</v>
      </c>
      <c r="D12" s="89"/>
      <c r="E12" s="33"/>
      <c r="F12" s="33"/>
      <c r="G12" s="33"/>
      <c r="H12" s="33"/>
      <c r="I12" s="33"/>
      <c r="J12" s="33"/>
      <c r="K12" s="33"/>
      <c r="L12" s="33"/>
      <c r="M12" s="33"/>
      <c r="N12" s="33"/>
      <c r="O12" s="33"/>
      <c r="P12" s="33"/>
      <c r="Q12" s="33"/>
      <c r="R12" s="33"/>
      <c r="U12" s="3" t="str">
        <f t="shared" si="0"/>
        <v>Capture a day in the life. Shoot one scene at five intervals throughout one day. If there are people in the scene, how can you turn them into part of the landscape.</v>
      </c>
    </row>
    <row r="13" spans="1:21" x14ac:dyDescent="0.2">
      <c r="A13" s="6"/>
      <c r="B13" s="130"/>
      <c r="C13" s="277" t="s">
        <v>171</v>
      </c>
      <c r="D13" s="33"/>
      <c r="E13" s="33"/>
      <c r="F13" s="33"/>
      <c r="G13" s="33"/>
      <c r="H13" s="33"/>
      <c r="I13" s="33"/>
      <c r="J13" s="33"/>
      <c r="K13" s="33"/>
      <c r="L13" s="33"/>
      <c r="M13" s="33"/>
      <c r="N13" s="33"/>
      <c r="O13" s="33"/>
      <c r="P13" s="33"/>
      <c r="Q13" s="33"/>
      <c r="R13" s="33"/>
      <c r="U13" s="3" t="str">
        <f t="shared" si="0"/>
        <v>Photograph weather patterns. Is a strom coming in? Take five photos at different stages - before, during, and after the storm.</v>
      </c>
    </row>
    <row r="14" spans="1:21" x14ac:dyDescent="0.2">
      <c r="A14" s="6"/>
      <c r="B14" s="130"/>
      <c r="C14" s="277" t="s">
        <v>170</v>
      </c>
      <c r="D14" s="33"/>
      <c r="E14" s="33"/>
      <c r="F14" s="33"/>
      <c r="G14" s="33"/>
      <c r="H14" s="33"/>
      <c r="I14" s="33"/>
      <c r="J14" s="33"/>
      <c r="K14" s="33"/>
      <c r="L14" s="33"/>
      <c r="M14" s="33"/>
      <c r="N14" s="33"/>
      <c r="O14" s="33"/>
      <c r="P14" s="33"/>
      <c r="Q14" s="33"/>
      <c r="R14" s="33"/>
      <c r="U14" s="3" t="str">
        <f t="shared" si="0"/>
        <v>Take 5 photos form a different vantage point. Try to shoot images from above, below, or at some other angle. You might capture the landscape in a 360-degree panorama.</v>
      </c>
    </row>
    <row r="15" spans="1:21" x14ac:dyDescent="0.2">
      <c r="A15" s="6"/>
      <c r="B15" s="71">
        <v>3</v>
      </c>
      <c r="C15" s="132" t="s">
        <v>165</v>
      </c>
      <c r="D15" s="123" t="str">
        <f>IF(COUNTIF(D12:D14,"A")&gt;=1,"C",IF(COUNTIF(D12:D14,"A")&gt;0,"P"," "))</f>
        <v xml:space="preserve"> </v>
      </c>
      <c r="E15" s="123" t="str">
        <f t="shared" ref="E15:R15" si="2">IF(COUNTIF(E12:E14,"A")&gt;=1,"C",IF(COUNTIF(E12:E14,"A")&gt;0,"P"," "))</f>
        <v xml:space="preserve"> </v>
      </c>
      <c r="F15" s="123" t="str">
        <f t="shared" si="2"/>
        <v xml:space="preserve"> </v>
      </c>
      <c r="G15" s="123" t="str">
        <f t="shared" si="2"/>
        <v xml:space="preserve"> </v>
      </c>
      <c r="H15" s="123" t="str">
        <f t="shared" si="2"/>
        <v xml:space="preserve"> </v>
      </c>
      <c r="I15" s="123" t="str">
        <f t="shared" si="2"/>
        <v xml:space="preserve"> </v>
      </c>
      <c r="J15" s="123" t="str">
        <f t="shared" si="2"/>
        <v xml:space="preserve"> </v>
      </c>
      <c r="K15" s="123" t="str">
        <f t="shared" si="2"/>
        <v xml:space="preserve"> </v>
      </c>
      <c r="L15" s="123" t="str">
        <f t="shared" si="2"/>
        <v xml:space="preserve"> </v>
      </c>
      <c r="M15" s="123" t="str">
        <f t="shared" si="2"/>
        <v xml:space="preserve"> </v>
      </c>
      <c r="N15" s="123" t="str">
        <f t="shared" si="2"/>
        <v xml:space="preserve"> </v>
      </c>
      <c r="O15" s="123" t="str">
        <f t="shared" si="2"/>
        <v xml:space="preserve"> </v>
      </c>
      <c r="P15" s="123" t="str">
        <f t="shared" si="2"/>
        <v xml:space="preserve"> </v>
      </c>
      <c r="Q15" s="123" t="str">
        <f t="shared" si="2"/>
        <v xml:space="preserve"> </v>
      </c>
      <c r="R15" s="123" t="str">
        <f t="shared" si="2"/>
        <v xml:space="preserve"> </v>
      </c>
      <c r="U15" s="3" t="str">
        <f t="shared" si="0"/>
        <v>Focus on light: Shoot five portraits or still lifes What features do you want to capture about a person: her fashion sense, her love or serenity? What features of an object do you want to showcase: a vase's smooth surface, a cactus's sping texture? As you take five partraits or still-life scenes, experiment with light to see how it can help you emphasize the features you choose. Try flash, natural light, using a flash outdoors, or a light source you create.</v>
      </c>
    </row>
    <row r="16" spans="1:21" x14ac:dyDescent="0.2">
      <c r="A16" s="6"/>
      <c r="B16" s="130"/>
      <c r="C16" s="277" t="s">
        <v>172</v>
      </c>
      <c r="D16" s="33"/>
      <c r="E16" s="33"/>
      <c r="F16" s="33"/>
      <c r="G16" s="33"/>
      <c r="H16" s="33"/>
      <c r="I16" s="33"/>
      <c r="J16" s="33"/>
      <c r="K16" s="33"/>
      <c r="L16" s="33"/>
      <c r="M16" s="33"/>
      <c r="N16" s="33"/>
      <c r="O16" s="33"/>
      <c r="P16" s="33"/>
      <c r="Q16" s="33"/>
      <c r="R16" s="33"/>
      <c r="U16" s="3" t="str">
        <f t="shared" si="0"/>
        <v>Invite friends to a shoot day. Set it up with fun locations, wardrobe, and props, and lay around with the placement of people and objects to create your five shots.</v>
      </c>
    </row>
    <row r="17" spans="1:21" x14ac:dyDescent="0.2">
      <c r="A17" s="6"/>
      <c r="B17" s="130"/>
      <c r="C17" s="277" t="s">
        <v>173</v>
      </c>
      <c r="D17" s="33"/>
      <c r="E17" s="33"/>
      <c r="F17" s="33"/>
      <c r="G17" s="33"/>
      <c r="H17" s="33"/>
      <c r="I17" s="33"/>
      <c r="J17" s="33"/>
      <c r="K17" s="33"/>
      <c r="L17" s="33"/>
      <c r="M17" s="33"/>
      <c r="N17" s="33"/>
      <c r="O17" s="33"/>
      <c r="P17" s="33"/>
      <c r="Q17" s="33"/>
      <c r="R17" s="33"/>
      <c r="U17" s="3" t="str">
        <f t="shared" si="0"/>
        <v>Capture the same person or object from five different perspectives.  You might play around with more than light: What about distance from the object(s), zoom, and angle? If you're taking portraits, experiment with posed and candid shots.</v>
      </c>
    </row>
    <row r="18" spans="1:21" x14ac:dyDescent="0.2">
      <c r="A18" s="6"/>
      <c r="B18" s="130"/>
      <c r="C18" s="277" t="s">
        <v>174</v>
      </c>
      <c r="D18" s="33"/>
      <c r="E18" s="33"/>
      <c r="F18" s="33"/>
      <c r="G18" s="33"/>
      <c r="H18" s="33"/>
      <c r="I18" s="33"/>
      <c r="J18" s="33"/>
      <c r="K18" s="33"/>
      <c r="L18" s="33"/>
      <c r="M18" s="33"/>
      <c r="N18" s="33"/>
      <c r="O18" s="33"/>
      <c r="P18" s="33"/>
      <c r="Q18" s="33"/>
      <c r="R18" s="33"/>
      <c r="U18" s="3" t="str">
        <f t="shared" si="0"/>
        <v>Grow your image. Start small and photograph one person or item, then begin to add others, so your image "grows" in each of your five photos. See how the light affects its shadows and shapes, and how different textures and colors interact.</v>
      </c>
    </row>
    <row r="19" spans="1:21" x14ac:dyDescent="0.2">
      <c r="A19" s="6"/>
      <c r="B19" s="71">
        <v>4</v>
      </c>
      <c r="C19" s="132" t="s">
        <v>166</v>
      </c>
      <c r="D19" s="123" t="str">
        <f>IF(COUNTIF(D16:D18,"A")&gt;=1,"C",IF(COUNTIF(D16:D18,"A")&gt;0,"P"," "))</f>
        <v xml:space="preserve"> </v>
      </c>
      <c r="E19" s="123" t="str">
        <f t="shared" ref="E19:R19" si="3">IF(COUNTIF(E16:E18,"A")&gt;=1,"C",IF(COUNTIF(E16:E18,"A")&gt;0,"P"," "))</f>
        <v xml:space="preserve"> </v>
      </c>
      <c r="F19" s="123" t="str">
        <f t="shared" si="3"/>
        <v xml:space="preserve"> </v>
      </c>
      <c r="G19" s="123" t="str">
        <f t="shared" si="3"/>
        <v xml:space="preserve"> </v>
      </c>
      <c r="H19" s="123" t="str">
        <f t="shared" si="3"/>
        <v xml:space="preserve"> </v>
      </c>
      <c r="I19" s="123" t="str">
        <f t="shared" si="3"/>
        <v xml:space="preserve"> </v>
      </c>
      <c r="J19" s="123" t="str">
        <f t="shared" si="3"/>
        <v xml:space="preserve"> </v>
      </c>
      <c r="K19" s="123" t="str">
        <f t="shared" si="3"/>
        <v xml:space="preserve"> </v>
      </c>
      <c r="L19" s="123" t="str">
        <f t="shared" si="3"/>
        <v xml:space="preserve"> </v>
      </c>
      <c r="M19" s="123" t="str">
        <f t="shared" si="3"/>
        <v xml:space="preserve"> </v>
      </c>
      <c r="N19" s="123" t="str">
        <f t="shared" si="3"/>
        <v xml:space="preserve"> </v>
      </c>
      <c r="O19" s="123" t="str">
        <f t="shared" si="3"/>
        <v xml:space="preserve"> </v>
      </c>
      <c r="P19" s="123" t="str">
        <f t="shared" si="3"/>
        <v xml:space="preserve"> </v>
      </c>
      <c r="Q19" s="123" t="str">
        <f t="shared" si="3"/>
        <v xml:space="preserve"> </v>
      </c>
      <c r="R19" s="123" t="str">
        <f t="shared" si="3"/>
        <v xml:space="preserve"> </v>
      </c>
      <c r="U19" s="3" t="str">
        <f t="shared" si="0"/>
        <v>Focus on motion: Shoot five acion shots Try to stop motion and retain a strong sense of movement by doing one of the choices below.</v>
      </c>
    </row>
    <row r="20" spans="1:21" x14ac:dyDescent="0.2">
      <c r="A20" s="6"/>
      <c r="B20" s="130"/>
      <c r="C20" s="277" t="s">
        <v>177</v>
      </c>
      <c r="D20" s="33"/>
      <c r="E20" s="33"/>
      <c r="F20" s="33"/>
      <c r="G20" s="33"/>
      <c r="H20" s="33"/>
      <c r="I20" s="33"/>
      <c r="J20" s="33"/>
      <c r="K20" s="33"/>
      <c r="L20" s="33"/>
      <c r="M20" s="33"/>
      <c r="N20" s="33"/>
      <c r="O20" s="33"/>
      <c r="P20" s="33"/>
      <c r="Q20" s="33"/>
      <c r="R20" s="88"/>
      <c r="U20" s="3" t="str">
        <f t="shared" si="0"/>
        <v>Take photos of a group or an individual in motion. A group could be a sports team, a dance company or your friends running. Cature an individual in five stages: maybe a pole vaulter icking up her pole, running, take off, going over the pole, and landing… or five quick shots at the top.</v>
      </c>
    </row>
    <row r="21" spans="1:21" x14ac:dyDescent="0.2">
      <c r="A21" s="6"/>
      <c r="B21" s="130"/>
      <c r="C21" s="277" t="s">
        <v>175</v>
      </c>
      <c r="D21" s="33"/>
      <c r="E21" s="33"/>
      <c r="F21" s="33"/>
      <c r="G21" s="33"/>
      <c r="H21" s="33"/>
      <c r="I21" s="33"/>
      <c r="J21" s="33"/>
      <c r="K21" s="33"/>
      <c r="L21" s="33"/>
      <c r="M21" s="33"/>
      <c r="N21" s="33"/>
      <c r="O21" s="33"/>
      <c r="P21" s="33"/>
      <c r="Q21" s="33"/>
      <c r="R21" s="88"/>
      <c r="U21" s="3" t="str">
        <f t="shared" si="0"/>
        <v>Take photos of faces in motion. Capture five different faces in action, or the same person with five different active expressions - perhaps a growing smile, a nod, a wink, a blink, or a vigorous head shake.</v>
      </c>
    </row>
    <row r="22" spans="1:21" x14ac:dyDescent="0.2">
      <c r="A22" s="6"/>
      <c r="B22" s="130"/>
      <c r="C22" s="277" t="s">
        <v>176</v>
      </c>
      <c r="D22" s="33"/>
      <c r="E22" s="33"/>
      <c r="F22" s="33"/>
      <c r="G22" s="33"/>
      <c r="H22" s="33"/>
      <c r="I22" s="33"/>
      <c r="J22" s="33"/>
      <c r="K22" s="33"/>
      <c r="L22" s="33"/>
      <c r="M22" s="33"/>
      <c r="N22" s="33"/>
      <c r="O22" s="33"/>
      <c r="P22" s="33"/>
      <c r="Q22" s="33"/>
      <c r="R22" s="88"/>
      <c r="U22" s="3" t="str">
        <f t="shared" si="0"/>
        <v xml:space="preserve">Take photos of objects in motion.  Shoot five different objects, or one object in five different stages of motion - perhas a basketball, a fast car, a falling leaf, or a festive spritz of bubbles. </v>
      </c>
    </row>
    <row r="23" spans="1:21" x14ac:dyDescent="0.2">
      <c r="A23" s="6"/>
      <c r="B23" s="71">
        <v>5</v>
      </c>
      <c r="C23" s="132" t="s">
        <v>163</v>
      </c>
      <c r="D23" s="123" t="str">
        <f>IF(COUNTIF(D20:D22,"A")&gt;=1,"C",IF(COUNTIF(D20:D22,"A")&gt;0,"P"," "))</f>
        <v xml:space="preserve"> </v>
      </c>
      <c r="E23" s="123" t="str">
        <f t="shared" ref="E23:R23" si="4">IF(COUNTIF(E20:E22,"A")&gt;=1,"C",IF(COUNTIF(E20:E22,"A")&gt;0,"P"," "))</f>
        <v xml:space="preserve"> </v>
      </c>
      <c r="F23" s="123" t="str">
        <f t="shared" si="4"/>
        <v xml:space="preserve"> </v>
      </c>
      <c r="G23" s="123" t="str">
        <f t="shared" si="4"/>
        <v xml:space="preserve"> </v>
      </c>
      <c r="H23" s="123" t="str">
        <f t="shared" si="4"/>
        <v xml:space="preserve"> </v>
      </c>
      <c r="I23" s="123" t="str">
        <f t="shared" si="4"/>
        <v xml:space="preserve"> </v>
      </c>
      <c r="J23" s="123" t="str">
        <f t="shared" si="4"/>
        <v xml:space="preserve"> </v>
      </c>
      <c r="K23" s="123" t="str">
        <f t="shared" si="4"/>
        <v xml:space="preserve"> </v>
      </c>
      <c r="L23" s="123" t="str">
        <f t="shared" si="4"/>
        <v xml:space="preserve"> </v>
      </c>
      <c r="M23" s="123" t="str">
        <f t="shared" si="4"/>
        <v xml:space="preserve"> </v>
      </c>
      <c r="N23" s="123" t="str">
        <f t="shared" si="4"/>
        <v xml:space="preserve"> </v>
      </c>
      <c r="O23" s="123" t="str">
        <f t="shared" si="4"/>
        <v xml:space="preserve"> </v>
      </c>
      <c r="P23" s="123" t="str">
        <f t="shared" si="4"/>
        <v xml:space="preserve"> </v>
      </c>
      <c r="Q23" s="123" t="str">
        <f t="shared" si="4"/>
        <v xml:space="preserve"> </v>
      </c>
      <c r="R23" s="123" t="str">
        <f t="shared" si="4"/>
        <v xml:space="preserve"> </v>
      </c>
      <c r="U23" s="3" t="str">
        <f t="shared" si="0"/>
        <v>Tell a story with photography Use your new skills to tell a photographic story that means something to you. Do you want to show others a cause close to your heart, or create the story of you for a resume or college application? Take your photographs, then share them in one of these ways.</v>
      </c>
    </row>
    <row r="24" spans="1:21" x14ac:dyDescent="0.2">
      <c r="A24" s="6"/>
      <c r="B24" s="46"/>
      <c r="C24" s="278" t="s">
        <v>178</v>
      </c>
      <c r="D24" s="33"/>
      <c r="E24" s="33"/>
      <c r="F24" s="33"/>
      <c r="G24" s="33"/>
      <c r="H24" s="33"/>
      <c r="I24" s="33"/>
      <c r="J24" s="33"/>
      <c r="K24" s="33"/>
      <c r="L24" s="33"/>
      <c r="M24" s="33"/>
      <c r="N24" s="33"/>
      <c r="O24" s="33"/>
      <c r="P24" s="33"/>
      <c r="Q24" s="33"/>
      <c r="R24" s="33"/>
      <c r="U24" s="3" t="str">
        <f t="shared" si="0"/>
        <v>Stage a photo exhibit.  Show your photos at home, school or at a community center.</v>
      </c>
    </row>
    <row r="25" spans="1:21" x14ac:dyDescent="0.2">
      <c r="A25" s="6"/>
      <c r="B25" s="46"/>
      <c r="C25" s="278" t="s">
        <v>179</v>
      </c>
      <c r="D25" s="33"/>
      <c r="E25" s="33"/>
      <c r="F25" s="33"/>
      <c r="G25" s="33"/>
      <c r="H25" s="33"/>
      <c r="I25" s="33"/>
      <c r="J25" s="33"/>
      <c r="K25" s="33"/>
      <c r="L25" s="33"/>
      <c r="M25" s="33"/>
      <c r="N25" s="33"/>
      <c r="O25" s="33"/>
      <c r="P25" s="33"/>
      <c r="Q25" s="33"/>
      <c r="R25" s="33"/>
      <c r="U25" s="3" t="str">
        <f t="shared" si="0"/>
        <v xml:space="preserve">Make a digital slide show.  Post your photographic story in a private online space for family and friends. </v>
      </c>
    </row>
    <row r="26" spans="1:21" x14ac:dyDescent="0.2">
      <c r="A26" s="6"/>
      <c r="B26" s="46"/>
      <c r="C26" s="278" t="s">
        <v>180</v>
      </c>
      <c r="D26" s="88"/>
      <c r="E26" s="88"/>
      <c r="F26" s="88"/>
      <c r="G26" s="88"/>
      <c r="H26" s="88"/>
      <c r="I26" s="88"/>
      <c r="J26" s="88"/>
      <c r="K26" s="88"/>
      <c r="L26" s="88"/>
      <c r="M26" s="88"/>
      <c r="N26" s="88"/>
      <c r="O26" s="88"/>
      <c r="P26" s="88"/>
      <c r="Q26" s="88"/>
      <c r="R26" s="88"/>
      <c r="U26" s="3" t="str">
        <f t="shared" si="0"/>
        <v>Create a photo album or scrapbook.  Share your creation with others.</v>
      </c>
    </row>
    <row r="27" spans="1:21" ht="1.5" customHeight="1" thickBot="1" x14ac:dyDescent="0.25">
      <c r="A27" s="6"/>
      <c r="B27" s="46"/>
      <c r="C27" s="279"/>
      <c r="D27" s="123" t="str">
        <f>IF(COUNTIF(D24:D26,"A")&gt;=1,"C",IF(COUNTIF(D24:D26,"A")&gt;0,"P"," "))</f>
        <v xml:space="preserve"> </v>
      </c>
      <c r="E27" s="123" t="str">
        <f t="shared" ref="E27:R27" si="5">IF(COUNTIF(E24:E26,"A")&gt;=1,"C",IF(COUNTIF(E24:E26,"A")&gt;0,"P"," "))</f>
        <v xml:space="preserve"> </v>
      </c>
      <c r="F27" s="123" t="str">
        <f t="shared" si="5"/>
        <v xml:space="preserve"> </v>
      </c>
      <c r="G27" s="123" t="str">
        <f t="shared" si="5"/>
        <v xml:space="preserve"> </v>
      </c>
      <c r="H27" s="123" t="str">
        <f t="shared" si="5"/>
        <v xml:space="preserve"> </v>
      </c>
      <c r="I27" s="123" t="str">
        <f t="shared" si="5"/>
        <v xml:space="preserve"> </v>
      </c>
      <c r="J27" s="123" t="str">
        <f t="shared" si="5"/>
        <v xml:space="preserve"> </v>
      </c>
      <c r="K27" s="123" t="str">
        <f t="shared" si="5"/>
        <v xml:space="preserve"> </v>
      </c>
      <c r="L27" s="123" t="str">
        <f t="shared" si="5"/>
        <v xml:space="preserve"> </v>
      </c>
      <c r="M27" s="123" t="str">
        <f t="shared" si="5"/>
        <v xml:space="preserve"> </v>
      </c>
      <c r="N27" s="123" t="str">
        <f t="shared" si="5"/>
        <v xml:space="preserve"> </v>
      </c>
      <c r="O27" s="123" t="str">
        <f t="shared" si="5"/>
        <v xml:space="preserve"> </v>
      </c>
      <c r="P27" s="123" t="str">
        <f t="shared" si="5"/>
        <v xml:space="preserve"> </v>
      </c>
      <c r="Q27" s="123" t="str">
        <f t="shared" si="5"/>
        <v xml:space="preserve"> </v>
      </c>
      <c r="R27" s="123" t="str">
        <f t="shared" si="5"/>
        <v xml:space="preserve"> </v>
      </c>
      <c r="U27" s="3" t="str">
        <f t="shared" si="0"/>
        <v/>
      </c>
    </row>
    <row r="28" spans="1:21" ht="13.5" thickBot="1" x14ac:dyDescent="0.25">
      <c r="A28" s="6"/>
      <c r="B28" s="111"/>
      <c r="C28" s="74" t="s">
        <v>27</v>
      </c>
      <c r="D28" s="93" t="str">
        <f>IF(COUNTIF(D11:D27,"C")&gt;4,"C",IF(COUNTIF(D11:D27,"C")&gt;0,"P"," "))</f>
        <v xml:space="preserve"> </v>
      </c>
      <c r="E28" s="93" t="str">
        <f t="shared" ref="E28:R28" si="6">IF(COUNTIF(E11:E27,"C")&gt;4,"C",IF(COUNTIF(E11:E27,"C")&gt;0,"P"," "))</f>
        <v xml:space="preserve"> </v>
      </c>
      <c r="F28" s="93" t="str">
        <f t="shared" si="6"/>
        <v xml:space="preserve"> </v>
      </c>
      <c r="G28" s="93" t="str">
        <f t="shared" si="6"/>
        <v xml:space="preserve"> </v>
      </c>
      <c r="H28" s="93" t="str">
        <f t="shared" si="6"/>
        <v xml:space="preserve"> </v>
      </c>
      <c r="I28" s="93" t="str">
        <f t="shared" si="6"/>
        <v xml:space="preserve"> </v>
      </c>
      <c r="J28" s="93" t="str">
        <f t="shared" si="6"/>
        <v xml:space="preserve"> </v>
      </c>
      <c r="K28" s="93" t="str">
        <f t="shared" si="6"/>
        <v xml:space="preserve"> </v>
      </c>
      <c r="L28" s="93" t="str">
        <f t="shared" si="6"/>
        <v xml:space="preserve"> </v>
      </c>
      <c r="M28" s="93" t="str">
        <f t="shared" si="6"/>
        <v xml:space="preserve"> </v>
      </c>
      <c r="N28" s="93" t="str">
        <f t="shared" si="6"/>
        <v xml:space="preserve"> </v>
      </c>
      <c r="O28" s="93" t="str">
        <f t="shared" si="6"/>
        <v xml:space="preserve"> </v>
      </c>
      <c r="P28" s="93" t="str">
        <f t="shared" si="6"/>
        <v xml:space="preserve"> </v>
      </c>
      <c r="Q28" s="93" t="str">
        <f t="shared" si="6"/>
        <v xml:space="preserve"> </v>
      </c>
      <c r="R28" s="93" t="str">
        <f t="shared" si="6"/>
        <v xml:space="preserve"> </v>
      </c>
      <c r="U28" s="3" t="str">
        <f t="shared" si="0"/>
        <v/>
      </c>
    </row>
    <row r="29" spans="1:21" ht="15" x14ac:dyDescent="0.25">
      <c r="A29" s="6"/>
      <c r="B29" s="125" t="s">
        <v>152</v>
      </c>
      <c r="C29" s="126"/>
      <c r="D29" s="127"/>
      <c r="E29" s="127"/>
      <c r="F29" s="127"/>
      <c r="G29" s="127"/>
      <c r="H29" s="127"/>
      <c r="I29" s="127"/>
      <c r="J29" s="127"/>
      <c r="K29" s="127"/>
      <c r="L29" s="127"/>
      <c r="M29" s="127"/>
      <c r="N29" s="127"/>
      <c r="O29" s="127"/>
      <c r="P29" s="127"/>
      <c r="Q29" s="127"/>
      <c r="R29" s="127"/>
      <c r="U29" s="3" t="str">
        <f t="shared" si="0"/>
        <v/>
      </c>
    </row>
    <row r="30" spans="1:21" x14ac:dyDescent="0.2">
      <c r="A30" s="6"/>
      <c r="B30" s="71">
        <v>1</v>
      </c>
      <c r="C30" s="276" t="s">
        <v>181</v>
      </c>
      <c r="D30" s="128"/>
      <c r="E30" s="129"/>
      <c r="F30" s="129"/>
      <c r="G30" s="129"/>
      <c r="H30" s="129"/>
      <c r="I30" s="129"/>
      <c r="J30" s="129"/>
      <c r="K30" s="129"/>
      <c r="L30" s="129"/>
      <c r="M30" s="129"/>
      <c r="N30" s="129"/>
      <c r="O30" s="129"/>
      <c r="P30" s="129"/>
      <c r="Q30" s="129"/>
      <c r="R30" s="129"/>
      <c r="U30" s="3" t="str">
        <f t="shared" si="0"/>
        <v>Begin to outline your coaching strategy Before you identify your team and the activity you plan to coach, dig into coaching strategies. In this step, focus on three areas: how to motivate a team, how to train, and how to assess progress. After you've gathered tips from pros, gather the tips together, and start your personal coaching playbook. (As you grow through the badge with more ideas observations, you can add to the pllaybook - it's your personal and inspirational reference.)</v>
      </c>
    </row>
    <row r="31" spans="1:21" x14ac:dyDescent="0.2">
      <c r="A31" s="6"/>
      <c r="B31" s="130"/>
      <c r="C31" s="277" t="s">
        <v>186</v>
      </c>
      <c r="D31" s="50"/>
      <c r="E31" s="33"/>
      <c r="F31" s="33"/>
      <c r="G31" s="33"/>
      <c r="H31" s="33"/>
      <c r="I31" s="33"/>
      <c r="J31" s="33"/>
      <c r="K31" s="33"/>
      <c r="L31" s="33"/>
      <c r="M31" s="33"/>
      <c r="N31" s="33"/>
      <c r="O31" s="33"/>
      <c r="P31" s="33"/>
      <c r="Q31" s="33"/>
      <c r="R31" s="33"/>
      <c r="U31" s="3" t="str">
        <f t="shared" si="0"/>
        <v xml:space="preserve">Talk to a great coach or highly experienced athlete.  Ask for insights from a coach or a professional or amateur athlete. It might be someone who coaches at or plays for a school, an after-school program, or a local college or univeristy. If possible, shodow them during a practice or a game. You might ask to see a plybook - and take notes!
</v>
      </c>
    </row>
    <row r="32" spans="1:21" x14ac:dyDescent="0.2">
      <c r="A32" s="6"/>
      <c r="B32" s="130"/>
      <c r="C32" s="277" t="s">
        <v>187</v>
      </c>
      <c r="D32" s="50"/>
      <c r="E32" s="33"/>
      <c r="F32" s="33"/>
      <c r="G32" s="33"/>
      <c r="H32" s="33"/>
      <c r="I32" s="33"/>
      <c r="J32" s="33"/>
      <c r="K32" s="33"/>
      <c r="L32" s="33"/>
      <c r="M32" s="33"/>
      <c r="N32" s="33"/>
      <c r="O32" s="33"/>
      <c r="P32" s="33"/>
      <c r="Q32" s="33"/>
      <c r="R32" s="33"/>
      <c r="U32" s="3" t="str">
        <f t="shared" si="0"/>
        <v>Watch three sports documentaries.  The sport doesn't have to be the one you'll coach - this is about the nitty-gritty of strategy. As you watch, keep the three focus categories in mind, and analyze what makes the coaches you see successful.</v>
      </c>
    </row>
    <row r="33" spans="1:21" x14ac:dyDescent="0.2">
      <c r="A33" s="6"/>
      <c r="B33" s="130"/>
      <c r="C33" s="277" t="s">
        <v>188</v>
      </c>
      <c r="D33" s="131"/>
      <c r="E33" s="33"/>
      <c r="F33" s="33"/>
      <c r="G33" s="33"/>
      <c r="H33" s="33"/>
      <c r="I33" s="33"/>
      <c r="J33" s="33"/>
      <c r="K33" s="33"/>
      <c r="L33" s="33"/>
      <c r="M33" s="33"/>
      <c r="N33" s="33"/>
      <c r="O33" s="33"/>
      <c r="P33" s="33"/>
      <c r="Q33" s="33"/>
      <c r="R33" s="33"/>
      <c r="U33" s="3" t="str">
        <f t="shared" si="0"/>
        <v>Attend a coaching clinic seminar.  If there isn't a class nearby, check online for various coaching clinics and sports camps. At the clinic or seminar, look specifically for ideas about the three focus areas.</v>
      </c>
    </row>
    <row r="34" spans="1:21" x14ac:dyDescent="0.2">
      <c r="A34" s="6"/>
      <c r="B34" s="71">
        <v>2</v>
      </c>
      <c r="C34" s="132" t="s">
        <v>182</v>
      </c>
      <c r="D34" s="123" t="str">
        <f>IF(COUNTIF(D31:D33,"A")&gt;=1,"C",IF(COUNTIF(D31:D33,"A")&gt;0,"P"," "))</f>
        <v xml:space="preserve"> </v>
      </c>
      <c r="E34" s="123" t="str">
        <f t="shared" ref="E34:R34" si="7">IF(COUNTIF(E31:E33,"A")&gt;=1,"C",IF(COUNTIF(E31:E33,"A")&gt;0,"P"," "))</f>
        <v xml:space="preserve"> </v>
      </c>
      <c r="F34" s="123" t="str">
        <f t="shared" si="7"/>
        <v xml:space="preserve"> </v>
      </c>
      <c r="G34" s="123" t="str">
        <f t="shared" si="7"/>
        <v xml:space="preserve"> </v>
      </c>
      <c r="H34" s="123" t="str">
        <f t="shared" si="7"/>
        <v xml:space="preserve"> </v>
      </c>
      <c r="I34" s="123" t="str">
        <f t="shared" si="7"/>
        <v xml:space="preserve"> </v>
      </c>
      <c r="J34" s="123" t="str">
        <f t="shared" si="7"/>
        <v xml:space="preserve"> </v>
      </c>
      <c r="K34" s="123" t="str">
        <f t="shared" si="7"/>
        <v xml:space="preserve"> </v>
      </c>
      <c r="L34" s="123" t="str">
        <f t="shared" si="7"/>
        <v xml:space="preserve"> </v>
      </c>
      <c r="M34" s="123" t="str">
        <f t="shared" si="7"/>
        <v xml:space="preserve"> </v>
      </c>
      <c r="N34" s="123" t="str">
        <f t="shared" si="7"/>
        <v xml:space="preserve"> </v>
      </c>
      <c r="O34" s="123" t="str">
        <f t="shared" si="7"/>
        <v xml:space="preserve"> </v>
      </c>
      <c r="P34" s="123" t="str">
        <f t="shared" si="7"/>
        <v xml:space="preserve"> </v>
      </c>
      <c r="Q34" s="123" t="str">
        <f t="shared" si="7"/>
        <v xml:space="preserve"> </v>
      </c>
      <c r="R34" s="123" t="str">
        <f t="shared" si="7"/>
        <v xml:space="preserve"> </v>
      </c>
      <c r="U34" s="3" t="str">
        <f t="shared" si="0"/>
        <v>Conduct a first assessment Do once choice to clearly define each of your athletes' objectives for your sessions, as well as the teal goal (if appropfiate). Depending on the sport or event you're coaching for - or what individual or group assessment may be most appropriate - decide which choice is best for your group.</v>
      </c>
    </row>
    <row r="35" spans="1:21" x14ac:dyDescent="0.2">
      <c r="A35" s="6"/>
      <c r="B35" s="130"/>
      <c r="C35" s="277" t="s">
        <v>189</v>
      </c>
      <c r="D35" s="89"/>
      <c r="E35" s="33"/>
      <c r="F35" s="33"/>
      <c r="G35" s="33"/>
      <c r="H35" s="33"/>
      <c r="I35" s="33"/>
      <c r="J35" s="33"/>
      <c r="K35" s="33"/>
      <c r="L35" s="33"/>
      <c r="M35" s="33"/>
      <c r="N35" s="33"/>
      <c r="O35" s="33"/>
      <c r="P35" s="33"/>
      <c r="Q35" s="33"/>
      <c r="R35" s="33"/>
      <c r="U35" s="3" t="str">
        <f t="shared" si="0"/>
        <v>Prepare individual quesitonaires.  Ask each athlete to assess where they are in their sport and what they want to gain in your time together. Review the questionaires, and meet with each person to set goals and outline how they might achieve them.</v>
      </c>
    </row>
    <row r="36" spans="1:21" x14ac:dyDescent="0.2">
      <c r="A36" s="6"/>
      <c r="B36" s="130"/>
      <c r="C36" s="277" t="s">
        <v>190</v>
      </c>
      <c r="D36" s="33"/>
      <c r="E36" s="33"/>
      <c r="F36" s="33"/>
      <c r="G36" s="33"/>
      <c r="H36" s="33"/>
      <c r="I36" s="33"/>
      <c r="J36" s="33"/>
      <c r="K36" s="33"/>
      <c r="L36" s="33"/>
      <c r="M36" s="33"/>
      <c r="N36" s="33"/>
      <c r="O36" s="33"/>
      <c r="P36" s="33"/>
      <c r="Q36" s="33"/>
      <c r="R36" s="33"/>
      <c r="U36" s="3" t="str">
        <f t="shared" si="0"/>
        <v>Host an initial session.  Design a fun session that tests players' skills and/or how they work together as a team. The drills should help them decide on goals for your sessions. During the session, make notes to assess the skill level of each player and how your think you can help.</v>
      </c>
    </row>
    <row r="37" spans="1:21" x14ac:dyDescent="0.2">
      <c r="A37" s="6"/>
      <c r="B37" s="130"/>
      <c r="C37" s="277" t="s">
        <v>191</v>
      </c>
      <c r="D37" s="33"/>
      <c r="E37" s="33"/>
      <c r="F37" s="33"/>
      <c r="G37" s="33"/>
      <c r="H37" s="33"/>
      <c r="I37" s="33"/>
      <c r="J37" s="33"/>
      <c r="K37" s="33"/>
      <c r="L37" s="33"/>
      <c r="M37" s="33"/>
      <c r="N37" s="33"/>
      <c r="O37" s="33"/>
      <c r="P37" s="33"/>
      <c r="Q37" s="33"/>
      <c r="R37" s="33"/>
      <c r="U37" s="3" t="str">
        <f t="shared" si="0"/>
        <v>Prepare a goal chart together.  In a group, ask players to discuss what they hope to accomplish in their sessions. Together, make a chart outlining a training schedule and goals for each layer, as well as for the team collectively, if appropriate. Use the chart to help you guide each session.</v>
      </c>
    </row>
    <row r="38" spans="1:21" x14ac:dyDescent="0.2">
      <c r="A38" s="6"/>
      <c r="B38" s="71">
        <v>3</v>
      </c>
      <c r="C38" s="132" t="s">
        <v>183</v>
      </c>
      <c r="D38" s="123" t="str">
        <f>IF(COUNTIF(D35:D37,"A")&gt;=1,"C",IF(COUNTIF(D35:D37,"A")&gt;0,"P"," "))</f>
        <v xml:space="preserve"> </v>
      </c>
      <c r="E38" s="123" t="str">
        <f t="shared" ref="E38:R38" si="8">IF(COUNTIF(E35:E37,"A")&gt;=1,"C",IF(COUNTIF(E35:E37,"A")&gt;0,"P"," "))</f>
        <v xml:space="preserve"> </v>
      </c>
      <c r="F38" s="123" t="str">
        <f t="shared" si="8"/>
        <v xml:space="preserve"> </v>
      </c>
      <c r="G38" s="123" t="str">
        <f t="shared" si="8"/>
        <v xml:space="preserve"> </v>
      </c>
      <c r="H38" s="123" t="str">
        <f t="shared" si="8"/>
        <v xml:space="preserve"> </v>
      </c>
      <c r="I38" s="123" t="str">
        <f t="shared" si="8"/>
        <v xml:space="preserve"> </v>
      </c>
      <c r="J38" s="123" t="str">
        <f t="shared" si="8"/>
        <v xml:space="preserve"> </v>
      </c>
      <c r="K38" s="123" t="str">
        <f t="shared" si="8"/>
        <v xml:space="preserve"> </v>
      </c>
      <c r="L38" s="123" t="str">
        <f t="shared" si="8"/>
        <v xml:space="preserve"> </v>
      </c>
      <c r="M38" s="123" t="str">
        <f t="shared" si="8"/>
        <v xml:space="preserve"> </v>
      </c>
      <c r="N38" s="123" t="str">
        <f t="shared" si="8"/>
        <v xml:space="preserve"> </v>
      </c>
      <c r="O38" s="123" t="str">
        <f t="shared" si="8"/>
        <v xml:space="preserve"> </v>
      </c>
      <c r="P38" s="123" t="str">
        <f t="shared" si="8"/>
        <v xml:space="preserve"> </v>
      </c>
      <c r="Q38" s="123" t="str">
        <f t="shared" si="8"/>
        <v xml:space="preserve"> </v>
      </c>
      <c r="R38" s="123" t="str">
        <f t="shared" si="8"/>
        <v xml:space="preserve"> </v>
      </c>
      <c r="U38" s="3" t="str">
        <f t="shared" si="0"/>
        <v xml:space="preserve">Design your coaching plan Combine what you learned about coaching strategies and what you now know about your players into a coaching plan that utilizes everyone's best skills. Use at least one of these choices to help define and design your plan for each of your sessions. You'll need to run at least one session in each of the four weeks to complete this badge. </v>
      </c>
    </row>
    <row r="39" spans="1:21" x14ac:dyDescent="0.2">
      <c r="A39" s="6"/>
      <c r="B39" s="130"/>
      <c r="C39" s="277" t="s">
        <v>194</v>
      </c>
      <c r="D39" s="33"/>
      <c r="E39" s="33"/>
      <c r="F39" s="33"/>
      <c r="G39" s="33"/>
      <c r="H39" s="33"/>
      <c r="I39" s="33"/>
      <c r="J39" s="33"/>
      <c r="K39" s="33"/>
      <c r="L39" s="33"/>
      <c r="M39" s="33"/>
      <c r="N39" s="33"/>
      <c r="O39" s="33"/>
      <c r="P39" s="33"/>
      <c r="Q39" s="33"/>
      <c r="R39" s="33"/>
      <c r="U39" s="3" t="str">
        <f t="shared" si="0"/>
        <v>Design a special warm-up and cool-down. For any sport, in's important to stretch before and after training. Instread of running through these components in a basic way, research the best stretches and warm-up exercises for your sport, and put them together in a unique format. You might incorporate some fun and trust-building games or exercises.</v>
      </c>
    </row>
    <row r="40" spans="1:21" x14ac:dyDescent="0.2">
      <c r="A40" s="6"/>
      <c r="B40" s="130"/>
      <c r="C40" s="277" t="s">
        <v>193</v>
      </c>
      <c r="D40" s="33"/>
      <c r="E40" s="33"/>
      <c r="F40" s="33"/>
      <c r="G40" s="33"/>
      <c r="H40" s="33"/>
      <c r="I40" s="33"/>
      <c r="J40" s="33"/>
      <c r="K40" s="33"/>
      <c r="L40" s="33"/>
      <c r="M40" s="33"/>
      <c r="N40" s="33"/>
      <c r="O40" s="33"/>
      <c r="P40" s="33"/>
      <c r="Q40" s="33"/>
      <c r="R40" s="33"/>
      <c r="U40" s="3" t="str">
        <f t="shared" si="0"/>
        <v>Research and choose some training drills.  Are they too hard, to easy? Try them out on your own if neighter you nor any of your athletes can do a patricular skull your team needs to practice, find someone who can demonstrate it. (See the sidebar for tips on drills.)</v>
      </c>
    </row>
    <row r="41" spans="1:21" x14ac:dyDescent="0.2">
      <c r="A41" s="6"/>
      <c r="B41" s="130"/>
      <c r="C41" s="277" t="s">
        <v>192</v>
      </c>
      <c r="D41" s="33"/>
      <c r="E41" s="33"/>
      <c r="F41" s="33"/>
      <c r="G41" s="33"/>
      <c r="H41" s="33"/>
      <c r="I41" s="33"/>
      <c r="J41" s="33"/>
      <c r="K41" s="33"/>
      <c r="L41" s="33"/>
      <c r="M41" s="33"/>
      <c r="N41" s="33"/>
      <c r="O41" s="33"/>
      <c r="P41" s="33"/>
      <c r="Q41" s="33"/>
      <c r="R41" s="33"/>
      <c r="U41" s="3" t="str">
        <f t="shared" si="0"/>
        <v>Open and close each session with a message.  Interview a sports psychologist or find some sports psychology tips (perhaps on motivation, teamwork, or perseverance) to inspire your athletes. Incorporate these tips into the opening and closing of each of your sessions. You might even get creative with visuals and music or by singing an inspirational song.</v>
      </c>
    </row>
    <row r="42" spans="1:21" x14ac:dyDescent="0.2">
      <c r="A42" s="6"/>
      <c r="B42" s="71">
        <v>4</v>
      </c>
      <c r="C42" s="132" t="s">
        <v>184</v>
      </c>
      <c r="D42" s="123" t="str">
        <f>IF(COUNTIF(D39:D41,"A")&gt;=1,"C",IF(COUNTIF(D39:D41,"A")&gt;0,"P"," "))</f>
        <v xml:space="preserve"> </v>
      </c>
      <c r="E42" s="123" t="str">
        <f t="shared" ref="E42:R42" si="9">IF(COUNTIF(E39:E41,"A")&gt;=1,"C",IF(COUNTIF(E39:E41,"A")&gt;0,"P"," "))</f>
        <v xml:space="preserve"> </v>
      </c>
      <c r="F42" s="123" t="str">
        <f t="shared" si="9"/>
        <v xml:space="preserve"> </v>
      </c>
      <c r="G42" s="123" t="str">
        <f t="shared" si="9"/>
        <v xml:space="preserve"> </v>
      </c>
      <c r="H42" s="123" t="str">
        <f t="shared" si="9"/>
        <v xml:space="preserve"> </v>
      </c>
      <c r="I42" s="123" t="str">
        <f t="shared" si="9"/>
        <v xml:space="preserve"> </v>
      </c>
      <c r="J42" s="123" t="str">
        <f t="shared" si="9"/>
        <v xml:space="preserve"> </v>
      </c>
      <c r="K42" s="123" t="str">
        <f t="shared" si="9"/>
        <v xml:space="preserve"> </v>
      </c>
      <c r="L42" s="123" t="str">
        <f t="shared" si="9"/>
        <v xml:space="preserve"> </v>
      </c>
      <c r="M42" s="123" t="str">
        <f t="shared" si="9"/>
        <v xml:space="preserve"> </v>
      </c>
      <c r="N42" s="123" t="str">
        <f t="shared" si="9"/>
        <v xml:space="preserve"> </v>
      </c>
      <c r="O42" s="123" t="str">
        <f t="shared" si="9"/>
        <v xml:space="preserve"> </v>
      </c>
      <c r="P42" s="123" t="str">
        <f t="shared" si="9"/>
        <v xml:space="preserve"> </v>
      </c>
      <c r="Q42" s="123" t="str">
        <f t="shared" si="9"/>
        <v xml:space="preserve"> </v>
      </c>
      <c r="R42" s="123" t="str">
        <f t="shared" si="9"/>
        <v xml:space="preserve"> </v>
      </c>
      <c r="U42" s="3" t="str">
        <f t="shared" si="0"/>
        <v xml:space="preserve">Put your plan into action - and revise it, if necessary How's the time to start your sessions. At some point during your four weeks of coaching, get some feedback to help you assess and improve your coaching plan. </v>
      </c>
    </row>
    <row r="43" spans="1:21" x14ac:dyDescent="0.2">
      <c r="A43" s="6"/>
      <c r="B43" s="130"/>
      <c r="C43" s="277" t="s">
        <v>241</v>
      </c>
      <c r="D43" s="33"/>
      <c r="E43" s="33"/>
      <c r="F43" s="33"/>
      <c r="G43" s="33"/>
      <c r="H43" s="33"/>
      <c r="I43" s="33"/>
      <c r="J43" s="33"/>
      <c r="K43" s="33"/>
      <c r="L43" s="33"/>
      <c r="M43" s="33"/>
      <c r="N43" s="33"/>
      <c r="O43" s="33"/>
      <c r="P43" s="33"/>
      <c r="Q43" s="33"/>
      <c r="R43" s="88"/>
      <c r="U43" s="3" t="str">
        <f t="shared" si="0"/>
        <v>Add a morale-boosting time-out. Find a place outside your practice sessions where you and your team can talk. It might be a coffeehouse, a icnic table in the shade, or in fron tof a fire on a cold afternoon. Get your athletes together to ask questions, to inspire discussion about sportsmanship and goals, and to review how your sessions are going.</v>
      </c>
    </row>
    <row r="44" spans="1:21" x14ac:dyDescent="0.2">
      <c r="A44" s="6"/>
      <c r="B44" s="130"/>
      <c r="C44" s="277" t="s">
        <v>195</v>
      </c>
      <c r="D44" s="33"/>
      <c r="E44" s="33"/>
      <c r="F44" s="33"/>
      <c r="G44" s="33"/>
      <c r="H44" s="33"/>
      <c r="I44" s="33"/>
      <c r="J44" s="33"/>
      <c r="K44" s="33"/>
      <c r="L44" s="33"/>
      <c r="M44" s="33"/>
      <c r="N44" s="33"/>
      <c r="O44" s="33"/>
      <c r="P44" s="33"/>
      <c r="Q44" s="33"/>
      <c r="R44" s="88"/>
      <c r="U44" s="3" t="str">
        <f t="shared" si="0"/>
        <v/>
      </c>
    </row>
    <row r="45" spans="1:21" x14ac:dyDescent="0.2">
      <c r="A45" s="6"/>
      <c r="B45" s="130"/>
      <c r="C45" s="277" t="s">
        <v>196</v>
      </c>
      <c r="D45" s="33"/>
      <c r="E45" s="33"/>
      <c r="F45" s="33"/>
      <c r="G45" s="33"/>
      <c r="H45" s="33"/>
      <c r="I45" s="33"/>
      <c r="J45" s="33"/>
      <c r="K45" s="33"/>
      <c r="L45" s="33"/>
      <c r="M45" s="33"/>
      <c r="N45" s="33"/>
      <c r="O45" s="33"/>
      <c r="P45" s="33"/>
      <c r="Q45" s="33"/>
      <c r="R45" s="88"/>
      <c r="U45" s="3" t="str">
        <f t="shared" si="0"/>
        <v/>
      </c>
    </row>
    <row r="46" spans="1:21" x14ac:dyDescent="0.2">
      <c r="A46" s="6"/>
      <c r="B46" s="71">
        <v>5</v>
      </c>
      <c r="C46" s="132" t="s">
        <v>185</v>
      </c>
      <c r="D46" s="123" t="str">
        <f>IF(COUNTIF(D43:D45,"A")&gt;=1,"C",IF(COUNTIF(D43:D45,"A")&gt;0,"P"," "))</f>
        <v xml:space="preserve"> </v>
      </c>
      <c r="E46" s="123" t="str">
        <f t="shared" ref="E46:R46" si="10">IF(COUNTIF(E43:E45,"A")&gt;=1,"C",IF(COUNTIF(E43:E45,"A")&gt;0,"P"," "))</f>
        <v xml:space="preserve"> </v>
      </c>
      <c r="F46" s="123" t="str">
        <f t="shared" si="10"/>
        <v xml:space="preserve"> </v>
      </c>
      <c r="G46" s="123" t="str">
        <f t="shared" si="10"/>
        <v xml:space="preserve"> </v>
      </c>
      <c r="H46" s="123" t="str">
        <f t="shared" si="10"/>
        <v xml:space="preserve"> </v>
      </c>
      <c r="I46" s="123" t="str">
        <f t="shared" si="10"/>
        <v xml:space="preserve"> </v>
      </c>
      <c r="J46" s="123" t="str">
        <f t="shared" si="10"/>
        <v xml:space="preserve"> </v>
      </c>
      <c r="K46" s="123" t="str">
        <f t="shared" si="10"/>
        <v xml:space="preserve"> </v>
      </c>
      <c r="L46" s="123" t="str">
        <f t="shared" si="10"/>
        <v xml:space="preserve"> </v>
      </c>
      <c r="M46" s="123" t="str">
        <f t="shared" si="10"/>
        <v xml:space="preserve"> </v>
      </c>
      <c r="N46" s="123" t="str">
        <f t="shared" si="10"/>
        <v xml:space="preserve"> </v>
      </c>
      <c r="O46" s="123" t="str">
        <f t="shared" si="10"/>
        <v xml:space="preserve"> </v>
      </c>
      <c r="P46" s="123" t="str">
        <f t="shared" si="10"/>
        <v xml:space="preserve"> </v>
      </c>
      <c r="Q46" s="123" t="str">
        <f t="shared" si="10"/>
        <v xml:space="preserve"> </v>
      </c>
      <c r="R46" s="123" t="str">
        <f t="shared" si="10"/>
        <v xml:space="preserve"> </v>
      </c>
      <c r="U46" s="3" t="str">
        <f t="shared" si="0"/>
        <v>Attend the big event, and make a final assessment Be there at the final event - whether a game, tryout, race, or performance - to coach your athletes to success or to cheer them on! Review their goals, and take notes on their performance so you can offer specific feedback.</v>
      </c>
    </row>
    <row r="47" spans="1:21" x14ac:dyDescent="0.2">
      <c r="A47" s="6"/>
      <c r="B47" s="46"/>
      <c r="C47" s="278" t="s">
        <v>244</v>
      </c>
      <c r="D47" s="33"/>
      <c r="E47" s="33"/>
      <c r="F47" s="33"/>
      <c r="G47" s="33"/>
      <c r="H47" s="33"/>
      <c r="I47" s="33"/>
      <c r="J47" s="33"/>
      <c r="K47" s="33"/>
      <c r="L47" s="33"/>
      <c r="M47" s="33"/>
      <c r="N47" s="33"/>
      <c r="O47" s="33"/>
      <c r="P47" s="33"/>
      <c r="Q47" s="33"/>
      <c r="R47" s="33"/>
      <c r="U47" s="3" t="str">
        <f t="shared" si="0"/>
        <v>post-training assessment. While there, ask each athlete to share two or three things they learned in your sessions. Find out if they think they met their goals, and if not, why. Tell them how you think they did and why you're proud of their accomlishments.</v>
      </c>
    </row>
    <row r="48" spans="1:21" x14ac:dyDescent="0.2">
      <c r="A48" s="6"/>
      <c r="B48" s="46"/>
      <c r="C48" s="278" t="s">
        <v>242</v>
      </c>
      <c r="D48" s="33"/>
      <c r="E48" s="33"/>
      <c r="F48" s="33"/>
      <c r="G48" s="33"/>
      <c r="H48" s="33"/>
      <c r="I48" s="33"/>
      <c r="J48" s="33"/>
      <c r="K48" s="33"/>
      <c r="L48" s="33"/>
      <c r="M48" s="33"/>
      <c r="N48" s="33"/>
      <c r="O48" s="33"/>
      <c r="P48" s="33"/>
      <c r="Q48" s="33"/>
      <c r="R48" s="33"/>
      <c r="U48" s="3" t="str">
        <f t="shared" si="0"/>
        <v>Get everyone together for a post-event party. Over food and fun, discuss how it went. Focus on what goals were accomplished, and share encouragement for the future.</v>
      </c>
    </row>
    <row r="49" spans="1:21" x14ac:dyDescent="0.2">
      <c r="A49" s="6"/>
      <c r="B49" s="46"/>
      <c r="C49" s="278" t="s">
        <v>243</v>
      </c>
      <c r="D49" s="88"/>
      <c r="E49" s="88"/>
      <c r="F49" s="88"/>
      <c r="G49" s="88"/>
      <c r="H49" s="88"/>
      <c r="I49" s="88"/>
      <c r="J49" s="88"/>
      <c r="K49" s="88"/>
      <c r="L49" s="88"/>
      <c r="M49" s="88"/>
      <c r="N49" s="88"/>
      <c r="O49" s="88"/>
      <c r="P49" s="88"/>
      <c r="Q49" s="88"/>
      <c r="R49" s="88"/>
      <c r="U49" s="3" t="str">
        <f t="shared" si="0"/>
        <v>You'll need a photo of each person in your group (you could take one at a practice session or during the final event). Review your final assessment and how far each person has come toward reaching their goals. Choose decoration, statisitics, sayings or inspirational tidbits specific to each person.</v>
      </c>
    </row>
    <row r="50" spans="1:21" ht="1.5" customHeight="1" thickBot="1" x14ac:dyDescent="0.25">
      <c r="A50" s="6"/>
      <c r="B50" s="46"/>
      <c r="C50" s="279"/>
      <c r="D50" s="123" t="str">
        <f>IF(COUNTIF(D47:D49,"A")&gt;=1,"C",IF(COUNTIF(D47:D49,"A")&gt;0,"P"," "))</f>
        <v xml:space="preserve"> </v>
      </c>
      <c r="E50" s="123" t="str">
        <f t="shared" ref="E50:R50" si="11">IF(COUNTIF(E47:E49,"A")&gt;=1,"C",IF(COUNTIF(E47:E49,"A")&gt;0,"P"," "))</f>
        <v xml:space="preserve"> </v>
      </c>
      <c r="F50" s="123" t="str">
        <f t="shared" si="11"/>
        <v xml:space="preserve"> </v>
      </c>
      <c r="G50" s="123" t="str">
        <f t="shared" si="11"/>
        <v xml:space="preserve"> </v>
      </c>
      <c r="H50" s="123" t="str">
        <f t="shared" si="11"/>
        <v xml:space="preserve"> </v>
      </c>
      <c r="I50" s="123" t="str">
        <f t="shared" si="11"/>
        <v xml:space="preserve"> </v>
      </c>
      <c r="J50" s="123" t="str">
        <f t="shared" si="11"/>
        <v xml:space="preserve"> </v>
      </c>
      <c r="K50" s="123" t="str">
        <f t="shared" si="11"/>
        <v xml:space="preserve"> </v>
      </c>
      <c r="L50" s="123" t="str">
        <f t="shared" si="11"/>
        <v xml:space="preserve"> </v>
      </c>
      <c r="M50" s="123" t="str">
        <f t="shared" si="11"/>
        <v xml:space="preserve"> </v>
      </c>
      <c r="N50" s="123" t="str">
        <f t="shared" si="11"/>
        <v xml:space="preserve"> </v>
      </c>
      <c r="O50" s="123" t="str">
        <f t="shared" si="11"/>
        <v xml:space="preserve"> </v>
      </c>
      <c r="P50" s="123" t="str">
        <f t="shared" si="11"/>
        <v xml:space="preserve"> </v>
      </c>
      <c r="Q50" s="123" t="str">
        <f t="shared" si="11"/>
        <v xml:space="preserve"> </v>
      </c>
      <c r="R50" s="123" t="str">
        <f t="shared" si="11"/>
        <v xml:space="preserve"> </v>
      </c>
      <c r="U50" s="3" t="str">
        <f t="shared" si="0"/>
        <v/>
      </c>
    </row>
    <row r="51" spans="1:21" ht="13.5" thickBot="1" x14ac:dyDescent="0.25">
      <c r="A51" s="6"/>
      <c r="B51" s="111"/>
      <c r="C51" s="74" t="s">
        <v>27</v>
      </c>
      <c r="D51" s="93" t="str">
        <f>IF(COUNTIF(D34:D50,"C")&gt;4,"C",IF(COUNTIF(D34:D50,"C")&gt;0,"P"," "))</f>
        <v xml:space="preserve"> </v>
      </c>
      <c r="E51" s="93" t="str">
        <f t="shared" ref="E51:R51" si="12">IF(COUNTIF(E34:E50,"C")&gt;4,"C",IF(COUNTIF(E34:E50,"C")&gt;0,"P"," "))</f>
        <v xml:space="preserve"> </v>
      </c>
      <c r="F51" s="93" t="str">
        <f t="shared" si="12"/>
        <v xml:space="preserve"> </v>
      </c>
      <c r="G51" s="93" t="str">
        <f t="shared" si="12"/>
        <v xml:space="preserve"> </v>
      </c>
      <c r="H51" s="93" t="str">
        <f t="shared" si="12"/>
        <v xml:space="preserve"> </v>
      </c>
      <c r="I51" s="93" t="str">
        <f t="shared" si="12"/>
        <v xml:space="preserve"> </v>
      </c>
      <c r="J51" s="93" t="str">
        <f t="shared" si="12"/>
        <v xml:space="preserve"> </v>
      </c>
      <c r="K51" s="93" t="str">
        <f t="shared" si="12"/>
        <v xml:space="preserve"> </v>
      </c>
      <c r="L51" s="93" t="str">
        <f t="shared" si="12"/>
        <v xml:space="preserve"> </v>
      </c>
      <c r="M51" s="93" t="str">
        <f t="shared" si="12"/>
        <v xml:space="preserve"> </v>
      </c>
      <c r="N51" s="93" t="str">
        <f t="shared" si="12"/>
        <v xml:space="preserve"> </v>
      </c>
      <c r="O51" s="93" t="str">
        <f t="shared" si="12"/>
        <v xml:space="preserve"> </v>
      </c>
      <c r="P51" s="93" t="str">
        <f t="shared" si="12"/>
        <v xml:space="preserve"> </v>
      </c>
      <c r="Q51" s="93" t="str">
        <f t="shared" si="12"/>
        <v xml:space="preserve"> </v>
      </c>
      <c r="R51" s="93" t="str">
        <f t="shared" si="12"/>
        <v xml:space="preserve"> </v>
      </c>
      <c r="U51" s="3" t="str">
        <f t="shared" si="0"/>
        <v/>
      </c>
    </row>
    <row r="52" spans="1:21" ht="15" x14ac:dyDescent="0.25">
      <c r="A52" s="6"/>
      <c r="B52" s="125" t="s">
        <v>153</v>
      </c>
      <c r="C52" s="126"/>
      <c r="D52" s="127"/>
      <c r="E52" s="127"/>
      <c r="F52" s="127"/>
      <c r="G52" s="127"/>
      <c r="H52" s="127"/>
      <c r="I52" s="127"/>
      <c r="J52" s="127"/>
      <c r="K52" s="127"/>
      <c r="L52" s="127"/>
      <c r="M52" s="127"/>
      <c r="N52" s="127"/>
      <c r="O52" s="127"/>
      <c r="P52" s="127"/>
      <c r="Q52" s="127"/>
      <c r="R52" s="127"/>
      <c r="U52" s="3" t="str">
        <f t="shared" si="0"/>
        <v/>
      </c>
    </row>
    <row r="53" spans="1:21" x14ac:dyDescent="0.2">
      <c r="A53" s="6"/>
      <c r="B53" s="71">
        <v>1</v>
      </c>
      <c r="C53" s="276" t="s">
        <v>287</v>
      </c>
      <c r="D53" s="128"/>
      <c r="E53" s="129"/>
      <c r="F53" s="129"/>
      <c r="G53" s="129"/>
      <c r="H53" s="129"/>
      <c r="I53" s="129"/>
      <c r="J53" s="129"/>
      <c r="K53" s="129"/>
      <c r="L53" s="129"/>
      <c r="M53" s="129"/>
      <c r="N53" s="129"/>
      <c r="O53" s="129"/>
      <c r="P53" s="129"/>
      <c r="Q53" s="129"/>
      <c r="R53" s="129"/>
      <c r="U53" s="3" t="str">
        <f t="shared" si="0"/>
        <v xml:space="preserve">Find out how activists advocate for change Use this step as an introduction to public policy: Here's your chance to learn from a real change-maker. Consider an issue you canre about - perhaps job creation, enviromental protection, anti-bullying laws, veterans' rights, financial aid for college, or distracted driving - and pick a choice that will improve hyour undsertanding of the public policy surrounding it. </v>
      </c>
    </row>
    <row r="54" spans="1:21" x14ac:dyDescent="0.2">
      <c r="A54" s="6"/>
      <c r="B54" s="130"/>
      <c r="C54" s="277" t="s">
        <v>288</v>
      </c>
      <c r="D54" s="50"/>
      <c r="E54" s="33"/>
      <c r="F54" s="33"/>
      <c r="G54" s="33"/>
      <c r="H54" s="33"/>
      <c r="I54" s="33"/>
      <c r="J54" s="33"/>
      <c r="K54" s="33"/>
      <c r="L54" s="33"/>
      <c r="M54" s="33"/>
      <c r="N54" s="33"/>
      <c r="O54" s="33"/>
      <c r="P54" s="33"/>
      <c r="Q54" s="33"/>
      <c r="R54" s="33"/>
      <c r="U54" s="3" t="str">
        <f t="shared" si="0"/>
        <v>Find out how an activist for an issue you care about influences public policy. Have their campaigns for change been successful? What challenges did they encounter? What advice do they have for you?</v>
      </c>
    </row>
    <row r="55" spans="1:21" x14ac:dyDescent="0.2">
      <c r="A55" s="6"/>
      <c r="B55" s="130"/>
      <c r="C55" s="277" t="s">
        <v>289</v>
      </c>
      <c r="D55" s="50"/>
      <c r="E55" s="33"/>
      <c r="F55" s="33"/>
      <c r="G55" s="33"/>
      <c r="H55" s="33"/>
      <c r="I55" s="33"/>
      <c r="J55" s="33"/>
      <c r="K55" s="33"/>
      <c r="L55" s="33"/>
      <c r="M55" s="33"/>
      <c r="N55" s="33"/>
      <c r="O55" s="33"/>
      <c r="P55" s="33"/>
      <c r="Q55" s="33"/>
      <c r="R55" s="33"/>
      <c r="U55" s="3" t="str">
        <f t="shared" si="0"/>
        <v>Find one about an individual or group who pushed for a change in public policy, and screen it for friends and family. Afterward, discuss which tactics used were most successful in gathering support for the cause.</v>
      </c>
    </row>
    <row r="56" spans="1:21" x14ac:dyDescent="0.2">
      <c r="A56" s="6"/>
      <c r="B56" s="130"/>
      <c r="C56" s="277" t="s">
        <v>290</v>
      </c>
      <c r="D56" s="131"/>
      <c r="E56" s="33"/>
      <c r="F56" s="33"/>
      <c r="G56" s="33"/>
      <c r="H56" s="33"/>
      <c r="I56" s="33"/>
      <c r="J56" s="33"/>
      <c r="K56" s="33"/>
      <c r="L56" s="33"/>
      <c r="M56" s="33"/>
      <c r="N56" s="33"/>
      <c r="O56" s="33"/>
      <c r="P56" s="33"/>
      <c r="Q56" s="33"/>
      <c r="R56" s="33"/>
      <c r="U56" s="3" t="str">
        <f t="shared" si="0"/>
        <v>course of U.S. history. This could be a single biography or several articles about an activist like Rachel Carson, Eleanor Rossevelt, or Susan B. Anthony. Or it could be a book about female suffrage or other issue in which female advocates were instrumental.</v>
      </c>
    </row>
    <row r="57" spans="1:21" x14ac:dyDescent="0.2">
      <c r="A57" s="6"/>
      <c r="B57" s="71">
        <v>2</v>
      </c>
      <c r="C57" s="132" t="s">
        <v>245</v>
      </c>
      <c r="D57" s="123" t="str">
        <f>IF(COUNTIF(D54:D56,"A")&gt;=1,"C",IF(COUNTIF(D54:D56,"A")&gt;0,"P"," "))</f>
        <v xml:space="preserve"> </v>
      </c>
      <c r="E57" s="123" t="str">
        <f t="shared" ref="E57:R57" si="13">IF(COUNTIF(E54:E56,"A")&gt;=1,"C",IF(COUNTIF(E54:E56,"A")&gt;0,"P"," "))</f>
        <v xml:space="preserve"> </v>
      </c>
      <c r="F57" s="123" t="str">
        <f t="shared" si="13"/>
        <v xml:space="preserve"> </v>
      </c>
      <c r="G57" s="123" t="str">
        <f t="shared" si="13"/>
        <v xml:space="preserve"> </v>
      </c>
      <c r="H57" s="123" t="str">
        <f t="shared" si="13"/>
        <v xml:space="preserve"> </v>
      </c>
      <c r="I57" s="123" t="str">
        <f t="shared" si="13"/>
        <v xml:space="preserve"> </v>
      </c>
      <c r="J57" s="123" t="str">
        <f t="shared" si="13"/>
        <v xml:space="preserve"> </v>
      </c>
      <c r="K57" s="123" t="str">
        <f t="shared" si="13"/>
        <v xml:space="preserve"> </v>
      </c>
      <c r="L57" s="123" t="str">
        <f t="shared" si="13"/>
        <v xml:space="preserve"> </v>
      </c>
      <c r="M57" s="123" t="str">
        <f t="shared" si="13"/>
        <v xml:space="preserve"> </v>
      </c>
      <c r="N57" s="123" t="str">
        <f t="shared" si="13"/>
        <v xml:space="preserve"> </v>
      </c>
      <c r="O57" s="123" t="str">
        <f t="shared" si="13"/>
        <v xml:space="preserve"> </v>
      </c>
      <c r="P57" s="123" t="str">
        <f t="shared" si="13"/>
        <v xml:space="preserve"> </v>
      </c>
      <c r="Q57" s="123" t="str">
        <f t="shared" si="13"/>
        <v xml:space="preserve"> </v>
      </c>
      <c r="R57" s="123" t="str">
        <f t="shared" si="13"/>
        <v xml:space="preserve"> </v>
      </c>
      <c r="U57" s="3" t="str">
        <f t="shared" si="0"/>
        <v xml:space="preserve">Engage as a global citizen Take a closer look at how voices are heard around the world. Public-policy successes and challenges in others countries can give us information about how to approach issues of our own. Enhance you knowledge in one of these ways. </v>
      </c>
    </row>
    <row r="58" spans="1:21" x14ac:dyDescent="0.2">
      <c r="A58" s="6"/>
      <c r="B58" s="130"/>
      <c r="C58" s="277" t="s">
        <v>291</v>
      </c>
      <c r="D58" s="89"/>
      <c r="E58" s="33"/>
      <c r="F58" s="33"/>
      <c r="G58" s="33"/>
      <c r="H58" s="33"/>
      <c r="I58" s="33"/>
      <c r="J58" s="33"/>
      <c r="K58" s="33"/>
      <c r="L58" s="33"/>
      <c r="M58" s="33"/>
      <c r="N58" s="33"/>
      <c r="O58" s="33"/>
      <c r="P58" s="33"/>
      <c r="Q58" s="33"/>
      <c r="R58" s="33"/>
      <c r="U58" s="3" t="str">
        <f t="shared" si="0"/>
        <v>Think about an issue facing policy-makers in America. It might be pollution regulations, marriage laws, or teen texting and driving. Now find out how the issue is regulated in three other countries. What are the biggest dirrerences between public policy in the United Sates and abroad?</v>
      </c>
    </row>
    <row r="59" spans="1:21" x14ac:dyDescent="0.2">
      <c r="A59" s="6"/>
      <c r="B59" s="130"/>
      <c r="C59" s="277" t="s">
        <v>292</v>
      </c>
      <c r="D59" s="33"/>
      <c r="E59" s="33"/>
      <c r="F59" s="33"/>
      <c r="G59" s="33"/>
      <c r="H59" s="33"/>
      <c r="I59" s="33"/>
      <c r="J59" s="33"/>
      <c r="K59" s="33"/>
      <c r="L59" s="33"/>
      <c r="M59" s="33"/>
      <c r="N59" s="33"/>
      <c r="O59" s="33"/>
      <c r="P59" s="33"/>
      <c r="Q59" s="33"/>
      <c r="R59" s="33"/>
      <c r="U59" s="3" t="str">
        <f t="shared" si="0"/>
        <v>There are many laws currently being challenges in countries abroad. For instance, groups are trying to enact whale-hunting laws in Japan. Others are offering legal aid in places like Saudi Arabia, where laws limit women's rights in marriage choice, divorce, child custody, and inheritance. Find one issue and follow its progress. How are the organizations trying to infulence change? Are their methods successful?</v>
      </c>
    </row>
    <row r="60" spans="1:21" x14ac:dyDescent="0.2">
      <c r="A60" s="6"/>
      <c r="B60" s="130"/>
      <c r="C60" s="277" t="s">
        <v>293</v>
      </c>
      <c r="D60" s="33"/>
      <c r="E60" s="33"/>
      <c r="F60" s="33"/>
      <c r="G60" s="33"/>
      <c r="H60" s="33"/>
      <c r="I60" s="33"/>
      <c r="J60" s="33"/>
      <c r="K60" s="33"/>
      <c r="L60" s="33"/>
      <c r="M60" s="33"/>
      <c r="N60" s="33"/>
      <c r="O60" s="33"/>
      <c r="P60" s="33"/>
      <c r="Q60" s="33"/>
      <c r="R60" s="33"/>
      <c r="U60" s="3" t="str">
        <f t="shared" si="0"/>
        <v>(Non-governmental organization). This might be CARE, Heifer International, Doctors without Borders or the World Wildlife Federation. Findout how the group tries to change policy and what challenges are involved in trying to influence one issue acrosss national boarders. Who does this NGO lobby to effect change?</v>
      </c>
    </row>
    <row r="61" spans="1:21" x14ac:dyDescent="0.2">
      <c r="A61" s="6"/>
      <c r="B61" s="71">
        <v>3</v>
      </c>
      <c r="C61" s="132" t="s">
        <v>246</v>
      </c>
      <c r="D61" s="123" t="str">
        <f>IF(COUNTIF(D58:D60,"A")&gt;=1,"C",IF(COUNTIF(D58:D60,"A")&gt;0,"P"," "))</f>
        <v xml:space="preserve"> </v>
      </c>
      <c r="E61" s="123" t="str">
        <f t="shared" ref="E61:R61" si="14">IF(COUNTIF(E58:E60,"A")&gt;=1,"C",IF(COUNTIF(E58:E60,"A")&gt;0,"P"," "))</f>
        <v xml:space="preserve"> </v>
      </c>
      <c r="F61" s="123" t="str">
        <f t="shared" si="14"/>
        <v xml:space="preserve"> </v>
      </c>
      <c r="G61" s="123" t="str">
        <f t="shared" si="14"/>
        <v xml:space="preserve"> </v>
      </c>
      <c r="H61" s="123" t="str">
        <f t="shared" si="14"/>
        <v xml:space="preserve"> </v>
      </c>
      <c r="I61" s="123" t="str">
        <f t="shared" si="14"/>
        <v xml:space="preserve"> </v>
      </c>
      <c r="J61" s="123" t="str">
        <f t="shared" si="14"/>
        <v xml:space="preserve"> </v>
      </c>
      <c r="K61" s="123" t="str">
        <f t="shared" si="14"/>
        <v xml:space="preserve"> </v>
      </c>
      <c r="L61" s="123" t="str">
        <f t="shared" si="14"/>
        <v xml:space="preserve"> </v>
      </c>
      <c r="M61" s="123" t="str">
        <f t="shared" si="14"/>
        <v xml:space="preserve"> </v>
      </c>
      <c r="N61" s="123" t="str">
        <f t="shared" si="14"/>
        <v xml:space="preserve"> </v>
      </c>
      <c r="O61" s="123" t="str">
        <f t="shared" si="14"/>
        <v xml:space="preserve"> </v>
      </c>
      <c r="P61" s="123" t="str">
        <f t="shared" si="14"/>
        <v xml:space="preserve"> </v>
      </c>
      <c r="Q61" s="123" t="str">
        <f t="shared" si="14"/>
        <v xml:space="preserve"> </v>
      </c>
      <c r="R61" s="123" t="str">
        <f t="shared" si="14"/>
        <v xml:space="preserve"> </v>
      </c>
      <c r="U61" s="3" t="str">
        <f t="shared" si="0"/>
        <v>Dig into national or state public policy Choose a national or state policy issue that matters to you. The goal of this step is for you to get an understanding of how one national or state issue is influenced by citiizens, policy-makers, and the media. Whose voices are getting heard?</v>
      </c>
    </row>
    <row r="62" spans="1:21" x14ac:dyDescent="0.2">
      <c r="A62" s="6"/>
      <c r="B62" s="130"/>
      <c r="C62" s="277" t="s">
        <v>294</v>
      </c>
      <c r="D62" s="33"/>
      <c r="E62" s="33"/>
      <c r="F62" s="33"/>
      <c r="G62" s="33"/>
      <c r="H62" s="33"/>
      <c r="I62" s="33"/>
      <c r="J62" s="33"/>
      <c r="K62" s="33"/>
      <c r="L62" s="33"/>
      <c r="M62" s="33"/>
      <c r="N62" s="33"/>
      <c r="O62" s="33"/>
      <c r="P62" s="33"/>
      <c r="Q62" s="33"/>
      <c r="R62" s="33"/>
      <c r="U62" s="3" t="str">
        <f t="shared" si="0"/>
        <v>For two weeks, follow the issue - from boths sides - in at least three sources, such as national news, websites, and news magazines and newspapers. Pay attention to the people and organizations involved, the changes being advocated, the events, progress, and public opinion. At the end of hte two weeks, write a list of the five most effective and least effective actions you noticed. Keep the list for future reference (you can always add to it!).</v>
      </c>
    </row>
    <row r="63" spans="1:21" x14ac:dyDescent="0.2">
      <c r="A63" s="6"/>
      <c r="B63" s="130"/>
      <c r="C63" s="277" t="s">
        <v>295</v>
      </c>
      <c r="D63" s="33"/>
      <c r="E63" s="33"/>
      <c r="F63" s="33"/>
      <c r="G63" s="33"/>
      <c r="H63" s="33"/>
      <c r="I63" s="33"/>
      <c r="J63" s="33"/>
      <c r="K63" s="33"/>
      <c r="L63" s="33"/>
      <c r="M63" s="33"/>
      <c r="N63" s="33"/>
      <c r="O63" s="33"/>
      <c r="P63" s="33"/>
      <c r="Q63" s="33"/>
      <c r="R63" s="33"/>
      <c r="U63" s="3" t="str">
        <f t="shared" si="0"/>
        <v xml:space="preserve">your issue. For example, you could speak to the outreach staff at the American Medical Association, the Association of Women Engineers, or the AAA about their experiences trying to influence policy. Which campaigns have been effective? Which haven't? Take notes on tips and advice. </v>
      </c>
    </row>
    <row r="64" spans="1:21" x14ac:dyDescent="0.2">
      <c r="A64" s="6"/>
      <c r="B64" s="130"/>
      <c r="C64" s="277" t="s">
        <v>296</v>
      </c>
      <c r="D64" s="33"/>
      <c r="E64" s="33"/>
      <c r="F64" s="33"/>
      <c r="G64" s="33"/>
      <c r="H64" s="33"/>
      <c r="I64" s="33"/>
      <c r="J64" s="33"/>
      <c r="K64" s="33"/>
      <c r="L64" s="33"/>
      <c r="M64" s="33"/>
      <c r="N64" s="33"/>
      <c r="O64" s="33"/>
      <c r="P64" s="33"/>
      <c r="Q64" s="33"/>
      <c r="R64" s="33"/>
      <c r="U64" s="3" t="str">
        <f t="shared" si="0"/>
        <v xml:space="preserve"> on your issue. For instance, drive ing age laws: In South Dakota, you cand get a driver's license 3 months after you turn 14; in New Jersey, you must be 17; in Calafornia, 16. Some sates allow people to carry concealed weapons. Use and possession of fireworks is regulated differently from state to staet. There are even laws for how long studentst must stay in school: 7 states mandate education until age 17, but 29 states allow students to drop out at age 16! Write up a state-to-state comparison and note why the policy originated and whose efforts helped make it that way.</v>
      </c>
    </row>
    <row r="65" spans="1:21" x14ac:dyDescent="0.2">
      <c r="A65" s="6"/>
      <c r="B65" s="71">
        <v>4</v>
      </c>
      <c r="C65" s="132" t="s">
        <v>297</v>
      </c>
      <c r="D65" s="123" t="str">
        <f>IF(COUNTIF(D62:D64,"A")&gt;=1,"C",IF(COUNTIF(D62:D64,"A")&gt;0,"P"," "))</f>
        <v xml:space="preserve"> </v>
      </c>
      <c r="E65" s="123" t="str">
        <f t="shared" ref="E65:R65" si="15">IF(COUNTIF(E62:E64,"A")&gt;=1,"C",IF(COUNTIF(E62:E64,"A")&gt;0,"P"," "))</f>
        <v xml:space="preserve"> </v>
      </c>
      <c r="F65" s="123" t="str">
        <f t="shared" si="15"/>
        <v xml:space="preserve"> </v>
      </c>
      <c r="G65" s="123" t="str">
        <f t="shared" si="15"/>
        <v xml:space="preserve"> </v>
      </c>
      <c r="H65" s="123" t="str">
        <f t="shared" si="15"/>
        <v xml:space="preserve"> </v>
      </c>
      <c r="I65" s="123" t="str">
        <f t="shared" si="15"/>
        <v xml:space="preserve"> </v>
      </c>
      <c r="J65" s="123" t="str">
        <f t="shared" si="15"/>
        <v xml:space="preserve"> </v>
      </c>
      <c r="K65" s="123" t="str">
        <f t="shared" si="15"/>
        <v xml:space="preserve"> </v>
      </c>
      <c r="L65" s="123" t="str">
        <f t="shared" si="15"/>
        <v xml:space="preserve"> </v>
      </c>
      <c r="M65" s="123" t="str">
        <f t="shared" si="15"/>
        <v xml:space="preserve"> </v>
      </c>
      <c r="N65" s="123" t="str">
        <f t="shared" si="15"/>
        <v xml:space="preserve"> </v>
      </c>
      <c r="O65" s="123" t="str">
        <f t="shared" si="15"/>
        <v xml:space="preserve"> </v>
      </c>
      <c r="P65" s="123" t="str">
        <f t="shared" si="15"/>
        <v xml:space="preserve"> </v>
      </c>
      <c r="Q65" s="123" t="str">
        <f t="shared" si="15"/>
        <v xml:space="preserve"> </v>
      </c>
      <c r="R65" s="123" t="str">
        <f t="shared" si="15"/>
        <v xml:space="preserve"> </v>
      </c>
      <c r="U65" s="3" t="str">
        <f t="shared" si="0"/>
        <v>Explore local or community policy  You've looked at a national or state issue - but how is policy created in your own backyard? Who is making decisions, and who is infuencing those decisions? In the years ahead, you'll be getting in on the legislative action - eather as a voter or an active policy advocate. Get more informed right now.</v>
      </c>
    </row>
    <row r="66" spans="1:21" ht="12.75" customHeight="1" x14ac:dyDescent="0.2">
      <c r="A66" s="6"/>
      <c r="B66" s="130"/>
      <c r="C66" s="277" t="s">
        <v>298</v>
      </c>
      <c r="D66" s="33"/>
      <c r="E66" s="33"/>
      <c r="F66" s="33"/>
      <c r="G66" s="33"/>
      <c r="H66" s="33"/>
      <c r="I66" s="33"/>
      <c r="J66" s="33"/>
      <c r="K66" s="33"/>
      <c r="L66" s="33"/>
      <c r="M66" s="33"/>
      <c r="N66" s="33"/>
      <c r="O66" s="33"/>
      <c r="P66" s="33"/>
      <c r="Q66" s="33"/>
      <c r="R66" s="88"/>
      <c r="U66" s="3" t="str">
        <f t="shared" si="0"/>
        <v>This might be a community organization, school board, or student council meeting. While you're there, consider these questions: What methods of stating a position seem most effective? Least effective? If a policy decision is reached, do you agree or disagree with it? Talk about your experience with your friends or family.</v>
      </c>
    </row>
    <row r="67" spans="1:21" x14ac:dyDescent="0.2">
      <c r="A67" s="6"/>
      <c r="B67" s="130"/>
      <c r="C67" s="277" t="s">
        <v>299</v>
      </c>
      <c r="D67" s="33"/>
      <c r="E67" s="33"/>
      <c r="F67" s="33"/>
      <c r="G67" s="33"/>
      <c r="H67" s="33"/>
      <c r="I67" s="33"/>
      <c r="J67" s="33"/>
      <c r="K67" s="33"/>
      <c r="L67" s="33"/>
      <c r="M67" s="33"/>
      <c r="N67" s="33"/>
      <c r="O67" s="33"/>
      <c r="P67" s="33"/>
      <c r="Q67" s="33"/>
      <c r="R67" s="88"/>
      <c r="U67" s="3" t="str">
        <f t="shared" si="0"/>
        <v>Profile two opposing public officials or committee leaders on one issue. What level of influence does each leader have? What is their history? Share your thoughts on whose actions are most effective with friends or family.</v>
      </c>
    </row>
    <row r="68" spans="1:21" x14ac:dyDescent="0.2">
      <c r="A68" s="6"/>
      <c r="B68" s="130"/>
      <c r="C68" s="277" t="s">
        <v>300</v>
      </c>
      <c r="D68" s="33"/>
      <c r="E68" s="33"/>
      <c r="F68" s="33"/>
      <c r="G68" s="33"/>
      <c r="H68" s="33"/>
      <c r="I68" s="33"/>
      <c r="J68" s="33"/>
      <c r="K68" s="33"/>
      <c r="L68" s="33"/>
      <c r="M68" s="33"/>
      <c r="N68" s="33"/>
      <c r="O68" s="33"/>
      <c r="P68" s="33"/>
      <c r="Q68" s="33"/>
      <c r="R68" s="88"/>
      <c r="U68" s="3" t="str">
        <f t="shared" si="0"/>
        <v>or schedule a phone interview with them. If your legislator is not available, schedule a meeting with a staff member. Ask about how the public gives feeback, and what find of feeback is most effective. What do they recommend as the best way for a citizen to get her voice heard?</v>
      </c>
    </row>
    <row r="69" spans="1:21" x14ac:dyDescent="0.2">
      <c r="A69" s="6"/>
      <c r="B69" s="71">
        <v>5</v>
      </c>
      <c r="C69" s="132" t="s">
        <v>247</v>
      </c>
      <c r="D69" s="123" t="str">
        <f>IF(COUNTIF(D66:D68,"A")&gt;=1,"C",IF(COUNTIF(D66:D68,"A")&gt;0,"P"," "))</f>
        <v xml:space="preserve"> </v>
      </c>
      <c r="E69" s="123" t="str">
        <f t="shared" ref="E69:R69" si="16">IF(COUNTIF(E66:E68,"A")&gt;=1,"C",IF(COUNTIF(E66:E68,"A")&gt;0,"P"," "))</f>
        <v xml:space="preserve"> </v>
      </c>
      <c r="F69" s="123" t="str">
        <f t="shared" si="16"/>
        <v xml:space="preserve"> </v>
      </c>
      <c r="G69" s="123" t="str">
        <f t="shared" si="16"/>
        <v xml:space="preserve"> </v>
      </c>
      <c r="H69" s="123" t="str">
        <f t="shared" si="16"/>
        <v xml:space="preserve"> </v>
      </c>
      <c r="I69" s="123" t="str">
        <f t="shared" si="16"/>
        <v xml:space="preserve"> </v>
      </c>
      <c r="J69" s="123" t="str">
        <f t="shared" si="16"/>
        <v xml:space="preserve"> </v>
      </c>
      <c r="K69" s="123" t="str">
        <f t="shared" si="16"/>
        <v xml:space="preserve"> </v>
      </c>
      <c r="L69" s="123" t="str">
        <f t="shared" si="16"/>
        <v xml:space="preserve"> </v>
      </c>
      <c r="M69" s="123" t="str">
        <f t="shared" si="16"/>
        <v xml:space="preserve"> </v>
      </c>
      <c r="N69" s="123" t="str">
        <f t="shared" si="16"/>
        <v xml:space="preserve"> </v>
      </c>
      <c r="O69" s="123" t="str">
        <f t="shared" si="16"/>
        <v xml:space="preserve"> </v>
      </c>
      <c r="P69" s="123" t="str">
        <f t="shared" si="16"/>
        <v xml:space="preserve"> </v>
      </c>
      <c r="Q69" s="123" t="str">
        <f t="shared" si="16"/>
        <v xml:space="preserve"> </v>
      </c>
      <c r="R69" s="123" t="str">
        <f t="shared" si="16"/>
        <v xml:space="preserve"> </v>
      </c>
      <c r="U69" s="3" t="str">
        <f t="shared" si="0"/>
        <v xml:space="preserve">See public policy creation in action Fiknd the people in your community or state in charge of making or impacting public policy, and go behind the scenes. There's no better way to find out how you can change the system than by seeing how it's run from the inside. </v>
      </c>
    </row>
    <row r="70" spans="1:21" x14ac:dyDescent="0.2">
      <c r="A70" s="6"/>
      <c r="B70" s="46"/>
      <c r="C70" s="278" t="s">
        <v>301</v>
      </c>
      <c r="D70" s="33"/>
      <c r="E70" s="33"/>
      <c r="F70" s="33"/>
      <c r="G70" s="33"/>
      <c r="H70" s="33"/>
      <c r="I70" s="33"/>
      <c r="J70" s="33"/>
      <c r="K70" s="33"/>
      <c r="L70" s="33"/>
      <c r="M70" s="33"/>
      <c r="N70" s="33"/>
      <c r="O70" s="33"/>
      <c r="P70" s="33"/>
      <c r="Q70" s="33"/>
      <c r="R70" s="33"/>
      <c r="U70" s="3" t="str">
        <f t="shared" si="0"/>
        <v>Follow a policy-maker for a day. Questions to consider:
What is a typical day like? Is this a career you'd like to have?
How do they hear from and get input from their constituents about an issue? How do they navigate the systems to make change?
What sources do they use? Waht statistical data? Where is it from? Who influences their fact-finding and how?</v>
      </c>
    </row>
    <row r="71" spans="1:21" x14ac:dyDescent="0.2">
      <c r="A71" s="6"/>
      <c r="B71" s="46"/>
      <c r="C71" s="278" t="s">
        <v>302</v>
      </c>
      <c r="D71" s="33"/>
      <c r="E71" s="33"/>
      <c r="F71" s="33"/>
      <c r="G71" s="33"/>
      <c r="H71" s="33"/>
      <c r="I71" s="33"/>
      <c r="J71" s="33"/>
      <c r="K71" s="33"/>
      <c r="L71" s="33"/>
      <c r="M71" s="33"/>
      <c r="N71" s="33"/>
      <c r="O71" s="33"/>
      <c r="P71" s="33"/>
      <c r="Q71" s="33"/>
      <c r="R71" s="33"/>
      <c r="U71" s="3" t="str">
        <f t="shared" si="0"/>
        <v>Volunteer for a day (or more!) at a chamber of commerce, community organization, or branch of the local governement. Talk to staff members about key policy issues, policy influencing, how they increase awareness of issues, and how they get data to use in building support for their causes.</v>
      </c>
    </row>
    <row r="72" spans="1:21" x14ac:dyDescent="0.2">
      <c r="A72" s="6"/>
      <c r="B72" s="46"/>
      <c r="C72" s="278" t="s">
        <v>303</v>
      </c>
      <c r="D72" s="88"/>
      <c r="E72" s="88"/>
      <c r="F72" s="88"/>
      <c r="G72" s="88"/>
      <c r="H72" s="88"/>
      <c r="I72" s="88"/>
      <c r="J72" s="88"/>
      <c r="K72" s="88"/>
      <c r="L72" s="88"/>
      <c r="M72" s="88"/>
      <c r="N72" s="88"/>
      <c r="O72" s="88"/>
      <c r="P72" s="88"/>
      <c r="Q72" s="88"/>
      <c r="R72" s="88"/>
      <c r="U72" s="3" t="str">
        <f t="shared" ref="U72:U135" si="17">GetComments(C72)</f>
        <v>Check your newspaper or an online calendar for policy debates and meetings. Attend one, and take careful notes. Within a week, interview a policy-maker who spole or another community officeal with an interest in the event. Use your notes to ask informed questions about the event's effectivesness in educating, convincing, or inspiring the public about the issue.</v>
      </c>
    </row>
    <row r="73" spans="1:21" ht="1.5" customHeight="1" thickBot="1" x14ac:dyDescent="0.25">
      <c r="A73" s="6"/>
      <c r="B73" s="46"/>
      <c r="C73" s="279"/>
      <c r="D73" s="123" t="str">
        <f>IF(COUNTIF(D70:D72,"A")&gt;=1,"C",IF(COUNTIF(D70:D72,"A")&gt;0,"P"," "))</f>
        <v xml:space="preserve"> </v>
      </c>
      <c r="E73" s="123" t="str">
        <f t="shared" ref="E73:R73" si="18">IF(COUNTIF(E70:E72,"A")&gt;=1,"C",IF(COUNTIF(E70:E72,"A")&gt;0,"P"," "))</f>
        <v xml:space="preserve"> </v>
      </c>
      <c r="F73" s="123" t="str">
        <f t="shared" si="18"/>
        <v xml:space="preserve"> </v>
      </c>
      <c r="G73" s="123" t="str">
        <f t="shared" si="18"/>
        <v xml:space="preserve"> </v>
      </c>
      <c r="H73" s="123" t="str">
        <f t="shared" si="18"/>
        <v xml:space="preserve"> </v>
      </c>
      <c r="I73" s="123" t="str">
        <f t="shared" si="18"/>
        <v xml:space="preserve"> </v>
      </c>
      <c r="J73" s="123" t="str">
        <f t="shared" si="18"/>
        <v xml:space="preserve"> </v>
      </c>
      <c r="K73" s="123" t="str">
        <f t="shared" si="18"/>
        <v xml:space="preserve"> </v>
      </c>
      <c r="L73" s="123" t="str">
        <f t="shared" si="18"/>
        <v xml:space="preserve"> </v>
      </c>
      <c r="M73" s="123" t="str">
        <f t="shared" si="18"/>
        <v xml:space="preserve"> </v>
      </c>
      <c r="N73" s="123" t="str">
        <f t="shared" si="18"/>
        <v xml:space="preserve"> </v>
      </c>
      <c r="O73" s="123" t="str">
        <f t="shared" si="18"/>
        <v xml:space="preserve"> </v>
      </c>
      <c r="P73" s="123" t="str">
        <f t="shared" si="18"/>
        <v xml:space="preserve"> </v>
      </c>
      <c r="Q73" s="123" t="str">
        <f t="shared" si="18"/>
        <v xml:space="preserve"> </v>
      </c>
      <c r="R73" s="123" t="str">
        <f t="shared" si="18"/>
        <v xml:space="preserve"> </v>
      </c>
      <c r="U73" s="3" t="str">
        <f t="shared" si="17"/>
        <v/>
      </c>
    </row>
    <row r="74" spans="1:21" ht="13.5" thickBot="1" x14ac:dyDescent="0.25">
      <c r="A74" s="6"/>
      <c r="B74" s="111"/>
      <c r="C74" s="74" t="s">
        <v>27</v>
      </c>
      <c r="D74" s="93" t="str">
        <f>IF(COUNTIF(D57:D73,"C")&gt;4,"C",IF(COUNTIF(D57:D73,"C")&gt;0,"P"," "))</f>
        <v xml:space="preserve"> </v>
      </c>
      <c r="E74" s="93" t="str">
        <f t="shared" ref="E74:R74" si="19">IF(COUNTIF(E57:E73,"C")&gt;4,"C",IF(COUNTIF(E57:E73,"C")&gt;0,"P"," "))</f>
        <v xml:space="preserve"> </v>
      </c>
      <c r="F74" s="93" t="str">
        <f t="shared" si="19"/>
        <v xml:space="preserve"> </v>
      </c>
      <c r="G74" s="93" t="str">
        <f t="shared" si="19"/>
        <v xml:space="preserve"> </v>
      </c>
      <c r="H74" s="93" t="str">
        <f t="shared" si="19"/>
        <v xml:space="preserve"> </v>
      </c>
      <c r="I74" s="93" t="str">
        <f t="shared" si="19"/>
        <v xml:space="preserve"> </v>
      </c>
      <c r="J74" s="93" t="str">
        <f t="shared" si="19"/>
        <v xml:space="preserve"> </v>
      </c>
      <c r="K74" s="93" t="str">
        <f t="shared" si="19"/>
        <v xml:space="preserve"> </v>
      </c>
      <c r="L74" s="93" t="str">
        <f t="shared" si="19"/>
        <v xml:space="preserve"> </v>
      </c>
      <c r="M74" s="93" t="str">
        <f t="shared" si="19"/>
        <v xml:space="preserve"> </v>
      </c>
      <c r="N74" s="93" t="str">
        <f t="shared" si="19"/>
        <v xml:space="preserve"> </v>
      </c>
      <c r="O74" s="93" t="str">
        <f t="shared" si="19"/>
        <v xml:space="preserve"> </v>
      </c>
      <c r="P74" s="93" t="str">
        <f t="shared" si="19"/>
        <v xml:space="preserve"> </v>
      </c>
      <c r="Q74" s="93" t="str">
        <f t="shared" si="19"/>
        <v xml:space="preserve"> </v>
      </c>
      <c r="R74" s="93" t="str">
        <f t="shared" si="19"/>
        <v xml:space="preserve"> </v>
      </c>
      <c r="U74" s="3" t="str">
        <f t="shared" si="17"/>
        <v/>
      </c>
    </row>
    <row r="75" spans="1:21" ht="15" x14ac:dyDescent="0.25">
      <c r="B75" s="121" t="s">
        <v>154</v>
      </c>
      <c r="U75" s="3" t="str">
        <f t="shared" si="17"/>
        <v/>
      </c>
    </row>
    <row r="76" spans="1:21" x14ac:dyDescent="0.2">
      <c r="B76" s="3">
        <v>1</v>
      </c>
      <c r="C76" s="280" t="s">
        <v>248</v>
      </c>
      <c r="U76" s="3" t="str">
        <f t="shared" si="17"/>
        <v>Create you menu A cooki becomes a chef by truly thinking about how every part of a meal works together. Good chefs balance heavy stews with simple salads, choose spices that taste great together, and even consider temperature - would guests like a cold dish between two hot ones?</v>
      </c>
    </row>
    <row r="77" spans="1:21" x14ac:dyDescent="0.2">
      <c r="B77" s="122"/>
      <c r="C77" s="190" t="s">
        <v>331</v>
      </c>
      <c r="D77" s="135"/>
      <c r="E77" s="9"/>
      <c r="F77" s="9"/>
      <c r="G77" s="9"/>
      <c r="H77" s="9"/>
      <c r="I77" s="9"/>
      <c r="J77" s="9"/>
      <c r="K77" s="9"/>
      <c r="L77" s="9"/>
      <c r="M77" s="9"/>
      <c r="N77" s="9"/>
      <c r="O77" s="9"/>
      <c r="P77" s="9"/>
      <c r="Q77" s="9"/>
      <c r="R77" s="9"/>
      <c r="U77" s="3" t="str">
        <f t="shared" si="17"/>
        <v>Interview a caterer, event planner, chef, or restaurant owner.  Ask how they plan an interesting, balanced, and nutritious menu. Collect at least three dinner menus from a variety of seasons or events, then study them to help you create an inspired menu of your own.</v>
      </c>
    </row>
    <row r="78" spans="1:21" x14ac:dyDescent="0.2">
      <c r="B78" s="122"/>
      <c r="C78" s="190" t="s">
        <v>317</v>
      </c>
      <c r="D78" s="135"/>
      <c r="E78" s="9"/>
      <c r="F78" s="9"/>
      <c r="G78" s="9"/>
      <c r="H78" s="9"/>
      <c r="I78" s="9"/>
      <c r="J78" s="9"/>
      <c r="K78" s="9"/>
      <c r="L78" s="9"/>
      <c r="M78" s="9"/>
      <c r="N78" s="9"/>
      <c r="O78" s="9"/>
      <c r="P78" s="9"/>
      <c r="Q78" s="9"/>
      <c r="R78" s="9"/>
      <c r="U78" s="3" t="str">
        <f t="shared" si="17"/>
        <v>Collect recipes from cookin shows, websites, books, or magazines. Find five recipes each for appetizers, main courses, and desserts. Write them on index or recipe cards, then play around with different combinations until you find your favorite nutritious, flavorful menu.</v>
      </c>
    </row>
    <row r="79" spans="1:21" x14ac:dyDescent="0.2">
      <c r="B79" s="122"/>
      <c r="C79" s="190" t="s">
        <v>318</v>
      </c>
      <c r="D79" s="135"/>
      <c r="E79" s="9"/>
      <c r="F79" s="9"/>
      <c r="G79" s="9"/>
      <c r="H79" s="9"/>
      <c r="I79" s="9"/>
      <c r="J79" s="9"/>
      <c r="K79" s="9"/>
      <c r="L79" s="9"/>
      <c r="M79" s="9"/>
      <c r="N79" s="9"/>
      <c r="O79" s="9"/>
      <c r="P79" s="9"/>
      <c r="Q79" s="9"/>
      <c r="R79" s="9"/>
      <c r="U79" s="3" t="str">
        <f t="shared" si="17"/>
        <v>Build a menu around your favorite ingredient. Could you include maple in every dish - mixed greens with bacon-maple dressing, maple-glazed turkey with maple-nut-sprinkled mashed potatoes, and a salted maple apple pie for dessert? Look for a variety of recipes starring your ingredient, considering both sweet and savory possibilities.</v>
      </c>
    </row>
    <row r="80" spans="1:21" x14ac:dyDescent="0.2">
      <c r="B80" s="3">
        <v>2</v>
      </c>
      <c r="C80" s="269" t="s">
        <v>249</v>
      </c>
      <c r="D80" s="123" t="str">
        <f>IF(COUNTIF(D77:D79,"A")&gt;=1,"C",IF(COUNTIF(D77:D79,"A")&gt;0,"P"," "))</f>
        <v xml:space="preserve"> </v>
      </c>
      <c r="E80" s="123" t="str">
        <f t="shared" ref="E80:R80" si="20">IF(COUNTIF(E77:E79,"A")&gt;=1,"C",IF(COUNTIF(E77:E79,"A")&gt;0,"P"," "))</f>
        <v xml:space="preserve"> </v>
      </c>
      <c r="F80" s="123" t="str">
        <f t="shared" si="20"/>
        <v xml:space="preserve"> </v>
      </c>
      <c r="G80" s="123" t="str">
        <f t="shared" si="20"/>
        <v xml:space="preserve"> </v>
      </c>
      <c r="H80" s="123" t="str">
        <f t="shared" si="20"/>
        <v xml:space="preserve"> </v>
      </c>
      <c r="I80" s="123" t="str">
        <f t="shared" si="20"/>
        <v xml:space="preserve"> </v>
      </c>
      <c r="J80" s="123" t="str">
        <f t="shared" si="20"/>
        <v xml:space="preserve"> </v>
      </c>
      <c r="K80" s="123" t="str">
        <f t="shared" si="20"/>
        <v xml:space="preserve"> </v>
      </c>
      <c r="L80" s="123" t="str">
        <f t="shared" si="20"/>
        <v xml:space="preserve"> </v>
      </c>
      <c r="M80" s="123" t="str">
        <f t="shared" si="20"/>
        <v xml:space="preserve"> </v>
      </c>
      <c r="N80" s="123" t="str">
        <f t="shared" si="20"/>
        <v xml:space="preserve"> </v>
      </c>
      <c r="O80" s="123" t="str">
        <f t="shared" si="20"/>
        <v xml:space="preserve"> </v>
      </c>
      <c r="P80" s="123" t="str">
        <f t="shared" si="20"/>
        <v xml:space="preserve"> </v>
      </c>
      <c r="Q80" s="123" t="str">
        <f t="shared" si="20"/>
        <v xml:space="preserve"> </v>
      </c>
      <c r="R80" s="123" t="str">
        <f t="shared" si="20"/>
        <v xml:space="preserve"> </v>
      </c>
      <c r="U80" s="3" t="str">
        <f t="shared" si="17"/>
        <v>Make a budget and shopping list Figure out how much you can spend, then do one choice from below to help you shop accordingly. It's important to consider how many guests you'll be inviting!</v>
      </c>
    </row>
    <row r="81" spans="2:21" x14ac:dyDescent="0.2">
      <c r="B81" s="124"/>
      <c r="C81" s="190" t="s">
        <v>319</v>
      </c>
      <c r="D81" s="135"/>
      <c r="E81" s="9"/>
      <c r="F81" s="9"/>
      <c r="G81" s="9"/>
      <c r="H81" s="9"/>
      <c r="I81" s="9"/>
      <c r="J81" s="9"/>
      <c r="K81" s="9"/>
      <c r="L81" s="9"/>
      <c r="M81" s="9"/>
      <c r="N81" s="9"/>
      <c r="O81" s="9"/>
      <c r="P81" s="9"/>
      <c r="Q81" s="9"/>
      <c r="R81" s="9"/>
      <c r="U81" s="3" t="str">
        <f t="shared" si="17"/>
        <v xml:space="preserve">Comparison shop. Take your list of revipe ingredients to different stores, such as a regular supermarket, a specialty grocery, or a farmers' market. Record what each item costs, and compare your totals to find which place gives you the most overall value. Value can mean many things, uncluding cost, taste, heaalthfulness, and the farmers or businesses you're supporting. </v>
      </c>
    </row>
    <row r="82" spans="2:21" x14ac:dyDescent="0.2">
      <c r="B82" s="124"/>
      <c r="C82" s="190" t="s">
        <v>320</v>
      </c>
      <c r="D82" s="135"/>
      <c r="E82" s="9"/>
      <c r="F82" s="9"/>
      <c r="G82" s="9"/>
      <c r="H82" s="9"/>
      <c r="I82" s="9"/>
      <c r="J82" s="9"/>
      <c r="K82" s="9"/>
      <c r="L82" s="9"/>
      <c r="M82" s="9"/>
      <c r="N82" s="9"/>
      <c r="O82" s="9"/>
      <c r="P82" s="9"/>
      <c r="Q82" s="9"/>
      <c r="R82" s="9"/>
      <c r="U82" s="3" t="str">
        <f t="shared" si="17"/>
        <v>Consult with a professional cheff or restaurant food buyer.  Find out how they portion out servings, source their food, and put together budgets. Share your menu, and ask for recommendations of sourcing your ingredients. If possible, attend a meeting (or review an order) between your sonsultant and a supplier and see what insider knowledge you pick up.</v>
      </c>
    </row>
    <row r="83" spans="2:21" x14ac:dyDescent="0.2">
      <c r="B83" s="124"/>
      <c r="C83" s="190" t="s">
        <v>321</v>
      </c>
      <c r="D83" s="135"/>
      <c r="E83" s="9"/>
      <c r="F83" s="9"/>
      <c r="G83" s="9"/>
      <c r="H83" s="9"/>
      <c r="I83" s="9"/>
      <c r="J83" s="9"/>
      <c r="K83" s="9"/>
      <c r="L83" s="9"/>
      <c r="M83" s="9"/>
      <c r="N83" s="9"/>
      <c r="O83" s="9"/>
      <c r="P83" s="9"/>
      <c r="Q83" s="9"/>
      <c r="R83" s="9"/>
      <c r="U83" s="3" t="str">
        <f t="shared" si="17"/>
        <v>Learn about alternative ways to shop.  Compare prices for your ingredients online and at wholesale warehouses, then factor in extra costs (such as warhouse membership dues or shipping charges).</v>
      </c>
    </row>
    <row r="84" spans="2:21" x14ac:dyDescent="0.2">
      <c r="B84" s="3">
        <v>3</v>
      </c>
      <c r="C84" s="269" t="s">
        <v>250</v>
      </c>
      <c r="D84" s="123" t="str">
        <f>IF(COUNTIF(D81:D83,"A")&gt;=1,"C",IF(COUNTIF(D81:D83,"A")&gt;0,"P"," "))</f>
        <v xml:space="preserve"> </v>
      </c>
      <c r="E84" s="123" t="str">
        <f t="shared" ref="E84:R84" si="21">IF(COUNTIF(E81:E83,"A")&gt;=1,"C",IF(COUNTIF(E81:E83,"A")&gt;0,"P"," "))</f>
        <v xml:space="preserve"> </v>
      </c>
      <c r="F84" s="123" t="str">
        <f t="shared" si="21"/>
        <v xml:space="preserve"> </v>
      </c>
      <c r="G84" s="123" t="str">
        <f t="shared" si="21"/>
        <v xml:space="preserve"> </v>
      </c>
      <c r="H84" s="123" t="str">
        <f t="shared" si="21"/>
        <v xml:space="preserve"> </v>
      </c>
      <c r="I84" s="123" t="str">
        <f t="shared" si="21"/>
        <v xml:space="preserve"> </v>
      </c>
      <c r="J84" s="123" t="str">
        <f t="shared" si="21"/>
        <v xml:space="preserve"> </v>
      </c>
      <c r="K84" s="123" t="str">
        <f t="shared" si="21"/>
        <v xml:space="preserve"> </v>
      </c>
      <c r="L84" s="123" t="str">
        <f t="shared" si="21"/>
        <v xml:space="preserve"> </v>
      </c>
      <c r="M84" s="123" t="str">
        <f t="shared" si="21"/>
        <v xml:space="preserve"> </v>
      </c>
      <c r="N84" s="123" t="str">
        <f t="shared" si="21"/>
        <v xml:space="preserve"> </v>
      </c>
      <c r="O84" s="123" t="str">
        <f t="shared" si="21"/>
        <v xml:space="preserve"> </v>
      </c>
      <c r="P84" s="123" t="str">
        <f t="shared" si="21"/>
        <v xml:space="preserve"> </v>
      </c>
      <c r="Q84" s="123" t="str">
        <f t="shared" si="21"/>
        <v xml:space="preserve"> </v>
      </c>
      <c r="R84" s="123" t="str">
        <f t="shared" si="21"/>
        <v xml:space="preserve"> </v>
      </c>
      <c r="U84" s="3" t="str">
        <f t="shared" si="17"/>
        <v xml:space="preserve">Practice timing your courses A key element of a successful dinner party is when each dish comes out of the kitchen. Your goal is the keep from either rushing your guests or making them wait too long between courses. The timing can be tricky, because you don't want your food to get cold (or warm, if you're serviing ice cream!), either. </v>
      </c>
    </row>
    <row r="85" spans="2:21" x14ac:dyDescent="0.2">
      <c r="B85" s="124"/>
      <c r="C85" s="190" t="s">
        <v>322</v>
      </c>
      <c r="D85" s="135"/>
      <c r="E85" s="9"/>
      <c r="F85" s="9"/>
      <c r="G85" s="9"/>
      <c r="H85" s="9"/>
      <c r="I85" s="9"/>
      <c r="J85" s="9"/>
      <c r="K85" s="9"/>
      <c r="L85" s="9"/>
      <c r="M85" s="9"/>
      <c r="N85" s="9"/>
      <c r="O85" s="9"/>
      <c r="P85" s="9"/>
      <c r="Q85" s="9"/>
      <c r="R85" s="9"/>
      <c r="U85" s="3" t="str">
        <f t="shared" si="17"/>
        <v>Get tips from food professionals. Ask how they orgainize their kitchens and supplies. Make a Top Tips list, and refer to it as you look over your recipes.</v>
      </c>
    </row>
    <row r="86" spans="2:21" x14ac:dyDescent="0.2">
      <c r="B86" s="124"/>
      <c r="C86" s="190" t="s">
        <v>323</v>
      </c>
      <c r="D86" s="135"/>
      <c r="E86" s="9"/>
      <c r="F86" s="9"/>
      <c r="G86" s="9"/>
      <c r="H86" s="9"/>
      <c r="I86" s="9"/>
      <c r="J86" s="9"/>
      <c r="K86" s="9"/>
      <c r="L86" s="9"/>
      <c r="M86" s="9"/>
      <c r="N86" s="9"/>
      <c r="O86" s="9"/>
      <c r="P86" s="9"/>
      <c r="Q86" s="9"/>
      <c r="R86" s="9"/>
      <c r="U86" s="3" t="str">
        <f t="shared" si="17"/>
        <v>Make a menu timeline. Check out the prep and cook times on your recipes, then create a timeline. Can you prep some dishes or parts of dishes before the party? Can you use the mise en place system to organize your ingredients for maximum efficiency?</v>
      </c>
    </row>
    <row r="87" spans="2:21" x14ac:dyDescent="0.2">
      <c r="B87" s="124"/>
      <c r="C87" s="190" t="s">
        <v>324</v>
      </c>
      <c r="D87" s="135"/>
      <c r="E87" s="9"/>
      <c r="F87" s="9"/>
      <c r="G87" s="9"/>
      <c r="H87" s="9"/>
      <c r="I87" s="9"/>
      <c r="J87" s="9"/>
      <c r="K87" s="9"/>
      <c r="L87" s="9"/>
      <c r="M87" s="9"/>
      <c r="N87" s="9"/>
      <c r="O87" s="9"/>
      <c r="P87" s="9"/>
      <c r="Q87" s="9"/>
      <c r="R87" s="9"/>
      <c r="U87" s="3" t="str">
        <f t="shared" si="17"/>
        <v>Prepare a test meal for family or friends. Time how long each dish took you to cook and take notes on any unexpected problems that cropped up. Then revise your plans for your party accordingly.</v>
      </c>
    </row>
    <row r="88" spans="2:21" x14ac:dyDescent="0.2">
      <c r="B88" s="3">
        <v>4</v>
      </c>
      <c r="C88" s="269" t="s">
        <v>251</v>
      </c>
      <c r="D88" s="123" t="str">
        <f>IF(COUNTIF(D85:D87,"A")&gt;=1,"C",IF(COUNTIF(D85:D87,"A")&gt;0,"P"," "))</f>
        <v xml:space="preserve"> </v>
      </c>
      <c r="E88" s="123" t="str">
        <f t="shared" ref="E88:R88" si="22">IF(COUNTIF(E85:E87,"A")&gt;=1,"C",IF(COUNTIF(E85:E87,"A")&gt;0,"P"," "))</f>
        <v xml:space="preserve"> </v>
      </c>
      <c r="F88" s="123" t="str">
        <f t="shared" si="22"/>
        <v xml:space="preserve"> </v>
      </c>
      <c r="G88" s="123" t="str">
        <f t="shared" si="22"/>
        <v xml:space="preserve"> </v>
      </c>
      <c r="H88" s="123" t="str">
        <f t="shared" si="22"/>
        <v xml:space="preserve"> </v>
      </c>
      <c r="I88" s="123" t="str">
        <f t="shared" si="22"/>
        <v xml:space="preserve"> </v>
      </c>
      <c r="J88" s="123" t="str">
        <f t="shared" si="22"/>
        <v xml:space="preserve"> </v>
      </c>
      <c r="K88" s="123" t="str">
        <f t="shared" si="22"/>
        <v xml:space="preserve"> </v>
      </c>
      <c r="L88" s="123" t="str">
        <f t="shared" si="22"/>
        <v xml:space="preserve"> </v>
      </c>
      <c r="M88" s="123" t="str">
        <f t="shared" si="22"/>
        <v xml:space="preserve"> </v>
      </c>
      <c r="N88" s="123" t="str">
        <f t="shared" si="22"/>
        <v xml:space="preserve"> </v>
      </c>
      <c r="O88" s="123" t="str">
        <f t="shared" si="22"/>
        <v xml:space="preserve"> </v>
      </c>
      <c r="P88" s="123" t="str">
        <f t="shared" si="22"/>
        <v xml:space="preserve"> </v>
      </c>
      <c r="Q88" s="123" t="str">
        <f t="shared" si="22"/>
        <v xml:space="preserve"> </v>
      </c>
      <c r="R88" s="123" t="str">
        <f t="shared" si="22"/>
        <v xml:space="preserve"> </v>
      </c>
      <c r="U88" s="3" t="str">
        <f t="shared" si="17"/>
        <v>Explore imaginative ways to present food The pleasure of a meal goes beyond taste - it includes how food is displayed. The two key parts of styling are arrangement (where will each part of your dish sit on a plat?) and color (how do the colors of your ingredients look with each other and with the dishes they'll be served on?)</v>
      </c>
    </row>
    <row r="89" spans="2:21" x14ac:dyDescent="0.2">
      <c r="B89" s="124"/>
      <c r="C89" s="190" t="s">
        <v>325</v>
      </c>
      <c r="D89" s="135"/>
      <c r="E89" s="9"/>
      <c r="F89" s="9"/>
      <c r="G89" s="9"/>
      <c r="H89" s="9"/>
      <c r="I89" s="9"/>
      <c r="J89" s="9"/>
      <c r="K89" s="9"/>
      <c r="L89" s="9"/>
      <c r="M89" s="9"/>
      <c r="N89" s="9"/>
      <c r="O89" s="9"/>
      <c r="P89" s="9"/>
      <c r="Q89" s="9"/>
      <c r="R89" s="9"/>
      <c r="U89" s="3" t="str">
        <f t="shared" si="17"/>
        <v>Experiment with garnishes. Go beyond a parsley sprig - are there decorative (and flavorful) sauces or oils you could brush or drizzle across your dish? Could you decorate your servings with edible flowers or dollops of apple jam? Think of each plate as a canvas, and find two food-based "paints" to make your presentation a masterpiece.</v>
      </c>
    </row>
    <row r="90" spans="2:21" x14ac:dyDescent="0.2">
      <c r="B90" s="124"/>
      <c r="C90" s="190" t="s">
        <v>326</v>
      </c>
      <c r="D90" s="135"/>
      <c r="E90" s="9"/>
      <c r="F90" s="9"/>
      <c r="G90" s="9"/>
      <c r="H90" s="9"/>
      <c r="I90" s="9"/>
      <c r="J90" s="9"/>
      <c r="K90" s="9"/>
      <c r="L90" s="9"/>
      <c r="M90" s="9"/>
      <c r="N90" s="9"/>
      <c r="O90" s="9"/>
      <c r="P90" s="9"/>
      <c r="Q90" s="9"/>
      <c r="R90" s="9"/>
      <c r="U90" s="3" t="str">
        <f t="shared" si="17"/>
        <v>Present food in interesting shapes. Carrots can be julienned (cut into strips) or served brunoise style (diced into fine cubes). You can shape a scoop of mashed potatoes with a cookie cutter. Find three fun shapes to use when you style your meal.</v>
      </c>
    </row>
    <row r="91" spans="2:21" x14ac:dyDescent="0.2">
      <c r="B91" s="124"/>
      <c r="C91" s="190" t="s">
        <v>327</v>
      </c>
      <c r="D91" s="135"/>
      <c r="E91" s="9"/>
      <c r="F91" s="9"/>
      <c r="G91" s="9"/>
      <c r="H91" s="9"/>
      <c r="I91" s="9"/>
      <c r="J91" s="9"/>
      <c r="K91" s="9"/>
      <c r="L91" s="9"/>
      <c r="M91" s="9"/>
      <c r="N91" s="9"/>
      <c r="O91" s="9"/>
      <c r="P91" s="9"/>
      <c r="Q91" s="9"/>
      <c r="R91" s="9"/>
      <c r="U91" s="3" t="str">
        <f t="shared" si="17"/>
        <v>Use serving ware in unusual ways. Serve soup in a mug instead of a bowl, or chicken breast over couscous in a bowl instead of on a plate. Would it be fun to eat a dish with chopsticks or "drink" a dessert? Use dishware and/or cultlery in innovative ways for each of your courses.</v>
      </c>
    </row>
    <row r="92" spans="2:21" x14ac:dyDescent="0.2">
      <c r="B92" s="3">
        <v>5</v>
      </c>
      <c r="C92" s="269" t="s">
        <v>252</v>
      </c>
      <c r="D92" s="123" t="str">
        <f>IF(COUNTIF(D89:D91,"A")&gt;=1,"C",IF(COUNTIF(D89:D91,"A")&gt;0,"P"," "))</f>
        <v xml:space="preserve"> </v>
      </c>
      <c r="E92" s="123" t="str">
        <f t="shared" ref="E92:R92" si="23">IF(COUNTIF(E89:E91,"A")&gt;=1,"C",IF(COUNTIF(E89:E91,"A")&gt;0,"P"," "))</f>
        <v xml:space="preserve"> </v>
      </c>
      <c r="F92" s="123" t="str">
        <f t="shared" si="23"/>
        <v xml:space="preserve"> </v>
      </c>
      <c r="G92" s="123" t="str">
        <f t="shared" si="23"/>
        <v xml:space="preserve"> </v>
      </c>
      <c r="H92" s="123" t="str">
        <f t="shared" si="23"/>
        <v xml:space="preserve"> </v>
      </c>
      <c r="I92" s="123" t="str">
        <f t="shared" si="23"/>
        <v xml:space="preserve"> </v>
      </c>
      <c r="J92" s="123" t="str">
        <f t="shared" si="23"/>
        <v xml:space="preserve"> </v>
      </c>
      <c r="K92" s="123" t="str">
        <f t="shared" si="23"/>
        <v xml:space="preserve"> </v>
      </c>
      <c r="L92" s="123" t="str">
        <f t="shared" si="23"/>
        <v xml:space="preserve"> </v>
      </c>
      <c r="M92" s="123" t="str">
        <f t="shared" si="23"/>
        <v xml:space="preserve"> </v>
      </c>
      <c r="N92" s="123" t="str">
        <f t="shared" si="23"/>
        <v xml:space="preserve"> </v>
      </c>
      <c r="O92" s="123" t="str">
        <f t="shared" si="23"/>
        <v xml:space="preserve"> </v>
      </c>
      <c r="P92" s="123" t="str">
        <f t="shared" si="23"/>
        <v xml:space="preserve"> </v>
      </c>
      <c r="Q92" s="123" t="str">
        <f t="shared" si="23"/>
        <v xml:space="preserve"> </v>
      </c>
      <c r="R92" s="123" t="str">
        <f t="shared" si="23"/>
        <v xml:space="preserve"> </v>
      </c>
      <c r="U92" s="3" t="str">
        <f t="shared" si="17"/>
        <v>Host your dinner party  Time to make your meal, enjoy your accomplishment, and have some fun! Use one of the choices below to enhance your dinner party. Then, as your guests enjoy the stylish food and dining experience you've crafted, ask them for constrictive feedback.</v>
      </c>
    </row>
    <row r="93" spans="2:21" x14ac:dyDescent="0.2">
      <c r="B93" s="124"/>
      <c r="C93" s="190" t="s">
        <v>328</v>
      </c>
      <c r="D93" s="135"/>
      <c r="E93" s="9"/>
      <c r="F93" s="9"/>
      <c r="G93" s="9"/>
      <c r="H93" s="9"/>
      <c r="I93" s="9"/>
      <c r="J93" s="9"/>
      <c r="K93" s="9"/>
      <c r="L93" s="9"/>
      <c r="M93" s="9"/>
      <c r="N93" s="9"/>
      <c r="O93" s="9"/>
      <c r="P93" s="9"/>
      <c r="Q93" s="9"/>
      <c r="R93" s="9"/>
      <c r="U93" s="3" t="str">
        <f t="shared" si="17"/>
        <v>Decorate according to your menu theme. Does your menu have a cultural or personal theme you could expand into music, decorations, and mood?</v>
      </c>
    </row>
    <row r="94" spans="2:21" x14ac:dyDescent="0.2">
      <c r="B94" s="124"/>
      <c r="C94" s="190" t="s">
        <v>329</v>
      </c>
      <c r="D94" s="135"/>
      <c r="E94" s="9"/>
      <c r="F94" s="9"/>
      <c r="G94" s="9"/>
      <c r="H94" s="9"/>
      <c r="I94" s="9"/>
      <c r="J94" s="9"/>
      <c r="K94" s="9"/>
      <c r="L94" s="9"/>
      <c r="M94" s="9"/>
      <c r="N94" s="9"/>
      <c r="O94" s="9"/>
      <c r="P94" s="9"/>
      <c r="Q94" s="9"/>
      <c r="R94" s="9"/>
      <c r="U94" s="3" t="str">
        <f t="shared" si="17"/>
        <v>Celebrate a special occasion. Commemorate a birthday, holiday, or Girl Scout event - you could even throw your dinner party at camp!</v>
      </c>
    </row>
    <row r="95" spans="2:21" x14ac:dyDescent="0.2">
      <c r="B95" s="124"/>
      <c r="C95" s="190" t="s">
        <v>330</v>
      </c>
      <c r="D95" s="135"/>
      <c r="E95" s="9"/>
      <c r="F95" s="9"/>
      <c r="G95" s="9"/>
      <c r="H95" s="9"/>
      <c r="I95" s="9"/>
      <c r="J95" s="9"/>
      <c r="K95" s="9"/>
      <c r="L95" s="9"/>
      <c r="M95" s="9"/>
      <c r="N95" s="9"/>
      <c r="O95" s="9"/>
      <c r="P95" s="9"/>
      <c r="Q95" s="9"/>
      <c r="R95" s="9"/>
      <c r="U95" s="3" t="str">
        <f t="shared" si="17"/>
        <v>Use food and fun to forge new friendships. Are there girls you'd like to get to know better or new students you could invite to dinner so they could make new friends? Could you invite friends from different parts of your life so they can get to know one another?</v>
      </c>
    </row>
    <row r="96" spans="2:21" ht="1.5" customHeight="1" thickBot="1" x14ac:dyDescent="0.25">
      <c r="D96" s="123" t="str">
        <f>IF(COUNTIF(D93:D95,"A")&gt;=1,"C",IF(COUNTIF(D93:D95,"A")&gt;0,"P"," "))</f>
        <v xml:space="preserve"> </v>
      </c>
      <c r="E96" s="123" t="str">
        <f t="shared" ref="E96:R96" si="24">IF(COUNTIF(E93:E95,"A")&gt;=1,"C",IF(COUNTIF(E93:E95,"A")&gt;0,"P"," "))</f>
        <v xml:space="preserve"> </v>
      </c>
      <c r="F96" s="123" t="str">
        <f t="shared" si="24"/>
        <v xml:space="preserve"> </v>
      </c>
      <c r="G96" s="123" t="str">
        <f t="shared" si="24"/>
        <v xml:space="preserve"> </v>
      </c>
      <c r="H96" s="123" t="str">
        <f t="shared" si="24"/>
        <v xml:space="preserve"> </v>
      </c>
      <c r="I96" s="123" t="str">
        <f t="shared" si="24"/>
        <v xml:space="preserve"> </v>
      </c>
      <c r="J96" s="123" t="str">
        <f t="shared" si="24"/>
        <v xml:space="preserve"> </v>
      </c>
      <c r="K96" s="123" t="str">
        <f t="shared" si="24"/>
        <v xml:space="preserve"> </v>
      </c>
      <c r="L96" s="123" t="str">
        <f t="shared" si="24"/>
        <v xml:space="preserve"> </v>
      </c>
      <c r="M96" s="123" t="str">
        <f t="shared" si="24"/>
        <v xml:space="preserve"> </v>
      </c>
      <c r="N96" s="123" t="str">
        <f t="shared" si="24"/>
        <v xml:space="preserve"> </v>
      </c>
      <c r="O96" s="123" t="str">
        <f t="shared" si="24"/>
        <v xml:space="preserve"> </v>
      </c>
      <c r="P96" s="123" t="str">
        <f t="shared" si="24"/>
        <v xml:space="preserve"> </v>
      </c>
      <c r="Q96" s="123" t="str">
        <f t="shared" si="24"/>
        <v xml:space="preserve"> </v>
      </c>
      <c r="R96" s="123" t="str">
        <f t="shared" si="24"/>
        <v xml:space="preserve"> </v>
      </c>
      <c r="U96" s="3" t="str">
        <f t="shared" si="17"/>
        <v/>
      </c>
    </row>
    <row r="97" spans="2:21" ht="13.5" thickBot="1" x14ac:dyDescent="0.25">
      <c r="C97" s="74" t="s">
        <v>27</v>
      </c>
      <c r="D97" s="93" t="str">
        <f>IF(COUNTIF(D80:D96,"C")&gt;4,"C",IF(COUNTIF(D80:D96,"C")&gt;0,"P"," "))</f>
        <v xml:space="preserve"> </v>
      </c>
      <c r="E97" s="93" t="str">
        <f t="shared" ref="E97:R97" si="25">IF(COUNTIF(E80:E96,"C")&gt;4,"C",IF(COUNTIF(E80:E96,"C")&gt;0,"P"," "))</f>
        <v xml:space="preserve"> </v>
      </c>
      <c r="F97" s="93" t="str">
        <f t="shared" si="25"/>
        <v xml:space="preserve"> </v>
      </c>
      <c r="G97" s="93" t="str">
        <f t="shared" si="25"/>
        <v xml:space="preserve"> </v>
      </c>
      <c r="H97" s="93" t="str">
        <f t="shared" si="25"/>
        <v xml:space="preserve"> </v>
      </c>
      <c r="I97" s="93" t="str">
        <f t="shared" si="25"/>
        <v xml:space="preserve"> </v>
      </c>
      <c r="J97" s="93" t="str">
        <f t="shared" si="25"/>
        <v xml:space="preserve"> </v>
      </c>
      <c r="K97" s="93" t="str">
        <f t="shared" si="25"/>
        <v xml:space="preserve"> </v>
      </c>
      <c r="L97" s="93" t="str">
        <f t="shared" si="25"/>
        <v xml:space="preserve"> </v>
      </c>
      <c r="M97" s="93" t="str">
        <f t="shared" si="25"/>
        <v xml:space="preserve"> </v>
      </c>
      <c r="N97" s="93" t="str">
        <f t="shared" si="25"/>
        <v xml:space="preserve"> </v>
      </c>
      <c r="O97" s="93" t="str">
        <f t="shared" si="25"/>
        <v xml:space="preserve"> </v>
      </c>
      <c r="P97" s="93" t="str">
        <f t="shared" si="25"/>
        <v xml:space="preserve"> </v>
      </c>
      <c r="Q97" s="93" t="str">
        <f t="shared" si="25"/>
        <v xml:space="preserve"> </v>
      </c>
      <c r="R97" s="93" t="str">
        <f t="shared" si="25"/>
        <v xml:space="preserve"> </v>
      </c>
      <c r="U97" s="3" t="str">
        <f t="shared" si="17"/>
        <v/>
      </c>
    </row>
    <row r="98" spans="2:21" ht="15" x14ac:dyDescent="0.25">
      <c r="B98" s="121" t="s">
        <v>155</v>
      </c>
      <c r="U98" s="3" t="str">
        <f t="shared" si="17"/>
        <v/>
      </c>
    </row>
    <row r="99" spans="2:21" x14ac:dyDescent="0.2">
      <c r="B99" s="3">
        <v>1</v>
      </c>
      <c r="C99" s="281" t="s">
        <v>253</v>
      </c>
      <c r="U99" s="3" t="str">
        <f t="shared" si="17"/>
        <v>Learn how to deal with medical emergencies in the wilderness Adventure trips test your limits, build new skills, and increase your confidence - all while you enjoy the thrill of being outdoors. They also create the possibility of serious medical emergencies. Find out how to handle a worst-case scenario in a particular kind of terrain.</v>
      </c>
    </row>
    <row r="100" spans="2:21" x14ac:dyDescent="0.2">
      <c r="B100" s="122"/>
      <c r="C100" s="190" t="s">
        <v>332</v>
      </c>
      <c r="D100" s="135"/>
      <c r="E100" s="9"/>
      <c r="F100" s="9"/>
      <c r="G100" s="9"/>
      <c r="H100" s="9"/>
      <c r="I100" s="9"/>
      <c r="J100" s="9"/>
      <c r="K100" s="9"/>
      <c r="L100" s="9"/>
      <c r="M100" s="9"/>
      <c r="N100" s="9"/>
      <c r="O100" s="9"/>
      <c r="P100" s="9"/>
      <c r="Q100" s="9"/>
      <c r="R100" s="9"/>
      <c r="U100" s="3" t="str">
        <f t="shared" si="17"/>
        <v>Backcountry. Interview someone from a search-and-rescue team about the kinds of emergencies you might encounter on a backcountry trip and how to handle them.</v>
      </c>
    </row>
    <row r="101" spans="2:21" x14ac:dyDescent="0.2">
      <c r="B101" s="122"/>
      <c r="C101" s="190" t="s">
        <v>333</v>
      </c>
      <c r="D101" s="135"/>
      <c r="E101" s="9"/>
      <c r="F101" s="9"/>
      <c r="G101" s="9"/>
      <c r="H101" s="9"/>
      <c r="I101" s="9"/>
      <c r="J101" s="9"/>
      <c r="K101" s="9"/>
      <c r="L101" s="9"/>
      <c r="M101" s="9"/>
      <c r="N101" s="9"/>
      <c r="O101" s="9"/>
      <c r="P101" s="9"/>
      <c r="Q101" s="9"/>
      <c r="R101" s="9"/>
      <c r="U101" s="3" t="str">
        <f t="shared" si="17"/>
        <v xml:space="preserve">Open water. Interview a certified lifeguard, emergency medical technician (EMT) who works on open water, or Coast Guard medic about how to handle the kinds of emergencies you might encounter on the ocean or a large body of water. </v>
      </c>
    </row>
    <row r="102" spans="2:21" x14ac:dyDescent="0.2">
      <c r="B102" s="122"/>
      <c r="C102" s="190" t="s">
        <v>334</v>
      </c>
      <c r="D102" s="135"/>
      <c r="E102" s="9"/>
      <c r="F102" s="9"/>
      <c r="G102" s="9"/>
      <c r="H102" s="9"/>
      <c r="I102" s="9"/>
      <c r="J102" s="9"/>
      <c r="K102" s="9"/>
      <c r="L102" s="9"/>
      <c r="M102" s="9"/>
      <c r="N102" s="9"/>
      <c r="O102" s="9"/>
      <c r="P102" s="9"/>
      <c r="Q102" s="9"/>
      <c r="R102" s="9"/>
      <c r="U102" s="3" t="str">
        <f t="shared" si="17"/>
        <v xml:space="preserve">Mountains. Talk to an EMT, wilderness first responder, or rescue squad member with wilderness first aid training about the emergencies you might encounter on a trip in the mountains - including high-altitude sickness - and how to handle them. </v>
      </c>
    </row>
    <row r="103" spans="2:21" x14ac:dyDescent="0.2">
      <c r="B103" s="3">
        <v>2</v>
      </c>
      <c r="C103" s="269" t="s">
        <v>254</v>
      </c>
      <c r="D103" s="123" t="str">
        <f>IF(COUNTIF(D100:D102,"A")&gt;=1,"C",IF(COUNTIF(D100:D102,"A")&gt;0,"P"," "))</f>
        <v xml:space="preserve"> </v>
      </c>
      <c r="E103" s="123" t="str">
        <f t="shared" ref="E103:R103" si="26">IF(COUNTIF(E100:E102,"A")&gt;=1,"C",IF(COUNTIF(E100:E102,"A")&gt;0,"P"," "))</f>
        <v xml:space="preserve"> </v>
      </c>
      <c r="F103" s="123" t="str">
        <f t="shared" si="26"/>
        <v xml:space="preserve"> </v>
      </c>
      <c r="G103" s="123" t="str">
        <f t="shared" si="26"/>
        <v xml:space="preserve"> </v>
      </c>
      <c r="H103" s="123" t="str">
        <f t="shared" si="26"/>
        <v xml:space="preserve"> </v>
      </c>
      <c r="I103" s="123" t="str">
        <f t="shared" si="26"/>
        <v xml:space="preserve"> </v>
      </c>
      <c r="J103" s="123" t="str">
        <f t="shared" si="26"/>
        <v xml:space="preserve"> </v>
      </c>
      <c r="K103" s="123" t="str">
        <f t="shared" si="26"/>
        <v xml:space="preserve"> </v>
      </c>
      <c r="L103" s="123" t="str">
        <f t="shared" si="26"/>
        <v xml:space="preserve"> </v>
      </c>
      <c r="M103" s="123" t="str">
        <f t="shared" si="26"/>
        <v xml:space="preserve"> </v>
      </c>
      <c r="N103" s="123" t="str">
        <f t="shared" si="26"/>
        <v xml:space="preserve"> </v>
      </c>
      <c r="O103" s="123" t="str">
        <f t="shared" si="26"/>
        <v xml:space="preserve"> </v>
      </c>
      <c r="P103" s="123" t="str">
        <f t="shared" si="26"/>
        <v xml:space="preserve"> </v>
      </c>
      <c r="Q103" s="123" t="str">
        <f t="shared" si="26"/>
        <v xml:space="preserve"> </v>
      </c>
      <c r="R103" s="123" t="str">
        <f t="shared" si="26"/>
        <v xml:space="preserve"> </v>
      </c>
      <c r="U103" s="3" t="str">
        <f t="shared" si="17"/>
        <v xml:space="preserve">Research careers that save lives in extreme conditions Some people go to work each day ready to save lives in extraordinarily tough situations. Find out more about these careers in an interview. Ask about the training and education needed, and the situations where they've used their expertise. </v>
      </c>
    </row>
    <row r="104" spans="2:21" x14ac:dyDescent="0.2">
      <c r="B104" s="124"/>
      <c r="C104" s="190" t="s">
        <v>335</v>
      </c>
      <c r="D104" s="135"/>
      <c r="E104" s="9"/>
      <c r="F104" s="9"/>
      <c r="G104" s="9"/>
      <c r="H104" s="9"/>
      <c r="I104" s="9"/>
      <c r="J104" s="9"/>
      <c r="K104" s="9"/>
      <c r="L104" s="9"/>
      <c r="M104" s="9"/>
      <c r="N104" s="9"/>
      <c r="O104" s="9"/>
      <c r="P104" s="9"/>
      <c r="Q104" s="9"/>
      <c r="R104" s="9"/>
      <c r="U104" s="3" t="str">
        <f t="shared" si="17"/>
        <v>Wilderness rescue.  Interview a lifeguard, park ranger, or member of a wilderness search-and-rescue squad or ski patrol</v>
      </c>
    </row>
    <row r="105" spans="2:21" x14ac:dyDescent="0.2">
      <c r="B105" s="124"/>
      <c r="C105" s="190" t="s">
        <v>336</v>
      </c>
      <c r="D105" s="135"/>
      <c r="E105" s="9"/>
      <c r="F105" s="9"/>
      <c r="G105" s="9"/>
      <c r="H105" s="9"/>
      <c r="I105" s="9"/>
      <c r="J105" s="9"/>
      <c r="K105" s="9"/>
      <c r="L105" s="9"/>
      <c r="M105" s="9"/>
      <c r="N105" s="9"/>
      <c r="O105" s="9"/>
      <c r="P105" s="9"/>
      <c r="Q105" s="9"/>
      <c r="R105" s="9"/>
      <c r="U105" s="3" t="str">
        <f t="shared" si="17"/>
        <v>Disaster preparedness. Interview a firefighter, EMT, or member of a local emergency response unit who's trained to handle major disasters such as hrricanes, floods, earthquakes, or terrorist attacks.</v>
      </c>
    </row>
    <row r="106" spans="2:21" x14ac:dyDescent="0.2">
      <c r="B106" s="124"/>
      <c r="C106" s="190" t="s">
        <v>337</v>
      </c>
      <c r="D106" s="135"/>
      <c r="E106" s="9"/>
      <c r="F106" s="9"/>
      <c r="G106" s="9"/>
      <c r="H106" s="9"/>
      <c r="I106" s="9"/>
      <c r="J106" s="9"/>
      <c r="K106" s="9"/>
      <c r="L106" s="9"/>
      <c r="M106" s="9"/>
      <c r="N106" s="9"/>
      <c r="O106" s="9"/>
      <c r="P106" s="9"/>
      <c r="Q106" s="9"/>
      <c r="R106" s="9"/>
      <c r="U106" s="3" t="str">
        <f t="shared" si="17"/>
        <v>Militaray medicine. Interview a combat medic or member of a military medical unit to find out more about how they care for soldiers during trainingexercises or combat.</v>
      </c>
    </row>
    <row r="107" spans="2:21" x14ac:dyDescent="0.2">
      <c r="B107" s="3">
        <v>3</v>
      </c>
      <c r="C107" s="269" t="s">
        <v>255</v>
      </c>
      <c r="D107" s="123" t="str">
        <f>IF(COUNTIF(D104:D106,"A")&gt;=1,"C",IF(COUNTIF(D104:D106,"A")&gt;0,"P"," "))</f>
        <v xml:space="preserve"> </v>
      </c>
      <c r="E107" s="123" t="str">
        <f t="shared" ref="E107:R107" si="27">IF(COUNTIF(E104:E106,"A")&gt;=1,"C",IF(COUNTIF(E104:E106,"A")&gt;0,"P"," "))</f>
        <v xml:space="preserve"> </v>
      </c>
      <c r="F107" s="123" t="str">
        <f t="shared" si="27"/>
        <v xml:space="preserve"> </v>
      </c>
      <c r="G107" s="123" t="str">
        <f t="shared" si="27"/>
        <v xml:space="preserve"> </v>
      </c>
      <c r="H107" s="123" t="str">
        <f t="shared" si="27"/>
        <v xml:space="preserve"> </v>
      </c>
      <c r="I107" s="123" t="str">
        <f t="shared" si="27"/>
        <v xml:space="preserve"> </v>
      </c>
      <c r="J107" s="123" t="str">
        <f t="shared" si="27"/>
        <v xml:space="preserve"> </v>
      </c>
      <c r="K107" s="123" t="str">
        <f t="shared" si="27"/>
        <v xml:space="preserve"> </v>
      </c>
      <c r="L107" s="123" t="str">
        <f t="shared" si="27"/>
        <v xml:space="preserve"> </v>
      </c>
      <c r="M107" s="123" t="str">
        <f t="shared" si="27"/>
        <v xml:space="preserve"> </v>
      </c>
      <c r="N107" s="123" t="str">
        <f t="shared" si="27"/>
        <v xml:space="preserve"> </v>
      </c>
      <c r="O107" s="123" t="str">
        <f t="shared" si="27"/>
        <v xml:space="preserve"> </v>
      </c>
      <c r="P107" s="123" t="str">
        <f t="shared" si="27"/>
        <v xml:space="preserve"> </v>
      </c>
      <c r="Q107" s="123" t="str">
        <f t="shared" si="27"/>
        <v xml:space="preserve"> </v>
      </c>
      <c r="R107" s="123" t="str">
        <f t="shared" si="27"/>
        <v xml:space="preserve"> </v>
      </c>
      <c r="U107" s="3" t="str">
        <f t="shared" si="17"/>
        <v xml:space="preserve">Find out how to care for a critically injured person In a remote location or extreme situation that prevents help from reaching you, it's important to know how to keep someone who is critically injured alive until professionals can take over. Find out how to keep an injured person alive for 16 to 24 hours. </v>
      </c>
    </row>
    <row r="108" spans="2:21" x14ac:dyDescent="0.2">
      <c r="B108" s="124"/>
      <c r="C108" s="190" t="s">
        <v>338</v>
      </c>
      <c r="D108" s="135"/>
      <c r="E108" s="9"/>
      <c r="F108" s="9"/>
      <c r="G108" s="9"/>
      <c r="H108" s="9"/>
      <c r="I108" s="9"/>
      <c r="J108" s="9"/>
      <c r="K108" s="9"/>
      <c r="L108" s="9"/>
      <c r="M108" s="9"/>
      <c r="N108" s="9"/>
      <c r="O108" s="9"/>
      <c r="P108" s="9"/>
      <c r="Q108" s="9"/>
      <c r="R108" s="9"/>
      <c r="U108" s="3" t="str">
        <f t="shared" si="17"/>
        <v>Take a wilderness first aid course. Find a course taught by a certified instructor or endorsed by an accredited organization such as the Wilderness &amp; Remote First Aid course offered by the Red Cross. (Ambassadors can be certified as American Red Cross Instructors in this course and others.)</v>
      </c>
    </row>
    <row r="109" spans="2:21" x14ac:dyDescent="0.2">
      <c r="B109" s="124"/>
      <c r="C109" s="190" t="s">
        <v>339</v>
      </c>
      <c r="D109" s="135"/>
      <c r="E109" s="9"/>
      <c r="F109" s="9"/>
      <c r="G109" s="9"/>
      <c r="H109" s="9"/>
      <c r="I109" s="9"/>
      <c r="J109" s="9"/>
      <c r="K109" s="9"/>
      <c r="L109" s="9"/>
      <c r="M109" s="9"/>
      <c r="N109" s="9"/>
      <c r="O109" s="9"/>
      <c r="P109" s="9"/>
      <c r="Q109" s="9"/>
      <c r="R109" s="9"/>
      <c r="U109" s="3" t="str">
        <f t="shared" si="17"/>
        <v xml:space="preserve">Interview a doctor, nurse, EMT, or first resonder.  Find someone who specializes in wilderness or survival medicine and ask about the techniques they use to keep people alive in remote areas. Have them help you role-play what you would need to do to treat injuries you may encounter in your outdoor adventures. </v>
      </c>
    </row>
    <row r="110" spans="2:21" x14ac:dyDescent="0.2">
      <c r="B110" s="124"/>
      <c r="C110" s="190" t="s">
        <v>340</v>
      </c>
      <c r="D110" s="135"/>
      <c r="E110" s="9"/>
      <c r="F110" s="9"/>
      <c r="G110" s="9"/>
      <c r="H110" s="9"/>
      <c r="I110" s="9"/>
      <c r="J110" s="9"/>
      <c r="K110" s="9"/>
      <c r="L110" s="9"/>
      <c r="M110" s="9"/>
      <c r="N110" s="9"/>
      <c r="O110" s="9"/>
      <c r="P110" s="9"/>
      <c r="Q110" s="9"/>
      <c r="R110" s="9"/>
      <c r="U110" s="3" t="str">
        <f t="shared" si="17"/>
        <v>Discover how to use what's on hand in an emergency. With the help of a doctor, nurse, or EMT who specializes in disaster or survival medicine, find out how common items found in the house or car might help heep a ctritically injured person alive when emergency help is delayed.</v>
      </c>
    </row>
    <row r="111" spans="2:21" x14ac:dyDescent="0.2">
      <c r="B111" s="3">
        <v>4</v>
      </c>
      <c r="C111" s="269" t="s">
        <v>256</v>
      </c>
      <c r="D111" s="123" t="str">
        <f>IF(COUNTIF(D108:D110,"A")&gt;=1,"C",IF(COUNTIF(D108:D110,"A")&gt;0,"P"," "))</f>
        <v xml:space="preserve"> </v>
      </c>
      <c r="E111" s="123" t="str">
        <f t="shared" ref="E111:R111" si="28">IF(COUNTIF(E108:E110,"A")&gt;=1,"C",IF(COUNTIF(E108:E110,"A")&gt;0,"P"," "))</f>
        <v xml:space="preserve"> </v>
      </c>
      <c r="F111" s="123" t="str">
        <f t="shared" si="28"/>
        <v xml:space="preserve"> </v>
      </c>
      <c r="G111" s="123" t="str">
        <f t="shared" si="28"/>
        <v xml:space="preserve"> </v>
      </c>
      <c r="H111" s="123" t="str">
        <f t="shared" si="28"/>
        <v xml:space="preserve"> </v>
      </c>
      <c r="I111" s="123" t="str">
        <f t="shared" si="28"/>
        <v xml:space="preserve"> </v>
      </c>
      <c r="J111" s="123" t="str">
        <f t="shared" si="28"/>
        <v xml:space="preserve"> </v>
      </c>
      <c r="K111" s="123" t="str">
        <f t="shared" si="28"/>
        <v xml:space="preserve"> </v>
      </c>
      <c r="L111" s="123" t="str">
        <f t="shared" si="28"/>
        <v xml:space="preserve"> </v>
      </c>
      <c r="M111" s="123" t="str">
        <f t="shared" si="28"/>
        <v xml:space="preserve"> </v>
      </c>
      <c r="N111" s="123" t="str">
        <f t="shared" si="28"/>
        <v xml:space="preserve"> </v>
      </c>
      <c r="O111" s="123" t="str">
        <f t="shared" si="28"/>
        <v xml:space="preserve"> </v>
      </c>
      <c r="P111" s="123" t="str">
        <f t="shared" si="28"/>
        <v xml:space="preserve"> </v>
      </c>
      <c r="Q111" s="123" t="str">
        <f t="shared" si="28"/>
        <v xml:space="preserve"> </v>
      </c>
      <c r="R111" s="123" t="str">
        <f t="shared" si="28"/>
        <v xml:space="preserve"> </v>
      </c>
      <c r="U111" s="3" t="str">
        <f t="shared" si="17"/>
        <v>Know how ot move an injured person When you took your first aid and CPR certification course, you learned not to move someone with a  serious injury. But sometimes there's no choice. If there's an immediate danger, such as fire, fallen power lines, or flooding, you make need to move the person out of harm's way. Find out how to do this safely.</v>
      </c>
    </row>
    <row r="112" spans="2:21" x14ac:dyDescent="0.2">
      <c r="B112" s="124"/>
      <c r="C112" s="190" t="s">
        <v>341</v>
      </c>
      <c r="D112" s="135"/>
      <c r="E112" s="9"/>
      <c r="F112" s="9"/>
      <c r="G112" s="9"/>
      <c r="H112" s="9"/>
      <c r="I112" s="9"/>
      <c r="J112" s="9"/>
      <c r="K112" s="9"/>
      <c r="L112" s="9"/>
      <c r="M112" s="9"/>
      <c r="N112" s="9"/>
      <c r="O112" s="9"/>
      <c r="P112" s="9"/>
      <c r="Q112" s="9"/>
      <c r="R112" s="9"/>
      <c r="U112" s="3" t="str">
        <f t="shared" si="17"/>
        <v>Visit a medical schoool.  Schools often have student clubs focusing on wildernes, survival, or disaster medicine. Find one near hyou and set up a time when you and your Girl Scout friends can meet with them.</v>
      </c>
    </row>
    <row r="113" spans="2:21" x14ac:dyDescent="0.2">
      <c r="B113" s="124"/>
      <c r="C113" s="190" t="s">
        <v>338</v>
      </c>
      <c r="D113" s="135"/>
      <c r="E113" s="9"/>
      <c r="F113" s="9"/>
      <c r="G113" s="9"/>
      <c r="H113" s="9"/>
      <c r="I113" s="9"/>
      <c r="J113" s="9"/>
      <c r="K113" s="9"/>
      <c r="L113" s="9"/>
      <c r="M113" s="9"/>
      <c r="N113" s="9"/>
      <c r="O113" s="9"/>
      <c r="P113" s="9"/>
      <c r="Q113" s="9"/>
      <c r="R113" s="9"/>
      <c r="U113" s="3" t="str">
        <f t="shared" si="17"/>
        <v>Take a wilderness first aid course. Find one that teaches different techniques for carrying people to safety on your own or with others. This may be the same course you take to complete step 3.</v>
      </c>
    </row>
    <row r="114" spans="2:21" x14ac:dyDescent="0.2">
      <c r="B114" s="124"/>
      <c r="C114" s="190" t="s">
        <v>342</v>
      </c>
      <c r="D114" s="135"/>
      <c r="E114" s="9"/>
      <c r="F114" s="9"/>
      <c r="G114" s="9"/>
      <c r="H114" s="9"/>
      <c r="I114" s="9"/>
      <c r="J114" s="9"/>
      <c r="K114" s="9"/>
      <c r="L114" s="9"/>
      <c r="M114" s="9"/>
      <c r="N114" s="9"/>
      <c r="O114" s="9"/>
      <c r="P114" s="9"/>
      <c r="Q114" s="9"/>
      <c r="R114" s="9"/>
      <c r="U114" s="3" t="str">
        <f t="shared" si="17"/>
        <v>Organize a mock emergency drill.  Get help from emergency responders such as firefighters or EMTs. Assign some people to be victims with various injuries, while others learn to move them safely. Switch roles so that everyone has a chance to "treat" victims, then ask the emergency responders to give you feedback on how you did.</v>
      </c>
    </row>
    <row r="115" spans="2:21" x14ac:dyDescent="0.2">
      <c r="B115" s="3">
        <v>5</v>
      </c>
      <c r="C115" s="269" t="s">
        <v>257</v>
      </c>
      <c r="D115" s="123" t="str">
        <f>IF(COUNTIF(D112:D114,"A")&gt;=1,"C",IF(COUNTIF(D112:D114,"A")&gt;0,"P"," "))</f>
        <v xml:space="preserve"> </v>
      </c>
      <c r="E115" s="123" t="str">
        <f t="shared" ref="E115:R115" si="29">IF(COUNTIF(E112:E114,"A")&gt;=1,"C",IF(COUNTIF(E112:E114,"A")&gt;0,"P"," "))</f>
        <v xml:space="preserve"> </v>
      </c>
      <c r="F115" s="123" t="str">
        <f t="shared" si="29"/>
        <v xml:space="preserve"> </v>
      </c>
      <c r="G115" s="123" t="str">
        <f t="shared" si="29"/>
        <v xml:space="preserve"> </v>
      </c>
      <c r="H115" s="123" t="str">
        <f t="shared" si="29"/>
        <v xml:space="preserve"> </v>
      </c>
      <c r="I115" s="123" t="str">
        <f t="shared" si="29"/>
        <v xml:space="preserve"> </v>
      </c>
      <c r="J115" s="123" t="str">
        <f t="shared" si="29"/>
        <v xml:space="preserve"> </v>
      </c>
      <c r="K115" s="123" t="str">
        <f t="shared" si="29"/>
        <v xml:space="preserve"> </v>
      </c>
      <c r="L115" s="123" t="str">
        <f t="shared" si="29"/>
        <v xml:space="preserve"> </v>
      </c>
      <c r="M115" s="123" t="str">
        <f t="shared" si="29"/>
        <v xml:space="preserve"> </v>
      </c>
      <c r="N115" s="123" t="str">
        <f t="shared" si="29"/>
        <v xml:space="preserve"> </v>
      </c>
      <c r="O115" s="123" t="str">
        <f t="shared" si="29"/>
        <v xml:space="preserve"> </v>
      </c>
      <c r="P115" s="123" t="str">
        <f t="shared" si="29"/>
        <v xml:space="preserve"> </v>
      </c>
      <c r="Q115" s="123" t="str">
        <f t="shared" si="29"/>
        <v xml:space="preserve"> </v>
      </c>
      <c r="R115" s="123" t="str">
        <f t="shared" si="29"/>
        <v xml:space="preserve"> </v>
      </c>
      <c r="U115" s="3" t="str">
        <f t="shared" si="17"/>
        <v xml:space="preserve">Explore real-life examples for handling wilderness emergencies  When you read about a tragedy or accident in which people are injured, often there's an average person who doesn't panic and uses a little bit of training and a lot of courage to save someone's life. Find out more about everyday heroes. </v>
      </c>
    </row>
    <row r="116" spans="2:21" x14ac:dyDescent="0.2">
      <c r="B116" s="124"/>
      <c r="C116" s="190" t="s">
        <v>343</v>
      </c>
      <c r="D116" s="135"/>
      <c r="E116" s="9"/>
      <c r="F116" s="9"/>
      <c r="G116" s="9"/>
      <c r="H116" s="9"/>
      <c r="I116" s="9"/>
      <c r="J116" s="9"/>
      <c r="K116" s="9"/>
      <c r="L116" s="9"/>
      <c r="M116" s="9"/>
      <c r="N116" s="9"/>
      <c r="O116" s="9"/>
      <c r="P116" s="9"/>
      <c r="Q116" s="9"/>
      <c r="R116" s="9"/>
      <c r="U116" s="3" t="str">
        <f t="shared" si="17"/>
        <v>Explore wilderness survival. Read a book or magazine article or see a movie that tells a real-life story about people who faced an erergency in the wilderness. Note what they did or didn't do to create the situation and how they handled it.</v>
      </c>
    </row>
    <row r="117" spans="2:21" x14ac:dyDescent="0.2">
      <c r="B117" s="124"/>
      <c r="C117" s="190" t="s">
        <v>344</v>
      </c>
      <c r="D117" s="135"/>
      <c r="E117" s="9"/>
      <c r="F117" s="9"/>
      <c r="G117" s="9"/>
      <c r="H117" s="9"/>
      <c r="I117" s="9"/>
      <c r="J117" s="9"/>
      <c r="K117" s="9"/>
      <c r="L117" s="9"/>
      <c r="M117" s="9"/>
      <c r="N117" s="9"/>
      <c r="O117" s="9"/>
      <c r="P117" s="9"/>
      <c r="Q117" s="9"/>
      <c r="R117" s="9"/>
      <c r="U117" s="3" t="str">
        <f t="shared" si="17"/>
        <v>Investigate extreme first aid.  Find at least five news items about everyday people who saved someone's life using first aid during an extreme situation. Share them with friends and familyh and discuss common threads in the stories. Did the heroes have training? What do they credit with helping them save someone else's life?</v>
      </c>
    </row>
    <row r="118" spans="2:21" x14ac:dyDescent="0.2">
      <c r="B118" s="124"/>
      <c r="C118" s="190" t="s">
        <v>345</v>
      </c>
      <c r="D118" s="135"/>
      <c r="E118" s="9"/>
      <c r="F118" s="9"/>
      <c r="G118" s="9"/>
      <c r="H118" s="9"/>
      <c r="I118" s="9"/>
      <c r="J118" s="9"/>
      <c r="K118" s="9"/>
      <c r="L118" s="9"/>
      <c r="M118" s="9"/>
      <c r="N118" s="9"/>
      <c r="O118" s="9"/>
      <c r="P118" s="9"/>
      <c r="Q118" s="9"/>
      <c r="R118" s="9"/>
      <c r="U118" s="3" t="str">
        <f t="shared" si="17"/>
        <v>Interview an everyday hero. Talk to someone who used first aid to save a life, or someone whose life was saved by a person who gave them first aid. What aspects of their training were most helpful? How did they make decisions about what to do? Did anything unexpected happen that they had to deal with?</v>
      </c>
    </row>
    <row r="119" spans="2:21" ht="1.5" customHeight="1" thickBot="1" x14ac:dyDescent="0.25">
      <c r="D119" s="123" t="str">
        <f>IF(COUNTIF(D116:D118,"A")&gt;=1,"C",IF(COUNTIF(D116:D118,"A")&gt;0,"P"," "))</f>
        <v xml:space="preserve"> </v>
      </c>
      <c r="E119" s="123" t="str">
        <f t="shared" ref="E119:R119" si="30">IF(COUNTIF(E116:E118,"A")&gt;=1,"C",IF(COUNTIF(E116:E118,"A")&gt;0,"P"," "))</f>
        <v xml:space="preserve"> </v>
      </c>
      <c r="F119" s="123" t="str">
        <f t="shared" si="30"/>
        <v xml:space="preserve"> </v>
      </c>
      <c r="G119" s="123" t="str">
        <f t="shared" si="30"/>
        <v xml:space="preserve"> </v>
      </c>
      <c r="H119" s="123" t="str">
        <f t="shared" si="30"/>
        <v xml:space="preserve"> </v>
      </c>
      <c r="I119" s="123" t="str">
        <f t="shared" si="30"/>
        <v xml:space="preserve"> </v>
      </c>
      <c r="J119" s="123" t="str">
        <f t="shared" si="30"/>
        <v xml:space="preserve"> </v>
      </c>
      <c r="K119" s="123" t="str">
        <f t="shared" si="30"/>
        <v xml:space="preserve"> </v>
      </c>
      <c r="L119" s="123" t="str">
        <f t="shared" si="30"/>
        <v xml:space="preserve"> </v>
      </c>
      <c r="M119" s="123" t="str">
        <f t="shared" si="30"/>
        <v xml:space="preserve"> </v>
      </c>
      <c r="N119" s="123" t="str">
        <f t="shared" si="30"/>
        <v xml:space="preserve"> </v>
      </c>
      <c r="O119" s="123" t="str">
        <f t="shared" si="30"/>
        <v xml:space="preserve"> </v>
      </c>
      <c r="P119" s="123" t="str">
        <f t="shared" si="30"/>
        <v xml:space="preserve"> </v>
      </c>
      <c r="Q119" s="123" t="str">
        <f t="shared" si="30"/>
        <v xml:space="preserve"> </v>
      </c>
      <c r="R119" s="123" t="str">
        <f t="shared" si="30"/>
        <v xml:space="preserve"> </v>
      </c>
      <c r="U119" s="3" t="str">
        <f t="shared" si="17"/>
        <v/>
      </c>
    </row>
    <row r="120" spans="2:21" ht="13.5" thickBot="1" x14ac:dyDescent="0.25">
      <c r="C120" s="74" t="s">
        <v>27</v>
      </c>
      <c r="D120" s="93" t="str">
        <f>IF(COUNTIF(D103:D119,"C")&gt;4,"C",IF(COUNTIF(D103:D119,"C")&gt;0,"P"," "))</f>
        <v xml:space="preserve"> </v>
      </c>
      <c r="E120" s="93" t="str">
        <f t="shared" ref="E120:R120" si="31">IF(COUNTIF(E103:E119,"C")&gt;4,"C",IF(COUNTIF(E103:E119,"C")&gt;0,"P"," "))</f>
        <v xml:space="preserve"> </v>
      </c>
      <c r="F120" s="93" t="str">
        <f t="shared" si="31"/>
        <v xml:space="preserve"> </v>
      </c>
      <c r="G120" s="93" t="str">
        <f t="shared" si="31"/>
        <v xml:space="preserve"> </v>
      </c>
      <c r="H120" s="93" t="str">
        <f t="shared" si="31"/>
        <v xml:space="preserve"> </v>
      </c>
      <c r="I120" s="93" t="str">
        <f t="shared" si="31"/>
        <v xml:space="preserve"> </v>
      </c>
      <c r="J120" s="93" t="str">
        <f t="shared" si="31"/>
        <v xml:space="preserve"> </v>
      </c>
      <c r="K120" s="93" t="str">
        <f t="shared" si="31"/>
        <v xml:space="preserve"> </v>
      </c>
      <c r="L120" s="93" t="str">
        <f t="shared" si="31"/>
        <v xml:space="preserve"> </v>
      </c>
      <c r="M120" s="93" t="str">
        <f t="shared" si="31"/>
        <v xml:space="preserve"> </v>
      </c>
      <c r="N120" s="93" t="str">
        <f t="shared" si="31"/>
        <v xml:space="preserve"> </v>
      </c>
      <c r="O120" s="93" t="str">
        <f t="shared" si="31"/>
        <v xml:space="preserve"> </v>
      </c>
      <c r="P120" s="93" t="str">
        <f t="shared" si="31"/>
        <v xml:space="preserve"> </v>
      </c>
      <c r="Q120" s="93" t="str">
        <f t="shared" si="31"/>
        <v xml:space="preserve"> </v>
      </c>
      <c r="R120" s="93" t="str">
        <f t="shared" si="31"/>
        <v xml:space="preserve"> </v>
      </c>
      <c r="U120" s="3" t="str">
        <f t="shared" si="17"/>
        <v/>
      </c>
    </row>
    <row r="121" spans="2:21" ht="15" x14ac:dyDescent="0.25">
      <c r="B121" s="121" t="s">
        <v>156</v>
      </c>
      <c r="U121" s="3" t="str">
        <f t="shared" si="17"/>
        <v/>
      </c>
    </row>
    <row r="122" spans="2:21" x14ac:dyDescent="0.2">
      <c r="B122" s="3">
        <v>1</v>
      </c>
      <c r="C122" s="281" t="s">
        <v>258</v>
      </c>
      <c r="U122" s="3" t="str">
        <f t="shared" si="17"/>
        <v>Use song to bring people together or to spread a message. Singing brings us all togeher and helps us feel connected, storng and pround. Girl Scouts sing in speacila places or to mark speicial times - or somethimes just for the fun of it! As a n Ambassador, use song to help you share what you care about most. Is your passion caring ofr the enviroment? Supporting girls' rights around the world? Teaching younger girls how to get along? Inspire others to spread the message.</v>
      </c>
    </row>
    <row r="123" spans="2:21" x14ac:dyDescent="0.2">
      <c r="B123" s="122"/>
      <c r="C123" s="190" t="s">
        <v>361</v>
      </c>
      <c r="D123" s="135"/>
      <c r="E123" s="9"/>
      <c r="F123" s="9"/>
      <c r="G123" s="9"/>
      <c r="H123" s="9"/>
      <c r="I123" s="9"/>
      <c r="J123" s="9"/>
      <c r="K123" s="9"/>
      <c r="L123" s="9"/>
      <c r="M123" s="9"/>
      <c r="N123" s="9"/>
      <c r="O123" s="9"/>
      <c r="P123" s="9"/>
      <c r="Q123" s="9"/>
      <c r="R123" s="9"/>
      <c r="U123" s="3" t="str">
        <f t="shared" si="17"/>
        <v>Use music to move people to action. Throughout history, songs have helped rally people to causes. Find songs that gave voice ot hopes and concerns, learn their histories, and think aobut how and why they inspire. Thenk pick a song that matches a cause you're passionate about, sing it with others, and get others inspired, too - that's often a first step to making change.</v>
      </c>
    </row>
    <row r="124" spans="2:21" x14ac:dyDescent="0.2">
      <c r="B124" s="122"/>
      <c r="C124" s="190" t="s">
        <v>362</v>
      </c>
      <c r="D124" s="135"/>
      <c r="E124" s="9"/>
      <c r="F124" s="9"/>
      <c r="G124" s="9"/>
      <c r="H124" s="9"/>
      <c r="I124" s="9"/>
      <c r="J124" s="9"/>
      <c r="K124" s="9"/>
      <c r="L124" s="9"/>
      <c r="M124" s="9"/>
      <c r="N124" s="9"/>
      <c r="O124" s="9"/>
      <c r="P124" s="9"/>
      <c r="Q124" s="9"/>
      <c r="R124" s="9"/>
      <c r="U124" s="3" t="str">
        <f t="shared" si="17"/>
        <v xml:space="preserve">Organize a songfest for younger Girl Scouts. Together, decide on the message you want your songs to spread. Then guide the girls toward great songs with that spirit. Teach them the songs you know, those they'd like to know, and some songs heardly anyone knows yet. Its a Girl Scout way to know the history of the songs we sing, so share those histories together as you prepare for the songfest. </v>
      </c>
    </row>
    <row r="125" spans="2:21" x14ac:dyDescent="0.2">
      <c r="B125" s="122"/>
      <c r="C125" s="190" t="s">
        <v>363</v>
      </c>
      <c r="D125" s="135"/>
      <c r="E125" s="9"/>
      <c r="F125" s="9"/>
      <c r="G125" s="9"/>
      <c r="H125" s="9"/>
      <c r="I125" s="9"/>
      <c r="J125" s="9"/>
      <c r="K125" s="9"/>
      <c r="L125" s="9"/>
      <c r="M125" s="9"/>
      <c r="N125" s="9"/>
      <c r="O125" s="9"/>
      <c r="P125" s="9"/>
      <c r="Q125" s="9"/>
      <c r="R125" s="9"/>
      <c r="U125" s="3" t="str">
        <f t="shared" si="17"/>
        <v>Bring generations together in song.  Organize a Girl Scout alumnae event centered on singing - perhaps an alumnae tea during Girl Scout week - and get former Girl Scouts singing their favorite Girl Scout songs and reacalling cherished memories. Learn some songs that are no longer sung so you can pass them on to the Girl Scouts' future.</v>
      </c>
    </row>
    <row r="126" spans="2:21" x14ac:dyDescent="0.2">
      <c r="B126" s="3">
        <v>2</v>
      </c>
      <c r="C126" s="269" t="s">
        <v>259</v>
      </c>
      <c r="D126" s="123" t="str">
        <f>IF(COUNTIF(D123:D125,"A")&gt;=1,"C",IF(COUNTIF(D123:D125,"A")&gt;0,"P"," "))</f>
        <v xml:space="preserve"> </v>
      </c>
      <c r="E126" s="123" t="str">
        <f t="shared" ref="E126:R126" si="32">IF(COUNTIF(E123:E125,"A")&gt;=1,"C",IF(COUNTIF(E123:E125,"A")&gt;0,"P"," "))</f>
        <v xml:space="preserve"> </v>
      </c>
      <c r="F126" s="123" t="str">
        <f t="shared" si="32"/>
        <v xml:space="preserve"> </v>
      </c>
      <c r="G126" s="123" t="str">
        <f t="shared" si="32"/>
        <v xml:space="preserve"> </v>
      </c>
      <c r="H126" s="123" t="str">
        <f t="shared" si="32"/>
        <v xml:space="preserve"> </v>
      </c>
      <c r="I126" s="123" t="str">
        <f t="shared" si="32"/>
        <v xml:space="preserve"> </v>
      </c>
      <c r="J126" s="123" t="str">
        <f t="shared" si="32"/>
        <v xml:space="preserve"> </v>
      </c>
      <c r="K126" s="123" t="str">
        <f t="shared" si="32"/>
        <v xml:space="preserve"> </v>
      </c>
      <c r="L126" s="123" t="str">
        <f t="shared" si="32"/>
        <v xml:space="preserve"> </v>
      </c>
      <c r="M126" s="123" t="str">
        <f t="shared" si="32"/>
        <v xml:space="preserve"> </v>
      </c>
      <c r="N126" s="123" t="str">
        <f t="shared" si="32"/>
        <v xml:space="preserve"> </v>
      </c>
      <c r="O126" s="123" t="str">
        <f t="shared" si="32"/>
        <v xml:space="preserve"> </v>
      </c>
      <c r="P126" s="123" t="str">
        <f t="shared" si="32"/>
        <v xml:space="preserve"> </v>
      </c>
      <c r="Q126" s="123" t="str">
        <f t="shared" si="32"/>
        <v xml:space="preserve"> </v>
      </c>
      <c r="R126" s="123" t="str">
        <f t="shared" si="32"/>
        <v xml:space="preserve"> </v>
      </c>
      <c r="U126" s="3" t="str">
        <f t="shared" si="17"/>
        <v>Celebrate World Thinking Day. Girl Scout celebrations honor women and girls who change the world. As an Ambassador, celebrate World Thinking Day. This event, which takes place every February 22, is both a change to celebrate international friendships and also a reminder that the Girl Scouts of the USA is part of a global community: the World Association fo Girl Guides and Girl Scouts (WAGGGS). Check the WAGGGS website to find out this year's World Thinking Day theme, and then help younger Girl Scouts with one of the activities below.</v>
      </c>
    </row>
    <row r="127" spans="2:21" x14ac:dyDescent="0.2">
      <c r="B127" s="124"/>
      <c r="C127" s="190" t="s">
        <v>364</v>
      </c>
      <c r="D127" s="135"/>
      <c r="E127" s="9"/>
      <c r="F127" s="9"/>
      <c r="G127" s="9"/>
      <c r="H127" s="9"/>
      <c r="I127" s="9"/>
      <c r="J127" s="9"/>
      <c r="K127" s="9"/>
      <c r="L127" s="9"/>
      <c r="M127" s="9"/>
      <c r="N127" s="9"/>
      <c r="O127" s="9"/>
      <c r="P127" s="9"/>
      <c r="Q127" s="9"/>
      <c r="R127" s="9"/>
      <c r="U127" s="3" t="str">
        <f t="shared" si="17"/>
        <v>Follow in the steps of femail leaders. Find out about women who have been leaders this year in areas relevant to the World Thinking Day theme. Think aobu thte leadership they've demonstrated and the lines of the Girl Scout Law they embody. Then share what you've learned by helping younger Girl Scouts plan an event or project honoring these women - perhaps a community panel and party, a video interview, or a collective letter to your local newspaper.</v>
      </c>
    </row>
    <row r="128" spans="2:21" x14ac:dyDescent="0.2">
      <c r="B128" s="124"/>
      <c r="C128" s="190" t="s">
        <v>366</v>
      </c>
      <c r="D128" s="135"/>
      <c r="E128" s="9"/>
      <c r="F128" s="9"/>
      <c r="G128" s="9"/>
      <c r="H128" s="9"/>
      <c r="I128" s="9"/>
      <c r="J128" s="9"/>
      <c r="K128" s="9"/>
      <c r="L128" s="9"/>
      <c r="M128" s="9"/>
      <c r="N128" s="9"/>
      <c r="O128" s="9"/>
      <c r="P128" s="9"/>
      <c r="Q128" s="9"/>
      <c r="R128" s="9"/>
      <c r="U128" s="3" t="str">
        <f t="shared" si="17"/>
        <v xml:space="preserve">Julie Moen:
</v>
      </c>
    </row>
    <row r="129" spans="2:21" x14ac:dyDescent="0.2">
      <c r="B129" s="124"/>
      <c r="C129" s="190" t="s">
        <v>365</v>
      </c>
      <c r="D129" s="135"/>
      <c r="E129" s="9"/>
      <c r="F129" s="9"/>
      <c r="G129" s="9"/>
      <c r="H129" s="9"/>
      <c r="I129" s="9"/>
      <c r="J129" s="9"/>
      <c r="K129" s="9"/>
      <c r="L129" s="9"/>
      <c r="M129" s="9"/>
      <c r="N129" s="9"/>
      <c r="O129" s="9"/>
      <c r="P129" s="9"/>
      <c r="Q129" s="9"/>
      <c r="R129" s="9"/>
      <c r="U129" s="3" t="str">
        <f t="shared" si="17"/>
        <v>Earn their World Thinking Day award.  Research the WorldThinking Day theme of the year and the steps girls need to complete the award at their grade level. Then plan a workshop for adult volunteers to help them assist girls in earning the award. Collect any supplies the girls will need, and assemble resource kits for the adult volunteers.</v>
      </c>
    </row>
    <row r="130" spans="2:21" x14ac:dyDescent="0.2">
      <c r="B130" s="3">
        <v>3</v>
      </c>
      <c r="C130" s="269" t="s">
        <v>260</v>
      </c>
      <c r="D130" s="123" t="str">
        <f>IF(COUNTIF(D127:D129,"A")&gt;=1,"C",IF(COUNTIF(D127:D129,"A")&gt;0,"P"," "))</f>
        <v xml:space="preserve"> </v>
      </c>
      <c r="E130" s="123" t="str">
        <f t="shared" ref="E130:R130" si="33">IF(COUNTIF(E127:E129,"A")&gt;=1,"C",IF(COUNTIF(E127:E129,"A")&gt;0,"P"," "))</f>
        <v xml:space="preserve"> </v>
      </c>
      <c r="F130" s="123" t="str">
        <f t="shared" si="33"/>
        <v xml:space="preserve"> </v>
      </c>
      <c r="G130" s="123" t="str">
        <f t="shared" si="33"/>
        <v xml:space="preserve"> </v>
      </c>
      <c r="H130" s="123" t="str">
        <f t="shared" si="33"/>
        <v xml:space="preserve"> </v>
      </c>
      <c r="I130" s="123" t="str">
        <f t="shared" si="33"/>
        <v xml:space="preserve"> </v>
      </c>
      <c r="J130" s="123" t="str">
        <f t="shared" si="33"/>
        <v xml:space="preserve"> </v>
      </c>
      <c r="K130" s="123" t="str">
        <f t="shared" si="33"/>
        <v xml:space="preserve"> </v>
      </c>
      <c r="L130" s="123" t="str">
        <f t="shared" si="33"/>
        <v xml:space="preserve"> </v>
      </c>
      <c r="M130" s="123" t="str">
        <f t="shared" si="33"/>
        <v xml:space="preserve"> </v>
      </c>
      <c r="N130" s="123" t="str">
        <f t="shared" si="33"/>
        <v xml:space="preserve"> </v>
      </c>
      <c r="O130" s="123" t="str">
        <f t="shared" si="33"/>
        <v xml:space="preserve"> </v>
      </c>
      <c r="P130" s="123" t="str">
        <f t="shared" si="33"/>
        <v xml:space="preserve"> </v>
      </c>
      <c r="Q130" s="123" t="str">
        <f t="shared" si="33"/>
        <v xml:space="preserve"> </v>
      </c>
      <c r="R130" s="123" t="str">
        <f t="shared" si="33"/>
        <v xml:space="preserve"> </v>
      </c>
      <c r="U130" s="3" t="str">
        <f t="shared" si="17"/>
        <v>Share sisterhood around the world. "Sisterhood" doesn't just means sisters in your faimly. All the girls and women who are Girl Scouts try to live by the Girl Scout Law. That's what makes us a Girl Scouts sisterhood - our Law unites us. In your Ambassador badde, use the Law's 10 important lines to get closer to womena nd girls around the world.</v>
      </c>
    </row>
    <row r="131" spans="2:21" x14ac:dyDescent="0.2">
      <c r="B131" s="124"/>
      <c r="C131" s="190" t="s">
        <v>367</v>
      </c>
      <c r="D131" s="135"/>
      <c r="E131" s="9"/>
      <c r="F131" s="9"/>
      <c r="G131" s="9"/>
      <c r="H131" s="9"/>
      <c r="I131" s="9"/>
      <c r="J131" s="9"/>
      <c r="K131" s="9"/>
      <c r="L131" s="9"/>
      <c r="M131" s="9"/>
      <c r="N131" s="9"/>
      <c r="O131" s="9"/>
      <c r="P131" s="9"/>
      <c r="Q131" s="9"/>
      <c r="R131" s="9"/>
      <c r="U131" s="3" t="str">
        <f t="shared" si="17"/>
        <v>Explore an issue affecting girls and women globally. Invite a guest speaker to talk to your gorup about education, econiomic empowerment, health services, or other issues affecting women and girls. You speaker might  be a Peace Corps volunteer, someone from an aid orgamization, teach, author, or a member of the religious community or armed forces who has serviced overseas. Guide a discussion of how you might use the Girl Scout Law to make a difference in the issue.</v>
      </c>
    </row>
    <row r="132" spans="2:21" x14ac:dyDescent="0.2">
      <c r="B132" s="124"/>
      <c r="C132" s="190" t="s">
        <v>368</v>
      </c>
      <c r="D132" s="135"/>
      <c r="E132" s="9"/>
      <c r="F132" s="9"/>
      <c r="G132" s="9"/>
      <c r="H132" s="9"/>
      <c r="I132" s="9"/>
      <c r="J132" s="9"/>
      <c r="K132" s="9"/>
      <c r="L132" s="9"/>
      <c r="M132" s="9"/>
      <c r="N132" s="9"/>
      <c r="O132" s="9"/>
      <c r="P132" s="9"/>
      <c r="Q132" s="9"/>
      <c r="R132" s="9"/>
      <c r="U132" s="3" t="str">
        <f t="shared" si="17"/>
        <v xml:space="preserve">Organiziae and event on women ad STEM careers. People with careers in science, techonology, and math (STEM) solve problems that affect girls and women around the world by figuring out how to use resources wisely to make the world a better place. But in the U.S. men outnumber women in STEM careers nearly three to one. Help narrow the gap: Hosta  job fair or panel discussion to educate and inspire girls about STEM jobs. Guid the discussion to encourage girls to consider how geology, civil and enviromental engineering, prodcut innovation, nanotechnology, ethnobiology, and other fields could help them share the Girl Scout Law through their careers. </v>
      </c>
    </row>
    <row r="133" spans="2:21" x14ac:dyDescent="0.2">
      <c r="B133" s="124"/>
      <c r="C133" s="190" t="s">
        <v>375</v>
      </c>
      <c r="D133" s="135"/>
      <c r="E133" s="9"/>
      <c r="F133" s="9"/>
      <c r="G133" s="9"/>
      <c r="H133" s="9"/>
      <c r="I133" s="9"/>
      <c r="J133" s="9"/>
      <c r="K133" s="9"/>
      <c r="L133" s="9"/>
      <c r="M133" s="9"/>
      <c r="N133" s="9"/>
      <c r="O133" s="9"/>
      <c r="P133" s="9"/>
      <c r="Q133" s="9"/>
      <c r="R133" s="9"/>
      <c r="U133" s="3" t="str">
        <f t="shared" si="17"/>
        <v>Interview a global citizen.  Find a woman in an international career field (perhaps a polot, hotel staffer, international banker or teacher, navel officer or translator) who is from another country or has lived abroad. Learn all about her job in an interview. Discuss the ways her job embodies - or could embody - the Girl Scout Law. Share wihat you've learned creatively - perhaps in an article for your school paper, in a career collage you heep by your desk for inspiration, or by organizing a round table "world thinking" careers discussion for your peers.</v>
      </c>
    </row>
    <row r="134" spans="2:21" x14ac:dyDescent="0.2">
      <c r="B134" s="3">
        <v>4</v>
      </c>
      <c r="C134" s="269" t="s">
        <v>261</v>
      </c>
      <c r="D134" s="123" t="str">
        <f>IF(COUNTIF(D131:D133,"A")&gt;=1,"C",IF(COUNTIF(D131:D133,"A")&gt;0,"P"," "))</f>
        <v xml:space="preserve"> </v>
      </c>
      <c r="E134" s="123" t="str">
        <f t="shared" ref="E134:R134" si="34">IF(COUNTIF(E131:E133,"A")&gt;=1,"C",IF(COUNTIF(E131:E133,"A")&gt;0,"P"," "))</f>
        <v xml:space="preserve"> </v>
      </c>
      <c r="F134" s="123" t="str">
        <f t="shared" si="34"/>
        <v xml:space="preserve"> </v>
      </c>
      <c r="G134" s="123" t="str">
        <f t="shared" si="34"/>
        <v xml:space="preserve"> </v>
      </c>
      <c r="H134" s="123" t="str">
        <f t="shared" si="34"/>
        <v xml:space="preserve"> </v>
      </c>
      <c r="I134" s="123" t="str">
        <f t="shared" si="34"/>
        <v xml:space="preserve"> </v>
      </c>
      <c r="J134" s="123" t="str">
        <f t="shared" si="34"/>
        <v xml:space="preserve"> </v>
      </c>
      <c r="K134" s="123" t="str">
        <f t="shared" si="34"/>
        <v xml:space="preserve"> </v>
      </c>
      <c r="L134" s="123" t="str">
        <f t="shared" si="34"/>
        <v xml:space="preserve"> </v>
      </c>
      <c r="M134" s="123" t="str">
        <f t="shared" si="34"/>
        <v xml:space="preserve"> </v>
      </c>
      <c r="N134" s="123" t="str">
        <f t="shared" si="34"/>
        <v xml:space="preserve"> </v>
      </c>
      <c r="O134" s="123" t="str">
        <f t="shared" si="34"/>
        <v xml:space="preserve"> </v>
      </c>
      <c r="P134" s="123" t="str">
        <f t="shared" si="34"/>
        <v xml:space="preserve"> </v>
      </c>
      <c r="Q134" s="123" t="str">
        <f t="shared" si="34"/>
        <v xml:space="preserve"> </v>
      </c>
      <c r="R134" s="123" t="str">
        <f t="shared" si="34"/>
        <v xml:space="preserve"> </v>
      </c>
      <c r="U134" s="3" t="str">
        <f t="shared" si="17"/>
        <v>Leave your world better than you found it. It's the Firl Scout way to care about the world around us - whether it's a room, a campground , or the world. As an Ambassador, try one of these choices to gather ideas right now for improving he world today - and at every stage of your life.</v>
      </c>
    </row>
    <row r="135" spans="2:21" x14ac:dyDescent="0.2">
      <c r="B135" s="124"/>
      <c r="C135" s="190" t="s">
        <v>369</v>
      </c>
      <c r="D135" s="135"/>
      <c r="E135" s="9"/>
      <c r="F135" s="9"/>
      <c r="G135" s="9"/>
      <c r="H135" s="9" t="s">
        <v>26</v>
      </c>
      <c r="I135" s="9"/>
      <c r="J135" s="9"/>
      <c r="K135" s="9"/>
      <c r="L135" s="9"/>
      <c r="M135" s="9"/>
      <c r="N135" s="9"/>
      <c r="O135" s="9"/>
      <c r="P135" s="9"/>
      <c r="Q135" s="9"/>
      <c r="R135" s="9"/>
      <c r="U135" s="3" t="str">
        <f t="shared" si="17"/>
        <v>Find ideas to use your leadership and ideas in government.  Choose a civic issue that you want to affect throughout your life, and explore ways to make government a better place. Your list should include at least 10 strong ideas: Gather them through branstorming with other Girl Scouts, by speaking with elected officials and by researching the organizations working inyour area right now. What are they doing? waht still eneds to be done?</v>
      </c>
    </row>
    <row r="136" spans="2:21" x14ac:dyDescent="0.2">
      <c r="B136" s="124"/>
      <c r="C136" s="190" t="s">
        <v>370</v>
      </c>
      <c r="D136" s="135"/>
      <c r="E136" s="9"/>
      <c r="F136" s="9"/>
      <c r="G136" s="9"/>
      <c r="H136" s="9"/>
      <c r="I136" s="9"/>
      <c r="J136" s="9"/>
      <c r="K136" s="9"/>
      <c r="L136" s="9"/>
      <c r="M136" s="9"/>
      <c r="N136" s="9"/>
      <c r="O136" s="9"/>
      <c r="P136" s="9"/>
      <c r="Q136" s="9"/>
      <c r="R136" s="9"/>
      <c r="U136" s="3" t="str">
        <f t="shared" ref="U136:U199" si="35">GetComments(C136)</f>
        <v>Gather ideas to work for a healthy planet.  Choose an environmental issue that you want to affect throughout your life, and explore ways to make the environment a better place. Your list should include at least 10 strong ideas: You might focus on a specific ecosystem, such as forests, oceans, seashores, rivers, grasslands, mountains, or farmland, and research organizations working to protect that kind of area. What are other activists doing right now? How effective does the work seem to be? How could you rsupport that work, and what else could you do?</v>
      </c>
    </row>
    <row r="137" spans="2:21" x14ac:dyDescent="0.2">
      <c r="B137" s="124"/>
      <c r="C137" s="190" t="s">
        <v>371</v>
      </c>
      <c r="D137" s="135"/>
      <c r="E137" s="9"/>
      <c r="F137" s="9"/>
      <c r="G137" s="9"/>
      <c r="H137" s="9"/>
      <c r="I137" s="9"/>
      <c r="J137" s="9"/>
      <c r="K137" s="9"/>
      <c r="L137" s="9"/>
      <c r="M137" s="9"/>
      <c r="N137" s="9"/>
      <c r="O137" s="9"/>
      <c r="P137" s="9"/>
      <c r="Q137" s="9"/>
      <c r="R137" s="9"/>
      <c r="U137" s="3" t="str">
        <f t="shared" si="35"/>
        <v>Brainstorm ideas for social change. Choose a social issue that you want to affect throughout your life, and explore ways to improve the systems that create or contribute to the issue. Your list should include at least 10 strong ideas: You might gather them through discussions with advocates for your issue, speaking with elected officials, or spending an afternoon volunteering for an organiziaion doing work in your area of interest. What's being done? What more could you do?</v>
      </c>
    </row>
    <row r="138" spans="2:21" x14ac:dyDescent="0.2">
      <c r="B138" s="3">
        <v>5</v>
      </c>
      <c r="C138" s="269" t="s">
        <v>262</v>
      </c>
      <c r="D138" s="123" t="str">
        <f>IF(COUNTIF(D135:D137,"A")&gt;=1,"C",IF(COUNTIF(D135:D137,"A")&gt;0,"P"," "))</f>
        <v xml:space="preserve"> </v>
      </c>
      <c r="E138" s="123" t="str">
        <f t="shared" ref="E138:R138" si="36">IF(COUNTIF(E135:E137,"A")&gt;=1,"C",IF(COUNTIF(E135:E137,"A")&gt;0,"P"," "))</f>
        <v xml:space="preserve"> </v>
      </c>
      <c r="F138" s="123" t="str">
        <f t="shared" si="36"/>
        <v xml:space="preserve"> </v>
      </c>
      <c r="G138" s="123" t="str">
        <f t="shared" si="36"/>
        <v xml:space="preserve"> </v>
      </c>
      <c r="H138" s="123" t="str">
        <f t="shared" si="36"/>
        <v xml:space="preserve"> </v>
      </c>
      <c r="I138" s="123" t="str">
        <f t="shared" si="36"/>
        <v xml:space="preserve"> </v>
      </c>
      <c r="J138" s="123" t="str">
        <f t="shared" si="36"/>
        <v xml:space="preserve"> </v>
      </c>
      <c r="K138" s="123" t="str">
        <f t="shared" si="36"/>
        <v xml:space="preserve"> </v>
      </c>
      <c r="L138" s="123" t="str">
        <f t="shared" si="36"/>
        <v xml:space="preserve"> </v>
      </c>
      <c r="M138" s="123" t="str">
        <f t="shared" si="36"/>
        <v xml:space="preserve"> </v>
      </c>
      <c r="N138" s="123" t="str">
        <f t="shared" si="36"/>
        <v xml:space="preserve"> </v>
      </c>
      <c r="O138" s="123" t="str">
        <f t="shared" si="36"/>
        <v xml:space="preserve"> </v>
      </c>
      <c r="P138" s="123" t="str">
        <f t="shared" si="36"/>
        <v xml:space="preserve"> </v>
      </c>
      <c r="Q138" s="123" t="str">
        <f t="shared" si="36"/>
        <v xml:space="preserve"> </v>
      </c>
      <c r="R138" s="123" t="str">
        <f t="shared" si="36"/>
        <v xml:space="preserve"> </v>
      </c>
      <c r="U138" s="3" t="str">
        <f t="shared" si="35"/>
        <v>Enjoy Girl Scout traditions! Traditions bring people together. A tradition can be a special food, a ceremony, a song - anything that's passed along through the years. Share your passion for Gril Scouting with the Movement's next generation - and help our traditions stay strong for another 100 years (and more!)</v>
      </c>
    </row>
    <row r="139" spans="2:21" x14ac:dyDescent="0.2">
      <c r="B139" s="124"/>
      <c r="C139" s="190" t="s">
        <v>372</v>
      </c>
      <c r="D139" s="135"/>
      <c r="E139" s="9"/>
      <c r="F139" s="9"/>
      <c r="G139" s="9"/>
      <c r="H139" s="9"/>
      <c r="I139" s="9"/>
      <c r="J139" s="9"/>
      <c r="K139" s="9"/>
      <c r="L139" s="9"/>
      <c r="M139" s="9"/>
      <c r="N139" s="9"/>
      <c r="O139" s="9"/>
      <c r="P139" s="9"/>
      <c r="Q139" s="9"/>
      <c r="R139" s="9"/>
      <c r="U139" s="3" t="str">
        <f t="shared" si="35"/>
        <v xml:space="preserve">Pass down a tradition.  Which Girl Scout traditions mean the most to you? Pick one that has exemplified your Girl Scout experience - perhaps a song, recipe, ceremony or celegration - and share it with younger girls. Find younger girls at every level to teach, from Daisies to Seniors. Or you might teach a vintage - and still useful! - Girl SCout skill. </v>
      </c>
    </row>
    <row r="140" spans="2:21" x14ac:dyDescent="0.2">
      <c r="B140" s="124"/>
      <c r="C140" s="190" t="s">
        <v>373</v>
      </c>
      <c r="D140" s="135"/>
      <c r="E140" s="9"/>
      <c r="F140" s="9"/>
      <c r="G140" s="9"/>
      <c r="H140" s="9"/>
      <c r="I140" s="9"/>
      <c r="J140" s="9"/>
      <c r="K140" s="9"/>
      <c r="L140" s="9"/>
      <c r="M140" s="9"/>
      <c r="N140" s="9"/>
      <c r="O140" s="9"/>
      <c r="P140" s="9"/>
      <c r="Q140" s="9"/>
      <c r="R140" s="9"/>
      <c r="U140" s="3" t="str">
        <f t="shared" si="35"/>
        <v>Start a Girl Scout tradition of your own. What have you created in Girl Scouting that you would like to go down in the Movement's history? Perhaps it's a song you wrote, a cmap recipe you created, a particular way you completed a badge activity, or a successful program for which you can write a manual for girls and adult volunteers. Share it with the Girl Scout community in a sustainable way.</v>
      </c>
    </row>
    <row r="141" spans="2:21" x14ac:dyDescent="0.2">
      <c r="B141" s="124"/>
      <c r="C141" s="190" t="s">
        <v>374</v>
      </c>
      <c r="D141" s="135"/>
      <c r="E141" s="9"/>
      <c r="F141" s="9"/>
      <c r="G141" s="9"/>
      <c r="H141" s="9"/>
      <c r="I141" s="9"/>
      <c r="J141" s="9"/>
      <c r="K141" s="9"/>
      <c r="L141" s="9"/>
      <c r="M141" s="9"/>
      <c r="N141" s="9"/>
      <c r="O141" s="9"/>
      <c r="P141" s="9"/>
      <c r="Q141" s="9"/>
      <c r="R141" s="9"/>
      <c r="U141" s="3" t="str">
        <f t="shared" si="35"/>
        <v>Share the Girl Scout way by example.  Find a fun way to show Daisies how the Daisy Flower Friends represents parts of the Girl Scout Law, how these values are important to leaders, and how they are leaders, too. Or help Brownies, Juniors, Cadettes, or Seniors complete part of their Girl Scout Way badge.</v>
      </c>
    </row>
    <row r="142" spans="2:21" ht="1.5" customHeight="1" thickBot="1" x14ac:dyDescent="0.25">
      <c r="D142" s="123" t="str">
        <f>IF(COUNTIF(D139:D141,"A")&gt;=1,"C",IF(COUNTIF(D139:D141,"A")&gt;0,"P"," "))</f>
        <v xml:space="preserve"> </v>
      </c>
      <c r="E142" s="123" t="str">
        <f t="shared" ref="E142:R142" si="37">IF(COUNTIF(E139:E141,"A")&gt;=1,"C",IF(COUNTIF(E139:E141,"A")&gt;0,"P"," "))</f>
        <v xml:space="preserve"> </v>
      </c>
      <c r="F142" s="123" t="str">
        <f t="shared" si="37"/>
        <v xml:space="preserve"> </v>
      </c>
      <c r="G142" s="123" t="str">
        <f t="shared" si="37"/>
        <v xml:space="preserve"> </v>
      </c>
      <c r="H142" s="123" t="str">
        <f t="shared" si="37"/>
        <v xml:space="preserve"> </v>
      </c>
      <c r="I142" s="123" t="str">
        <f t="shared" si="37"/>
        <v xml:space="preserve"> </v>
      </c>
      <c r="J142" s="123" t="str">
        <f t="shared" si="37"/>
        <v xml:space="preserve"> </v>
      </c>
      <c r="K142" s="123" t="str">
        <f t="shared" si="37"/>
        <v xml:space="preserve"> </v>
      </c>
      <c r="L142" s="123" t="str">
        <f t="shared" si="37"/>
        <v xml:space="preserve"> </v>
      </c>
      <c r="M142" s="123" t="str">
        <f t="shared" si="37"/>
        <v xml:space="preserve"> </v>
      </c>
      <c r="N142" s="123" t="str">
        <f t="shared" si="37"/>
        <v xml:space="preserve"> </v>
      </c>
      <c r="O142" s="123" t="str">
        <f t="shared" si="37"/>
        <v xml:space="preserve"> </v>
      </c>
      <c r="P142" s="123" t="str">
        <f t="shared" si="37"/>
        <v xml:space="preserve"> </v>
      </c>
      <c r="Q142" s="123" t="str">
        <f t="shared" si="37"/>
        <v xml:space="preserve"> </v>
      </c>
      <c r="R142" s="123" t="str">
        <f t="shared" si="37"/>
        <v xml:space="preserve"> </v>
      </c>
      <c r="U142" s="3" t="str">
        <f t="shared" si="35"/>
        <v/>
      </c>
    </row>
    <row r="143" spans="2:21" ht="13.5" thickBot="1" x14ac:dyDescent="0.25">
      <c r="C143" s="74" t="s">
        <v>27</v>
      </c>
      <c r="D143" s="93" t="str">
        <f>IF(COUNTIF(D126:D142,"C")&gt;4,"C",IF(COUNTIF(D126:D142,"C")&gt;0,"P"," "))</f>
        <v xml:space="preserve"> </v>
      </c>
      <c r="E143" s="93" t="str">
        <f t="shared" ref="E143:R143" si="38">IF(COUNTIF(E126:E142,"C")&gt;4,"C",IF(COUNTIF(E126:E142,"C")&gt;0,"P"," "))</f>
        <v xml:space="preserve"> </v>
      </c>
      <c r="F143" s="93" t="str">
        <f t="shared" si="38"/>
        <v xml:space="preserve"> </v>
      </c>
      <c r="G143" s="93" t="str">
        <f t="shared" si="38"/>
        <v xml:space="preserve"> </v>
      </c>
      <c r="H143" s="93" t="str">
        <f t="shared" si="38"/>
        <v xml:space="preserve"> </v>
      </c>
      <c r="I143" s="93" t="str">
        <f t="shared" si="38"/>
        <v xml:space="preserve"> </v>
      </c>
      <c r="J143" s="93" t="str">
        <f t="shared" si="38"/>
        <v xml:space="preserve"> </v>
      </c>
      <c r="K143" s="93" t="str">
        <f t="shared" si="38"/>
        <v xml:space="preserve"> </v>
      </c>
      <c r="L143" s="93" t="str">
        <f t="shared" si="38"/>
        <v xml:space="preserve"> </v>
      </c>
      <c r="M143" s="93" t="str">
        <f t="shared" si="38"/>
        <v xml:space="preserve"> </v>
      </c>
      <c r="N143" s="93" t="str">
        <f t="shared" si="38"/>
        <v xml:space="preserve"> </v>
      </c>
      <c r="O143" s="93" t="str">
        <f t="shared" si="38"/>
        <v xml:space="preserve"> </v>
      </c>
      <c r="P143" s="93" t="str">
        <f t="shared" si="38"/>
        <v xml:space="preserve"> </v>
      </c>
      <c r="Q143" s="93" t="str">
        <f t="shared" si="38"/>
        <v xml:space="preserve"> </v>
      </c>
      <c r="R143" s="93" t="str">
        <f t="shared" si="38"/>
        <v xml:space="preserve"> </v>
      </c>
      <c r="U143" s="3" t="str">
        <f t="shared" si="35"/>
        <v/>
      </c>
    </row>
    <row r="144" spans="2:21" ht="15" x14ac:dyDescent="0.25">
      <c r="B144" s="121" t="s">
        <v>157</v>
      </c>
      <c r="U144" s="3" t="str">
        <f t="shared" si="35"/>
        <v/>
      </c>
    </row>
    <row r="145" spans="2:21" x14ac:dyDescent="0.2">
      <c r="B145" s="3">
        <v>1</v>
      </c>
      <c r="C145" s="281" t="s">
        <v>263</v>
      </c>
      <c r="D145" s="349"/>
      <c r="U145" s="3" t="str">
        <f t="shared" si="35"/>
        <v xml:space="preserve">Have fune reflecting on your relationship with water.  Water is easy to take for grated. As you dive into theis badge, take this opportunity to reflect on what water means to you, where it drops into your life, and what possiblilites and challenges you see reflected on its sparkling (cloudy, clear, stormy) surface. </v>
      </c>
    </row>
    <row r="146" spans="2:21" x14ac:dyDescent="0.2">
      <c r="B146" s="122"/>
      <c r="C146" s="190" t="s">
        <v>376</v>
      </c>
      <c r="D146" s="135"/>
      <c r="E146" s="9"/>
      <c r="F146" s="9"/>
      <c r="G146" s="9"/>
      <c r="H146" s="9"/>
      <c r="I146" s="9"/>
      <c r="J146" s="9"/>
      <c r="K146" s="9"/>
      <c r="L146" s="9"/>
      <c r="M146" s="9"/>
      <c r="N146" s="9"/>
      <c r="O146" s="9"/>
      <c r="P146" s="9"/>
      <c r="Q146" s="9"/>
      <c r="R146" s="9"/>
      <c r="U146" s="3" t="str">
        <f t="shared" si="35"/>
        <v>Visit water in its natural state. Hike, swim, walk along a beach, or splash in puddles. If there's a water place you've always wanted to visit, use your outdoor travel skills and go there. You might take a simple water tour of your hometown, noting where water splashes or spouts: fountains, puddles, drips, drops, creeks, steam, frost.</v>
      </c>
    </row>
    <row r="147" spans="2:21" x14ac:dyDescent="0.2">
      <c r="B147" s="122"/>
      <c r="C147" s="190" t="s">
        <v>377</v>
      </c>
      <c r="D147" s="135"/>
      <c r="E147" s="9"/>
      <c r="F147" s="9"/>
      <c r="G147" s="9"/>
      <c r="H147" s="9"/>
      <c r="I147" s="9"/>
      <c r="J147" s="9"/>
      <c r="K147" s="9"/>
      <c r="L147" s="9"/>
      <c r="M147" s="9"/>
      <c r="N147" s="9"/>
      <c r="O147" s="9"/>
      <c r="P147" s="9"/>
      <c r="Q147" s="9"/>
      <c r="R147" s="9"/>
      <c r="U147" s="3" t="str">
        <f t="shared" si="35"/>
        <v>Try a new water skill. Find a course in scuba diving, snorkeling, sailing, white-water frafting, water rescue, or synchronized swimming. If there's water exerience you've always wanted but haven't had the necessary skill or training for, get some now.</v>
      </c>
    </row>
    <row r="148" spans="2:21" x14ac:dyDescent="0.2">
      <c r="B148" s="122"/>
      <c r="C148" s="190" t="s">
        <v>378</v>
      </c>
      <c r="D148" s="135"/>
      <c r="E148" s="9"/>
      <c r="F148" s="9"/>
      <c r="G148" s="9"/>
      <c r="H148" s="9"/>
      <c r="I148" s="9"/>
      <c r="J148" s="9"/>
      <c r="K148" s="9"/>
      <c r="L148" s="9"/>
      <c r="M148" s="9"/>
      <c r="N148" s="9"/>
      <c r="O148" s="9"/>
      <c r="P148" s="9"/>
      <c r="Q148" s="9"/>
      <c r="R148" s="9"/>
      <c r="U148" s="3" t="str">
        <f t="shared" si="35"/>
        <v>Enjoy a water activity you already know. Perhaps you already have a way you like to spend time with water - canoing, kayaking, surfing, fishing, or tubing. Take a special Water badge trip to enjoy it, and reflect on why you love it.</v>
      </c>
    </row>
    <row r="149" spans="2:21" x14ac:dyDescent="0.2">
      <c r="B149" s="3">
        <v>2</v>
      </c>
      <c r="C149" s="269" t="s">
        <v>264</v>
      </c>
      <c r="D149" s="123" t="str">
        <f>IF(COUNTIF(D146:D148,"A")&gt;=1,"C",IF(COUNTIF(D146:D148,"A")&gt;0,"P"," "))</f>
        <v xml:space="preserve"> </v>
      </c>
      <c r="E149" s="123" t="str">
        <f t="shared" ref="E149:R149" si="39">IF(COUNTIF(E146:E148,"A")&gt;=1,"C",IF(COUNTIF(E146:E148,"A")&gt;0,"P"," "))</f>
        <v xml:space="preserve"> </v>
      </c>
      <c r="F149" s="123" t="str">
        <f t="shared" si="39"/>
        <v xml:space="preserve"> </v>
      </c>
      <c r="G149" s="123" t="str">
        <f t="shared" si="39"/>
        <v xml:space="preserve"> </v>
      </c>
      <c r="H149" s="123" t="str">
        <f t="shared" si="39"/>
        <v xml:space="preserve"> </v>
      </c>
      <c r="I149" s="123" t="str">
        <f t="shared" si="39"/>
        <v xml:space="preserve"> </v>
      </c>
      <c r="J149" s="123" t="str">
        <f t="shared" si="39"/>
        <v xml:space="preserve"> </v>
      </c>
      <c r="K149" s="123" t="str">
        <f t="shared" si="39"/>
        <v xml:space="preserve"> </v>
      </c>
      <c r="L149" s="123" t="str">
        <f t="shared" si="39"/>
        <v xml:space="preserve"> </v>
      </c>
      <c r="M149" s="123" t="str">
        <f t="shared" si="39"/>
        <v xml:space="preserve"> </v>
      </c>
      <c r="N149" s="123" t="str">
        <f t="shared" si="39"/>
        <v xml:space="preserve"> </v>
      </c>
      <c r="O149" s="123" t="str">
        <f t="shared" si="39"/>
        <v xml:space="preserve"> </v>
      </c>
      <c r="P149" s="123" t="str">
        <f t="shared" si="39"/>
        <v xml:space="preserve"> </v>
      </c>
      <c r="Q149" s="123" t="str">
        <f t="shared" si="39"/>
        <v xml:space="preserve"> </v>
      </c>
      <c r="R149" s="123" t="str">
        <f t="shared" si="39"/>
        <v xml:space="preserve"> </v>
      </c>
      <c r="U149" s="3" t="str">
        <f t="shared" si="35"/>
        <v xml:space="preserve">Celebrate water art - and create your own Enjoy art that expresses water's cherished place in ritual and tradition around the world - and capture your own  response to the world of water. </v>
      </c>
    </row>
    <row r="150" spans="2:21" x14ac:dyDescent="0.2">
      <c r="B150" s="124"/>
      <c r="C150" s="190" t="s">
        <v>379</v>
      </c>
      <c r="D150" s="135"/>
      <c r="E150" s="9"/>
      <c r="F150" s="9"/>
      <c r="G150" s="9"/>
      <c r="H150" s="9"/>
      <c r="I150" s="9"/>
      <c r="J150" s="9"/>
      <c r="K150" s="9"/>
      <c r="L150" s="9"/>
      <c r="M150" s="9"/>
      <c r="N150" s="9"/>
      <c r="O150" s="9"/>
      <c r="P150" s="9"/>
      <c r="Q150" s="9"/>
      <c r="R150" s="9"/>
      <c r="U150" s="3" t="str">
        <f t="shared" si="35"/>
        <v>Delve into water literature. Read a fiction or nonfiction book of at least 200 pages that focuses on water, or read five poems about water. React to what you read: You might write a review or a water poem of your own, host a book club for other Ambassadors or friends to discuss it, or reflect on it while sitting by a lake or stream.</v>
      </c>
    </row>
    <row r="151" spans="2:21" x14ac:dyDescent="0.2">
      <c r="B151" s="124"/>
      <c r="C151" s="190" t="s">
        <v>381</v>
      </c>
      <c r="D151" s="135"/>
      <c r="E151" s="9"/>
      <c r="F151" s="9"/>
      <c r="G151" s="9"/>
      <c r="H151" s="9"/>
      <c r="I151" s="9"/>
      <c r="J151" s="9"/>
      <c r="K151" s="9"/>
      <c r="L151" s="9"/>
      <c r="M151" s="9"/>
      <c r="N151" s="9"/>
      <c r="O151" s="9"/>
      <c r="P151" s="9"/>
      <c r="Q151" s="9"/>
      <c r="R151" s="9"/>
      <c r="U151" s="3" t="str">
        <f t="shared" si="35"/>
        <v>Enjoy an exhibit or event that features water.  It might be a water scuplture, a water display (such as a community fountain), fine art, or even music that features water. (Perhaps "water Music," by composer George Frideric Handel.) In whatever way seems appropriate to you (a photo series, a poem), capture your experience to share with others.</v>
      </c>
    </row>
    <row r="152" spans="2:21" x14ac:dyDescent="0.2">
      <c r="B152" s="124"/>
      <c r="C152" s="190" t="s">
        <v>380</v>
      </c>
      <c r="D152" s="135"/>
      <c r="E152" s="9"/>
      <c r="F152" s="9"/>
      <c r="G152" s="9"/>
      <c r="H152" s="9"/>
      <c r="I152" s="9"/>
      <c r="J152" s="9"/>
      <c r="K152" s="9"/>
      <c r="L152" s="9"/>
      <c r="M152" s="9"/>
      <c r="N152" s="9"/>
      <c r="O152" s="9"/>
      <c r="P152" s="9"/>
      <c r="Q152" s="9"/>
      <c r="R152" s="9"/>
      <c r="U152" s="3" t="str">
        <f t="shared" si="35"/>
        <v>Create your own water composition.  Record the sounds of water, from waterfalls and streams to water-glass chimes to running tap water. You could make a composition that's calming to help you and others in times of stress, or a gleeful water tune for a celebration - maybe a Girl Scout ceremony. Share your composition with others.</v>
      </c>
    </row>
    <row r="153" spans="2:21" x14ac:dyDescent="0.2">
      <c r="B153" s="3">
        <v>3</v>
      </c>
      <c r="C153" s="269" t="s">
        <v>265</v>
      </c>
      <c r="D153" s="123" t="str">
        <f>IF(COUNTIF(D150:D152,"A")&gt;=1,"C",IF(COUNTIF(D150:D152,"A")&gt;0,"P"," "))</f>
        <v xml:space="preserve"> </v>
      </c>
      <c r="E153" s="123" t="str">
        <f t="shared" ref="E153:R153" si="40">IF(COUNTIF(E150:E152,"A")&gt;=1,"C",IF(COUNTIF(E150:E152,"A")&gt;0,"P"," "))</f>
        <v xml:space="preserve"> </v>
      </c>
      <c r="F153" s="123" t="str">
        <f t="shared" si="40"/>
        <v xml:space="preserve"> </v>
      </c>
      <c r="G153" s="123" t="str">
        <f t="shared" si="40"/>
        <v xml:space="preserve"> </v>
      </c>
      <c r="H153" s="123" t="str">
        <f t="shared" si="40"/>
        <v xml:space="preserve"> </v>
      </c>
      <c r="I153" s="123" t="str">
        <f t="shared" si="40"/>
        <v xml:space="preserve"> </v>
      </c>
      <c r="J153" s="123" t="str">
        <f t="shared" si="40"/>
        <v xml:space="preserve"> </v>
      </c>
      <c r="K153" s="123" t="str">
        <f t="shared" si="40"/>
        <v xml:space="preserve"> </v>
      </c>
      <c r="L153" s="123" t="str">
        <f t="shared" si="40"/>
        <v xml:space="preserve"> </v>
      </c>
      <c r="M153" s="123" t="str">
        <f t="shared" si="40"/>
        <v xml:space="preserve"> </v>
      </c>
      <c r="N153" s="123" t="str">
        <f t="shared" si="40"/>
        <v xml:space="preserve"> </v>
      </c>
      <c r="O153" s="123" t="str">
        <f t="shared" si="40"/>
        <v xml:space="preserve"> </v>
      </c>
      <c r="P153" s="123" t="str">
        <f t="shared" si="40"/>
        <v xml:space="preserve"> </v>
      </c>
      <c r="Q153" s="123" t="str">
        <f t="shared" si="40"/>
        <v xml:space="preserve"> </v>
      </c>
      <c r="R153" s="123" t="str">
        <f t="shared" si="40"/>
        <v xml:space="preserve"> </v>
      </c>
      <c r="U153" s="3" t="str">
        <f t="shared" si="35"/>
        <v>Humans have always been dependent on water. Civilizations were built around rivers. Where it's dry, humans often create artificial bodies of water - reserviors, harbors, and waterways. But our relationship with water isn't always a happy story. We also face pollution, waste, and natural disaster. Take a closer look at a water issue and share what you find out, perhaps in a presentation, art project, article, or journal.</v>
      </c>
    </row>
    <row r="154" spans="2:21" x14ac:dyDescent="0.2">
      <c r="B154" s="124"/>
      <c r="C154" s="190" t="s">
        <v>382</v>
      </c>
      <c r="D154" s="135"/>
      <c r="E154" s="9"/>
      <c r="F154" s="9"/>
      <c r="G154" s="9"/>
      <c r="H154" s="9"/>
      <c r="I154" s="9"/>
      <c r="J154" s="9"/>
      <c r="K154" s="9"/>
      <c r="L154" s="9"/>
      <c r="M154" s="9"/>
      <c r="N154" s="9"/>
      <c r="O154" s="9"/>
      <c r="P154" s="9"/>
      <c r="Q154" s="9"/>
      <c r="R154" s="9"/>
      <c r="U154" s="3" t="str">
        <f t="shared" si="35"/>
        <v>Visit a water facility and explore its effectiveness. It might be a waste-treatement plant, a drinking-water treatement plant, a managed watershed, or a desalinization plant. Consider the facility's place in the community and its sustainability. How well is it working? What are its challenges - and your ideas for solutions?</v>
      </c>
    </row>
    <row r="155" spans="2:21" x14ac:dyDescent="0.2">
      <c r="B155" s="124"/>
      <c r="C155" s="190" t="s">
        <v>383</v>
      </c>
      <c r="D155" s="135"/>
      <c r="E155" s="9"/>
      <c r="F155" s="9"/>
      <c r="G155" s="9"/>
      <c r="H155" s="9"/>
      <c r="I155" s="9"/>
      <c r="J155" s="9"/>
      <c r="K155" s="9"/>
      <c r="L155" s="9"/>
      <c r="M155" s="9"/>
      <c r="N155" s="9"/>
      <c r="O155" s="9"/>
      <c r="P155" s="9"/>
      <c r="Q155" s="9"/>
      <c r="R155" s="9"/>
      <c r="U155" s="3" t="str">
        <f t="shared" si="35"/>
        <v>Investigate endangered marine life. You could interview a marine biologist about the need to protect coral reefs for marine life and for human life. Scientists have discovered serveral medicines in coral reefs, from anticancer chemicals to hard skeletons that might serve as bone implants. Or you could speak to an organization about overfishing, or research the effects of oil spills or climate change on ocean life.</v>
      </c>
    </row>
    <row r="156" spans="2:21" x14ac:dyDescent="0.2">
      <c r="B156" s="124"/>
      <c r="C156" s="190" t="s">
        <v>384</v>
      </c>
      <c r="D156" s="135"/>
      <c r="E156" s="9"/>
      <c r="F156" s="9"/>
      <c r="G156" s="9"/>
      <c r="H156" s="9"/>
      <c r="I156" s="9"/>
      <c r="J156" s="9"/>
      <c r="K156" s="9"/>
      <c r="L156" s="9"/>
      <c r="M156" s="9"/>
      <c r="N156" s="9"/>
      <c r="O156" s="9"/>
      <c r="P156" s="9"/>
      <c r="Q156" s="9"/>
      <c r="R156" s="9"/>
      <c r="U156" s="3" t="str">
        <f t="shared" si="35"/>
        <v xml:space="preserve">Investigate water as a hazard. Tsunamis, tidal weaves, rogue waves, and flash floods all occur naturally, sometimes at great cost to ships and cities. Read cerveral articles or a scientific book to learn more about one or all of these hazards. </v>
      </c>
    </row>
    <row r="157" spans="2:21" x14ac:dyDescent="0.2">
      <c r="B157" s="3">
        <v>4</v>
      </c>
      <c r="C157" s="269" t="s">
        <v>266</v>
      </c>
      <c r="D157" s="123" t="str">
        <f>IF(COUNTIF(D154:D156,"A")&gt;=1,"C",IF(COUNTIF(D154:D156,"A")&gt;0,"P"," "))</f>
        <v xml:space="preserve"> </v>
      </c>
      <c r="E157" s="123" t="str">
        <f t="shared" ref="E157:R157" si="41">IF(COUNTIF(E154:E156,"A")&gt;=1,"C",IF(COUNTIF(E154:E156,"A")&gt;0,"P"," "))</f>
        <v xml:space="preserve"> </v>
      </c>
      <c r="F157" s="123" t="str">
        <f t="shared" si="41"/>
        <v xml:space="preserve"> </v>
      </c>
      <c r="G157" s="123" t="str">
        <f t="shared" si="41"/>
        <v xml:space="preserve"> </v>
      </c>
      <c r="H157" s="123" t="str">
        <f t="shared" si="41"/>
        <v xml:space="preserve"> </v>
      </c>
      <c r="I157" s="123" t="str">
        <f t="shared" si="41"/>
        <v xml:space="preserve"> </v>
      </c>
      <c r="J157" s="123" t="str">
        <f t="shared" si="41"/>
        <v xml:space="preserve"> </v>
      </c>
      <c r="K157" s="123" t="str">
        <f t="shared" si="41"/>
        <v xml:space="preserve"> </v>
      </c>
      <c r="L157" s="123" t="str">
        <f t="shared" si="41"/>
        <v xml:space="preserve"> </v>
      </c>
      <c r="M157" s="123" t="str">
        <f t="shared" si="41"/>
        <v xml:space="preserve"> </v>
      </c>
      <c r="N157" s="123" t="str">
        <f t="shared" si="41"/>
        <v xml:space="preserve"> </v>
      </c>
      <c r="O157" s="123" t="str">
        <f t="shared" si="41"/>
        <v xml:space="preserve"> </v>
      </c>
      <c r="P157" s="123" t="str">
        <f t="shared" si="41"/>
        <v xml:space="preserve"> </v>
      </c>
      <c r="Q157" s="123" t="str">
        <f t="shared" si="41"/>
        <v xml:space="preserve"> </v>
      </c>
      <c r="R157" s="123" t="str">
        <f t="shared" si="41"/>
        <v xml:space="preserve"> </v>
      </c>
      <c r="U157" s="3" t="str">
        <f t="shared" si="35"/>
        <v>There are myriad water issues, to be sure. But since civilization depends on water, humans have always used their innovation and ingenuity to find, treat, gather, filter, conserve, and protect this precious resource.</v>
      </c>
    </row>
    <row r="158" spans="2:21" x14ac:dyDescent="0.2">
      <c r="B158" s="124"/>
      <c r="C158" s="190" t="s">
        <v>385</v>
      </c>
      <c r="D158" s="135"/>
      <c r="E158" s="9"/>
      <c r="F158" s="9"/>
      <c r="G158" s="9"/>
      <c r="H158" s="9"/>
      <c r="I158" s="9"/>
      <c r="J158" s="9"/>
      <c r="K158" s="9"/>
      <c r="L158" s="9"/>
      <c r="M158" s="9"/>
      <c r="N158" s="9"/>
      <c r="O158" s="9"/>
      <c r="P158" s="9"/>
      <c r="Q158" s="9"/>
      <c r="R158" s="9"/>
      <c r="U158" s="3" t="str">
        <f t="shared" si="35"/>
        <v>Intereview a water scientist to find out how they're helping water. This might be:
A hydroplogist who studies water and its flow, underground water formations, and hydroelectricity.
A civil engineer (or water resource engineer) who specializes in building and managing water treatement plants and dams, or who comes up with flood forecasting solutions.
A climatologist who studies weather patters and the water cycle.
A marine scientist who investigates bodies of water, underlying geology, and organisms that live in oceans, lakes, and stream. 
Choose one area that interestes you and prepare a 10-question interview. Conduct your interview by phone, e-mail, or in person. Find out how the scientist became intersetd in their field, what they studied in school and how they got the job! Share what you learn with others.</v>
      </c>
    </row>
    <row r="159" spans="2:21" x14ac:dyDescent="0.2">
      <c r="B159" s="124"/>
      <c r="C159" s="190" t="s">
        <v>386</v>
      </c>
      <c r="D159" s="135"/>
      <c r="E159" s="9"/>
      <c r="F159" s="9"/>
      <c r="G159" s="9"/>
      <c r="H159" s="9"/>
      <c r="I159" s="9"/>
      <c r="J159" s="9"/>
      <c r="K159" s="9"/>
      <c r="L159" s="9"/>
      <c r="M159" s="9"/>
      <c r="N159" s="9"/>
      <c r="O159" s="9"/>
      <c r="P159" s="9"/>
      <c r="Q159" s="9"/>
      <c r="R159" s="9"/>
      <c r="U159" s="3" t="str">
        <f t="shared" si="35"/>
        <v xml:space="preserve">Explore the world of hydroelectricity - and play engineer. Dams are sustainable generators of about 20% of the world's electric power. If you can, tor a dam. If not, resesarch one. How does it help the community it serves? Put on your engineer's hat and ask yourself, if I were in charge of the dam, what improvements would I make? Share your recommendations. </v>
      </c>
    </row>
    <row r="160" spans="2:21" x14ac:dyDescent="0.2">
      <c r="B160" s="124"/>
      <c r="C160" s="190" t="s">
        <v>387</v>
      </c>
      <c r="D160" s="135"/>
      <c r="E160" s="9"/>
      <c r="F160" s="9"/>
      <c r="G160" s="9"/>
      <c r="H160" s="9"/>
      <c r="I160" s="9"/>
      <c r="J160" s="9"/>
      <c r="K160" s="9"/>
      <c r="L160" s="9"/>
      <c r="M160" s="9"/>
      <c r="N160" s="9"/>
      <c r="O160" s="9"/>
      <c r="P160" s="9"/>
      <c r="Q160" s="9"/>
      <c r="R160" s="9"/>
      <c r="U160" s="3" t="str">
        <f t="shared" si="35"/>
        <v>Design your own water innovation. Choose a water issue for which you'd like to create a solution. Your design can be for something specific, like a filter to clean water, or for something less tangible - what about a water policy or legislation you'd like to see enacted? Whatever it is, find a way to communitcate your idea to others - such as a 3-D model, a draft of a bill you'd like to see, or a diagram or sketch.</v>
      </c>
    </row>
    <row r="161" spans="1:21" x14ac:dyDescent="0.2">
      <c r="B161" s="3">
        <v>5</v>
      </c>
      <c r="C161" s="269" t="s">
        <v>267</v>
      </c>
      <c r="D161" s="123" t="str">
        <f>IF(COUNTIF(D158:D160,"A")&gt;=1,"C",IF(COUNTIF(D158:D160,"A")&gt;0,"P"," "))</f>
        <v xml:space="preserve"> </v>
      </c>
      <c r="E161" s="123" t="str">
        <f t="shared" ref="E161:R161" si="42">IF(COUNTIF(E158:E160,"A")&gt;=1,"C",IF(COUNTIF(E158:E160,"A")&gt;0,"P"," "))</f>
        <v xml:space="preserve"> </v>
      </c>
      <c r="F161" s="123" t="str">
        <f t="shared" si="42"/>
        <v xml:space="preserve"> </v>
      </c>
      <c r="G161" s="123" t="str">
        <f t="shared" si="42"/>
        <v xml:space="preserve"> </v>
      </c>
      <c r="H161" s="123" t="str">
        <f t="shared" si="42"/>
        <v xml:space="preserve"> </v>
      </c>
      <c r="I161" s="123" t="str">
        <f t="shared" si="42"/>
        <v xml:space="preserve"> </v>
      </c>
      <c r="J161" s="123" t="str">
        <f t="shared" si="42"/>
        <v xml:space="preserve"> </v>
      </c>
      <c r="K161" s="123" t="str">
        <f t="shared" si="42"/>
        <v xml:space="preserve"> </v>
      </c>
      <c r="L161" s="123" t="str">
        <f t="shared" si="42"/>
        <v xml:space="preserve"> </v>
      </c>
      <c r="M161" s="123" t="str">
        <f t="shared" si="42"/>
        <v xml:space="preserve"> </v>
      </c>
      <c r="N161" s="123" t="str">
        <f t="shared" si="42"/>
        <v xml:space="preserve"> </v>
      </c>
      <c r="O161" s="123" t="str">
        <f t="shared" si="42"/>
        <v xml:space="preserve"> </v>
      </c>
      <c r="P161" s="123" t="str">
        <f t="shared" si="42"/>
        <v xml:space="preserve"> </v>
      </c>
      <c r="Q161" s="123" t="str">
        <f t="shared" si="42"/>
        <v xml:space="preserve"> </v>
      </c>
      <c r="R161" s="123" t="str">
        <f t="shared" si="42"/>
        <v xml:space="preserve"> </v>
      </c>
      <c r="U161" s="3" t="str">
        <f t="shared" si="35"/>
        <v>Here's your opporutnity to take everything you've learned and enjoyed and use it to help others appreciate water. If you've already shared some of your findings, do it now in a different way. This step should feel like a focused culmination of your badge work.</v>
      </c>
    </row>
    <row r="162" spans="1:21" x14ac:dyDescent="0.2">
      <c r="B162" s="124"/>
      <c r="C162" s="190" t="s">
        <v>388</v>
      </c>
      <c r="D162" s="135"/>
      <c r="E162" s="9"/>
      <c r="F162" s="9"/>
      <c r="G162" s="9"/>
      <c r="H162" s="9"/>
      <c r="I162" s="9"/>
      <c r="J162" s="9"/>
      <c r="K162" s="9"/>
      <c r="L162" s="9"/>
      <c r="M162" s="9"/>
      <c r="N162" s="9"/>
      <c r="O162" s="9"/>
      <c r="P162" s="9"/>
      <c r="Q162" s="9"/>
      <c r="R162" s="9"/>
      <c r="U162" s="3" t="str">
        <f t="shared" si="35"/>
        <v>Celebrate water with younger Girl Scouts.  You might have a party with a water theme: Guide a water science experiment and make fun seltzers with Brownies earning their Snacks badge. You might play Marco Polo and help girl slearn basic water skills. Host a special GS Camp weekend, or organize an outing to a water park (A fun way to teach girls about chlorine).</v>
      </c>
    </row>
    <row r="163" spans="1:21" x14ac:dyDescent="0.2">
      <c r="B163" s="124"/>
      <c r="C163" s="190" t="s">
        <v>389</v>
      </c>
      <c r="D163" s="135"/>
      <c r="E163" s="9"/>
      <c r="F163" s="9"/>
      <c r="G163" s="9"/>
      <c r="H163" s="9"/>
      <c r="I163" s="9"/>
      <c r="J163" s="9"/>
      <c r="K163" s="9"/>
      <c r="L163" s="9"/>
      <c r="M163" s="9"/>
      <c r="N163" s="9"/>
      <c r="O163" s="9"/>
      <c r="P163" s="9"/>
      <c r="Q163" s="9"/>
      <c r="R163" s="9"/>
      <c r="U163" s="3" t="str">
        <f t="shared" si="35"/>
        <v>Share a water issue that matters to you with your community. It could be a speech or article in which you explore the issue and make an action recommendation - you could publish it in a newspaper or on a website. It might be a sisplay or exhibit at a school, library, or place of worship.</v>
      </c>
    </row>
    <row r="164" spans="1:21" x14ac:dyDescent="0.2">
      <c r="B164" s="124"/>
      <c r="C164" s="190" t="s">
        <v>390</v>
      </c>
      <c r="D164" s="135"/>
      <c r="E164" s="9"/>
      <c r="F164" s="9"/>
      <c r="G164" s="9"/>
      <c r="H164" s="9"/>
      <c r="I164" s="9"/>
      <c r="J164" s="9"/>
      <c r="K164" s="9"/>
      <c r="L164" s="9"/>
      <c r="M164" s="9"/>
      <c r="N164" s="9"/>
      <c r="O164" s="9"/>
      <c r="P164" s="9"/>
      <c r="Q164" s="9"/>
      <c r="R164" s="9"/>
      <c r="U164" s="3" t="str">
        <f t="shared" si="35"/>
        <v>Guide a group to a water place. It could be a scavenger hunt - where does our water come from? It could be a tour of a navel base, commercial fishing boat, ferry barge, coast guard station, marine museum, or lighthouse. Wherever you go, you're the guide, and the experience is one you're crafted to share the aspects of water that are important to you.</v>
      </c>
    </row>
    <row r="165" spans="1:21" ht="1.5" customHeight="1" thickBot="1" x14ac:dyDescent="0.25">
      <c r="D165" s="123" t="str">
        <f>IF(COUNTIF(D162:D164,"A")&gt;=1,"C",IF(COUNTIF(D162:D164,"A")&gt;0,"P"," "))</f>
        <v xml:space="preserve"> </v>
      </c>
      <c r="E165" s="123" t="str">
        <f t="shared" ref="E165:R165" si="43">IF(COUNTIF(E162:E164,"A")&gt;=1,"C",IF(COUNTIF(E162:E164,"A")&gt;0,"P"," "))</f>
        <v xml:space="preserve"> </v>
      </c>
      <c r="F165" s="123" t="str">
        <f t="shared" si="43"/>
        <v xml:space="preserve"> </v>
      </c>
      <c r="G165" s="123" t="str">
        <f t="shared" si="43"/>
        <v xml:space="preserve"> </v>
      </c>
      <c r="H165" s="123" t="str">
        <f t="shared" si="43"/>
        <v xml:space="preserve"> </v>
      </c>
      <c r="I165" s="123" t="str">
        <f t="shared" si="43"/>
        <v xml:space="preserve"> </v>
      </c>
      <c r="J165" s="123" t="str">
        <f t="shared" si="43"/>
        <v xml:space="preserve"> </v>
      </c>
      <c r="K165" s="123" t="str">
        <f t="shared" si="43"/>
        <v xml:space="preserve"> </v>
      </c>
      <c r="L165" s="123" t="str">
        <f t="shared" si="43"/>
        <v xml:space="preserve"> </v>
      </c>
      <c r="M165" s="123" t="str">
        <f t="shared" si="43"/>
        <v xml:space="preserve"> </v>
      </c>
      <c r="N165" s="123" t="str">
        <f t="shared" si="43"/>
        <v xml:space="preserve"> </v>
      </c>
      <c r="O165" s="123" t="str">
        <f t="shared" si="43"/>
        <v xml:space="preserve"> </v>
      </c>
      <c r="P165" s="123" t="str">
        <f t="shared" si="43"/>
        <v xml:space="preserve"> </v>
      </c>
      <c r="Q165" s="123" t="str">
        <f t="shared" si="43"/>
        <v xml:space="preserve"> </v>
      </c>
      <c r="R165" s="123" t="str">
        <f t="shared" si="43"/>
        <v xml:space="preserve"> </v>
      </c>
      <c r="U165" s="3" t="str">
        <f t="shared" si="35"/>
        <v/>
      </c>
    </row>
    <row r="166" spans="1:21" ht="13.5" thickBot="1" x14ac:dyDescent="0.25">
      <c r="C166" s="74" t="s">
        <v>27</v>
      </c>
      <c r="D166" s="93" t="str">
        <f>IF(COUNTIF(D149:D165,"C")&gt;4,"C",IF(COUNTIF(D149:D165,"C")&gt;0,"P"," "))</f>
        <v xml:space="preserve"> </v>
      </c>
      <c r="E166" s="93" t="str">
        <f t="shared" ref="E166:R166" si="44">IF(COUNTIF(E149:E165,"C")&gt;4,"C",IF(COUNTIF(E149:E165,"C")&gt;0,"P"," "))</f>
        <v xml:space="preserve"> </v>
      </c>
      <c r="F166" s="93" t="str">
        <f t="shared" si="44"/>
        <v xml:space="preserve"> </v>
      </c>
      <c r="G166" s="93" t="str">
        <f t="shared" si="44"/>
        <v xml:space="preserve"> </v>
      </c>
      <c r="H166" s="93" t="str">
        <f t="shared" si="44"/>
        <v xml:space="preserve"> </v>
      </c>
      <c r="I166" s="93" t="str">
        <f t="shared" si="44"/>
        <v xml:space="preserve"> </v>
      </c>
      <c r="J166" s="93" t="str">
        <f t="shared" si="44"/>
        <v xml:space="preserve"> </v>
      </c>
      <c r="K166" s="93" t="str">
        <f t="shared" si="44"/>
        <v xml:space="preserve"> </v>
      </c>
      <c r="L166" s="93" t="str">
        <f t="shared" si="44"/>
        <v xml:space="preserve"> </v>
      </c>
      <c r="M166" s="93" t="str">
        <f t="shared" si="44"/>
        <v xml:space="preserve"> </v>
      </c>
      <c r="N166" s="93" t="str">
        <f t="shared" si="44"/>
        <v xml:space="preserve"> </v>
      </c>
      <c r="O166" s="93" t="str">
        <f t="shared" si="44"/>
        <v xml:space="preserve"> </v>
      </c>
      <c r="P166" s="93" t="str">
        <f t="shared" si="44"/>
        <v xml:space="preserve"> </v>
      </c>
      <c r="Q166" s="93" t="str">
        <f t="shared" si="44"/>
        <v xml:space="preserve"> </v>
      </c>
      <c r="R166" s="93" t="str">
        <f t="shared" si="44"/>
        <v xml:space="preserve"> </v>
      </c>
      <c r="U166" s="3" t="str">
        <f t="shared" si="35"/>
        <v/>
      </c>
    </row>
    <row r="167" spans="1:21" ht="18" x14ac:dyDescent="0.2">
      <c r="A167" s="424" t="s">
        <v>100</v>
      </c>
      <c r="B167" s="425"/>
      <c r="C167" s="425"/>
      <c r="D167" s="425"/>
      <c r="E167" s="425"/>
      <c r="F167" s="425"/>
      <c r="G167" s="425"/>
      <c r="H167" s="425"/>
      <c r="I167" s="425"/>
      <c r="J167" s="425"/>
      <c r="K167" s="425"/>
      <c r="L167" s="425"/>
      <c r="M167" s="425"/>
      <c r="N167" s="425"/>
      <c r="O167" s="425"/>
      <c r="P167" s="425"/>
      <c r="Q167" s="425"/>
      <c r="R167" s="425"/>
      <c r="U167" s="3" t="str">
        <f t="shared" si="35"/>
        <v/>
      </c>
    </row>
    <row r="168" spans="1:21" ht="15" x14ac:dyDescent="0.25">
      <c r="B168" s="121" t="s">
        <v>158</v>
      </c>
      <c r="U168" s="3" t="str">
        <f t="shared" si="35"/>
        <v/>
      </c>
    </row>
    <row r="169" spans="1:21" x14ac:dyDescent="0.2">
      <c r="B169" s="3">
        <v>1</v>
      </c>
      <c r="C169" s="275" t="s">
        <v>268</v>
      </c>
      <c r="U169" s="3" t="str">
        <f t="shared" si="35"/>
        <v>When living on your own, your biggest expense will likely be your housing. Living in a dorm, renting an apartment, and buying a house all have their own financial rules and regulations. Choose a scenario that's in your near future (like dorm living or renting an apartment) or further down teh road (buying your dream home) to learn more about the overall process and be better prepared to live on your own.</v>
      </c>
    </row>
    <row r="170" spans="1:21" x14ac:dyDescent="0.2">
      <c r="B170" s="122"/>
      <c r="C170" s="190" t="s">
        <v>346</v>
      </c>
      <c r="D170" s="135"/>
      <c r="E170" s="9"/>
      <c r="F170" s="9"/>
      <c r="G170" s="9"/>
      <c r="H170" s="9"/>
      <c r="I170" s="9"/>
      <c r="J170" s="9"/>
      <c r="K170" s="9"/>
      <c r="L170" s="9"/>
      <c r="M170" s="9"/>
      <c r="N170" s="9"/>
      <c r="O170" s="9"/>
      <c r="P170" s="9"/>
      <c r="Q170" s="9"/>
      <c r="R170" s="9"/>
      <c r="U170" s="3" t="str">
        <f t="shared" si="35"/>
        <v>Take a tour. Take an "open house" tour of an apartment or home that's for rent or sale. Be completely upfront with the person hosting the tour - remember that their job relies on making sales, so you don't want to get in their way. If the real estate agent has time, however, ask them to explain the rent/purchase process and how the "asking price" of the place you are touring compares to other apartments/homes in the neighborhood.</v>
      </c>
    </row>
    <row r="171" spans="1:21" x14ac:dyDescent="0.2">
      <c r="B171" s="122"/>
      <c r="C171" s="190" t="s">
        <v>347</v>
      </c>
      <c r="D171" s="135"/>
      <c r="E171" s="9"/>
      <c r="F171" s="9"/>
      <c r="G171" s="9"/>
      <c r="H171" s="9"/>
      <c r="I171" s="9"/>
      <c r="J171" s="9"/>
      <c r="K171" s="9"/>
      <c r="L171" s="9"/>
      <c r="M171" s="9"/>
      <c r="N171" s="9"/>
      <c r="O171" s="9"/>
      <c r="P171" s="9"/>
      <c r="Q171" s="9"/>
      <c r="R171" s="9"/>
      <c r="U171" s="3" t="str">
        <f t="shared" si="35"/>
        <v>Interview a new tenant or homeowner. Find a young woman who has recently moved into a dorm or rented an apartment. Then interview her to find out all the steps she had to take before voign in. Did she have any financial surprises? What were the costs associated with moving that she would tell you to be ready for (first and last months' rent, tental insurance, moving truck rental, utility hookup fees, etc. )? Be sure to ask her what helped her make her final decision and if there was anything she would have don differently.</v>
      </c>
    </row>
    <row r="172" spans="1:21" x14ac:dyDescent="0.2">
      <c r="B172" s="122"/>
      <c r="C172" s="190" t="s">
        <v>348</v>
      </c>
      <c r="D172" s="135"/>
      <c r="E172" s="9"/>
      <c r="F172" s="9"/>
      <c r="G172" s="9"/>
      <c r="H172" s="9"/>
      <c r="I172" s="9"/>
      <c r="J172" s="9"/>
      <c r="K172" s="9"/>
      <c r="L172" s="9"/>
      <c r="M172" s="9"/>
      <c r="N172" s="9"/>
      <c r="O172" s="9"/>
      <c r="P172" s="9"/>
      <c r="Q172" s="9"/>
      <c r="R172" s="9"/>
      <c r="U172" s="3" t="str">
        <f t="shared" si="35"/>
        <v>Be chart smart.  Create a map of the area you'd like to live, whether it's the freshman dorms at your college of choice or a neighborhood you've always loved. Then do research on at least a half dozen available rooms or homes to find out how living expenses differ and what kind of compromises you might have to make. For example, when renting in a college town, you'll likely have to pay more to be close to campus, but living farther away could mean a bigger place. Create a chart comparing the various costs and trade-offs you've discovered, and pick a winner!</v>
      </c>
    </row>
    <row r="173" spans="1:21" x14ac:dyDescent="0.2">
      <c r="B173" s="3">
        <v>2</v>
      </c>
      <c r="C173" s="269" t="s">
        <v>269</v>
      </c>
      <c r="D173" s="123" t="str">
        <f>IF(COUNTIF(D170:D172,"A")&gt;=1,"C",IF(COUNTIF(D170:D172,"A")&gt;0,"P"," "))</f>
        <v xml:space="preserve"> </v>
      </c>
      <c r="E173" s="123" t="str">
        <f t="shared" ref="E173:R173" si="45">IF(COUNTIF(E170:E172,"A")&gt;=1,"C",IF(COUNTIF(E170:E172,"A")&gt;0,"P"," "))</f>
        <v xml:space="preserve"> </v>
      </c>
      <c r="F173" s="123" t="str">
        <f t="shared" si="45"/>
        <v xml:space="preserve"> </v>
      </c>
      <c r="G173" s="123" t="str">
        <f t="shared" si="45"/>
        <v xml:space="preserve"> </v>
      </c>
      <c r="H173" s="123" t="str">
        <f t="shared" si="45"/>
        <v xml:space="preserve"> </v>
      </c>
      <c r="I173" s="123" t="str">
        <f t="shared" si="45"/>
        <v xml:space="preserve"> </v>
      </c>
      <c r="J173" s="123" t="str">
        <f t="shared" si="45"/>
        <v xml:space="preserve"> </v>
      </c>
      <c r="K173" s="123" t="str">
        <f t="shared" si="45"/>
        <v xml:space="preserve"> </v>
      </c>
      <c r="L173" s="123" t="str">
        <f t="shared" si="45"/>
        <v xml:space="preserve"> </v>
      </c>
      <c r="M173" s="123" t="str">
        <f t="shared" si="45"/>
        <v xml:space="preserve"> </v>
      </c>
      <c r="N173" s="123" t="str">
        <f t="shared" si="45"/>
        <v xml:space="preserve"> </v>
      </c>
      <c r="O173" s="123" t="str">
        <f t="shared" si="45"/>
        <v xml:space="preserve"> </v>
      </c>
      <c r="P173" s="123" t="str">
        <f t="shared" si="45"/>
        <v xml:space="preserve"> </v>
      </c>
      <c r="Q173" s="123" t="str">
        <f t="shared" si="45"/>
        <v xml:space="preserve"> </v>
      </c>
      <c r="R173" s="123" t="str">
        <f t="shared" si="45"/>
        <v xml:space="preserve"> </v>
      </c>
      <c r="U173" s="3" t="str">
        <f t="shared" si="35"/>
        <v>When living independently, you're responsible for buying everything from groceries to gas for your car. Plus, there are plenty of other expenses you might not have thought of, from the electric bill to cable TV and lealth insurance. In this step, you'll take a closer look at how quickly costs can add up by tracking a month's worth of spending.</v>
      </c>
    </row>
    <row r="174" spans="1:21" x14ac:dyDescent="0.2">
      <c r="B174" s="124"/>
      <c r="C174" s="190" t="s">
        <v>349</v>
      </c>
      <c r="D174" s="135"/>
      <c r="E174" s="9"/>
      <c r="F174" s="9"/>
      <c r="G174" s="9"/>
      <c r="H174" s="9"/>
      <c r="I174" s="9"/>
      <c r="J174" s="9"/>
      <c r="K174" s="9"/>
      <c r="L174" s="9"/>
      <c r="M174" s="9"/>
      <c r="N174" s="9"/>
      <c r="O174" s="9"/>
      <c r="P174" s="9"/>
      <c r="Q174" s="9"/>
      <c r="R174" s="9"/>
      <c r="U174" s="3" t="str">
        <f t="shared" si="35"/>
        <v xml:space="preserve">Focust on your finances. Keep track of every personal item you use in a month. Inculde everything from toiletries and clothes to things like your phone or Interent service. Once your list is complete, review it with a friend or family member and ask them to add items you might have missed. Then total the cost of everything so you can get a rough idea of your monthly spending habits. </v>
      </c>
    </row>
    <row r="175" spans="1:21" x14ac:dyDescent="0.2">
      <c r="B175" s="124"/>
      <c r="C175" s="190" t="s">
        <v>350</v>
      </c>
      <c r="D175" s="135"/>
      <c r="E175" s="9"/>
      <c r="F175" s="9"/>
      <c r="G175" s="9"/>
      <c r="H175" s="9"/>
      <c r="I175" s="9"/>
      <c r="J175" s="9"/>
      <c r="K175" s="9"/>
      <c r="L175" s="9"/>
      <c r="M175" s="9"/>
      <c r="N175" s="9"/>
      <c r="O175" s="9"/>
      <c r="P175" s="9"/>
      <c r="Q175" s="9"/>
      <c r="R175" s="9"/>
      <c r="U175" s="3" t="str">
        <f t="shared" si="35"/>
        <v xml:space="preserve">Shop talk. Volunteer to do your family's shopping for one month, keeping track of everything that you spend. At the end of the month, categorize the items you purchases (food, toiletries, clothing, etc.) and review the list with your entire family to see if there iare places where money might be saved. </v>
      </c>
    </row>
    <row r="176" spans="1:21" x14ac:dyDescent="0.2">
      <c r="B176" s="124"/>
      <c r="C176" s="190" t="s">
        <v>351</v>
      </c>
      <c r="D176" s="135"/>
      <c r="E176" s="9"/>
      <c r="F176" s="9"/>
      <c r="G176" s="9"/>
      <c r="H176" s="9"/>
      <c r="I176" s="9"/>
      <c r="J176" s="9"/>
      <c r="K176" s="9"/>
      <c r="L176" s="9"/>
      <c r="M176" s="9"/>
      <c r="N176" s="9"/>
      <c r="O176" s="9"/>
      <c r="P176" s="9"/>
      <c r="Q176" s="9"/>
      <c r="R176" s="9"/>
      <c r="U176" s="3" t="str">
        <f t="shared" si="35"/>
        <v>Audit request. An audit is a eview of someone's financial decuments. Ask a friend or family member living on their own if you can audit them by asking them to save a month's worth of receipts and bills. Organize all their spending by category (food, fun, rent, etc.) and review the totals together. If your friend doesn't already keep a budget, the results might make them want to start!</v>
      </c>
    </row>
    <row r="177" spans="2:21" x14ac:dyDescent="0.2">
      <c r="B177" s="3">
        <v>3</v>
      </c>
      <c r="C177" s="283" t="s">
        <v>270</v>
      </c>
      <c r="D177" s="123" t="str">
        <f>IF(COUNTIF(D174:D176,"A")&gt;=1,"C",IF(COUNTIF(D174:D176,"A")&gt;0,"P"," "))</f>
        <v xml:space="preserve"> </v>
      </c>
      <c r="E177" s="123" t="str">
        <f t="shared" ref="E177:R177" si="46">IF(COUNTIF(E174:E176,"A")&gt;=1,"C",IF(COUNTIF(E174:E176,"A")&gt;0,"P"," "))</f>
        <v xml:space="preserve"> </v>
      </c>
      <c r="F177" s="123" t="str">
        <f t="shared" si="46"/>
        <v xml:space="preserve"> </v>
      </c>
      <c r="G177" s="123" t="str">
        <f t="shared" si="46"/>
        <v xml:space="preserve"> </v>
      </c>
      <c r="H177" s="123" t="str">
        <f t="shared" si="46"/>
        <v xml:space="preserve"> </v>
      </c>
      <c r="I177" s="123" t="str">
        <f t="shared" si="46"/>
        <v xml:space="preserve"> </v>
      </c>
      <c r="J177" s="123" t="str">
        <f t="shared" si="46"/>
        <v xml:space="preserve"> </v>
      </c>
      <c r="K177" s="123" t="str">
        <f t="shared" si="46"/>
        <v xml:space="preserve"> </v>
      </c>
      <c r="L177" s="123" t="str">
        <f t="shared" si="46"/>
        <v xml:space="preserve"> </v>
      </c>
      <c r="M177" s="123" t="str">
        <f t="shared" si="46"/>
        <v xml:space="preserve"> </v>
      </c>
      <c r="N177" s="123" t="str">
        <f t="shared" si="46"/>
        <v xml:space="preserve"> </v>
      </c>
      <c r="O177" s="123" t="str">
        <f t="shared" si="46"/>
        <v xml:space="preserve"> </v>
      </c>
      <c r="P177" s="123" t="str">
        <f t="shared" si="46"/>
        <v xml:space="preserve"> </v>
      </c>
      <c r="Q177" s="123" t="str">
        <f t="shared" si="46"/>
        <v xml:space="preserve"> </v>
      </c>
      <c r="R177" s="123" t="str">
        <f t="shared" si="46"/>
        <v xml:space="preserve"> </v>
      </c>
      <c r="U177" s="3" t="str">
        <f t="shared" si="35"/>
        <v>A budget isn't just about making sure you have enough money to pay your bills. Every good budget should also make room for entertainment, hobbies, and having fun with friends.</v>
      </c>
    </row>
    <row r="178" spans="2:21" x14ac:dyDescent="0.2">
      <c r="B178" s="124"/>
      <c r="C178" s="190" t="s">
        <v>352</v>
      </c>
      <c r="D178" s="135"/>
      <c r="E178" s="9"/>
      <c r="F178" s="9"/>
      <c r="G178" s="9"/>
      <c r="H178" s="9"/>
      <c r="I178" s="9"/>
      <c r="J178" s="9"/>
      <c r="K178" s="9"/>
      <c r="L178" s="9"/>
      <c r="M178" s="9"/>
      <c r="N178" s="9"/>
      <c r="O178" s="9"/>
      <c r="P178" s="9"/>
      <c r="Q178" s="9"/>
      <c r="R178" s="9"/>
      <c r="U178" s="3" t="str">
        <f t="shared" si="35"/>
        <v>Horray for hobbies! Do you have a hobby that you just can't live without? Whether it's collecting concert posters or mastering photography, you'll need to build the costs of you hobby into your budget. Review how much money you've spent on you gobby over the past year. Then divide that total by 12 to figure out how much you need to put aside per month. You might even consider setting up a separate savings account for this money.</v>
      </c>
    </row>
    <row r="179" spans="2:21" x14ac:dyDescent="0.2">
      <c r="B179" s="124"/>
      <c r="C179" s="190" t="s">
        <v>353</v>
      </c>
      <c r="D179" s="135"/>
      <c r="E179" s="9"/>
      <c r="F179" s="9"/>
      <c r="G179" s="9"/>
      <c r="H179" s="9"/>
      <c r="I179" s="9"/>
      <c r="J179" s="9"/>
      <c r="K179" s="9"/>
      <c r="L179" s="9"/>
      <c r="M179" s="9"/>
      <c r="N179" s="9"/>
      <c r="O179" s="9"/>
      <c r="P179" s="9"/>
      <c r="Q179" s="9"/>
      <c r="R179" s="9"/>
      <c r="U179" s="3" t="str">
        <f t="shared" si="35"/>
        <v>Treat yourself. Find out how much of your budget needs to be dedicated to treating yourself. If you're the type of person who is happy to spend nights at home with a library book, then you might only need to use 5 percent of your budget. But if you love going to movies and meeting friends for dinner often, you mihgt need closer to 15 percent. Make a list of all the things you like to do for fun, research the cost for each, add them up, and divide by 12 to know how much you need to save each month (remember to include all costs. For example, a night at the movies includes not just the ticket, but also trasportation to the theater and snacks from the concession stand.)</v>
      </c>
    </row>
    <row r="180" spans="2:21" x14ac:dyDescent="0.2">
      <c r="B180" s="124"/>
      <c r="C180" s="190" t="s">
        <v>354</v>
      </c>
      <c r="D180" s="135"/>
      <c r="E180" s="9"/>
      <c r="F180" s="9"/>
      <c r="G180" s="9"/>
      <c r="H180" s="9"/>
      <c r="I180" s="9"/>
      <c r="J180" s="9"/>
      <c r="K180" s="9"/>
      <c r="L180" s="9"/>
      <c r="M180" s="9"/>
      <c r="N180" s="9"/>
      <c r="O180" s="9"/>
      <c r="P180" s="9"/>
      <c r="Q180" s="9"/>
      <c r="R180" s="9"/>
      <c r="U180" s="3" t="str">
        <f t="shared" si="35"/>
        <v>Class act. Gym membership. Cooking classes. A tennis league. Most people have classes or activities that need to be included in their budget. One key to maximizing your purchase power, however, is searching out the best deal. Pick something like a gym membership and reseach all the available options in your area, keeping in mind extra costs like membership fees or locker rentals. Rank your options in order from best to worst, and see what a difference research can make on your budget's bottom line.</v>
      </c>
    </row>
    <row r="181" spans="2:21" x14ac:dyDescent="0.2">
      <c r="B181" s="3">
        <v>4</v>
      </c>
      <c r="C181" s="269" t="s">
        <v>271</v>
      </c>
      <c r="D181" s="123" t="str">
        <f>IF(COUNTIF(D178:D180,"A")&gt;=1,"C",IF(COUNTIF(D178:D180,"A")&gt;0,"P"," "))</f>
        <v xml:space="preserve"> </v>
      </c>
      <c r="E181" s="123" t="str">
        <f t="shared" ref="E181:R181" si="47">IF(COUNTIF(E178:E180,"A")&gt;=1,"C",IF(COUNTIF(E178:E180,"A")&gt;0,"P"," "))</f>
        <v xml:space="preserve"> </v>
      </c>
      <c r="F181" s="123" t="str">
        <f t="shared" si="47"/>
        <v xml:space="preserve"> </v>
      </c>
      <c r="G181" s="123" t="str">
        <f t="shared" si="47"/>
        <v xml:space="preserve"> </v>
      </c>
      <c r="H181" s="123" t="str">
        <f t="shared" si="47"/>
        <v xml:space="preserve"> </v>
      </c>
      <c r="I181" s="123" t="str">
        <f t="shared" si="47"/>
        <v xml:space="preserve"> </v>
      </c>
      <c r="J181" s="123" t="str">
        <f t="shared" si="47"/>
        <v xml:space="preserve"> </v>
      </c>
      <c r="K181" s="123" t="str">
        <f t="shared" si="47"/>
        <v xml:space="preserve"> </v>
      </c>
      <c r="L181" s="123" t="str">
        <f t="shared" si="47"/>
        <v xml:space="preserve"> </v>
      </c>
      <c r="M181" s="123" t="str">
        <f t="shared" si="47"/>
        <v xml:space="preserve"> </v>
      </c>
      <c r="N181" s="123" t="str">
        <f t="shared" si="47"/>
        <v xml:space="preserve"> </v>
      </c>
      <c r="O181" s="123" t="str">
        <f t="shared" si="47"/>
        <v xml:space="preserve"> </v>
      </c>
      <c r="P181" s="123" t="str">
        <f t="shared" si="47"/>
        <v xml:space="preserve"> </v>
      </c>
      <c r="Q181" s="123" t="str">
        <f t="shared" si="47"/>
        <v xml:space="preserve"> </v>
      </c>
      <c r="R181" s="123" t="str">
        <f t="shared" si="47"/>
        <v xml:space="preserve"> </v>
      </c>
      <c r="U181" s="3" t="str">
        <f t="shared" si="35"/>
        <v>Your car breaks down. Your laptop is stolen. You get sick and have extra doctor's bills to pay. The only think you can expect in life is tahth the unexpected will happen - so set aside some money for when it does. One golden rule given by financial advisoers is that everyone working adult should have at least six months of their typical living expenses saved and set aside for the unexpected.</v>
      </c>
    </row>
    <row r="182" spans="2:21" x14ac:dyDescent="0.2">
      <c r="B182" s="124"/>
      <c r="C182" s="190" t="s">
        <v>355</v>
      </c>
      <c r="D182" s="135"/>
      <c r="E182" s="9"/>
      <c r="F182" s="9"/>
      <c r="G182" s="9"/>
      <c r="H182" s="9"/>
      <c r="I182" s="9"/>
      <c r="J182" s="9"/>
      <c r="K182" s="9"/>
      <c r="L182" s="9"/>
      <c r="M182" s="9"/>
      <c r="N182" s="9"/>
      <c r="O182" s="9"/>
      <c r="P182" s="9"/>
      <c r="Q182" s="9"/>
      <c r="R182" s="9"/>
      <c r="U182" s="3" t="str">
        <f t="shared" si="35"/>
        <v>Interview your network. You'll often find that the people around you have the best advice. Talk to your network fo family and friends and ask them about different financial emergiences they've faced and how they've delt with them. For example, maybe someone had a car accident. Even if they have insurance, they may have been suprised by a large deductible or loss of wages from missing work. Make a list of five unexpected situations that you learned about hand research how much it would cost to deal with each one.</v>
      </c>
    </row>
    <row r="183" spans="2:21" x14ac:dyDescent="0.2">
      <c r="B183" s="124"/>
      <c r="C183" s="190" t="s">
        <v>356</v>
      </c>
      <c r="D183" s="135"/>
      <c r="E183" s="9"/>
      <c r="F183" s="9"/>
      <c r="G183" s="9"/>
      <c r="H183" s="9"/>
      <c r="I183" s="9"/>
      <c r="J183" s="9"/>
      <c r="K183" s="9"/>
      <c r="L183" s="9"/>
      <c r="M183" s="9"/>
      <c r="N183" s="9"/>
      <c r="O183" s="9"/>
      <c r="P183" s="9"/>
      <c r="Q183" s="9"/>
      <c r="R183" s="9"/>
      <c r="U183" s="3" t="str">
        <f t="shared" si="35"/>
        <v>Interview a financial guru. Part of a financial adviser's job is to prepare their client for the unexpected. Set up an interview with a financial adviser and ask them how they advise clients to save for emergencies. What are the typical issues they have seen while working with clients? How much money should someone have in the bank if they lose their job? What are their tips for building a "rainy day" fund?</v>
      </c>
    </row>
    <row r="184" spans="2:21" x14ac:dyDescent="0.2">
      <c r="B184" s="124"/>
      <c r="C184" s="190" t="s">
        <v>357</v>
      </c>
      <c r="D184" s="135"/>
      <c r="E184" s="9"/>
      <c r="F184" s="9"/>
      <c r="G184" s="9"/>
      <c r="H184" s="9"/>
      <c r="I184" s="9"/>
      <c r="J184" s="9"/>
      <c r="K184" s="9"/>
      <c r="L184" s="9"/>
      <c r="M184" s="9"/>
      <c r="N184" s="9"/>
      <c r="O184" s="9"/>
      <c r="P184" s="9"/>
      <c r="Q184" s="9"/>
      <c r="R184" s="9"/>
      <c r="U184" s="3" t="str">
        <f t="shared" si="35"/>
        <v xml:space="preserve">Interview an insurance expert. Life insurance, car insurance, and homeowners insurance are all there in case of the unexpected. Set up an appointment with one of your family's insurance agents to learn more about the inportant world of insurance. Find out how much the different kinds of insurance cost. Compare the cost with the likelihood that something will happen - and with the actual cost of replacing or repairing the items insured. </v>
      </c>
    </row>
    <row r="185" spans="2:21" x14ac:dyDescent="0.2">
      <c r="B185" s="3">
        <v>5</v>
      </c>
      <c r="C185" s="269" t="s">
        <v>272</v>
      </c>
      <c r="D185" s="123" t="str">
        <f>IF(COUNTIF(D182:D184,"A")&gt;=1,"C",IF(COUNTIF(D182:D184,"A")&gt;0,"P"," "))</f>
        <v xml:space="preserve"> </v>
      </c>
      <c r="E185" s="123" t="str">
        <f t="shared" ref="E185:R185" si="48">IF(COUNTIF(E182:E184,"A")&gt;=1,"C",IF(COUNTIF(E182:E184,"A")&gt;0,"P"," "))</f>
        <v xml:space="preserve"> </v>
      </c>
      <c r="F185" s="123" t="str">
        <f t="shared" si="48"/>
        <v xml:space="preserve"> </v>
      </c>
      <c r="G185" s="123" t="str">
        <f t="shared" si="48"/>
        <v xml:space="preserve"> </v>
      </c>
      <c r="H185" s="123" t="str">
        <f t="shared" si="48"/>
        <v xml:space="preserve"> </v>
      </c>
      <c r="I185" s="123" t="str">
        <f t="shared" si="48"/>
        <v xml:space="preserve"> </v>
      </c>
      <c r="J185" s="123" t="str">
        <f t="shared" si="48"/>
        <v xml:space="preserve"> </v>
      </c>
      <c r="K185" s="123" t="str">
        <f t="shared" si="48"/>
        <v xml:space="preserve"> </v>
      </c>
      <c r="L185" s="123" t="str">
        <f t="shared" si="48"/>
        <v xml:space="preserve"> </v>
      </c>
      <c r="M185" s="123" t="str">
        <f t="shared" si="48"/>
        <v xml:space="preserve"> </v>
      </c>
      <c r="N185" s="123" t="str">
        <f t="shared" si="48"/>
        <v xml:space="preserve"> </v>
      </c>
      <c r="O185" s="123" t="str">
        <f t="shared" si="48"/>
        <v xml:space="preserve"> </v>
      </c>
      <c r="P185" s="123" t="str">
        <f t="shared" si="48"/>
        <v xml:space="preserve"> </v>
      </c>
      <c r="Q185" s="123" t="str">
        <f t="shared" si="48"/>
        <v xml:space="preserve"> </v>
      </c>
      <c r="R185" s="123" t="str">
        <f t="shared" si="48"/>
        <v xml:space="preserve"> </v>
      </c>
      <c r="U185" s="3" t="str">
        <f t="shared" si="35"/>
        <v xml:space="preserve">Plan for sharing with others:  Everyone's heard the saying that it's better to give than to reveive. But in order to give - be it a friend's girthday gift or a charitable donation - you have to make room in your budget. Fiure out how much you want to set aside for goodwill to others. </v>
      </c>
    </row>
    <row r="186" spans="2:21" x14ac:dyDescent="0.2">
      <c r="B186" s="124"/>
      <c r="C186" s="190" t="s">
        <v>358</v>
      </c>
      <c r="D186" s="135"/>
      <c r="E186" s="9"/>
      <c r="F186" s="9"/>
      <c r="G186" s="9"/>
      <c r="H186" s="9"/>
      <c r="I186" s="9"/>
      <c r="J186" s="9"/>
      <c r="K186" s="9"/>
      <c r="L186" s="9"/>
      <c r="M186" s="9"/>
      <c r="N186" s="9"/>
      <c r="O186" s="9"/>
      <c r="P186" s="9"/>
      <c r="Q186" s="9"/>
      <c r="R186" s="9"/>
      <c r="U186" s="3" t="str">
        <f t="shared" si="35"/>
        <v xml:space="preserve">Plan for presents.  With gifts, it truly is the thought that counts. But if you don't think about gifts in your budget, you might not have any funds available if you want to give them. Make a list of everyone you'd like to get presents for (parents, siblings, friends) throughotu an entire year, along with how much you'd like to spend on each gift. Add p the total and divide by 12 to see how much you need to budget eafh month for presents. You may find that your wish list for giving si greater than what you can afford, but its better to know ahead of time so you can adjust your spending. </v>
      </c>
    </row>
    <row r="187" spans="2:21" x14ac:dyDescent="0.2">
      <c r="B187" s="124"/>
      <c r="C187" s="190" t="s">
        <v>359</v>
      </c>
      <c r="D187" s="135"/>
      <c r="E187" s="9"/>
      <c r="F187" s="9"/>
      <c r="G187" s="9"/>
      <c r="H187" s="9"/>
      <c r="I187" s="9"/>
      <c r="J187" s="9"/>
      <c r="K187" s="9"/>
      <c r="L187" s="9"/>
      <c r="M187" s="9"/>
      <c r="N187" s="9"/>
      <c r="O187" s="9"/>
      <c r="P187" s="9"/>
      <c r="Q187" s="9"/>
      <c r="R187" s="9"/>
      <c r="U187" s="3" t="str">
        <f t="shared" si="35"/>
        <v>Budget for your time.  Do you want to be a Girl Scout volunteer? Or do you have plans to volunteer for your favorite environmentla or social-justice cause? If so, investigate two ways that you might be able to help as a yound adult by talking to people who have already volunteered. Find out if there are any costs involved. If so, how would you work those into your budget? And be sure to find out hwo much time would be required of you. You'll have to make room for that time in your busy life as well!</v>
      </c>
    </row>
    <row r="188" spans="2:21" x14ac:dyDescent="0.2">
      <c r="B188" s="124"/>
      <c r="C188" s="190" t="s">
        <v>360</v>
      </c>
      <c r="D188" s="135"/>
      <c r="E188" s="9"/>
      <c r="F188" s="9"/>
      <c r="G188" s="9"/>
      <c r="H188" s="9"/>
      <c r="I188" s="9"/>
      <c r="J188" s="9"/>
      <c r="K188" s="9"/>
      <c r="L188" s="9"/>
      <c r="M188" s="9"/>
      <c r="N188" s="9"/>
      <c r="O188" s="9"/>
      <c r="P188" s="9"/>
      <c r="Q188" s="9"/>
      <c r="R188" s="9"/>
      <c r="U188" s="3" t="str">
        <f t="shared" si="35"/>
        <v xml:space="preserve">Charity starts… with a budget. Do you have a desire to make the world a better place through philanthropy? Perhaps you have a favorite charity or your place or worship has projects you'd like to support? Even if you don't have any money to donate at this time, your budget can help. Think about it this way. Donating a single dollar might not create much change. But what if you used your budget to figure out how to save single dollar each and every day? After a year, you'd have an impressive donation indeed. </v>
      </c>
    </row>
    <row r="189" spans="2:21" ht="1.5" customHeight="1" thickBot="1" x14ac:dyDescent="0.25">
      <c r="D189" s="123" t="str">
        <f>IF(COUNTIF(D186:D188,"A")&gt;=1,"C",IF(COUNTIF(D186:D188,"A")&gt;0,"P"," "))</f>
        <v xml:space="preserve"> </v>
      </c>
      <c r="E189" s="123" t="str">
        <f t="shared" ref="E189:R189" si="49">IF(COUNTIF(E186:E188,"A")&gt;=1,"C",IF(COUNTIF(E186:E188,"A")&gt;0,"P"," "))</f>
        <v xml:space="preserve"> </v>
      </c>
      <c r="F189" s="123" t="str">
        <f t="shared" si="49"/>
        <v xml:space="preserve"> </v>
      </c>
      <c r="G189" s="123" t="str">
        <f t="shared" si="49"/>
        <v xml:space="preserve"> </v>
      </c>
      <c r="H189" s="123" t="str">
        <f t="shared" si="49"/>
        <v xml:space="preserve"> </v>
      </c>
      <c r="I189" s="123" t="str">
        <f t="shared" si="49"/>
        <v xml:space="preserve"> </v>
      </c>
      <c r="J189" s="123" t="str">
        <f t="shared" si="49"/>
        <v xml:space="preserve"> </v>
      </c>
      <c r="K189" s="123" t="str">
        <f t="shared" si="49"/>
        <v xml:space="preserve"> </v>
      </c>
      <c r="L189" s="123" t="str">
        <f t="shared" si="49"/>
        <v xml:space="preserve"> </v>
      </c>
      <c r="M189" s="123" t="str">
        <f t="shared" si="49"/>
        <v xml:space="preserve"> </v>
      </c>
      <c r="N189" s="123" t="str">
        <f t="shared" si="49"/>
        <v xml:space="preserve"> </v>
      </c>
      <c r="O189" s="123" t="str">
        <f t="shared" si="49"/>
        <v xml:space="preserve"> </v>
      </c>
      <c r="P189" s="123" t="str">
        <f t="shared" si="49"/>
        <v xml:space="preserve"> </v>
      </c>
      <c r="Q189" s="123" t="str">
        <f t="shared" si="49"/>
        <v xml:space="preserve"> </v>
      </c>
      <c r="R189" s="123" t="str">
        <f t="shared" si="49"/>
        <v xml:space="preserve"> </v>
      </c>
      <c r="U189" s="3" t="str">
        <f t="shared" si="35"/>
        <v/>
      </c>
    </row>
    <row r="190" spans="2:21" ht="13.5" thickBot="1" x14ac:dyDescent="0.25">
      <c r="C190" s="74" t="s">
        <v>27</v>
      </c>
      <c r="D190" s="93" t="str">
        <f t="shared" ref="D190:R190" si="50">IF(COUNTIF(D173:D189,"C")&gt;4,"C",IF(COUNTIF(D173:D189,"C")&gt;0,"P"," "))</f>
        <v xml:space="preserve"> </v>
      </c>
      <c r="E190" s="93" t="str">
        <f t="shared" si="50"/>
        <v xml:space="preserve"> </v>
      </c>
      <c r="F190" s="93" t="str">
        <f t="shared" si="50"/>
        <v xml:space="preserve"> </v>
      </c>
      <c r="G190" s="93" t="str">
        <f t="shared" si="50"/>
        <v xml:space="preserve"> </v>
      </c>
      <c r="H190" s="93" t="str">
        <f t="shared" si="50"/>
        <v xml:space="preserve"> </v>
      </c>
      <c r="I190" s="93" t="str">
        <f t="shared" si="50"/>
        <v xml:space="preserve"> </v>
      </c>
      <c r="J190" s="93" t="str">
        <f t="shared" si="50"/>
        <v xml:space="preserve"> </v>
      </c>
      <c r="K190" s="93" t="str">
        <f t="shared" si="50"/>
        <v xml:space="preserve"> </v>
      </c>
      <c r="L190" s="93" t="str">
        <f t="shared" si="50"/>
        <v xml:space="preserve"> </v>
      </c>
      <c r="M190" s="93" t="str">
        <f t="shared" si="50"/>
        <v xml:space="preserve"> </v>
      </c>
      <c r="N190" s="93" t="str">
        <f t="shared" si="50"/>
        <v xml:space="preserve"> </v>
      </c>
      <c r="O190" s="93" t="str">
        <f t="shared" si="50"/>
        <v xml:space="preserve"> </v>
      </c>
      <c r="P190" s="93" t="str">
        <f t="shared" si="50"/>
        <v xml:space="preserve"> </v>
      </c>
      <c r="Q190" s="93" t="str">
        <f t="shared" si="50"/>
        <v xml:space="preserve"> </v>
      </c>
      <c r="R190" s="93" t="str">
        <f t="shared" si="50"/>
        <v xml:space="preserve"> </v>
      </c>
      <c r="U190" s="3" t="str">
        <f t="shared" si="35"/>
        <v/>
      </c>
    </row>
    <row r="191" spans="2:21" ht="15" x14ac:dyDescent="0.25">
      <c r="B191" s="121" t="s">
        <v>159</v>
      </c>
      <c r="D191" s="192"/>
      <c r="E191" s="192"/>
      <c r="F191" s="192"/>
      <c r="G191" s="192"/>
      <c r="H191" s="192"/>
      <c r="I191" s="192"/>
      <c r="J191" s="192"/>
      <c r="K191" s="192"/>
      <c r="L191" s="192"/>
      <c r="M191" s="192"/>
      <c r="N191" s="192"/>
      <c r="O191" s="192"/>
      <c r="P191" s="192"/>
      <c r="Q191" s="192"/>
      <c r="R191" s="192"/>
      <c r="U191" s="3" t="str">
        <f t="shared" si="35"/>
        <v/>
      </c>
    </row>
    <row r="192" spans="2:21" x14ac:dyDescent="0.2">
      <c r="B192" s="3">
        <v>1</v>
      </c>
      <c r="C192" s="281" t="s">
        <v>273</v>
      </c>
      <c r="D192" s="192"/>
      <c r="E192" s="192"/>
      <c r="F192" s="192"/>
      <c r="G192" s="192"/>
      <c r="H192" s="192"/>
      <c r="I192" s="192"/>
      <c r="J192" s="192"/>
      <c r="K192" s="192"/>
      <c r="L192" s="192"/>
      <c r="M192" s="192"/>
      <c r="N192" s="192"/>
      <c r="O192" s="192"/>
      <c r="P192" s="192"/>
      <c r="Q192" s="192"/>
      <c r="R192" s="192"/>
      <c r="U192" s="3" t="str">
        <f t="shared" si="35"/>
        <v>Get the scoop on credit scores Your credit score is like a report card on your financial history. But instead of getting grades like A, B, and C, your credit score is a tree-digit number. Anything above a 700 is recognized as very good, while scores below 500 are considered subpar. Your credit score helps lenders evaluate your ability to pay back waht you owe. That means maintaining a good credit score will make it easier for you to apply for credit cards, receive loans (student, car, home, etc.), and rent an apartment at some point in the future. Your goal in this step is to find out what information is used to determine a credit score and what can make a score go up or down.</v>
      </c>
    </row>
    <row r="193" spans="2:21" x14ac:dyDescent="0.2">
      <c r="B193" s="122"/>
      <c r="C193" s="190" t="s">
        <v>393</v>
      </c>
      <c r="D193" s="135"/>
      <c r="E193" s="9"/>
      <c r="F193" s="9"/>
      <c r="G193" s="9"/>
      <c r="H193" s="9"/>
      <c r="I193" s="9"/>
      <c r="J193" s="9"/>
      <c r="K193" s="9"/>
      <c r="L193" s="9"/>
      <c r="M193" s="9"/>
      <c r="N193" s="9"/>
      <c r="O193" s="9"/>
      <c r="P193" s="9"/>
      <c r="Q193" s="9"/>
      <c r="R193" s="9"/>
      <c r="U193" s="3" t="str">
        <f t="shared" si="35"/>
        <v xml:space="preserve">Do your own research.  There's a wealth of information on credit scores available online and at your local library. The hard part is being able to sort through all the information to find the important bits. Spend at least two hours reading up on credit scores in order to write two explanatory paragraphs: one on where credit scores come from and the other on keys to keeping a good score. </v>
      </c>
    </row>
    <row r="194" spans="2:21" x14ac:dyDescent="0.2">
      <c r="B194" s="122"/>
      <c r="C194" s="190" t="s">
        <v>394</v>
      </c>
      <c r="D194" s="135"/>
      <c r="E194" s="9"/>
      <c r="F194" s="9"/>
      <c r="G194" s="9"/>
      <c r="H194" s="9"/>
      <c r="I194" s="9"/>
      <c r="J194" s="9"/>
      <c r="K194" s="9"/>
      <c r="L194" s="9"/>
      <c r="M194" s="9"/>
      <c r="N194" s="9"/>
      <c r="O194" s="9"/>
      <c r="P194" s="9"/>
      <c r="Q194" s="9"/>
      <c r="R194" s="9"/>
      <c r="U194" s="3" t="str">
        <f t="shared" si="35"/>
        <v>Invte an expert speaker. A banker, financial planner, or credit bureau representative would be ideal to speak to your Girl Scout group about credit scores and what they mean. Ask the presenter to explain in detail how not having a credit card can impact your credit score and how having a low score can hurt your changes of getting future credit, loans, and mortgages.</v>
      </c>
    </row>
    <row r="195" spans="2:21" x14ac:dyDescent="0.2">
      <c r="B195" s="122"/>
      <c r="C195" s="190" t="s">
        <v>395</v>
      </c>
      <c r="D195" s="135"/>
      <c r="E195" s="9"/>
      <c r="F195" s="9"/>
      <c r="G195" s="9"/>
      <c r="H195" s="9"/>
      <c r="I195" s="9"/>
      <c r="J195" s="9"/>
      <c r="K195" s="9"/>
      <c r="L195" s="9"/>
      <c r="M195" s="9"/>
      <c r="N195" s="9"/>
      <c r="O195" s="9"/>
      <c r="P195" s="9"/>
      <c r="Q195" s="9"/>
      <c r="R195" s="9"/>
      <c r="U195" s="3" t="str">
        <f t="shared" si="35"/>
        <v>Go on a field trip.  Set up an appointment at a bank or local credit bureau to meet with an expert where they work. Ask them to walk you through the process of cheching on credit scores, along with explaining how a low score can hurt your chances of getting furture credit, loans, and mortgages.</v>
      </c>
    </row>
    <row r="196" spans="2:21" x14ac:dyDescent="0.2">
      <c r="B196" s="3">
        <v>2</v>
      </c>
      <c r="C196" s="269" t="s">
        <v>274</v>
      </c>
      <c r="D196" s="123" t="str">
        <f>IF(COUNTIF(D193:D195,"A")&gt;=1,"C",IF(COUNTIF(D193:D195,"A")&gt;0,"P"," "))</f>
        <v xml:space="preserve"> </v>
      </c>
      <c r="E196" s="123" t="str">
        <f t="shared" ref="E196:R196" si="51">IF(COUNTIF(E193:E195,"A")&gt;=1,"C",IF(COUNTIF(E193:E195,"A")&gt;0,"P"," "))</f>
        <v xml:space="preserve"> </v>
      </c>
      <c r="F196" s="123" t="str">
        <f t="shared" si="51"/>
        <v xml:space="preserve"> </v>
      </c>
      <c r="G196" s="123" t="str">
        <f t="shared" si="51"/>
        <v xml:space="preserve"> </v>
      </c>
      <c r="H196" s="123" t="str">
        <f t="shared" si="51"/>
        <v xml:space="preserve"> </v>
      </c>
      <c r="I196" s="123" t="str">
        <f t="shared" si="51"/>
        <v xml:space="preserve"> </v>
      </c>
      <c r="J196" s="123" t="str">
        <f t="shared" si="51"/>
        <v xml:space="preserve"> </v>
      </c>
      <c r="K196" s="123" t="str">
        <f t="shared" si="51"/>
        <v xml:space="preserve"> </v>
      </c>
      <c r="L196" s="123" t="str">
        <f t="shared" si="51"/>
        <v xml:space="preserve"> </v>
      </c>
      <c r="M196" s="123" t="str">
        <f t="shared" si="51"/>
        <v xml:space="preserve"> </v>
      </c>
      <c r="N196" s="123" t="str">
        <f t="shared" si="51"/>
        <v xml:space="preserve"> </v>
      </c>
      <c r="O196" s="123" t="str">
        <f t="shared" si="51"/>
        <v xml:space="preserve"> </v>
      </c>
      <c r="P196" s="123" t="str">
        <f t="shared" si="51"/>
        <v xml:space="preserve"> </v>
      </c>
      <c r="Q196" s="123" t="str">
        <f t="shared" si="51"/>
        <v xml:space="preserve"> </v>
      </c>
      <c r="R196" s="123" t="str">
        <f t="shared" si="51"/>
        <v xml:space="preserve"> </v>
      </c>
      <c r="U196" s="3" t="str">
        <f t="shared" si="35"/>
        <v>Find out how bank loans work. People rarely purchase a home or a new car with cash. Instead, they get a bank or another financial institution to loan them the money to pay for it and then pa back the lender a small chunk at a time each month. Likewise, many students take out loans to help pay for their college education, then pay the loan back after they graduate and find a job. In this step, you'll reseach the ins and outs of getting one of these kinds of loans.</v>
      </c>
    </row>
    <row r="197" spans="2:21" x14ac:dyDescent="0.2">
      <c r="B197" s="124"/>
      <c r="C197" s="190" t="s">
        <v>396</v>
      </c>
      <c r="D197" s="135"/>
      <c r="E197" s="9"/>
      <c r="F197" s="9"/>
      <c r="G197" s="9"/>
      <c r="H197" s="9"/>
      <c r="I197" s="9"/>
      <c r="J197" s="9"/>
      <c r="K197" s="9"/>
      <c r="L197" s="9"/>
      <c r="M197" s="9"/>
      <c r="N197" s="9"/>
      <c r="O197" s="9"/>
      <c r="P197" s="9"/>
      <c r="Q197" s="9"/>
      <c r="R197" s="9"/>
      <c r="U197" s="3" t="str">
        <f t="shared" si="35"/>
        <v>Learn about student loans. Search online, talk to your school's guidance counselor, or interview a financial aid officer at a college to find out about different types of student loans, as well as how and when you're expected to pay the loan back after graduation.</v>
      </c>
    </row>
    <row r="198" spans="2:21" x14ac:dyDescent="0.2">
      <c r="B198" s="124"/>
      <c r="C198" s="190" t="s">
        <v>397</v>
      </c>
      <c r="D198" s="135"/>
      <c r="E198" s="9"/>
      <c r="F198" s="9"/>
      <c r="G198" s="9"/>
      <c r="H198" s="9"/>
      <c r="I198" s="9"/>
      <c r="J198" s="9"/>
      <c r="K198" s="9"/>
      <c r="L198" s="9"/>
      <c r="M198" s="9"/>
      <c r="N198" s="9"/>
      <c r="O198" s="9"/>
      <c r="P198" s="9"/>
      <c r="Q198" s="9"/>
      <c r="R198" s="9"/>
      <c r="U198" s="3" t="str">
        <f t="shared" si="35"/>
        <v>Learn about home loans. Home loans, also called home mortgages, are often the biggest loan a person will ever take out. Indeed, the most common type of home loan takes 30 years to pay off. Ask family members if they know a home loan officer that you could speak with about home loans. Be sure to ask about down payment requirments, as well as how interest rates can change bases on both the type of loan and length of the loan in years.</v>
      </c>
    </row>
    <row r="199" spans="2:21" x14ac:dyDescent="0.2">
      <c r="B199" s="124"/>
      <c r="C199" s="190" t="s">
        <v>398</v>
      </c>
      <c r="D199" s="135"/>
      <c r="E199" s="9"/>
      <c r="F199" s="9"/>
      <c r="G199" s="9"/>
      <c r="H199" s="9"/>
      <c r="I199" s="9"/>
      <c r="J199" s="9"/>
      <c r="K199" s="9"/>
      <c r="L199" s="9"/>
      <c r="M199" s="9"/>
      <c r="N199" s="9"/>
      <c r="O199" s="9"/>
      <c r="P199" s="9"/>
      <c r="Q199" s="9"/>
      <c r="R199" s="9"/>
      <c r="U199" s="3" t="str">
        <f t="shared" si="35"/>
        <v>Learn about car loans. Make an appointment to speak with a finaince official at a local car dealership, either in person or by phone. Ask them to explain the different kinds of loans offered for both new and used cars; how interest rates vary; and how a lower interest rate saves you money compared to a high interest rate.</v>
      </c>
    </row>
    <row r="200" spans="2:21" x14ac:dyDescent="0.2">
      <c r="B200" s="3">
        <v>3</v>
      </c>
      <c r="C200" s="269" t="s">
        <v>275</v>
      </c>
      <c r="D200" s="123" t="str">
        <f>IF(COUNTIF(D197:D199,"A")&gt;=1,"C",IF(COUNTIF(D197:D199,"A")&gt;0,"P"," "))</f>
        <v xml:space="preserve"> </v>
      </c>
      <c r="E200" s="123" t="str">
        <f t="shared" ref="E200:R200" si="52">IF(COUNTIF(E197:E199,"A")&gt;=1,"C",IF(COUNTIF(E197:E199,"A")&gt;0,"P"," "))</f>
        <v xml:space="preserve"> </v>
      </c>
      <c r="F200" s="123" t="str">
        <f t="shared" si="52"/>
        <v xml:space="preserve"> </v>
      </c>
      <c r="G200" s="123" t="str">
        <f t="shared" si="52"/>
        <v xml:space="preserve"> </v>
      </c>
      <c r="H200" s="123" t="str">
        <f t="shared" si="52"/>
        <v xml:space="preserve"> </v>
      </c>
      <c r="I200" s="123" t="str">
        <f t="shared" si="52"/>
        <v xml:space="preserve"> </v>
      </c>
      <c r="J200" s="123" t="str">
        <f t="shared" si="52"/>
        <v xml:space="preserve"> </v>
      </c>
      <c r="K200" s="123" t="str">
        <f t="shared" si="52"/>
        <v xml:space="preserve"> </v>
      </c>
      <c r="L200" s="123" t="str">
        <f t="shared" si="52"/>
        <v xml:space="preserve"> </v>
      </c>
      <c r="M200" s="123" t="str">
        <f t="shared" si="52"/>
        <v xml:space="preserve"> </v>
      </c>
      <c r="N200" s="123" t="str">
        <f t="shared" si="52"/>
        <v xml:space="preserve"> </v>
      </c>
      <c r="O200" s="123" t="str">
        <f t="shared" si="52"/>
        <v xml:space="preserve"> </v>
      </c>
      <c r="P200" s="123" t="str">
        <f t="shared" si="52"/>
        <v xml:space="preserve"> </v>
      </c>
      <c r="Q200" s="123" t="str">
        <f t="shared" si="52"/>
        <v xml:space="preserve"> </v>
      </c>
      <c r="R200" s="123" t="str">
        <f t="shared" si="52"/>
        <v xml:space="preserve"> </v>
      </c>
      <c r="U200" s="3" t="str">
        <f t="shared" ref="U200:U240" si="53">GetComments(C200)</f>
        <v>Learn the ins and outs of credit cards Credit cards are the most common way people borrow money. Credit cards are also a very helpful tool in life. Like any other tool, however, you need to know how to use one properly to get the most out of it. When paying with a credit card, you are essentially borrowing money from a credit card lender. You are then expected to pay back the credit card company in a set amount of time. And if you don't pay the full amount you owe, you must pay interest (the cost of borrowoing money) on the remaining balance. Fill in the credit card worksheet on the next page in order to compare credit card offers as you complete this step.</v>
      </c>
    </row>
    <row r="201" spans="2:21" x14ac:dyDescent="0.2">
      <c r="B201" s="124"/>
      <c r="C201" s="190" t="s">
        <v>399</v>
      </c>
      <c r="D201" s="135"/>
      <c r="E201" s="9"/>
      <c r="F201" s="9"/>
      <c r="G201" s="9"/>
      <c r="H201" s="9"/>
      <c r="I201" s="9"/>
      <c r="J201" s="9"/>
      <c r="K201" s="9"/>
      <c r="L201" s="9"/>
      <c r="M201" s="9"/>
      <c r="N201" s="9"/>
      <c r="O201" s="9"/>
      <c r="P201" s="9"/>
      <c r="Q201" s="9"/>
      <c r="R201" s="9"/>
      <c r="U201" s="3" t="str">
        <f t="shared" si="53"/>
        <v>Study credit card offers. Find at least three credit card offers in the mail, in stores, or in banks. Read the offers to learn what is needed to apply for each card and use them to complete the worksheet. Then rank each offer for the best deal and dscuss your choices with friends or family.</v>
      </c>
    </row>
    <row r="202" spans="2:21" x14ac:dyDescent="0.2">
      <c r="B202" s="124"/>
      <c r="C202" s="190" t="s">
        <v>400</v>
      </c>
      <c r="D202" s="135"/>
      <c r="E202" s="9"/>
      <c r="F202" s="9"/>
      <c r="G202" s="9"/>
      <c r="H202" s="9"/>
      <c r="I202" s="9"/>
      <c r="J202" s="9"/>
      <c r="K202" s="9"/>
      <c r="L202" s="9"/>
      <c r="M202" s="9"/>
      <c r="N202" s="9"/>
      <c r="O202" s="9"/>
      <c r="P202" s="9"/>
      <c r="Q202" s="9"/>
      <c r="R202" s="9"/>
      <c r="U202" s="3" t="str">
        <f t="shared" si="53"/>
        <v>Speak with banks. Locate two banks and/or credit unions in your community. Set up phone interviews with banking associates at each to discuss the steps involved in applying for a credit card. Prepare a list of questions that will answer all the columns in the credit card worksheet.</v>
      </c>
    </row>
    <row r="203" spans="2:21" x14ac:dyDescent="0.2">
      <c r="B203" s="124"/>
      <c r="C203" s="190" t="s">
        <v>401</v>
      </c>
      <c r="D203" s="135"/>
      <c r="E203" s="9"/>
      <c r="F203" s="9"/>
      <c r="G203" s="9"/>
      <c r="H203" s="9"/>
      <c r="I203" s="9"/>
      <c r="J203" s="9"/>
      <c r="K203" s="9"/>
      <c r="L203" s="9"/>
      <c r="M203" s="9"/>
      <c r="N203" s="9"/>
      <c r="O203" s="9"/>
      <c r="P203" s="9"/>
      <c r="Q203" s="9"/>
      <c r="R203" s="9"/>
      <c r="U203" s="3" t="str">
        <f t="shared" si="53"/>
        <v>Go online. Explore the online sites of at least three banks or credit unions.  Compile information on the various credit card offers you find and complete the worksheet. Then rank each offer for the best deal and discuss your choices with friends or family.</v>
      </c>
    </row>
    <row r="204" spans="2:21" x14ac:dyDescent="0.2">
      <c r="B204" s="3">
        <v>4</v>
      </c>
      <c r="C204" s="269" t="s">
        <v>276</v>
      </c>
      <c r="D204" s="123" t="str">
        <f>IF(COUNTIF(D201:D203,"A")&gt;=1,"C",IF(COUNTIF(D201:D203,"A")&gt;0,"P"," "))</f>
        <v xml:space="preserve"> </v>
      </c>
      <c r="E204" s="123" t="str">
        <f t="shared" ref="E204:R204" si="54">IF(COUNTIF(E201:E203,"A")&gt;=1,"C",IF(COUNTIF(E201:E203,"A")&gt;0,"P"," "))</f>
        <v xml:space="preserve"> </v>
      </c>
      <c r="F204" s="123" t="str">
        <f t="shared" si="54"/>
        <v xml:space="preserve"> </v>
      </c>
      <c r="G204" s="123" t="str">
        <f t="shared" si="54"/>
        <v xml:space="preserve"> </v>
      </c>
      <c r="H204" s="123" t="str">
        <f t="shared" si="54"/>
        <v xml:space="preserve"> </v>
      </c>
      <c r="I204" s="123" t="str">
        <f t="shared" si="54"/>
        <v xml:space="preserve"> </v>
      </c>
      <c r="J204" s="123" t="str">
        <f t="shared" si="54"/>
        <v xml:space="preserve"> </v>
      </c>
      <c r="K204" s="123" t="str">
        <f t="shared" si="54"/>
        <v xml:space="preserve"> </v>
      </c>
      <c r="L204" s="123" t="str">
        <f t="shared" si="54"/>
        <v xml:space="preserve"> </v>
      </c>
      <c r="M204" s="123" t="str">
        <f t="shared" si="54"/>
        <v xml:space="preserve"> </v>
      </c>
      <c r="N204" s="123" t="str">
        <f t="shared" si="54"/>
        <v xml:space="preserve"> </v>
      </c>
      <c r="O204" s="123" t="str">
        <f t="shared" si="54"/>
        <v xml:space="preserve"> </v>
      </c>
      <c r="P204" s="123" t="str">
        <f t="shared" si="54"/>
        <v xml:space="preserve"> </v>
      </c>
      <c r="Q204" s="123" t="str">
        <f t="shared" si="54"/>
        <v xml:space="preserve"> </v>
      </c>
      <c r="R204" s="123" t="str">
        <f t="shared" si="54"/>
        <v xml:space="preserve"> </v>
      </c>
      <c r="U204" s="3" t="str">
        <f t="shared" si="53"/>
        <v xml:space="preserve">Gather real-life borrowing stories By this point, you know enough to have a knowledgeable conversation on the topics of borrowing and credit. It's time to dig deeper into these important financial subjects by learning from the experiences - both good and bag - of others. </v>
      </c>
    </row>
    <row r="205" spans="2:21" x14ac:dyDescent="0.2">
      <c r="B205" s="124"/>
      <c r="C205" s="190" t="s">
        <v>402</v>
      </c>
      <c r="D205" s="135"/>
      <c r="E205" s="9"/>
      <c r="F205" s="9"/>
      <c r="G205" s="9"/>
      <c r="H205" s="9"/>
      <c r="I205" s="9"/>
      <c r="J205" s="9"/>
      <c r="K205" s="9"/>
      <c r="L205" s="9"/>
      <c r="M205" s="9"/>
      <c r="N205" s="9"/>
      <c r="O205" s="9"/>
      <c r="P205" s="9"/>
      <c r="Q205" s="9"/>
      <c r="R205" s="9"/>
      <c r="U205" s="3" t="str">
        <f t="shared" si="53"/>
        <v>Interview an expert. Talk to a financial adviser or credit counselor about common financial mistakes people make when it comes ot borrownig. Be sure to get their recommendations on any magazines, books, or websites where youc an get more in-depth information.</v>
      </c>
    </row>
    <row r="206" spans="2:21" x14ac:dyDescent="0.2">
      <c r="B206" s="124"/>
      <c r="C206" s="190" t="s">
        <v>403</v>
      </c>
      <c r="D206" s="135"/>
      <c r="E206" s="9"/>
      <c r="F206" s="9"/>
      <c r="G206" s="9"/>
      <c r="H206" s="9"/>
      <c r="I206" s="9"/>
      <c r="J206" s="9"/>
      <c r="K206" s="9"/>
      <c r="L206" s="9"/>
      <c r="M206" s="9"/>
      <c r="N206" s="9"/>
      <c r="O206" s="9"/>
      <c r="P206" s="9"/>
      <c r="Q206" s="9"/>
      <c r="R206" s="9"/>
      <c r="U206" s="3" t="str">
        <f t="shared" si="53"/>
        <v>Study relevant stories. Find at least three magazine or newspaper articles dealing with individuals who made bad financial decisions that will seriously damage their credit. Discuss what you learned from each story with friends or family.</v>
      </c>
    </row>
    <row r="207" spans="2:21" x14ac:dyDescent="0.2">
      <c r="B207" s="124"/>
      <c r="C207" s="190" t="s">
        <v>404</v>
      </c>
      <c r="D207" s="135"/>
      <c r="E207" s="9"/>
      <c r="F207" s="9"/>
      <c r="G207" s="9"/>
      <c r="H207" s="9"/>
      <c r="I207" s="9"/>
      <c r="J207" s="9"/>
      <c r="K207" s="9"/>
      <c r="L207" s="9"/>
      <c r="M207" s="9"/>
      <c r="N207" s="9"/>
      <c r="O207" s="9"/>
      <c r="P207" s="9"/>
      <c r="Q207" s="9"/>
      <c r="R207" s="9"/>
      <c r="U207" s="3" t="str">
        <f t="shared" si="53"/>
        <v>Interview someone who has had a loan. Talk to an adult who have experince with both getting and paying back loans. Ask for advice and tips on borrowing. Find out if they would have done anything differently, and if so, why?</v>
      </c>
    </row>
    <row r="208" spans="2:21" x14ac:dyDescent="0.2">
      <c r="B208" s="3">
        <v>5</v>
      </c>
      <c r="C208" s="269" t="s">
        <v>277</v>
      </c>
      <c r="D208" s="123" t="str">
        <f>IF(COUNTIF(D205:D207,"A")&gt;=1,"C",IF(COUNTIF(D205:D207,"A")&gt;0,"P"," "))</f>
        <v xml:space="preserve"> </v>
      </c>
      <c r="E208" s="123" t="str">
        <f t="shared" ref="E208:R208" si="55">IF(COUNTIF(E205:E207,"A")&gt;=1,"C",IF(COUNTIF(E205:E207,"A")&gt;0,"P"," "))</f>
        <v xml:space="preserve"> </v>
      </c>
      <c r="F208" s="123" t="str">
        <f t="shared" si="55"/>
        <v xml:space="preserve"> </v>
      </c>
      <c r="G208" s="123" t="str">
        <f t="shared" si="55"/>
        <v xml:space="preserve"> </v>
      </c>
      <c r="H208" s="123" t="str">
        <f t="shared" si="55"/>
        <v xml:space="preserve"> </v>
      </c>
      <c r="I208" s="123" t="str">
        <f t="shared" si="55"/>
        <v xml:space="preserve"> </v>
      </c>
      <c r="J208" s="123" t="str">
        <f t="shared" si="55"/>
        <v xml:space="preserve"> </v>
      </c>
      <c r="K208" s="123" t="str">
        <f t="shared" si="55"/>
        <v xml:space="preserve"> </v>
      </c>
      <c r="L208" s="123" t="str">
        <f t="shared" si="55"/>
        <v xml:space="preserve"> </v>
      </c>
      <c r="M208" s="123" t="str">
        <f t="shared" si="55"/>
        <v xml:space="preserve"> </v>
      </c>
      <c r="N208" s="123" t="str">
        <f t="shared" si="55"/>
        <v xml:space="preserve"> </v>
      </c>
      <c r="O208" s="123" t="str">
        <f t="shared" si="55"/>
        <v xml:space="preserve"> </v>
      </c>
      <c r="P208" s="123" t="str">
        <f t="shared" si="55"/>
        <v xml:space="preserve"> </v>
      </c>
      <c r="Q208" s="123" t="str">
        <f t="shared" si="55"/>
        <v xml:space="preserve"> </v>
      </c>
      <c r="R208" s="123" t="str">
        <f t="shared" si="55"/>
        <v xml:space="preserve"> </v>
      </c>
      <c r="U208" s="3" t="str">
        <f t="shared" si="53"/>
        <v>Write your own credit commitment Take everything you've learned so far and create your credit commitment. Make sure it includes at least three personal guidelines for how or when you will borrow money in the future. When ever you think about borrowing money in years to come, you'll be able to refer to your code for guidance.</v>
      </c>
    </row>
    <row r="209" spans="1:21" x14ac:dyDescent="0.2">
      <c r="B209" s="124"/>
      <c r="C209" s="190" t="s">
        <v>405</v>
      </c>
      <c r="D209" s="135"/>
      <c r="E209" s="9"/>
      <c r="F209" s="9"/>
      <c r="G209" s="9"/>
      <c r="H209" s="9"/>
      <c r="I209" s="9"/>
      <c r="J209" s="9"/>
      <c r="K209" s="9"/>
      <c r="L209" s="9"/>
      <c r="M209" s="9"/>
      <c r="N209" s="9"/>
      <c r="O209" s="9"/>
      <c r="P209" s="9"/>
      <c r="Q209" s="9"/>
      <c r="R209" s="9"/>
      <c r="U209" s="3" t="str">
        <f t="shared" si="53"/>
        <v xml:space="preserve">Talk to your family. Write a first draft of your credit commitment and present it to your family. Explain each commitment in detail, and give everyone present a chance to discuss their feelings. Once the fmailyh converstation is over, revisit your credit commitment to create a final draft. </v>
      </c>
    </row>
    <row r="210" spans="1:21" x14ac:dyDescent="0.2">
      <c r="B210" s="124"/>
      <c r="C210" s="190" t="s">
        <v>406</v>
      </c>
      <c r="D210" s="135"/>
      <c r="E210" s="9"/>
      <c r="F210" s="9"/>
      <c r="G210" s="9"/>
      <c r="H210" s="9"/>
      <c r="I210" s="9"/>
      <c r="J210" s="9"/>
      <c r="K210" s="9"/>
      <c r="L210" s="9"/>
      <c r="M210" s="9"/>
      <c r="N210" s="9"/>
      <c r="O210" s="9"/>
      <c r="P210" s="9"/>
      <c r="Q210" s="9"/>
      <c r="R210" s="9"/>
      <c r="U210" s="3" t="str">
        <f t="shared" si="53"/>
        <v xml:space="preserve">Talk to a friend. Team up with a Girl Scout friend and work on creating a credit commitment that you both believe in. Use your notes to put together a list of key commitments, and then take turns writing these commitments in clear and concise sentences. </v>
      </c>
    </row>
    <row r="211" spans="1:21" x14ac:dyDescent="0.2">
      <c r="B211" s="124"/>
      <c r="C211" s="190" t="s">
        <v>407</v>
      </c>
      <c r="D211" s="135"/>
      <c r="E211" s="9"/>
      <c r="F211" s="9"/>
      <c r="G211" s="9"/>
      <c r="H211" s="9"/>
      <c r="I211" s="9"/>
      <c r="J211" s="9"/>
      <c r="K211" s="9"/>
      <c r="L211" s="9"/>
      <c r="M211" s="9"/>
      <c r="N211" s="9"/>
      <c r="O211" s="9"/>
      <c r="P211" s="9"/>
      <c r="Q211" s="9"/>
      <c r="R211" s="9"/>
      <c r="U211" s="3" t="str">
        <f t="shared" si="53"/>
        <v>Talk with an expert. Ask older family members or an adult you admire if they know of any reputable financial advisers. If so, set up an information meeting with this expert to review your credit commitment. Ask for feedback on the commitment and any special tips to help you follow it.</v>
      </c>
    </row>
    <row r="212" spans="1:21" ht="1.5" customHeight="1" thickBot="1" x14ac:dyDescent="0.25">
      <c r="D212" s="123" t="str">
        <f>IF(COUNTIF(D209:D211,"A")&gt;=1,"C",IF(COUNTIF(D209:D211,"A")&gt;0,"P"," "))</f>
        <v xml:space="preserve"> </v>
      </c>
      <c r="E212" s="123" t="str">
        <f t="shared" ref="E212:R212" si="56">IF(COUNTIF(E209:E211,"A")&gt;=1,"C",IF(COUNTIF(E209:E211,"A")&gt;0,"P"," "))</f>
        <v xml:space="preserve"> </v>
      </c>
      <c r="F212" s="123" t="str">
        <f t="shared" si="56"/>
        <v xml:space="preserve"> </v>
      </c>
      <c r="G212" s="123" t="str">
        <f t="shared" si="56"/>
        <v xml:space="preserve"> </v>
      </c>
      <c r="H212" s="123" t="str">
        <f t="shared" si="56"/>
        <v xml:space="preserve"> </v>
      </c>
      <c r="I212" s="123" t="str">
        <f t="shared" si="56"/>
        <v xml:space="preserve"> </v>
      </c>
      <c r="J212" s="123" t="str">
        <f t="shared" si="56"/>
        <v xml:space="preserve"> </v>
      </c>
      <c r="K212" s="123" t="str">
        <f t="shared" si="56"/>
        <v xml:space="preserve"> </v>
      </c>
      <c r="L212" s="123" t="str">
        <f t="shared" si="56"/>
        <v xml:space="preserve"> </v>
      </c>
      <c r="M212" s="123" t="str">
        <f t="shared" si="56"/>
        <v xml:space="preserve"> </v>
      </c>
      <c r="N212" s="123" t="str">
        <f t="shared" si="56"/>
        <v xml:space="preserve"> </v>
      </c>
      <c r="O212" s="123" t="str">
        <f t="shared" si="56"/>
        <v xml:space="preserve"> </v>
      </c>
      <c r="P212" s="123" t="str">
        <f t="shared" si="56"/>
        <v xml:space="preserve"> </v>
      </c>
      <c r="Q212" s="123" t="str">
        <f t="shared" si="56"/>
        <v xml:space="preserve"> </v>
      </c>
      <c r="R212" s="123" t="str">
        <f t="shared" si="56"/>
        <v xml:space="preserve"> </v>
      </c>
      <c r="U212" s="3" t="str">
        <f t="shared" si="53"/>
        <v/>
      </c>
    </row>
    <row r="213" spans="1:21" ht="13.5" thickBot="1" x14ac:dyDescent="0.25">
      <c r="C213" s="74" t="s">
        <v>27</v>
      </c>
      <c r="D213" s="93" t="str">
        <f t="shared" ref="D213:R213" si="57">IF(COUNTIF(D196:D212,"C")&gt;4,"C",IF(COUNTIF(D196:D212,"C")&gt;0,"P"," "))</f>
        <v xml:space="preserve"> </v>
      </c>
      <c r="E213" s="93" t="str">
        <f t="shared" si="57"/>
        <v xml:space="preserve"> </v>
      </c>
      <c r="F213" s="93" t="str">
        <f t="shared" si="57"/>
        <v xml:space="preserve"> </v>
      </c>
      <c r="G213" s="93" t="str">
        <f t="shared" si="57"/>
        <v xml:space="preserve"> </v>
      </c>
      <c r="H213" s="93" t="str">
        <f t="shared" si="57"/>
        <v xml:space="preserve"> </v>
      </c>
      <c r="I213" s="93" t="str">
        <f t="shared" si="57"/>
        <v xml:space="preserve"> </v>
      </c>
      <c r="J213" s="93" t="str">
        <f t="shared" si="57"/>
        <v xml:space="preserve"> </v>
      </c>
      <c r="K213" s="93" t="str">
        <f t="shared" si="57"/>
        <v xml:space="preserve"> </v>
      </c>
      <c r="L213" s="93" t="str">
        <f t="shared" si="57"/>
        <v xml:space="preserve"> </v>
      </c>
      <c r="M213" s="93" t="str">
        <f t="shared" si="57"/>
        <v xml:space="preserve"> </v>
      </c>
      <c r="N213" s="93" t="str">
        <f t="shared" si="57"/>
        <v xml:space="preserve"> </v>
      </c>
      <c r="O213" s="93" t="str">
        <f t="shared" si="57"/>
        <v xml:space="preserve"> </v>
      </c>
      <c r="P213" s="93" t="str">
        <f t="shared" si="57"/>
        <v xml:space="preserve"> </v>
      </c>
      <c r="Q213" s="93" t="str">
        <f t="shared" si="57"/>
        <v xml:space="preserve"> </v>
      </c>
      <c r="R213" s="93" t="str">
        <f t="shared" si="57"/>
        <v xml:space="preserve"> </v>
      </c>
      <c r="U213" s="3" t="str">
        <f t="shared" si="53"/>
        <v/>
      </c>
    </row>
    <row r="214" spans="1:21" ht="18" x14ac:dyDescent="0.2">
      <c r="A214" s="424" t="s">
        <v>101</v>
      </c>
      <c r="B214" s="425"/>
      <c r="C214" s="425"/>
      <c r="D214" s="425"/>
      <c r="E214" s="425"/>
      <c r="F214" s="425"/>
      <c r="G214" s="425"/>
      <c r="H214" s="425"/>
      <c r="I214" s="425"/>
      <c r="J214" s="425"/>
      <c r="K214" s="425"/>
      <c r="L214" s="425"/>
      <c r="M214" s="425"/>
      <c r="N214" s="425"/>
      <c r="O214" s="425"/>
      <c r="P214" s="425"/>
      <c r="Q214" s="425"/>
      <c r="R214" s="425"/>
      <c r="U214" s="3" t="str">
        <f t="shared" si="53"/>
        <v/>
      </c>
    </row>
    <row r="215" spans="1:21" ht="15" x14ac:dyDescent="0.25">
      <c r="B215" s="121" t="s">
        <v>160</v>
      </c>
      <c r="U215" s="3" t="str">
        <f t="shared" si="53"/>
        <v/>
      </c>
    </row>
    <row r="216" spans="1:21" x14ac:dyDescent="0.2">
      <c r="B216" s="3">
        <v>1</v>
      </c>
      <c r="C216" s="275" t="s">
        <v>278</v>
      </c>
      <c r="U216" s="3" t="str">
        <f t="shared" si="53"/>
        <v/>
      </c>
    </row>
    <row r="217" spans="1:21" x14ac:dyDescent="0.2">
      <c r="B217" s="122"/>
      <c r="C217" s="190" t="s">
        <v>310</v>
      </c>
      <c r="D217" s="135"/>
      <c r="E217" s="9"/>
      <c r="F217" s="9"/>
      <c r="G217" s="9"/>
      <c r="H217" s="9"/>
      <c r="I217" s="9"/>
      <c r="J217" s="9"/>
      <c r="K217" s="9"/>
      <c r="L217" s="9"/>
      <c r="M217" s="9"/>
      <c r="N217" s="9"/>
      <c r="O217" s="9"/>
      <c r="P217" s="9"/>
      <c r="Q217" s="9"/>
      <c r="R217" s="9"/>
      <c r="U217" s="3" t="str">
        <f t="shared" si="53"/>
        <v>Invest some R&amp;D time into figuring out the effectiveness of your sale.  First, set up a system for tracking results, based on what you want to measure. For example, if you sell at different locations, you may want to compare which location garnered the most sales. If you're focusing on new ways to market to your customer base, such as e-mails or flyers, you may want to measure, keep good records so you can analyze the results at the end of the sale and use the information to plan for future sales.</v>
      </c>
    </row>
    <row r="218" spans="1:21" x14ac:dyDescent="0.2">
      <c r="B218" s="3">
        <v>2</v>
      </c>
      <c r="C218" s="269" t="s">
        <v>279</v>
      </c>
      <c r="D218" s="123"/>
      <c r="E218" s="123"/>
      <c r="F218" s="123"/>
      <c r="G218" s="123"/>
      <c r="H218" s="123"/>
      <c r="I218" s="123"/>
      <c r="J218" s="123"/>
      <c r="K218" s="123"/>
      <c r="L218" s="123"/>
      <c r="M218" s="123"/>
      <c r="N218" s="123"/>
      <c r="O218" s="123"/>
      <c r="P218" s="123"/>
      <c r="Q218" s="123"/>
      <c r="R218" s="123"/>
      <c r="U218" s="3" t="str">
        <f t="shared" si="53"/>
        <v/>
      </c>
    </row>
    <row r="219" spans="1:21" x14ac:dyDescent="0.2">
      <c r="B219" s="124"/>
      <c r="C219" s="190" t="s">
        <v>311</v>
      </c>
      <c r="D219" s="135"/>
      <c r="E219" s="9"/>
      <c r="F219" s="9"/>
      <c r="G219" s="9"/>
      <c r="H219" s="9"/>
      <c r="I219" s="9"/>
      <c r="J219" s="9"/>
      <c r="K219" s="9"/>
      <c r="L219" s="9"/>
      <c r="M219" s="9"/>
      <c r="N219" s="9"/>
      <c r="O219" s="9"/>
      <c r="P219" s="9"/>
      <c r="Q219" s="9"/>
      <c r="R219" s="9"/>
      <c r="U219" s="3" t="str">
        <f t="shared" si="53"/>
        <v xml:space="preserve">Find at least three other companies that have developed new ways to tell customers about their products. For example, you might find a company that is using social media to build word-of-mouth buzz or a jewelry artist who created a website to show examples of her custom-made rings and necklaces. Brainstrom how you could use these innovations - or a variation of them - to market your cookie business. </v>
      </c>
    </row>
    <row r="220" spans="1:21" x14ac:dyDescent="0.2">
      <c r="B220" s="3">
        <v>3</v>
      </c>
      <c r="C220" s="269" t="s">
        <v>280</v>
      </c>
      <c r="D220" s="123"/>
      <c r="E220" s="123"/>
      <c r="F220" s="123"/>
      <c r="G220" s="123"/>
      <c r="H220" s="123"/>
      <c r="I220" s="123"/>
      <c r="J220" s="123"/>
      <c r="K220" s="123"/>
      <c r="L220" s="123"/>
      <c r="M220" s="123"/>
      <c r="N220" s="123"/>
      <c r="O220" s="123"/>
      <c r="P220" s="123"/>
      <c r="Q220" s="123"/>
      <c r="R220" s="123"/>
      <c r="U220" s="3" t="str">
        <f t="shared" si="53"/>
        <v/>
      </c>
    </row>
    <row r="221" spans="1:21" x14ac:dyDescent="0.2">
      <c r="B221" s="124"/>
      <c r="C221" s="190" t="s">
        <v>312</v>
      </c>
      <c r="D221" s="135"/>
      <c r="E221" s="9"/>
      <c r="F221" s="9"/>
      <c r="G221" s="9"/>
      <c r="H221" s="9"/>
      <c r="I221" s="9"/>
      <c r="J221" s="9"/>
      <c r="K221" s="9"/>
      <c r="L221" s="9"/>
      <c r="M221" s="9"/>
      <c r="N221" s="9"/>
      <c r="O221" s="9"/>
      <c r="P221" s="9"/>
      <c r="Q221" s="9"/>
      <c r="R221" s="9"/>
      <c r="U221" s="3" t="str">
        <f t="shared" si="53"/>
        <v>Developing a new product is a complex process that can take serveral years. Choose one company that makes a product you like, and then find out more about how the company researches and develops new products (or changes an existing product).</v>
      </c>
    </row>
    <row r="222" spans="1:21" x14ac:dyDescent="0.2">
      <c r="B222" s="3">
        <v>4</v>
      </c>
      <c r="C222" s="269" t="s">
        <v>281</v>
      </c>
      <c r="D222" s="123"/>
      <c r="E222" s="123"/>
      <c r="F222" s="123"/>
      <c r="G222" s="123"/>
      <c r="H222" s="123"/>
      <c r="I222" s="123"/>
      <c r="J222" s="123"/>
      <c r="K222" s="123"/>
      <c r="L222" s="123"/>
      <c r="M222" s="123"/>
      <c r="N222" s="123"/>
      <c r="O222" s="123"/>
      <c r="P222" s="123"/>
      <c r="Q222" s="123"/>
      <c r="R222" s="123"/>
      <c r="U222" s="3" t="str">
        <f t="shared" si="53"/>
        <v/>
      </c>
    </row>
    <row r="223" spans="1:21" x14ac:dyDescent="0.2">
      <c r="B223" s="124"/>
      <c r="C223" s="190" t="s">
        <v>313</v>
      </c>
      <c r="D223" s="135"/>
      <c r="E223" s="9"/>
      <c r="F223" s="9"/>
      <c r="G223" s="9"/>
      <c r="H223" s="9"/>
      <c r="I223" s="9"/>
      <c r="J223" s="9"/>
      <c r="K223" s="9"/>
      <c r="L223" s="9"/>
      <c r="M223" s="9"/>
      <c r="N223" s="9"/>
      <c r="O223" s="9"/>
      <c r="P223" s="9"/>
      <c r="Q223" s="9"/>
      <c r="R223" s="9"/>
      <c r="U223" s="3" t="str">
        <f t="shared" si="53"/>
        <v>If you're considering serveral different Gold Award or Take Action projects, use your customers as a sounding board.  Find out which projects they think full the biggist need in the community. If you've already devided on your project, ask your customers for advice on making it have the most impact. This is a great opportunity to network, too - one of your customers may be able to connect you to someone who will offer help or guiddance on your project!</v>
      </c>
    </row>
    <row r="224" spans="1:21" x14ac:dyDescent="0.2">
      <c r="B224" s="3">
        <v>5</v>
      </c>
      <c r="C224" s="275" t="s">
        <v>282</v>
      </c>
      <c r="D224" s="123"/>
      <c r="E224" s="123"/>
      <c r="F224" s="123"/>
      <c r="G224" s="123"/>
      <c r="H224" s="123"/>
      <c r="I224" s="123"/>
      <c r="J224" s="123"/>
      <c r="K224" s="123"/>
      <c r="L224" s="123"/>
      <c r="M224" s="123"/>
      <c r="N224" s="123"/>
      <c r="O224" s="123"/>
      <c r="P224" s="123"/>
      <c r="Q224" s="123"/>
      <c r="R224" s="123"/>
      <c r="U224" s="3" t="str">
        <f t="shared" si="53"/>
        <v/>
      </c>
    </row>
    <row r="225" spans="2:21" x14ac:dyDescent="0.2">
      <c r="B225" s="124"/>
      <c r="C225" s="190" t="s">
        <v>314</v>
      </c>
      <c r="D225" s="135"/>
      <c r="E225" s="9"/>
      <c r="F225" s="9"/>
      <c r="G225" s="9"/>
      <c r="H225" s="9"/>
      <c r="I225" s="9"/>
      <c r="J225" s="9"/>
      <c r="K225" s="9"/>
      <c r="L225" s="9"/>
      <c r="M225" s="9"/>
      <c r="N225" s="9"/>
      <c r="O225" s="9"/>
      <c r="P225" s="9"/>
      <c r="Q225" s="9"/>
      <c r="R225" s="9"/>
      <c r="U225" s="3" t="str">
        <f t="shared" si="53"/>
        <v>R&amp;D can be more than coming up with new products - it can also mean finding new ways to use existing products that engage consumers' interest.  You could create a new dessert using Girl Scout Cookies, then ask a local restaurant to feature it on the menu during the cookie sale. You could also make recipe cards to hand out to customers, post the recipe online, or serve the dessert at a "customer appreciation" event.</v>
      </c>
    </row>
    <row r="226" spans="2:21" ht="1.5" customHeight="1" thickBot="1" x14ac:dyDescent="0.25">
      <c r="D226" s="123"/>
      <c r="E226" s="123"/>
      <c r="F226" s="123"/>
      <c r="G226" s="123"/>
      <c r="H226" s="123"/>
      <c r="I226" s="123"/>
      <c r="J226" s="123"/>
      <c r="K226" s="123"/>
      <c r="L226" s="123"/>
      <c r="M226" s="123"/>
      <c r="N226" s="123"/>
      <c r="O226" s="123"/>
      <c r="P226" s="123"/>
      <c r="Q226" s="123"/>
      <c r="R226" s="123"/>
      <c r="U226" s="3" t="str">
        <f t="shared" si="53"/>
        <v/>
      </c>
    </row>
    <row r="227" spans="2:21" ht="13.5" thickBot="1" x14ac:dyDescent="0.25">
      <c r="C227" s="74" t="s">
        <v>27</v>
      </c>
      <c r="D227" s="93" t="str">
        <f>IF(COUNTIF(D217:D226,"A")&gt;4,"C",IF(COUNTIF(D217:D226,"A")&gt;0,"P"," "))</f>
        <v xml:space="preserve"> </v>
      </c>
      <c r="E227" s="93" t="str">
        <f t="shared" ref="E227:R227" si="58">IF(COUNTIF(E217:E226,"A")&gt;4,"C",IF(COUNTIF(E217:E226,"A")&gt;0,"P"," "))</f>
        <v xml:space="preserve"> </v>
      </c>
      <c r="F227" s="93" t="str">
        <f t="shared" si="58"/>
        <v xml:space="preserve"> </v>
      </c>
      <c r="G227" s="93" t="str">
        <f t="shared" si="58"/>
        <v xml:space="preserve"> </v>
      </c>
      <c r="H227" s="93" t="str">
        <f t="shared" si="58"/>
        <v xml:space="preserve"> </v>
      </c>
      <c r="I227" s="93" t="str">
        <f t="shared" si="58"/>
        <v xml:space="preserve"> </v>
      </c>
      <c r="J227" s="93" t="str">
        <f t="shared" si="58"/>
        <v xml:space="preserve"> </v>
      </c>
      <c r="K227" s="93" t="str">
        <f t="shared" si="58"/>
        <v xml:space="preserve"> </v>
      </c>
      <c r="L227" s="93" t="str">
        <f t="shared" si="58"/>
        <v xml:space="preserve"> </v>
      </c>
      <c r="M227" s="93" t="str">
        <f t="shared" si="58"/>
        <v xml:space="preserve"> </v>
      </c>
      <c r="N227" s="93" t="str">
        <f t="shared" si="58"/>
        <v xml:space="preserve"> </v>
      </c>
      <c r="O227" s="93" t="str">
        <f t="shared" si="58"/>
        <v xml:space="preserve"> </v>
      </c>
      <c r="P227" s="93" t="str">
        <f t="shared" si="58"/>
        <v xml:space="preserve"> </v>
      </c>
      <c r="Q227" s="93" t="str">
        <f t="shared" si="58"/>
        <v xml:space="preserve"> </v>
      </c>
      <c r="R227" s="93" t="str">
        <f t="shared" si="58"/>
        <v xml:space="preserve"> </v>
      </c>
      <c r="U227" s="3" t="str">
        <f t="shared" si="53"/>
        <v/>
      </c>
    </row>
    <row r="228" spans="2:21" ht="15" x14ac:dyDescent="0.25">
      <c r="B228" s="121" t="s">
        <v>161</v>
      </c>
      <c r="D228" s="192"/>
      <c r="E228" s="192"/>
      <c r="F228" s="192"/>
      <c r="G228" s="192"/>
      <c r="H228" s="192"/>
      <c r="I228" s="192"/>
      <c r="J228" s="192"/>
      <c r="K228" s="192"/>
      <c r="L228" s="192"/>
      <c r="M228" s="192"/>
      <c r="N228" s="192"/>
      <c r="O228" s="192"/>
      <c r="P228" s="192"/>
      <c r="Q228" s="192"/>
      <c r="R228" s="192"/>
      <c r="U228" s="3" t="str">
        <f t="shared" si="53"/>
        <v/>
      </c>
    </row>
    <row r="229" spans="2:21" x14ac:dyDescent="0.2">
      <c r="B229" s="3">
        <v>1</v>
      </c>
      <c r="C229" s="281" t="s">
        <v>283</v>
      </c>
      <c r="D229" s="192"/>
      <c r="E229" s="192"/>
      <c r="F229" s="192"/>
      <c r="G229" s="192"/>
      <c r="H229" s="192"/>
      <c r="I229" s="192"/>
      <c r="J229" s="192"/>
      <c r="K229" s="192"/>
      <c r="L229" s="192"/>
      <c r="M229" s="192"/>
      <c r="N229" s="192"/>
      <c r="O229" s="192"/>
      <c r="P229" s="192"/>
      <c r="Q229" s="192"/>
      <c r="R229" s="192"/>
      <c r="U229" s="3" t="str">
        <f t="shared" si="53"/>
        <v/>
      </c>
    </row>
    <row r="230" spans="2:21" x14ac:dyDescent="0.2">
      <c r="B230" s="122"/>
      <c r="C230" s="190" t="s">
        <v>304</v>
      </c>
      <c r="D230" s="135"/>
      <c r="E230" s="9"/>
      <c r="F230" s="9"/>
      <c r="G230" s="9"/>
      <c r="H230" s="9"/>
      <c r="I230" s="9"/>
      <c r="J230" s="9"/>
      <c r="K230" s="9"/>
      <c r="L230" s="9"/>
      <c r="M230" s="9"/>
      <c r="N230" s="9"/>
      <c r="O230" s="9"/>
      <c r="P230" s="9"/>
      <c r="Q230" s="9"/>
      <c r="R230" s="9"/>
      <c r="U230" s="3" t="str">
        <f t="shared" si="53"/>
        <v xml:space="preserve">Business ethics refers to how a businessperson or a company behaves, which can cover evertyhing from how they treat employees to how they treat the environment. It's an area that is constantly evolving, especially since the line between what is legal and what is ethical is often blurry. Find at least three examples ect of business ethics or becuase they're under fire for practices that the public considers unethical. Discuss what you've learned-and any thoughts you have about how your own cookie business- with family or friends. </v>
      </c>
    </row>
    <row r="231" spans="2:21" x14ac:dyDescent="0.2">
      <c r="B231" s="3">
        <v>2</v>
      </c>
      <c r="C231" s="367" t="s">
        <v>284</v>
      </c>
      <c r="D231" s="123" t="str">
        <f t="shared" ref="D231:R231" si="59">IF(COUNTIF(D230:D230,"A")&gt;=1,"C",IF(COUNTIF(D230:D230,"A")&gt;0,"P"," "))</f>
        <v xml:space="preserve"> </v>
      </c>
      <c r="E231" s="123" t="str">
        <f t="shared" si="59"/>
        <v xml:space="preserve"> </v>
      </c>
      <c r="F231" s="123" t="str">
        <f t="shared" si="59"/>
        <v xml:space="preserve"> </v>
      </c>
      <c r="G231" s="123" t="str">
        <f t="shared" si="59"/>
        <v xml:space="preserve"> </v>
      </c>
      <c r="H231" s="123" t="str">
        <f t="shared" si="59"/>
        <v xml:space="preserve"> </v>
      </c>
      <c r="I231" s="123" t="str">
        <f t="shared" si="59"/>
        <v xml:space="preserve"> </v>
      </c>
      <c r="J231" s="123" t="str">
        <f t="shared" si="59"/>
        <v xml:space="preserve"> </v>
      </c>
      <c r="K231" s="123" t="str">
        <f t="shared" si="59"/>
        <v xml:space="preserve"> </v>
      </c>
      <c r="L231" s="123" t="str">
        <f t="shared" si="59"/>
        <v xml:space="preserve"> </v>
      </c>
      <c r="M231" s="123" t="str">
        <f t="shared" si="59"/>
        <v xml:space="preserve"> </v>
      </c>
      <c r="N231" s="123" t="str">
        <f t="shared" si="59"/>
        <v xml:space="preserve"> </v>
      </c>
      <c r="O231" s="123" t="str">
        <f t="shared" si="59"/>
        <v xml:space="preserve"> </v>
      </c>
      <c r="P231" s="123" t="str">
        <f t="shared" si="59"/>
        <v xml:space="preserve"> </v>
      </c>
      <c r="Q231" s="123" t="str">
        <f t="shared" si="59"/>
        <v xml:space="preserve"> </v>
      </c>
      <c r="R231" s="123" t="str">
        <f t="shared" si="59"/>
        <v xml:space="preserve"> </v>
      </c>
      <c r="U231" s="3" t="str">
        <f t="shared" si="53"/>
        <v/>
      </c>
    </row>
    <row r="232" spans="2:21" x14ac:dyDescent="0.2">
      <c r="B232" s="124"/>
      <c r="C232" s="190" t="s">
        <v>305</v>
      </c>
      <c r="D232" s="135"/>
      <c r="E232" s="9"/>
      <c r="F232" s="9"/>
      <c r="G232" s="9"/>
      <c r="H232" s="9"/>
      <c r="I232" s="9"/>
      <c r="J232" s="9"/>
      <c r="K232" s="9"/>
      <c r="L232" s="9"/>
      <c r="M232" s="9"/>
      <c r="N232" s="9"/>
      <c r="O232" s="9"/>
      <c r="P232" s="9"/>
      <c r="Q232" s="9"/>
      <c r="R232" s="9"/>
      <c r="U232" s="3" t="str">
        <f t="shared" si="53"/>
        <v>Most companies offer a business pledge or promise to their customers that states how they will treat people and ensure that they're offering a quality product. Write your own promise to your customers by applying lines of the Promise and Law to your cookie sale. Find a way to remind yourself of your promise - perhaps you could write it on a wallet card, make it into a screen saver on your computer, or post it in a place where you'll see it every day.  You may also want to create a "My Promise to You" handout that you can give to customers.</v>
      </c>
    </row>
    <row r="233" spans="2:21" x14ac:dyDescent="0.2">
      <c r="B233" s="3">
        <v>3</v>
      </c>
      <c r="C233" s="269" t="s">
        <v>306</v>
      </c>
      <c r="D233" s="123" t="str">
        <f t="shared" ref="D233:R233" si="60">IF(COUNTIF(D232:D232,"A")&gt;=1,"C",IF(COUNTIF(D232:D232,"A")&gt;0,"P"," "))</f>
        <v xml:space="preserve"> </v>
      </c>
      <c r="E233" s="123" t="str">
        <f t="shared" si="60"/>
        <v xml:space="preserve"> </v>
      </c>
      <c r="F233" s="123" t="str">
        <f t="shared" si="60"/>
        <v xml:space="preserve"> </v>
      </c>
      <c r="G233" s="123" t="str">
        <f t="shared" si="60"/>
        <v xml:space="preserve"> </v>
      </c>
      <c r="H233" s="123" t="str">
        <f t="shared" si="60"/>
        <v xml:space="preserve"> </v>
      </c>
      <c r="I233" s="123" t="str">
        <f t="shared" si="60"/>
        <v xml:space="preserve"> </v>
      </c>
      <c r="J233" s="123" t="str">
        <f t="shared" si="60"/>
        <v xml:space="preserve"> </v>
      </c>
      <c r="K233" s="123" t="str">
        <f t="shared" si="60"/>
        <v xml:space="preserve"> </v>
      </c>
      <c r="L233" s="123" t="str">
        <f t="shared" si="60"/>
        <v xml:space="preserve"> </v>
      </c>
      <c r="M233" s="123" t="str">
        <f t="shared" si="60"/>
        <v xml:space="preserve"> </v>
      </c>
      <c r="N233" s="123" t="str">
        <f t="shared" si="60"/>
        <v xml:space="preserve"> </v>
      </c>
      <c r="O233" s="123" t="str">
        <f t="shared" si="60"/>
        <v xml:space="preserve"> </v>
      </c>
      <c r="P233" s="123" t="str">
        <f t="shared" si="60"/>
        <v xml:space="preserve"> </v>
      </c>
      <c r="Q233" s="123" t="str">
        <f t="shared" si="60"/>
        <v xml:space="preserve"> </v>
      </c>
      <c r="R233" s="123" t="str">
        <f t="shared" si="60"/>
        <v xml:space="preserve"> </v>
      </c>
      <c r="U233" s="3" t="str">
        <f t="shared" si="53"/>
        <v/>
      </c>
    </row>
    <row r="234" spans="2:21" x14ac:dyDescent="0.2">
      <c r="B234" s="124"/>
      <c r="C234" s="190" t="s">
        <v>307</v>
      </c>
      <c r="D234" s="135"/>
      <c r="E234" s="9"/>
      <c r="F234" s="9"/>
      <c r="G234" s="9"/>
      <c r="H234" s="9"/>
      <c r="I234" s="9"/>
      <c r="J234" s="9"/>
      <c r="K234" s="9"/>
      <c r="L234" s="9"/>
      <c r="M234" s="9"/>
      <c r="N234" s="9"/>
      <c r="O234" s="9"/>
      <c r="P234" s="9"/>
      <c r="Q234" s="9"/>
      <c r="R234" s="9"/>
      <c r="U234" s="3" t="str">
        <f t="shared" si="53"/>
        <v>If you've been selling Girl Scout Cookies for years, you've built up a solid customer base.  What will happen when you're no longer sellking cookies? Develop a transition plan so your customers will still be taken care of. You may want to invite a few younger Girl Scouts to help you on your cookie sale, so you can introduce them to your customers. Or you may want to pass your cookie order cards ton to a younger Girl Scout group or a volunteer. (Be sure you as your customers if they want their names passed on - that's good business practice!)</v>
      </c>
    </row>
    <row r="235" spans="2:21" x14ac:dyDescent="0.2">
      <c r="B235" s="3">
        <v>4</v>
      </c>
      <c r="C235" s="269" t="s">
        <v>285</v>
      </c>
      <c r="D235" s="123" t="str">
        <f t="shared" ref="D235:R235" si="61">IF(COUNTIF(D234:D234,"A")&gt;=1,"C",IF(COUNTIF(D234:D234,"A")&gt;0,"P"," "))</f>
        <v xml:space="preserve"> </v>
      </c>
      <c r="E235" s="123" t="str">
        <f t="shared" si="61"/>
        <v xml:space="preserve"> </v>
      </c>
      <c r="F235" s="123" t="str">
        <f t="shared" si="61"/>
        <v xml:space="preserve"> </v>
      </c>
      <c r="G235" s="123" t="str">
        <f t="shared" si="61"/>
        <v xml:space="preserve"> </v>
      </c>
      <c r="H235" s="123" t="str">
        <f t="shared" si="61"/>
        <v xml:space="preserve"> </v>
      </c>
      <c r="I235" s="123" t="str">
        <f t="shared" si="61"/>
        <v xml:space="preserve"> </v>
      </c>
      <c r="J235" s="123" t="str">
        <f t="shared" si="61"/>
        <v xml:space="preserve"> </v>
      </c>
      <c r="K235" s="123" t="str">
        <f t="shared" si="61"/>
        <v xml:space="preserve"> </v>
      </c>
      <c r="L235" s="123" t="str">
        <f t="shared" si="61"/>
        <v xml:space="preserve"> </v>
      </c>
      <c r="M235" s="123" t="str">
        <f t="shared" si="61"/>
        <v xml:space="preserve"> </v>
      </c>
      <c r="N235" s="123" t="str">
        <f t="shared" si="61"/>
        <v xml:space="preserve"> </v>
      </c>
      <c r="O235" s="123" t="str">
        <f t="shared" si="61"/>
        <v xml:space="preserve"> </v>
      </c>
      <c r="P235" s="123" t="str">
        <f t="shared" si="61"/>
        <v xml:space="preserve"> </v>
      </c>
      <c r="Q235" s="123" t="str">
        <f t="shared" si="61"/>
        <v xml:space="preserve"> </v>
      </c>
      <c r="R235" s="123" t="str">
        <f t="shared" si="61"/>
        <v xml:space="preserve"> </v>
      </c>
      <c r="U235" s="3" t="str">
        <f t="shared" si="53"/>
        <v/>
      </c>
    </row>
    <row r="236" spans="2:21" x14ac:dyDescent="0.2">
      <c r="B236" s="124"/>
      <c r="C236" s="190" t="s">
        <v>308</v>
      </c>
      <c r="D236" s="135"/>
      <c r="E236" s="9"/>
      <c r="F236" s="9"/>
      <c r="G236" s="9"/>
      <c r="H236" s="9"/>
      <c r="I236" s="9"/>
      <c r="J236" s="9"/>
      <c r="K236" s="9"/>
      <c r="L236" s="9"/>
      <c r="M236" s="9"/>
      <c r="N236" s="9"/>
      <c r="O236" s="9"/>
      <c r="P236" s="9"/>
      <c r="Q236" s="9"/>
      <c r="R236" s="9"/>
      <c r="U236" s="3" t="str">
        <f t="shared" si="53"/>
        <v>Based on grade level, find a fun way to help girls think through the rules and ethics (or "what's fair") of their cookie business. For example, you may want to invent a fun game for Daisies, Brownies, or Juniors, do role-play exercises with Cadettes, or facilitate a group discussion with Seniors.</v>
      </c>
    </row>
    <row r="237" spans="2:21" x14ac:dyDescent="0.2">
      <c r="B237" s="3">
        <v>5</v>
      </c>
      <c r="C237" s="282" t="s">
        <v>286</v>
      </c>
      <c r="D237" s="123" t="str">
        <f t="shared" ref="D237:R237" si="62">IF(COUNTIF(D236:D236,"A")&gt;=1,"C",IF(COUNTIF(D236:D236,"A")&gt;0,"P"," "))</f>
        <v xml:space="preserve"> </v>
      </c>
      <c r="E237" s="123" t="str">
        <f t="shared" si="62"/>
        <v xml:space="preserve"> </v>
      </c>
      <c r="F237" s="123" t="str">
        <f t="shared" si="62"/>
        <v xml:space="preserve"> </v>
      </c>
      <c r="G237" s="123" t="str">
        <f t="shared" si="62"/>
        <v xml:space="preserve"> </v>
      </c>
      <c r="H237" s="123" t="str">
        <f t="shared" si="62"/>
        <v xml:space="preserve"> </v>
      </c>
      <c r="I237" s="123" t="str">
        <f t="shared" si="62"/>
        <v xml:space="preserve"> </v>
      </c>
      <c r="J237" s="123" t="str">
        <f t="shared" si="62"/>
        <v xml:space="preserve"> </v>
      </c>
      <c r="K237" s="123" t="str">
        <f t="shared" si="62"/>
        <v xml:space="preserve"> </v>
      </c>
      <c r="L237" s="123" t="str">
        <f t="shared" si="62"/>
        <v xml:space="preserve"> </v>
      </c>
      <c r="M237" s="123" t="str">
        <f t="shared" si="62"/>
        <v xml:space="preserve"> </v>
      </c>
      <c r="N237" s="123" t="str">
        <f t="shared" si="62"/>
        <v xml:space="preserve"> </v>
      </c>
      <c r="O237" s="123" t="str">
        <f t="shared" si="62"/>
        <v xml:space="preserve"> </v>
      </c>
      <c r="P237" s="123" t="str">
        <f t="shared" si="62"/>
        <v xml:space="preserve"> </v>
      </c>
      <c r="Q237" s="123" t="str">
        <f t="shared" si="62"/>
        <v xml:space="preserve"> </v>
      </c>
      <c r="R237" s="123" t="str">
        <f t="shared" si="62"/>
        <v xml:space="preserve"> </v>
      </c>
      <c r="U237" s="3" t="str">
        <f t="shared" si="53"/>
        <v/>
      </c>
    </row>
    <row r="238" spans="2:21" x14ac:dyDescent="0.2">
      <c r="B238" s="124"/>
      <c r="C238" s="190" t="s">
        <v>309</v>
      </c>
      <c r="D238" s="135"/>
      <c r="E238" s="9"/>
      <c r="F238" s="9"/>
      <c r="G238" s="9"/>
      <c r="H238" s="9"/>
      <c r="I238" s="9"/>
      <c r="J238" s="9"/>
      <c r="K238" s="9"/>
      <c r="L238" s="9"/>
      <c r="M238" s="9"/>
      <c r="N238" s="9"/>
      <c r="O238" s="9"/>
      <c r="P238" s="9"/>
      <c r="Q238" s="9"/>
      <c r="R238" s="9"/>
      <c r="U238" s="3" t="str">
        <f t="shared" si="53"/>
        <v>How will you be remembered in your Girl Scout community?  Use part of your cookie money to leave a personal legacy. You may want to make a gift to a Girl Scout campership or endowment fund, donate money to sustain one of your favorite spots at camp, or plant a tree or install a piece of art in a special place.</v>
      </c>
    </row>
    <row r="239" spans="2:21" ht="1.5" customHeight="1" thickBot="1" x14ac:dyDescent="0.25">
      <c r="D239" s="123" t="str">
        <f t="shared" ref="D239:R239" si="63">IF(COUNTIF(D238:D238,"A")&gt;=1,"C",IF(COUNTIF(D238:D238,"A")&gt;0,"P"," "))</f>
        <v xml:space="preserve"> </v>
      </c>
      <c r="E239" s="123" t="str">
        <f t="shared" si="63"/>
        <v xml:space="preserve"> </v>
      </c>
      <c r="F239" s="123" t="str">
        <f t="shared" si="63"/>
        <v xml:space="preserve"> </v>
      </c>
      <c r="G239" s="123" t="str">
        <f t="shared" si="63"/>
        <v xml:space="preserve"> </v>
      </c>
      <c r="H239" s="123" t="str">
        <f t="shared" si="63"/>
        <v xml:space="preserve"> </v>
      </c>
      <c r="I239" s="123" t="str">
        <f t="shared" si="63"/>
        <v xml:space="preserve"> </v>
      </c>
      <c r="J239" s="123" t="str">
        <f t="shared" si="63"/>
        <v xml:space="preserve"> </v>
      </c>
      <c r="K239" s="123" t="str">
        <f t="shared" si="63"/>
        <v xml:space="preserve"> </v>
      </c>
      <c r="L239" s="123" t="str">
        <f t="shared" si="63"/>
        <v xml:space="preserve"> </v>
      </c>
      <c r="M239" s="123" t="str">
        <f t="shared" si="63"/>
        <v xml:space="preserve"> </v>
      </c>
      <c r="N239" s="123" t="str">
        <f t="shared" si="63"/>
        <v xml:space="preserve"> </v>
      </c>
      <c r="O239" s="123" t="str">
        <f t="shared" si="63"/>
        <v xml:space="preserve"> </v>
      </c>
      <c r="P239" s="123" t="str">
        <f t="shared" si="63"/>
        <v xml:space="preserve"> </v>
      </c>
      <c r="Q239" s="123" t="str">
        <f t="shared" si="63"/>
        <v xml:space="preserve"> </v>
      </c>
      <c r="R239" s="123" t="str">
        <f t="shared" si="63"/>
        <v xml:space="preserve"> </v>
      </c>
      <c r="U239" s="3" t="str">
        <f t="shared" si="53"/>
        <v/>
      </c>
    </row>
    <row r="240" spans="2:21" ht="13.5" thickBot="1" x14ac:dyDescent="0.25">
      <c r="C240" s="74" t="s">
        <v>27</v>
      </c>
      <c r="D240" s="93" t="str">
        <f>IF(COUNTIF(D230:D239,"A")&gt;4,"C",IF(COUNTIF(D230:D239,"A")&gt;0,"P"," "))</f>
        <v xml:space="preserve"> </v>
      </c>
      <c r="E240" s="93" t="str">
        <f t="shared" ref="E240:R240" si="64">IF(COUNTIF(E231:E239,"C")&gt;4,"C",IF(COUNTIF(E231:E239,"C")&gt;0,"P"," "))</f>
        <v xml:space="preserve"> </v>
      </c>
      <c r="F240" s="93" t="str">
        <f t="shared" si="64"/>
        <v xml:space="preserve"> </v>
      </c>
      <c r="G240" s="93" t="str">
        <f t="shared" si="64"/>
        <v xml:space="preserve"> </v>
      </c>
      <c r="H240" s="93" t="str">
        <f t="shared" si="64"/>
        <v xml:space="preserve"> </v>
      </c>
      <c r="I240" s="93" t="str">
        <f t="shared" si="64"/>
        <v xml:space="preserve"> </v>
      </c>
      <c r="J240" s="93" t="str">
        <f t="shared" si="64"/>
        <v xml:space="preserve"> </v>
      </c>
      <c r="K240" s="93" t="str">
        <f t="shared" si="64"/>
        <v xml:space="preserve"> </v>
      </c>
      <c r="L240" s="93" t="str">
        <f t="shared" si="64"/>
        <v xml:space="preserve"> </v>
      </c>
      <c r="M240" s="93" t="str">
        <f t="shared" si="64"/>
        <v xml:space="preserve"> </v>
      </c>
      <c r="N240" s="93" t="str">
        <f t="shared" si="64"/>
        <v xml:space="preserve"> </v>
      </c>
      <c r="O240" s="93" t="str">
        <f t="shared" si="64"/>
        <v xml:space="preserve"> </v>
      </c>
      <c r="P240" s="93" t="str">
        <f t="shared" si="64"/>
        <v xml:space="preserve"> </v>
      </c>
      <c r="Q240" s="93" t="str">
        <f t="shared" si="64"/>
        <v xml:space="preserve"> </v>
      </c>
      <c r="R240" s="93" t="str">
        <f t="shared" si="64"/>
        <v xml:space="preserve"> </v>
      </c>
      <c r="U240" s="3" t="str">
        <f t="shared" si="53"/>
        <v/>
      </c>
    </row>
    <row r="241" spans="2:2" ht="15" x14ac:dyDescent="0.25">
      <c r="B241" s="121"/>
    </row>
  </sheetData>
  <sheetProtection selectLockedCells="1"/>
  <mergeCells count="19">
    <mergeCell ref="H1:H4"/>
    <mergeCell ref="D1:D4"/>
    <mergeCell ref="E1:E4"/>
    <mergeCell ref="A167:R167"/>
    <mergeCell ref="A214:R214"/>
    <mergeCell ref="O1:O4"/>
    <mergeCell ref="P1:P4"/>
    <mergeCell ref="Q1:Q4"/>
    <mergeCell ref="R1:R4"/>
    <mergeCell ref="A3:C3"/>
    <mergeCell ref="A5:R5"/>
    <mergeCell ref="I1:I4"/>
    <mergeCell ref="J1:J4"/>
    <mergeCell ref="N1:N4"/>
    <mergeCell ref="K1:K4"/>
    <mergeCell ref="L1:L4"/>
    <mergeCell ref="M1:M4"/>
    <mergeCell ref="F1:F4"/>
    <mergeCell ref="G1:G4"/>
  </mergeCells>
  <pageMargins left="0.75" right="0.75" top="1" bottom="0.5" header="0.5" footer="0.25"/>
  <pageSetup scale="74" orientation="portrait" horizontalDpi="300" verticalDpi="300" r:id="rId1"/>
  <headerFooter>
    <oddHeader>&amp;C&amp;"Arial,Bold"&amp;14AmbassadorTrax&amp;12
Badges - &amp;D</oddHeader>
    <oddFooter>&amp;CPage &amp;P</oddFooter>
  </headerFooter>
  <rowBreaks count="3" manualBreakCount="3">
    <brk id="74" max="16383" man="1"/>
    <brk id="143" max="16383" man="1"/>
    <brk id="213"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48"/>
    <pageSetUpPr fitToPage="1"/>
  </sheetPr>
  <dimension ref="A1:U94"/>
  <sheetViews>
    <sheetView showGridLines="0" zoomScaleNormal="100" workbookViewId="0">
      <selection activeCell="U16" sqref="U16"/>
    </sheetView>
  </sheetViews>
  <sheetFormatPr defaultRowHeight="12.75" x14ac:dyDescent="0.2"/>
  <cols>
    <col min="1" max="1" width="16.5703125" style="334" customWidth="1"/>
    <col min="2" max="2" width="3.42578125" style="6" customWidth="1"/>
    <col min="3" max="3" width="30.28515625" style="6" customWidth="1"/>
    <col min="4" max="18" width="3.28515625" style="335" customWidth="1"/>
    <col min="19" max="16384" width="9.140625" style="6"/>
  </cols>
  <sheetData>
    <row r="1" spans="1:21" ht="15.75" customHeight="1" x14ac:dyDescent="0.2">
      <c r="A1" s="311"/>
      <c r="B1" s="312" t="s">
        <v>97</v>
      </c>
      <c r="C1" s="313">
        <f>Instructions!F3</f>
        <v>0</v>
      </c>
      <c r="D1" s="400" t="str">
        <f ca="1">'Ambassador 1'!$A$1</f>
        <v>Ambassador 1</v>
      </c>
      <c r="E1" s="400" t="str">
        <f ca="1">'Ambassador 2'!$A$1</f>
        <v>Ambassador 2</v>
      </c>
      <c r="F1" s="400" t="str">
        <f ca="1">'Ambassador 3'!$A$1</f>
        <v>Ambassador 3</v>
      </c>
      <c r="G1" s="400" t="str">
        <f ca="1">'Ambassador 4'!$A$1</f>
        <v>Ambassador 4</v>
      </c>
      <c r="H1" s="400" t="str">
        <f ca="1">'Ambassador 5'!$A$1</f>
        <v>Ambassador 5</v>
      </c>
      <c r="I1" s="400" t="str">
        <f ca="1">'Ambassador 6'!$A$1</f>
        <v>Ambassador 6</v>
      </c>
      <c r="J1" s="400" t="str">
        <f ca="1">'Ambassador 7'!$A$1</f>
        <v>Ambassador 7</v>
      </c>
      <c r="K1" s="400" t="str">
        <f ca="1">'Ambassador 8'!$A$1</f>
        <v>Ambassador 8</v>
      </c>
      <c r="L1" s="400" t="str">
        <f ca="1">'Ambassador 9'!$A$1</f>
        <v>Ambassador 9</v>
      </c>
      <c r="M1" s="400" t="str">
        <f ca="1">'Ambassador 10'!$A$1</f>
        <v>Ambassador 10</v>
      </c>
      <c r="N1" s="400" t="str">
        <f ca="1">'Ambassador 11'!$A$1</f>
        <v>Ambassador 11</v>
      </c>
      <c r="O1" s="400" t="str">
        <f ca="1">'Ambassador 12'!$A$1</f>
        <v>Ambassador 12</v>
      </c>
      <c r="P1" s="400" t="str">
        <f ca="1">'Ambassador 13'!$A$1</f>
        <v>Ambassador 13</v>
      </c>
      <c r="Q1" s="400" t="str">
        <f ca="1">'Ambassador 14'!$A$1</f>
        <v>Ambassador 14</v>
      </c>
      <c r="R1" s="400" t="str">
        <f ca="1">'Ambassador 15'!$A$1</f>
        <v>Ambassador 15</v>
      </c>
    </row>
    <row r="2" spans="1:21" ht="15.75" customHeight="1" x14ac:dyDescent="0.25">
      <c r="A2" s="67"/>
      <c r="B2" s="110" t="s">
        <v>98</v>
      </c>
      <c r="C2" s="85">
        <f>Instructions!F5</f>
        <v>0</v>
      </c>
      <c r="D2" s="401"/>
      <c r="E2" s="401"/>
      <c r="F2" s="401"/>
      <c r="G2" s="401"/>
      <c r="H2" s="401"/>
      <c r="I2" s="401"/>
      <c r="J2" s="401"/>
      <c r="K2" s="401"/>
      <c r="L2" s="401"/>
      <c r="M2" s="401"/>
      <c r="N2" s="401"/>
      <c r="O2" s="401"/>
      <c r="P2" s="401"/>
      <c r="Q2" s="401"/>
      <c r="R2" s="401"/>
    </row>
    <row r="3" spans="1:21" ht="15.75" customHeight="1" x14ac:dyDescent="0.2">
      <c r="A3" s="426" t="s">
        <v>78</v>
      </c>
      <c r="B3" s="426"/>
      <c r="C3" s="432"/>
      <c r="D3" s="401"/>
      <c r="E3" s="401"/>
      <c r="F3" s="401"/>
      <c r="G3" s="401"/>
      <c r="H3" s="401"/>
      <c r="I3" s="401"/>
      <c r="J3" s="401"/>
      <c r="K3" s="401"/>
      <c r="L3" s="401"/>
      <c r="M3" s="401"/>
      <c r="N3" s="401"/>
      <c r="O3" s="401"/>
      <c r="P3" s="401"/>
      <c r="Q3" s="401"/>
      <c r="R3" s="401"/>
    </row>
    <row r="4" spans="1:21" s="314" customFormat="1" ht="15.75" customHeight="1" x14ac:dyDescent="0.2">
      <c r="A4" s="433"/>
      <c r="B4" s="434"/>
      <c r="C4" s="435"/>
      <c r="D4" s="402"/>
      <c r="E4" s="402"/>
      <c r="F4" s="402"/>
      <c r="G4" s="402"/>
      <c r="H4" s="402"/>
      <c r="I4" s="402"/>
      <c r="J4" s="402"/>
      <c r="K4" s="402"/>
      <c r="L4" s="402"/>
      <c r="M4" s="402"/>
      <c r="N4" s="402"/>
      <c r="O4" s="402"/>
      <c r="P4" s="402"/>
      <c r="Q4" s="402"/>
      <c r="R4" s="402"/>
    </row>
    <row r="5" spans="1:21" s="234" customFormat="1" ht="20.25" customHeight="1" x14ac:dyDescent="0.2">
      <c r="A5" s="428" t="s">
        <v>25</v>
      </c>
      <c r="B5" s="429"/>
      <c r="C5" s="429"/>
      <c r="D5" s="429"/>
      <c r="E5" s="429"/>
      <c r="F5" s="429"/>
      <c r="G5" s="429"/>
      <c r="H5" s="429"/>
      <c r="I5" s="429"/>
      <c r="J5" s="429"/>
      <c r="K5" s="429"/>
      <c r="L5" s="429"/>
      <c r="M5" s="429"/>
      <c r="N5" s="429"/>
      <c r="O5" s="429"/>
      <c r="P5" s="429"/>
      <c r="Q5" s="429"/>
      <c r="R5" s="429"/>
    </row>
    <row r="6" spans="1:21" ht="20.25" customHeight="1" x14ac:dyDescent="0.2">
      <c r="A6" s="430" t="s">
        <v>206</v>
      </c>
      <c r="B6" s="431"/>
      <c r="C6" s="431"/>
      <c r="D6" s="431"/>
      <c r="E6" s="431"/>
      <c r="F6" s="431"/>
      <c r="G6" s="431"/>
      <c r="H6" s="431"/>
      <c r="I6" s="431"/>
      <c r="J6" s="431"/>
      <c r="K6" s="431"/>
      <c r="L6" s="431"/>
      <c r="M6" s="431"/>
      <c r="N6" s="431"/>
      <c r="O6" s="431"/>
      <c r="P6" s="431"/>
      <c r="Q6" s="431"/>
      <c r="R6" s="431"/>
    </row>
    <row r="7" spans="1:21" s="314" customFormat="1" x14ac:dyDescent="0.2">
      <c r="A7" s="315"/>
      <c r="B7" s="436" t="s">
        <v>207</v>
      </c>
      <c r="C7" s="438"/>
      <c r="D7" s="438"/>
      <c r="E7" s="438"/>
      <c r="F7" s="438"/>
      <c r="G7" s="438"/>
      <c r="H7" s="438"/>
      <c r="I7" s="438"/>
      <c r="J7" s="438"/>
      <c r="K7" s="438"/>
      <c r="L7" s="438"/>
      <c r="M7" s="438"/>
      <c r="N7" s="438"/>
      <c r="O7" s="438"/>
      <c r="P7" s="438"/>
      <c r="Q7" s="438"/>
      <c r="R7" s="438"/>
    </row>
    <row r="8" spans="1:21" ht="12.75" customHeight="1" x14ac:dyDescent="0.2">
      <c r="A8" s="6"/>
      <c r="B8" s="316">
        <v>1</v>
      </c>
      <c r="C8" s="317" t="s">
        <v>208</v>
      </c>
      <c r="D8" s="318"/>
      <c r="E8" s="319"/>
      <c r="F8" s="319"/>
      <c r="G8" s="319"/>
      <c r="H8" s="319"/>
      <c r="I8" s="319"/>
      <c r="J8" s="319"/>
      <c r="K8" s="319"/>
      <c r="L8" s="319"/>
      <c r="M8" s="319"/>
      <c r="N8" s="319"/>
      <c r="O8" s="319"/>
      <c r="P8" s="319"/>
      <c r="Q8" s="319"/>
      <c r="R8" s="319"/>
      <c r="U8" s="6" t="str">
        <f>GetComments(C8)</f>
        <v xml:space="preserve">complete the eight Steps to Advocacy </v>
      </c>
    </row>
    <row r="9" spans="1:21" ht="12.75" customHeight="1" x14ac:dyDescent="0.2">
      <c r="A9" s="6"/>
      <c r="B9" s="316">
        <v>2</v>
      </c>
      <c r="C9" s="317" t="s">
        <v>209</v>
      </c>
      <c r="D9" s="318"/>
      <c r="E9" s="319"/>
      <c r="F9" s="319"/>
      <c r="G9" s="319"/>
      <c r="H9" s="319"/>
      <c r="I9" s="319"/>
      <c r="J9" s="319"/>
      <c r="K9" s="319"/>
      <c r="L9" s="319"/>
      <c r="M9" s="319"/>
      <c r="N9" s="319"/>
      <c r="O9" s="319"/>
      <c r="P9" s="319"/>
      <c r="Q9" s="319"/>
      <c r="R9" s="319"/>
      <c r="U9" s="6" t="str">
        <f t="shared" ref="U9:U31" si="0">GetComments(C9)</f>
        <v>Explore an issue that you find intriguing and exciting.</v>
      </c>
    </row>
    <row r="10" spans="1:21" ht="12.75" customHeight="1" thickBot="1" x14ac:dyDescent="0.25">
      <c r="A10" s="6"/>
      <c r="B10" s="316">
        <v>3</v>
      </c>
      <c r="C10" s="320" t="s">
        <v>210</v>
      </c>
      <c r="D10" s="318"/>
      <c r="E10" s="319"/>
      <c r="F10" s="319"/>
      <c r="G10" s="319"/>
      <c r="H10" s="319"/>
      <c r="I10" s="319"/>
      <c r="J10" s="319"/>
      <c r="K10" s="319"/>
      <c r="L10" s="319"/>
      <c r="M10" s="319"/>
      <c r="N10" s="319"/>
      <c r="O10" s="319"/>
      <c r="P10" s="319"/>
      <c r="Q10" s="319"/>
      <c r="R10" s="369"/>
      <c r="S10" s="321"/>
      <c r="U10" s="6" t="str">
        <f t="shared" si="0"/>
        <v>Engage community partners and advocate for change.</v>
      </c>
    </row>
    <row r="11" spans="1:21" ht="13.5" thickBot="1" x14ac:dyDescent="0.25">
      <c r="A11" s="67"/>
      <c r="C11" s="74" t="s">
        <v>27</v>
      </c>
      <c r="D11" s="322" t="str">
        <f t="shared" ref="D11:R11" si="1">IF(COUNTIF(D8:D10,"A")=3,"C",IF(COUNTIF(D8:D10,"A")&gt;0,"P"," "))</f>
        <v xml:space="preserve"> </v>
      </c>
      <c r="E11" s="322" t="str">
        <f t="shared" si="1"/>
        <v xml:space="preserve"> </v>
      </c>
      <c r="F11" s="322" t="str">
        <f t="shared" si="1"/>
        <v xml:space="preserve"> </v>
      </c>
      <c r="G11" s="322" t="str">
        <f t="shared" si="1"/>
        <v xml:space="preserve"> </v>
      </c>
      <c r="H11" s="322" t="str">
        <f t="shared" si="1"/>
        <v xml:space="preserve"> </v>
      </c>
      <c r="I11" s="322" t="str">
        <f t="shared" si="1"/>
        <v xml:space="preserve"> </v>
      </c>
      <c r="J11" s="322" t="str">
        <f t="shared" si="1"/>
        <v xml:space="preserve"> </v>
      </c>
      <c r="K11" s="322" t="str">
        <f t="shared" si="1"/>
        <v xml:space="preserve"> </v>
      </c>
      <c r="L11" s="322" t="str">
        <f t="shared" si="1"/>
        <v xml:space="preserve"> </v>
      </c>
      <c r="M11" s="322" t="str">
        <f t="shared" si="1"/>
        <v xml:space="preserve"> </v>
      </c>
      <c r="N11" s="322" t="str">
        <f t="shared" si="1"/>
        <v xml:space="preserve"> </v>
      </c>
      <c r="O11" s="322" t="str">
        <f t="shared" si="1"/>
        <v xml:space="preserve"> </v>
      </c>
      <c r="P11" s="322" t="str">
        <f t="shared" si="1"/>
        <v xml:space="preserve"> </v>
      </c>
      <c r="Q11" s="322" t="str">
        <f t="shared" si="1"/>
        <v xml:space="preserve"> </v>
      </c>
      <c r="R11" s="322" t="str">
        <f t="shared" si="1"/>
        <v xml:space="preserve"> </v>
      </c>
      <c r="U11" s="6" t="str">
        <f t="shared" si="0"/>
        <v/>
      </c>
    </row>
    <row r="12" spans="1:21" x14ac:dyDescent="0.2">
      <c r="A12" s="67"/>
      <c r="B12" s="71"/>
      <c r="C12" s="74"/>
      <c r="D12" s="323"/>
      <c r="E12" s="323"/>
      <c r="F12" s="323"/>
      <c r="G12" s="323"/>
      <c r="H12" s="323"/>
      <c r="I12" s="323"/>
      <c r="J12" s="323"/>
      <c r="K12" s="323"/>
      <c r="L12" s="323"/>
      <c r="M12" s="323"/>
      <c r="N12" s="323"/>
      <c r="O12" s="323"/>
      <c r="P12" s="323"/>
      <c r="Q12" s="323"/>
      <c r="R12" s="323"/>
      <c r="U12" s="6" t="str">
        <f t="shared" si="0"/>
        <v/>
      </c>
    </row>
    <row r="13" spans="1:21" s="234" customFormat="1" ht="20.25" customHeight="1" x14ac:dyDescent="0.2">
      <c r="A13" s="428" t="s">
        <v>211</v>
      </c>
      <c r="B13" s="429"/>
      <c r="C13" s="429"/>
      <c r="D13" s="429"/>
      <c r="E13" s="429"/>
      <c r="F13" s="429"/>
      <c r="G13" s="429"/>
      <c r="H13" s="429"/>
      <c r="I13" s="429"/>
      <c r="J13" s="429"/>
      <c r="K13" s="429"/>
      <c r="L13" s="429"/>
      <c r="M13" s="429"/>
      <c r="N13" s="429"/>
      <c r="O13" s="429"/>
      <c r="P13" s="429"/>
      <c r="Q13" s="429"/>
      <c r="R13" s="429"/>
      <c r="U13" s="6" t="str">
        <f t="shared" si="0"/>
        <v/>
      </c>
    </row>
    <row r="14" spans="1:21" ht="20.25" customHeight="1" x14ac:dyDescent="0.2">
      <c r="A14" s="430" t="s">
        <v>212</v>
      </c>
      <c r="B14" s="431"/>
      <c r="C14" s="431"/>
      <c r="D14" s="431"/>
      <c r="E14" s="431"/>
      <c r="F14" s="431"/>
      <c r="G14" s="431"/>
      <c r="H14" s="431"/>
      <c r="I14" s="431"/>
      <c r="J14" s="431"/>
      <c r="K14" s="431"/>
      <c r="L14" s="431"/>
      <c r="M14" s="431"/>
      <c r="N14" s="431"/>
      <c r="O14" s="431"/>
      <c r="P14" s="431"/>
      <c r="Q14" s="431"/>
      <c r="R14" s="431"/>
      <c r="U14" s="6" t="str">
        <f t="shared" si="0"/>
        <v/>
      </c>
    </row>
    <row r="15" spans="1:21" ht="20.25" customHeight="1" x14ac:dyDescent="0.2">
      <c r="A15" s="324"/>
      <c r="B15" s="325" t="s">
        <v>213</v>
      </c>
      <c r="C15" s="111"/>
      <c r="D15" s="111"/>
      <c r="E15" s="111"/>
      <c r="F15" s="111"/>
      <c r="G15" s="111"/>
      <c r="H15" s="111"/>
      <c r="I15" s="111"/>
      <c r="J15" s="111"/>
      <c r="K15" s="111"/>
      <c r="L15" s="111"/>
      <c r="M15" s="111"/>
      <c r="N15" s="111"/>
      <c r="O15" s="111"/>
      <c r="P15" s="111"/>
      <c r="Q15" s="111"/>
      <c r="R15" s="111"/>
      <c r="U15" s="6" t="str">
        <f t="shared" si="0"/>
        <v/>
      </c>
    </row>
    <row r="16" spans="1:21" x14ac:dyDescent="0.2">
      <c r="A16" s="6"/>
      <c r="B16" s="316">
        <v>1</v>
      </c>
      <c r="C16" s="317" t="s">
        <v>214</v>
      </c>
      <c r="D16" s="318"/>
      <c r="E16" s="319"/>
      <c r="F16" s="319"/>
      <c r="G16" s="319"/>
      <c r="H16" s="319"/>
      <c r="I16" s="319"/>
      <c r="J16" s="319"/>
      <c r="K16" s="319"/>
      <c r="L16" s="319"/>
      <c r="M16" s="319"/>
      <c r="N16" s="319"/>
      <c r="O16" s="319"/>
      <c r="P16" s="319"/>
      <c r="Q16" s="319"/>
      <c r="R16" s="319"/>
      <c r="U16" s="6" t="str">
        <f t="shared" si="0"/>
        <v>·see how images can be used to tell many different stories
·consider what parts of their equations for justice are starting to take shape</v>
      </c>
    </row>
    <row r="17" spans="1:21" x14ac:dyDescent="0.2">
      <c r="A17" s="67"/>
      <c r="B17" s="316">
        <v>2</v>
      </c>
      <c r="C17" s="326" t="s">
        <v>215</v>
      </c>
      <c r="D17" s="319"/>
      <c r="E17" s="319"/>
      <c r="F17" s="319"/>
      <c r="G17" s="319"/>
      <c r="H17" s="319"/>
      <c r="I17" s="319"/>
      <c r="J17" s="319"/>
      <c r="K17" s="319"/>
      <c r="L17" s="319"/>
      <c r="M17" s="319"/>
      <c r="N17" s="319"/>
      <c r="O17" s="319"/>
      <c r="P17" s="319"/>
      <c r="Q17" s="319"/>
      <c r="R17" s="319"/>
      <c r="U17" s="6" t="str">
        <f t="shared" si="0"/>
        <v>·create a smiple survey to explore the environmental concerns of others
·create a "guilty habits" list to help them commit to Doing the Math</v>
      </c>
    </row>
    <row r="18" spans="1:21" x14ac:dyDescent="0.2">
      <c r="A18" s="67"/>
      <c r="B18" s="316">
        <v>3</v>
      </c>
      <c r="C18" s="326" t="s">
        <v>216</v>
      </c>
      <c r="D18" s="319"/>
      <c r="E18" s="319"/>
      <c r="F18" s="319"/>
      <c r="G18" s="319"/>
      <c r="H18" s="319"/>
      <c r="I18" s="319"/>
      <c r="J18" s="319"/>
      <c r="K18" s="319"/>
      <c r="L18" s="319"/>
      <c r="M18" s="319"/>
      <c r="N18" s="319"/>
      <c r="O18" s="319"/>
      <c r="P18" s="319"/>
      <c r="Q18" s="319"/>
      <c r="R18" s="319"/>
      <c r="U18" s="6" t="str">
        <f t="shared" si="0"/>
        <v>·explore how media and advertising persuades viewers
·check in on how they are Doing the Math</v>
      </c>
    </row>
    <row r="19" spans="1:21" x14ac:dyDescent="0.2">
      <c r="A19" s="67"/>
      <c r="B19" s="316">
        <v>4</v>
      </c>
      <c r="C19" s="326" t="s">
        <v>217</v>
      </c>
      <c r="D19" s="319"/>
      <c r="E19" s="319"/>
      <c r="F19" s="319"/>
      <c r="G19" s="319"/>
      <c r="H19" s="319"/>
      <c r="I19" s="319"/>
      <c r="J19" s="319"/>
      <c r="K19" s="319"/>
      <c r="L19" s="319"/>
      <c r="M19" s="319"/>
      <c r="N19" s="319"/>
      <c r="O19" s="319"/>
      <c r="P19" s="319"/>
      <c r="Q19" s="319"/>
      <c r="R19" s="319"/>
      <c r="U19" s="6" t="str">
        <f t="shared" si="0"/>
        <v>·explore how "expert" opinions intertwine in environmental justice issues
·consider what science can and cannot do for the environment</v>
      </c>
    </row>
    <row r="20" spans="1:21" x14ac:dyDescent="0.2">
      <c r="A20" s="67"/>
      <c r="B20" s="316">
        <v>5</v>
      </c>
      <c r="C20" s="326" t="s">
        <v>218</v>
      </c>
      <c r="D20" s="319"/>
      <c r="E20" s="319"/>
      <c r="F20" s="319"/>
      <c r="G20" s="319"/>
      <c r="H20" s="319"/>
      <c r="I20" s="319"/>
      <c r="J20" s="319"/>
      <c r="K20" s="319"/>
      <c r="L20" s="319"/>
      <c r="M20" s="319"/>
      <c r="N20" s="319"/>
      <c r="O20" s="319"/>
      <c r="P20" s="319"/>
      <c r="Q20" s="319"/>
      <c r="R20" s="319"/>
      <c r="U20" s="6" t="str">
        <f t="shared" si="0"/>
        <v>·interview decision-makers about the many variables they grapple with
·share some of the great decisions they have made in their own lives</v>
      </c>
    </row>
    <row r="21" spans="1:21" ht="13.5" thickBot="1" x14ac:dyDescent="0.25">
      <c r="A21" s="67"/>
      <c r="B21" s="316">
        <v>6</v>
      </c>
      <c r="C21" s="327" t="s">
        <v>219</v>
      </c>
      <c r="D21" s="319"/>
      <c r="E21" s="319"/>
      <c r="F21" s="319"/>
      <c r="G21" s="319"/>
      <c r="H21" s="319"/>
      <c r="I21" s="319"/>
      <c r="J21" s="319"/>
      <c r="K21" s="319"/>
      <c r="L21" s="319"/>
      <c r="M21" s="319"/>
      <c r="N21" s="319"/>
      <c r="O21" s="319"/>
      <c r="P21" s="319"/>
      <c r="Q21" s="319"/>
      <c r="R21" s="369"/>
      <c r="U21" s="6" t="str">
        <f t="shared" si="0"/>
        <v>·begin planning the final celebration of the journey</v>
      </c>
    </row>
    <row r="22" spans="1:21" ht="13.5" thickBot="1" x14ac:dyDescent="0.25">
      <c r="A22" s="67"/>
      <c r="C22" s="74" t="s">
        <v>27</v>
      </c>
      <c r="D22" s="322" t="str">
        <f t="shared" ref="D22:R22" si="2">IF(COUNTIF(D16:D21,"A")=6,"C",IF(COUNTIF(D16:D21,"A")&gt;0,"P"," "))</f>
        <v xml:space="preserve"> </v>
      </c>
      <c r="E22" s="322" t="str">
        <f t="shared" si="2"/>
        <v xml:space="preserve"> </v>
      </c>
      <c r="F22" s="322" t="str">
        <f t="shared" si="2"/>
        <v xml:space="preserve"> </v>
      </c>
      <c r="G22" s="322" t="str">
        <f t="shared" si="2"/>
        <v xml:space="preserve"> </v>
      </c>
      <c r="H22" s="322" t="str">
        <f t="shared" si="2"/>
        <v xml:space="preserve"> </v>
      </c>
      <c r="I22" s="322" t="str">
        <f t="shared" si="2"/>
        <v xml:space="preserve"> </v>
      </c>
      <c r="J22" s="322" t="str">
        <f t="shared" si="2"/>
        <v xml:space="preserve"> </v>
      </c>
      <c r="K22" s="322" t="str">
        <f t="shared" si="2"/>
        <v xml:space="preserve"> </v>
      </c>
      <c r="L22" s="322" t="str">
        <f t="shared" si="2"/>
        <v xml:space="preserve"> </v>
      </c>
      <c r="M22" s="322" t="str">
        <f t="shared" si="2"/>
        <v xml:space="preserve"> </v>
      </c>
      <c r="N22" s="322" t="str">
        <f t="shared" si="2"/>
        <v xml:space="preserve"> </v>
      </c>
      <c r="O22" s="322" t="str">
        <f t="shared" si="2"/>
        <v xml:space="preserve"> </v>
      </c>
      <c r="P22" s="322" t="str">
        <f t="shared" si="2"/>
        <v xml:space="preserve"> </v>
      </c>
      <c r="Q22" s="322" t="str">
        <f t="shared" si="2"/>
        <v xml:space="preserve"> </v>
      </c>
      <c r="R22" s="322" t="str">
        <f t="shared" si="2"/>
        <v xml:space="preserve"> </v>
      </c>
      <c r="U22" s="6" t="str">
        <f t="shared" si="0"/>
        <v/>
      </c>
    </row>
    <row r="23" spans="1:21" x14ac:dyDescent="0.2">
      <c r="A23" s="67"/>
      <c r="B23" s="71"/>
      <c r="C23" s="74"/>
      <c r="D23" s="323"/>
      <c r="E23" s="323"/>
      <c r="F23" s="323"/>
      <c r="G23" s="323"/>
      <c r="H23" s="323"/>
      <c r="I23" s="323"/>
      <c r="J23" s="323"/>
      <c r="K23" s="323"/>
      <c r="L23" s="323"/>
      <c r="M23" s="323"/>
      <c r="N23" s="323"/>
      <c r="O23" s="323"/>
      <c r="P23" s="323"/>
      <c r="Q23" s="323"/>
      <c r="R23" s="323"/>
      <c r="U23" s="6" t="str">
        <f t="shared" si="0"/>
        <v/>
      </c>
    </row>
    <row r="24" spans="1:21" s="234" customFormat="1" ht="18" x14ac:dyDescent="0.2">
      <c r="A24" s="428" t="s">
        <v>2</v>
      </c>
      <c r="B24" s="429"/>
      <c r="C24" s="429"/>
      <c r="D24" s="429"/>
      <c r="E24" s="429"/>
      <c r="F24" s="429"/>
      <c r="G24" s="429"/>
      <c r="H24" s="429"/>
      <c r="I24" s="429"/>
      <c r="J24" s="429"/>
      <c r="K24" s="429"/>
      <c r="L24" s="429"/>
      <c r="M24" s="429"/>
      <c r="N24" s="429"/>
      <c r="O24" s="429"/>
      <c r="P24" s="429"/>
      <c r="Q24" s="429"/>
      <c r="R24" s="429"/>
      <c r="U24" s="6" t="str">
        <f t="shared" si="0"/>
        <v/>
      </c>
    </row>
    <row r="25" spans="1:21" ht="18" x14ac:dyDescent="0.2">
      <c r="A25" s="430" t="s">
        <v>220</v>
      </c>
      <c r="B25" s="431"/>
      <c r="C25" s="431"/>
      <c r="D25" s="431"/>
      <c r="E25" s="431"/>
      <c r="F25" s="431"/>
      <c r="G25" s="431"/>
      <c r="H25" s="431"/>
      <c r="I25" s="431"/>
      <c r="J25" s="431"/>
      <c r="K25" s="431"/>
      <c r="L25" s="431"/>
      <c r="M25" s="431"/>
      <c r="N25" s="431"/>
      <c r="O25" s="431"/>
      <c r="P25" s="431"/>
      <c r="Q25" s="431"/>
      <c r="R25" s="431"/>
      <c r="U25" s="6" t="str">
        <f t="shared" si="0"/>
        <v/>
      </c>
    </row>
    <row r="26" spans="1:21" ht="15.75" x14ac:dyDescent="0.2">
      <c r="A26" s="324"/>
      <c r="B26" s="436" t="s">
        <v>221</v>
      </c>
      <c r="C26" s="437"/>
      <c r="D26" s="437"/>
      <c r="E26" s="437"/>
      <c r="F26" s="437"/>
      <c r="G26" s="437"/>
      <c r="H26" s="437"/>
      <c r="I26" s="437"/>
      <c r="J26" s="437"/>
      <c r="K26" s="437"/>
      <c r="L26" s="437"/>
      <c r="M26" s="437"/>
      <c r="N26" s="437"/>
      <c r="O26" s="437"/>
      <c r="P26" s="437"/>
      <c r="Q26" s="437"/>
      <c r="R26" s="437"/>
      <c r="U26" s="6" t="str">
        <f t="shared" si="0"/>
        <v/>
      </c>
    </row>
    <row r="27" spans="1:21" x14ac:dyDescent="0.2">
      <c r="A27" s="6"/>
      <c r="B27" s="316">
        <v>1</v>
      </c>
      <c r="C27" s="317" t="s">
        <v>222</v>
      </c>
      <c r="D27" s="328"/>
      <c r="E27" s="329"/>
      <c r="F27" s="329"/>
      <c r="G27" s="329"/>
      <c r="H27" s="329"/>
      <c r="I27" s="329"/>
      <c r="J27" s="329"/>
      <c r="K27" s="329"/>
      <c r="L27" s="329"/>
      <c r="M27" s="329"/>
      <c r="N27" s="329"/>
      <c r="O27" s="329"/>
      <c r="P27" s="329"/>
      <c r="Q27" s="329"/>
      <c r="R27" s="329"/>
      <c r="U27" s="6" t="str">
        <f t="shared" si="0"/>
        <v>Find and then interview three successful women in your community about their dreams and how they have pursued and/or achieved them. (This will show you the path to a successful dream and how dreams get moved forward, even in small ways!)</v>
      </c>
    </row>
    <row r="28" spans="1:21" x14ac:dyDescent="0.2">
      <c r="A28" s="67"/>
      <c r="B28" s="316">
        <v>2</v>
      </c>
      <c r="C28" s="326" t="s">
        <v>223</v>
      </c>
      <c r="D28" s="329"/>
      <c r="E28" s="329"/>
      <c r="F28" s="329"/>
      <c r="G28" s="329"/>
      <c r="H28" s="329"/>
      <c r="I28" s="329"/>
      <c r="J28" s="329"/>
      <c r="K28" s="329"/>
      <c r="L28" s="329"/>
      <c r="M28" s="329"/>
      <c r="N28" s="329"/>
      <c r="O28" s="329"/>
      <c r="P28" s="329"/>
      <c r="Q28" s="329"/>
      <c r="R28" s="329"/>
      <c r="U28" s="6" t="str">
        <f t="shared" si="0"/>
        <v>Identify a woman or girl (or a group of women and/or girls) who would benefit from your assistance in realizing a dream and who welcomes your assistance.</v>
      </c>
    </row>
    <row r="29" spans="1:21" x14ac:dyDescent="0.2">
      <c r="A29" s="67"/>
      <c r="B29" s="316">
        <v>3</v>
      </c>
      <c r="C29" s="326" t="s">
        <v>224</v>
      </c>
      <c r="D29" s="329"/>
      <c r="E29" s="329"/>
      <c r="F29" s="329"/>
      <c r="G29" s="329"/>
      <c r="H29" s="329"/>
      <c r="I29" s="329"/>
      <c r="J29" s="329"/>
      <c r="K29" s="329"/>
      <c r="L29" s="329"/>
      <c r="M29" s="329"/>
      <c r="N29" s="329"/>
      <c r="O29" s="329"/>
      <c r="P29" s="329"/>
      <c r="Q29" s="329"/>
      <c r="R29" s="329"/>
      <c r="U29" s="6" t="str">
        <f t="shared" si="0"/>
        <v>Together you and the dreamer(s) draft a mission statement that clearly sets out the dream. Then you draw up the steps that will move the dream forward. Coming up with the correct steps will involve a little research! (A mission statement will give the dream vision and focus. Planning out the steps to the dream makes the dream tangible--if you get stuck or a step seems too big, return to the plan! You might have to step it out more, or you may have to change some steps altogether!)</v>
      </c>
    </row>
    <row r="30" spans="1:21" ht="13.5" thickBot="1" x14ac:dyDescent="0.25">
      <c r="A30" s="67"/>
      <c r="B30" s="316">
        <v>4</v>
      </c>
      <c r="C30" s="327" t="s">
        <v>225</v>
      </c>
      <c r="D30" s="329"/>
      <c r="E30" s="329"/>
      <c r="F30" s="329"/>
      <c r="G30" s="329"/>
      <c r="H30" s="329"/>
      <c r="I30" s="329"/>
      <c r="J30" s="329"/>
      <c r="K30" s="329"/>
      <c r="L30" s="329"/>
      <c r="M30" s="329"/>
      <c r="N30" s="329"/>
      <c r="O30" s="329"/>
      <c r="P30" s="329"/>
      <c r="Q30" s="329"/>
      <c r="R30" s="370"/>
      <c r="U30" s="6" t="str">
        <f t="shared" si="0"/>
        <v>Help your dreamer(s) take a step forward in the dream plan, and gift the set of stpes for the dream to her. (Taking a step forward will energize your dreamer(s) and start the momentum that will keep the dream progressing! When you are ready to gift the plan, consider making a ceremony of it, perhaps at the journey's closing celebration. The plan may serve as a symbolic rememberance of your collaboration on this dream!)</v>
      </c>
    </row>
    <row r="31" spans="1:21" ht="13.5" thickBot="1" x14ac:dyDescent="0.25">
      <c r="A31" s="67"/>
      <c r="C31" s="74" t="s">
        <v>27</v>
      </c>
      <c r="D31" s="322" t="str">
        <f>IF(COUNTIF(D27:D30,"A")=4,"C",IF(COUNTIF(D27:D30,"A")&gt;0,"P"," "))</f>
        <v xml:space="preserve"> </v>
      </c>
      <c r="E31" s="322" t="str">
        <f t="shared" ref="E31:R31" si="3">IF(COUNTIF(E27:E30,"A")=4,"C",IF(COUNTIF(E27:E30,"A")&gt;0,"P"," "))</f>
        <v xml:space="preserve"> </v>
      </c>
      <c r="F31" s="322" t="str">
        <f t="shared" si="3"/>
        <v xml:space="preserve"> </v>
      </c>
      <c r="G31" s="322" t="str">
        <f t="shared" si="3"/>
        <v xml:space="preserve"> </v>
      </c>
      <c r="H31" s="322" t="str">
        <f t="shared" si="3"/>
        <v xml:space="preserve"> </v>
      </c>
      <c r="I31" s="322" t="str">
        <f t="shared" si="3"/>
        <v xml:space="preserve"> </v>
      </c>
      <c r="J31" s="322" t="str">
        <f t="shared" si="3"/>
        <v xml:space="preserve"> </v>
      </c>
      <c r="K31" s="322" t="str">
        <f t="shared" si="3"/>
        <v xml:space="preserve"> </v>
      </c>
      <c r="L31" s="322" t="str">
        <f t="shared" si="3"/>
        <v xml:space="preserve"> </v>
      </c>
      <c r="M31" s="322" t="str">
        <f t="shared" si="3"/>
        <v xml:space="preserve"> </v>
      </c>
      <c r="N31" s="322" t="str">
        <f t="shared" si="3"/>
        <v xml:space="preserve"> </v>
      </c>
      <c r="O31" s="322" t="str">
        <f t="shared" si="3"/>
        <v xml:space="preserve"> </v>
      </c>
      <c r="P31" s="322" t="str">
        <f t="shared" si="3"/>
        <v xml:space="preserve"> </v>
      </c>
      <c r="Q31" s="322" t="str">
        <f t="shared" si="3"/>
        <v xml:space="preserve"> </v>
      </c>
      <c r="R31" s="322" t="str">
        <f t="shared" si="3"/>
        <v xml:space="preserve"> </v>
      </c>
      <c r="U31" s="6" t="str">
        <f t="shared" si="0"/>
        <v/>
      </c>
    </row>
    <row r="32" spans="1:21" ht="20.25" customHeight="1" x14ac:dyDescent="0.2">
      <c r="A32" s="330"/>
      <c r="B32" s="331"/>
      <c r="C32" s="331"/>
      <c r="D32" s="332"/>
      <c r="E32" s="332"/>
      <c r="F32" s="332"/>
      <c r="G32" s="332"/>
      <c r="H32" s="332"/>
      <c r="I32" s="332"/>
      <c r="J32" s="332"/>
      <c r="K32" s="332"/>
      <c r="L32" s="332"/>
      <c r="M32" s="332"/>
      <c r="N32" s="332"/>
      <c r="O32" s="332"/>
      <c r="P32" s="332"/>
      <c r="Q32" s="332"/>
      <c r="R32" s="332"/>
    </row>
    <row r="33" spans="1:18" ht="20.25" customHeight="1" x14ac:dyDescent="0.2">
      <c r="A33" s="330"/>
      <c r="B33" s="5"/>
      <c r="C33" s="5"/>
      <c r="D33" s="332"/>
      <c r="E33" s="332"/>
      <c r="F33" s="332"/>
      <c r="G33" s="332"/>
      <c r="H33" s="332"/>
      <c r="I33" s="332"/>
      <c r="J33" s="332"/>
      <c r="K33" s="332"/>
      <c r="L33" s="332"/>
      <c r="M33" s="332"/>
      <c r="N33" s="332"/>
      <c r="O33" s="332"/>
      <c r="P33" s="332"/>
      <c r="Q33" s="332"/>
      <c r="R33" s="332"/>
    </row>
    <row r="34" spans="1:18" x14ac:dyDescent="0.2">
      <c r="A34" s="330"/>
      <c r="B34" s="5"/>
      <c r="C34" s="5"/>
      <c r="D34" s="332"/>
      <c r="E34" s="332"/>
      <c r="F34" s="332"/>
      <c r="G34" s="332"/>
      <c r="H34" s="332"/>
      <c r="I34" s="332"/>
      <c r="J34" s="332"/>
      <c r="K34" s="332"/>
      <c r="L34" s="332"/>
      <c r="M34" s="332"/>
      <c r="N34" s="332"/>
      <c r="O34" s="332"/>
      <c r="P34" s="332"/>
      <c r="Q34" s="332"/>
      <c r="R34" s="332"/>
    </row>
    <row r="35" spans="1:18" x14ac:dyDescent="0.2">
      <c r="A35" s="330"/>
      <c r="B35" s="5"/>
      <c r="C35" s="5"/>
      <c r="D35" s="332"/>
      <c r="E35" s="332"/>
      <c r="F35" s="332"/>
      <c r="G35" s="332"/>
      <c r="H35" s="332"/>
      <c r="I35" s="332"/>
      <c r="J35" s="332"/>
      <c r="K35" s="332"/>
      <c r="L35" s="332"/>
      <c r="M35" s="332"/>
      <c r="N35" s="332"/>
      <c r="O35" s="332"/>
      <c r="P35" s="332"/>
      <c r="Q35" s="332"/>
      <c r="R35" s="332"/>
    </row>
    <row r="36" spans="1:18" x14ac:dyDescent="0.2">
      <c r="A36" s="330"/>
      <c r="B36" s="5"/>
      <c r="C36" s="5"/>
      <c r="D36" s="332"/>
      <c r="E36" s="332"/>
      <c r="F36" s="332"/>
      <c r="G36" s="332"/>
      <c r="H36" s="332"/>
      <c r="I36" s="332"/>
      <c r="J36" s="332"/>
      <c r="K36" s="332"/>
      <c r="L36" s="332"/>
      <c r="M36" s="332"/>
      <c r="N36" s="332"/>
      <c r="O36" s="332"/>
      <c r="P36" s="332"/>
      <c r="Q36" s="332"/>
      <c r="R36" s="332"/>
    </row>
    <row r="37" spans="1:18" x14ac:dyDescent="0.2">
      <c r="A37" s="330"/>
      <c r="B37" s="333"/>
      <c r="C37" s="333"/>
      <c r="D37" s="332"/>
      <c r="E37" s="332"/>
      <c r="F37" s="332"/>
      <c r="G37" s="332"/>
      <c r="H37" s="332"/>
      <c r="I37" s="332"/>
      <c r="J37" s="332"/>
      <c r="K37" s="332"/>
      <c r="L37" s="332"/>
      <c r="M37" s="332"/>
      <c r="N37" s="332"/>
      <c r="O37" s="332"/>
      <c r="P37" s="332"/>
      <c r="Q37" s="332"/>
      <c r="R37" s="332"/>
    </row>
    <row r="38" spans="1:18" x14ac:dyDescent="0.2">
      <c r="A38" s="330"/>
      <c r="B38" s="5"/>
      <c r="C38" s="5"/>
      <c r="D38" s="332"/>
      <c r="E38" s="332"/>
      <c r="F38" s="332"/>
      <c r="G38" s="332"/>
      <c r="H38" s="332"/>
      <c r="I38" s="332"/>
      <c r="J38" s="332"/>
      <c r="K38" s="332"/>
      <c r="L38" s="332"/>
      <c r="M38" s="332"/>
      <c r="N38" s="332"/>
      <c r="O38" s="332"/>
      <c r="P38" s="332"/>
      <c r="Q38" s="332"/>
      <c r="R38" s="332"/>
    </row>
    <row r="39" spans="1:18" x14ac:dyDescent="0.2">
      <c r="A39" s="330"/>
      <c r="B39" s="5"/>
      <c r="C39" s="5"/>
      <c r="D39" s="332"/>
      <c r="E39" s="332"/>
      <c r="F39" s="332"/>
      <c r="G39" s="332"/>
      <c r="H39" s="332"/>
      <c r="I39" s="332"/>
      <c r="J39" s="332"/>
      <c r="K39" s="332"/>
      <c r="L39" s="332"/>
      <c r="M39" s="332"/>
      <c r="N39" s="332"/>
      <c r="O39" s="332"/>
      <c r="P39" s="332"/>
      <c r="Q39" s="332"/>
      <c r="R39" s="332"/>
    </row>
    <row r="40" spans="1:18" x14ac:dyDescent="0.2">
      <c r="A40" s="330"/>
      <c r="B40" s="5"/>
      <c r="C40" s="5"/>
      <c r="D40" s="332"/>
      <c r="E40" s="332"/>
      <c r="F40" s="332"/>
      <c r="G40" s="332"/>
      <c r="H40" s="332"/>
      <c r="I40" s="332"/>
      <c r="J40" s="332"/>
      <c r="K40" s="332"/>
      <c r="L40" s="332"/>
      <c r="M40" s="332"/>
      <c r="N40" s="332"/>
      <c r="O40" s="332"/>
      <c r="P40" s="332"/>
      <c r="Q40" s="332"/>
      <c r="R40" s="332"/>
    </row>
    <row r="41" spans="1:18" x14ac:dyDescent="0.2">
      <c r="A41" s="330"/>
      <c r="B41" s="5"/>
      <c r="C41" s="5"/>
      <c r="D41" s="332"/>
      <c r="E41" s="332"/>
      <c r="F41" s="332"/>
      <c r="G41" s="332"/>
      <c r="H41" s="332"/>
      <c r="I41" s="332"/>
      <c r="J41" s="332"/>
      <c r="K41" s="332"/>
      <c r="L41" s="332"/>
      <c r="M41" s="332"/>
      <c r="N41" s="332"/>
      <c r="O41" s="332"/>
      <c r="P41" s="332"/>
      <c r="Q41" s="332"/>
      <c r="R41" s="332"/>
    </row>
    <row r="42" spans="1:18" x14ac:dyDescent="0.2">
      <c r="A42" s="330"/>
      <c r="B42" s="5"/>
      <c r="C42" s="5"/>
      <c r="D42" s="332"/>
      <c r="E42" s="332"/>
      <c r="F42" s="332"/>
      <c r="G42" s="332"/>
      <c r="H42" s="332"/>
      <c r="I42" s="332"/>
      <c r="J42" s="332"/>
      <c r="K42" s="332"/>
      <c r="L42" s="332"/>
      <c r="M42" s="332"/>
      <c r="N42" s="332"/>
      <c r="O42" s="332"/>
      <c r="P42" s="332"/>
      <c r="Q42" s="332"/>
      <c r="R42" s="332"/>
    </row>
    <row r="43" spans="1:18" x14ac:dyDescent="0.2">
      <c r="A43" s="330"/>
      <c r="B43" s="333"/>
      <c r="C43" s="333"/>
      <c r="D43" s="332"/>
      <c r="E43" s="332"/>
      <c r="F43" s="332"/>
      <c r="G43" s="332"/>
      <c r="H43" s="332"/>
      <c r="I43" s="332"/>
      <c r="J43" s="332"/>
      <c r="K43" s="332"/>
      <c r="L43" s="332"/>
      <c r="M43" s="332"/>
      <c r="N43" s="332"/>
      <c r="O43" s="332"/>
      <c r="P43" s="332"/>
      <c r="Q43" s="332"/>
      <c r="R43" s="332"/>
    </row>
    <row r="44" spans="1:18" x14ac:dyDescent="0.2">
      <c r="A44" s="330"/>
      <c r="B44" s="5"/>
      <c r="C44" s="5"/>
      <c r="D44" s="332"/>
      <c r="E44" s="332"/>
      <c r="F44" s="332"/>
      <c r="G44" s="332"/>
      <c r="H44" s="332"/>
      <c r="I44" s="332"/>
      <c r="J44" s="332"/>
      <c r="K44" s="332"/>
      <c r="L44" s="332"/>
      <c r="M44" s="332"/>
      <c r="N44" s="332"/>
      <c r="O44" s="332"/>
      <c r="P44" s="332"/>
      <c r="Q44" s="332"/>
      <c r="R44" s="332"/>
    </row>
    <row r="45" spans="1:18" x14ac:dyDescent="0.2">
      <c r="A45" s="330"/>
      <c r="B45" s="5"/>
      <c r="C45" s="5"/>
      <c r="D45" s="332"/>
      <c r="E45" s="332"/>
      <c r="F45" s="332"/>
      <c r="G45" s="332"/>
      <c r="H45" s="332"/>
      <c r="I45" s="332"/>
      <c r="J45" s="332"/>
      <c r="K45" s="332"/>
      <c r="L45" s="332"/>
      <c r="M45" s="332"/>
      <c r="N45" s="332"/>
      <c r="O45" s="332"/>
      <c r="P45" s="332"/>
      <c r="Q45" s="332"/>
      <c r="R45" s="332"/>
    </row>
    <row r="46" spans="1:18" x14ac:dyDescent="0.2">
      <c r="A46" s="330"/>
      <c r="B46" s="5"/>
      <c r="C46" s="5"/>
      <c r="D46" s="332"/>
      <c r="E46" s="332"/>
      <c r="F46" s="332"/>
      <c r="G46" s="332"/>
      <c r="H46" s="332"/>
      <c r="I46" s="332"/>
      <c r="J46" s="332"/>
      <c r="K46" s="332"/>
      <c r="L46" s="332"/>
      <c r="M46" s="332"/>
      <c r="N46" s="332"/>
      <c r="O46" s="332"/>
      <c r="P46" s="332"/>
      <c r="Q46" s="332"/>
      <c r="R46" s="332"/>
    </row>
    <row r="47" spans="1:18" x14ac:dyDescent="0.2">
      <c r="A47" s="330"/>
      <c r="B47" s="5"/>
      <c r="C47" s="5"/>
      <c r="D47" s="332"/>
      <c r="E47" s="332"/>
      <c r="F47" s="332"/>
      <c r="G47" s="332"/>
      <c r="H47" s="332"/>
      <c r="I47" s="332"/>
      <c r="J47" s="332"/>
      <c r="K47" s="332"/>
      <c r="L47" s="332"/>
      <c r="M47" s="332"/>
      <c r="N47" s="332"/>
      <c r="O47" s="332"/>
      <c r="P47" s="332"/>
      <c r="Q47" s="332"/>
      <c r="R47" s="332"/>
    </row>
    <row r="48" spans="1:18" x14ac:dyDescent="0.2">
      <c r="A48" s="330"/>
      <c r="B48" s="5"/>
      <c r="C48" s="5"/>
      <c r="D48" s="332"/>
      <c r="E48" s="332"/>
      <c r="F48" s="332"/>
      <c r="G48" s="332"/>
      <c r="H48" s="332"/>
      <c r="I48" s="332"/>
      <c r="J48" s="332"/>
      <c r="K48" s="332"/>
      <c r="L48" s="332"/>
      <c r="M48" s="332"/>
      <c r="N48" s="332"/>
      <c r="O48" s="332"/>
      <c r="P48" s="332"/>
      <c r="Q48" s="332"/>
      <c r="R48" s="332"/>
    </row>
    <row r="49" spans="1:18" x14ac:dyDescent="0.2">
      <c r="A49" s="330"/>
      <c r="B49" s="5"/>
      <c r="C49" s="5"/>
      <c r="D49" s="332"/>
      <c r="E49" s="332"/>
      <c r="F49" s="332"/>
      <c r="G49" s="332"/>
      <c r="H49" s="332"/>
      <c r="I49" s="332"/>
      <c r="J49" s="332"/>
      <c r="K49" s="332"/>
      <c r="L49" s="332"/>
      <c r="M49" s="332"/>
      <c r="N49" s="332"/>
      <c r="O49" s="332"/>
      <c r="P49" s="332"/>
      <c r="Q49" s="332"/>
      <c r="R49" s="332"/>
    </row>
    <row r="50" spans="1:18" x14ac:dyDescent="0.2">
      <c r="A50" s="330"/>
      <c r="B50" s="5"/>
      <c r="C50" s="5"/>
      <c r="D50" s="332"/>
      <c r="E50" s="332"/>
      <c r="F50" s="332"/>
      <c r="G50" s="332"/>
      <c r="H50" s="332"/>
      <c r="I50" s="332"/>
      <c r="J50" s="332"/>
      <c r="K50" s="332"/>
      <c r="L50" s="332"/>
      <c r="M50" s="332"/>
      <c r="N50" s="332"/>
      <c r="O50" s="332"/>
      <c r="P50" s="332"/>
      <c r="Q50" s="332"/>
      <c r="R50" s="332"/>
    </row>
    <row r="51" spans="1:18" x14ac:dyDescent="0.2">
      <c r="A51" s="330"/>
      <c r="B51" s="5"/>
      <c r="C51" s="5"/>
      <c r="D51" s="332"/>
      <c r="E51" s="332"/>
      <c r="F51" s="332"/>
      <c r="G51" s="332"/>
      <c r="H51" s="332"/>
      <c r="I51" s="332"/>
      <c r="J51" s="332"/>
      <c r="K51" s="332"/>
      <c r="L51" s="332"/>
      <c r="M51" s="332"/>
      <c r="N51" s="332"/>
      <c r="O51" s="332"/>
      <c r="P51" s="332"/>
      <c r="Q51" s="332"/>
      <c r="R51" s="332"/>
    </row>
    <row r="52" spans="1:18" x14ac:dyDescent="0.2">
      <c r="A52" s="330"/>
      <c r="B52" s="5"/>
      <c r="C52" s="5"/>
      <c r="D52" s="332"/>
      <c r="E52" s="332"/>
      <c r="F52" s="332"/>
      <c r="G52" s="332"/>
      <c r="H52" s="332"/>
      <c r="I52" s="332"/>
      <c r="J52" s="332"/>
      <c r="K52" s="332"/>
      <c r="L52" s="332"/>
      <c r="M52" s="332"/>
      <c r="N52" s="332"/>
      <c r="O52" s="332"/>
      <c r="P52" s="332"/>
      <c r="Q52" s="332"/>
      <c r="R52" s="332"/>
    </row>
    <row r="55" spans="1:18" ht="20.25" customHeight="1" x14ac:dyDescent="0.2"/>
    <row r="56" spans="1:18" ht="20.25" customHeight="1" x14ac:dyDescent="0.2"/>
    <row r="57" spans="1:18" ht="9" customHeight="1" x14ac:dyDescent="0.2"/>
    <row r="60" spans="1:18" ht="9" customHeight="1" x14ac:dyDescent="0.2"/>
    <row r="63" spans="1:18" ht="8.25" customHeight="1" x14ac:dyDescent="0.2"/>
    <row r="65" spans="1:18" x14ac:dyDescent="0.2">
      <c r="A65" s="6"/>
      <c r="D65" s="6"/>
      <c r="E65" s="6"/>
      <c r="F65" s="6"/>
      <c r="G65" s="6"/>
      <c r="H65" s="6"/>
      <c r="I65" s="6"/>
      <c r="J65" s="6"/>
      <c r="K65" s="6"/>
      <c r="L65" s="6"/>
      <c r="M65" s="6"/>
      <c r="N65" s="6"/>
      <c r="O65" s="6"/>
      <c r="P65" s="6"/>
      <c r="Q65" s="6"/>
      <c r="R65" s="6"/>
    </row>
    <row r="66" spans="1:18" x14ac:dyDescent="0.2">
      <c r="A66" s="6"/>
      <c r="D66" s="6"/>
      <c r="E66" s="6"/>
      <c r="F66" s="6"/>
      <c r="G66" s="6"/>
      <c r="H66" s="6"/>
      <c r="I66" s="6"/>
      <c r="J66" s="6"/>
      <c r="K66" s="6"/>
      <c r="L66" s="6"/>
      <c r="M66" s="6"/>
      <c r="N66" s="6"/>
      <c r="O66" s="6"/>
      <c r="P66" s="6"/>
      <c r="Q66" s="6"/>
      <c r="R66" s="6"/>
    </row>
    <row r="67" spans="1:18" ht="12.75" customHeight="1" x14ac:dyDescent="0.2">
      <c r="A67" s="6"/>
      <c r="D67" s="6"/>
      <c r="E67" s="6"/>
      <c r="F67" s="6"/>
      <c r="G67" s="6"/>
      <c r="H67" s="6"/>
      <c r="I67" s="6"/>
      <c r="J67" s="6"/>
      <c r="K67" s="6"/>
      <c r="L67" s="6"/>
      <c r="M67" s="6"/>
      <c r="N67" s="6"/>
      <c r="O67" s="6"/>
      <c r="P67" s="6"/>
      <c r="Q67" s="6"/>
      <c r="R67" s="6"/>
    </row>
    <row r="68" spans="1:18" ht="12.75" customHeight="1" x14ac:dyDescent="0.2">
      <c r="A68" s="6"/>
      <c r="D68" s="6"/>
      <c r="E68" s="6"/>
      <c r="F68" s="6"/>
      <c r="G68" s="6"/>
      <c r="H68" s="6"/>
      <c r="I68" s="6"/>
      <c r="J68" s="6"/>
      <c r="K68" s="6"/>
      <c r="L68" s="6"/>
      <c r="M68" s="6"/>
      <c r="N68" s="6"/>
      <c r="O68" s="6"/>
      <c r="P68" s="6"/>
      <c r="Q68" s="6"/>
      <c r="R68" s="6"/>
    </row>
    <row r="69" spans="1:18" x14ac:dyDescent="0.2">
      <c r="A69" s="6"/>
      <c r="D69" s="6"/>
      <c r="E69" s="6"/>
      <c r="F69" s="6"/>
      <c r="G69" s="6"/>
      <c r="H69" s="6"/>
      <c r="I69" s="6"/>
      <c r="J69" s="6"/>
      <c r="K69" s="6"/>
      <c r="L69" s="6"/>
      <c r="M69" s="6"/>
      <c r="N69" s="6"/>
      <c r="O69" s="6"/>
      <c r="P69" s="6"/>
      <c r="Q69" s="6"/>
      <c r="R69" s="6"/>
    </row>
    <row r="70" spans="1:18" x14ac:dyDescent="0.2">
      <c r="A70" s="6"/>
      <c r="D70" s="6"/>
      <c r="E70" s="6"/>
      <c r="F70" s="6"/>
      <c r="G70" s="6"/>
      <c r="H70" s="6"/>
      <c r="I70" s="6"/>
      <c r="J70" s="6"/>
      <c r="K70" s="6"/>
      <c r="L70" s="6"/>
      <c r="M70" s="6"/>
      <c r="N70" s="6"/>
      <c r="O70" s="6"/>
      <c r="P70" s="6"/>
      <c r="Q70" s="6"/>
      <c r="R70" s="6"/>
    </row>
    <row r="71" spans="1:18" x14ac:dyDescent="0.2">
      <c r="A71" s="6"/>
      <c r="D71" s="6"/>
      <c r="E71" s="6"/>
      <c r="F71" s="6"/>
      <c r="G71" s="6"/>
      <c r="H71" s="6"/>
      <c r="I71" s="6"/>
      <c r="J71" s="6"/>
      <c r="K71" s="6"/>
      <c r="L71" s="6"/>
      <c r="M71" s="6"/>
      <c r="N71" s="6"/>
      <c r="O71" s="6"/>
      <c r="P71" s="6"/>
      <c r="Q71" s="6"/>
      <c r="R71" s="6"/>
    </row>
    <row r="72" spans="1:18" x14ac:dyDescent="0.2">
      <c r="A72" s="6"/>
      <c r="D72" s="6"/>
      <c r="E72" s="6"/>
      <c r="F72" s="6"/>
      <c r="G72" s="6"/>
      <c r="H72" s="6"/>
      <c r="I72" s="6"/>
      <c r="J72" s="6"/>
      <c r="K72" s="6"/>
      <c r="L72" s="6"/>
      <c r="M72" s="6"/>
      <c r="N72" s="6"/>
      <c r="O72" s="6"/>
      <c r="P72" s="6"/>
      <c r="Q72" s="6"/>
      <c r="R72" s="6"/>
    </row>
    <row r="73" spans="1:18" x14ac:dyDescent="0.2">
      <c r="A73" s="6"/>
      <c r="D73" s="6"/>
      <c r="E73" s="6"/>
      <c r="F73" s="6"/>
      <c r="G73" s="6"/>
      <c r="H73" s="6"/>
      <c r="I73" s="6"/>
      <c r="J73" s="6"/>
      <c r="K73" s="6"/>
      <c r="L73" s="6"/>
      <c r="M73" s="6"/>
      <c r="N73" s="6"/>
      <c r="O73" s="6"/>
      <c r="P73" s="6"/>
      <c r="Q73" s="6"/>
      <c r="R73" s="6"/>
    </row>
    <row r="74" spans="1:18" x14ac:dyDescent="0.2">
      <c r="A74" s="6"/>
      <c r="D74" s="6"/>
      <c r="E74" s="6"/>
      <c r="F74" s="6"/>
      <c r="G74" s="6"/>
      <c r="H74" s="6"/>
      <c r="I74" s="6"/>
      <c r="J74" s="6"/>
      <c r="K74" s="6"/>
      <c r="L74" s="6"/>
      <c r="M74" s="6"/>
      <c r="N74" s="6"/>
      <c r="O74" s="6"/>
      <c r="P74" s="6"/>
      <c r="Q74" s="6"/>
      <c r="R74" s="6"/>
    </row>
    <row r="75" spans="1:18" x14ac:dyDescent="0.2">
      <c r="A75" s="6"/>
      <c r="D75" s="6"/>
      <c r="E75" s="6"/>
      <c r="F75" s="6"/>
      <c r="G75" s="6"/>
      <c r="H75" s="6"/>
      <c r="I75" s="6"/>
      <c r="J75" s="6"/>
      <c r="K75" s="6"/>
      <c r="L75" s="6"/>
      <c r="M75" s="6"/>
      <c r="N75" s="6"/>
      <c r="O75" s="6"/>
      <c r="P75" s="6"/>
      <c r="Q75" s="6"/>
      <c r="R75" s="6"/>
    </row>
    <row r="76" spans="1:18" x14ac:dyDescent="0.2">
      <c r="A76" s="6"/>
      <c r="D76" s="6"/>
      <c r="E76" s="6"/>
      <c r="F76" s="6"/>
      <c r="G76" s="6"/>
      <c r="H76" s="6"/>
      <c r="I76" s="6"/>
      <c r="J76" s="6"/>
      <c r="K76" s="6"/>
      <c r="L76" s="6"/>
      <c r="M76" s="6"/>
      <c r="N76" s="6"/>
      <c r="O76" s="6"/>
      <c r="P76" s="6"/>
      <c r="Q76" s="6"/>
      <c r="R76" s="6"/>
    </row>
    <row r="77" spans="1:18" x14ac:dyDescent="0.2">
      <c r="A77" s="6"/>
      <c r="D77" s="6"/>
      <c r="E77" s="6"/>
      <c r="F77" s="6"/>
      <c r="G77" s="6"/>
      <c r="H77" s="6"/>
      <c r="I77" s="6"/>
      <c r="J77" s="6"/>
      <c r="K77" s="6"/>
      <c r="L77" s="6"/>
      <c r="M77" s="6"/>
      <c r="N77" s="6"/>
      <c r="O77" s="6"/>
      <c r="P77" s="6"/>
      <c r="Q77" s="6"/>
      <c r="R77" s="6"/>
    </row>
    <row r="78" spans="1:18" x14ac:dyDescent="0.2">
      <c r="A78" s="6"/>
      <c r="D78" s="6"/>
      <c r="E78" s="6"/>
      <c r="F78" s="6"/>
      <c r="G78" s="6"/>
      <c r="H78" s="6"/>
      <c r="I78" s="6"/>
      <c r="J78" s="6"/>
      <c r="K78" s="6"/>
      <c r="L78" s="6"/>
      <c r="M78" s="6"/>
      <c r="N78" s="6"/>
      <c r="O78" s="6"/>
      <c r="P78" s="6"/>
      <c r="Q78" s="6"/>
      <c r="R78" s="6"/>
    </row>
    <row r="79" spans="1:18" x14ac:dyDescent="0.2">
      <c r="A79" s="6"/>
      <c r="D79" s="6"/>
      <c r="E79" s="6"/>
      <c r="F79" s="6"/>
      <c r="G79" s="6"/>
      <c r="H79" s="6"/>
      <c r="I79" s="6"/>
      <c r="J79" s="6"/>
      <c r="K79" s="6"/>
      <c r="L79" s="6"/>
      <c r="M79" s="6"/>
      <c r="N79" s="6"/>
      <c r="O79" s="6"/>
      <c r="P79" s="6"/>
      <c r="Q79" s="6"/>
      <c r="R79" s="6"/>
    </row>
    <row r="80" spans="1:18" ht="12.75" customHeight="1" x14ac:dyDescent="0.2">
      <c r="A80" s="6"/>
      <c r="D80" s="6"/>
      <c r="E80" s="6"/>
      <c r="F80" s="6"/>
      <c r="G80" s="6"/>
      <c r="H80" s="6"/>
      <c r="I80" s="6"/>
      <c r="J80" s="6"/>
      <c r="K80" s="6"/>
      <c r="L80" s="6"/>
      <c r="M80" s="6"/>
      <c r="N80" s="6"/>
      <c r="O80" s="6"/>
      <c r="P80" s="6"/>
      <c r="Q80" s="6"/>
      <c r="R80" s="6"/>
    </row>
    <row r="81" spans="1:18" x14ac:dyDescent="0.2">
      <c r="A81" s="6"/>
      <c r="D81" s="6"/>
      <c r="E81" s="6"/>
      <c r="F81" s="6"/>
      <c r="G81" s="6"/>
      <c r="H81" s="6"/>
      <c r="I81" s="6"/>
      <c r="J81" s="6"/>
      <c r="K81" s="6"/>
      <c r="L81" s="6"/>
      <c r="M81" s="6"/>
      <c r="N81" s="6"/>
      <c r="O81" s="6"/>
      <c r="P81" s="6"/>
      <c r="Q81" s="6"/>
      <c r="R81" s="6"/>
    </row>
    <row r="82" spans="1:18" x14ac:dyDescent="0.2">
      <c r="A82" s="6"/>
      <c r="D82" s="6"/>
      <c r="E82" s="6"/>
      <c r="F82" s="6"/>
      <c r="G82" s="6"/>
      <c r="H82" s="6"/>
      <c r="I82" s="6"/>
      <c r="J82" s="6"/>
      <c r="K82" s="6"/>
      <c r="L82" s="6"/>
      <c r="M82" s="6"/>
      <c r="N82" s="6"/>
      <c r="O82" s="6"/>
      <c r="P82" s="6"/>
      <c r="Q82" s="6"/>
      <c r="R82" s="6"/>
    </row>
    <row r="83" spans="1:18" x14ac:dyDescent="0.2">
      <c r="A83" s="6"/>
      <c r="D83" s="6"/>
      <c r="E83" s="6"/>
      <c r="F83" s="6"/>
      <c r="G83" s="6"/>
      <c r="H83" s="6"/>
      <c r="I83" s="6"/>
      <c r="J83" s="6"/>
      <c r="K83" s="6"/>
      <c r="L83" s="6"/>
      <c r="M83" s="6"/>
      <c r="N83" s="6"/>
      <c r="O83" s="6"/>
      <c r="P83" s="6"/>
      <c r="Q83" s="6"/>
      <c r="R83" s="6"/>
    </row>
    <row r="84" spans="1:18" x14ac:dyDescent="0.2">
      <c r="A84" s="6"/>
      <c r="D84" s="6"/>
      <c r="E84" s="6"/>
      <c r="F84" s="6"/>
      <c r="G84" s="6"/>
      <c r="H84" s="6"/>
      <c r="I84" s="6"/>
      <c r="J84" s="6"/>
      <c r="K84" s="6"/>
      <c r="L84" s="6"/>
      <c r="M84" s="6"/>
      <c r="N84" s="6"/>
      <c r="O84" s="6"/>
      <c r="P84" s="6"/>
      <c r="Q84" s="6"/>
      <c r="R84" s="6"/>
    </row>
    <row r="85" spans="1:18" x14ac:dyDescent="0.2">
      <c r="A85" s="6"/>
      <c r="D85" s="6"/>
      <c r="E85" s="6"/>
      <c r="F85" s="6"/>
      <c r="G85" s="6"/>
      <c r="H85" s="6"/>
      <c r="I85" s="6"/>
      <c r="J85" s="6"/>
      <c r="K85" s="6"/>
      <c r="L85" s="6"/>
      <c r="M85" s="6"/>
      <c r="N85" s="6"/>
      <c r="O85" s="6"/>
      <c r="P85" s="6"/>
      <c r="Q85" s="6"/>
      <c r="R85" s="6"/>
    </row>
    <row r="86" spans="1:18" x14ac:dyDescent="0.2">
      <c r="A86" s="6"/>
      <c r="D86" s="6"/>
      <c r="E86" s="6"/>
      <c r="F86" s="6"/>
      <c r="G86" s="6"/>
      <c r="H86" s="6"/>
      <c r="I86" s="6"/>
      <c r="J86" s="6"/>
      <c r="K86" s="6"/>
      <c r="L86" s="6"/>
      <c r="M86" s="6"/>
      <c r="N86" s="6"/>
      <c r="O86" s="6"/>
      <c r="P86" s="6"/>
      <c r="Q86" s="6"/>
      <c r="R86" s="6"/>
    </row>
    <row r="87" spans="1:18" x14ac:dyDescent="0.2">
      <c r="A87" s="6"/>
      <c r="D87" s="6"/>
      <c r="E87" s="6"/>
      <c r="F87" s="6"/>
      <c r="G87" s="6"/>
      <c r="H87" s="6"/>
      <c r="I87" s="6"/>
      <c r="J87" s="6"/>
      <c r="K87" s="6"/>
      <c r="L87" s="6"/>
      <c r="M87" s="6"/>
      <c r="N87" s="6"/>
      <c r="O87" s="6"/>
      <c r="P87" s="6"/>
      <c r="Q87" s="6"/>
      <c r="R87" s="6"/>
    </row>
    <row r="88" spans="1:18" x14ac:dyDescent="0.2">
      <c r="A88" s="6"/>
      <c r="D88" s="6"/>
      <c r="E88" s="6"/>
      <c r="F88" s="6"/>
      <c r="G88" s="6"/>
      <c r="H88" s="6"/>
      <c r="I88" s="6"/>
      <c r="J88" s="6"/>
      <c r="K88" s="6"/>
      <c r="L88" s="6"/>
      <c r="M88" s="6"/>
      <c r="N88" s="6"/>
      <c r="O88" s="6"/>
      <c r="P88" s="6"/>
      <c r="Q88" s="6"/>
      <c r="R88" s="6"/>
    </row>
    <row r="89" spans="1:18" x14ac:dyDescent="0.2">
      <c r="A89" s="6"/>
      <c r="D89" s="6"/>
      <c r="E89" s="6"/>
      <c r="F89" s="6"/>
      <c r="G89" s="6"/>
      <c r="H89" s="6"/>
      <c r="I89" s="6"/>
      <c r="J89" s="6"/>
      <c r="K89" s="6"/>
      <c r="L89" s="6"/>
      <c r="M89" s="6"/>
      <c r="N89" s="6"/>
      <c r="O89" s="6"/>
      <c r="P89" s="6"/>
      <c r="Q89" s="6"/>
      <c r="R89" s="6"/>
    </row>
    <row r="90" spans="1:18" x14ac:dyDescent="0.2">
      <c r="A90" s="6"/>
      <c r="D90" s="6"/>
      <c r="E90" s="6"/>
      <c r="F90" s="6"/>
      <c r="G90" s="6"/>
      <c r="H90" s="6"/>
      <c r="I90" s="6"/>
      <c r="J90" s="6"/>
      <c r="K90" s="6"/>
      <c r="L90" s="6"/>
      <c r="M90" s="6"/>
      <c r="N90" s="6"/>
      <c r="O90" s="6"/>
      <c r="P90" s="6"/>
      <c r="Q90" s="6"/>
      <c r="R90" s="6"/>
    </row>
    <row r="91" spans="1:18" x14ac:dyDescent="0.2">
      <c r="A91" s="6"/>
      <c r="D91" s="6"/>
      <c r="E91" s="6"/>
      <c r="F91" s="6"/>
      <c r="G91" s="6"/>
      <c r="H91" s="6"/>
      <c r="I91" s="6"/>
      <c r="J91" s="6"/>
      <c r="K91" s="6"/>
      <c r="L91" s="6"/>
      <c r="M91" s="6"/>
      <c r="N91" s="6"/>
      <c r="O91" s="6"/>
      <c r="P91" s="6"/>
      <c r="Q91" s="6"/>
      <c r="R91" s="6"/>
    </row>
    <row r="92" spans="1:18" x14ac:dyDescent="0.2">
      <c r="A92" s="6"/>
      <c r="D92" s="6"/>
      <c r="E92" s="6"/>
      <c r="F92" s="6"/>
      <c r="G92" s="6"/>
      <c r="H92" s="6"/>
      <c r="I92" s="6"/>
      <c r="J92" s="6"/>
      <c r="K92" s="6"/>
      <c r="L92" s="6"/>
      <c r="M92" s="6"/>
      <c r="N92" s="6"/>
      <c r="O92" s="6"/>
      <c r="P92" s="6"/>
      <c r="Q92" s="6"/>
      <c r="R92" s="6"/>
    </row>
    <row r="93" spans="1:18" x14ac:dyDescent="0.2">
      <c r="A93" s="6"/>
      <c r="D93" s="6"/>
      <c r="E93" s="6"/>
      <c r="F93" s="6"/>
      <c r="G93" s="6"/>
      <c r="H93" s="6"/>
      <c r="I93" s="6"/>
      <c r="J93" s="6"/>
      <c r="K93" s="6"/>
      <c r="L93" s="6"/>
      <c r="M93" s="6"/>
      <c r="N93" s="6"/>
      <c r="O93" s="6"/>
      <c r="P93" s="6"/>
      <c r="Q93" s="6"/>
      <c r="R93" s="6"/>
    </row>
    <row r="94" spans="1:18" x14ac:dyDescent="0.2">
      <c r="A94" s="6"/>
      <c r="D94" s="6"/>
      <c r="E94" s="6"/>
      <c r="F94" s="6"/>
      <c r="G94" s="6"/>
      <c r="H94" s="6"/>
      <c r="I94" s="6"/>
      <c r="J94" s="6"/>
      <c r="K94" s="6"/>
      <c r="L94" s="6"/>
      <c r="M94" s="6"/>
      <c r="N94" s="6"/>
      <c r="O94" s="6"/>
      <c r="P94" s="6"/>
      <c r="Q94" s="6"/>
      <c r="R94" s="6"/>
    </row>
  </sheetData>
  <sheetProtection selectLockedCells="1"/>
  <mergeCells count="25">
    <mergeCell ref="B26:R26"/>
    <mergeCell ref="N1:N4"/>
    <mergeCell ref="O1:O4"/>
    <mergeCell ref="P1:P4"/>
    <mergeCell ref="Q1:Q4"/>
    <mergeCell ref="M1:M4"/>
    <mergeCell ref="I1:I4"/>
    <mergeCell ref="J1:J4"/>
    <mergeCell ref="K1:K4"/>
    <mergeCell ref="D1:D4"/>
    <mergeCell ref="E1:E4"/>
    <mergeCell ref="F1:F4"/>
    <mergeCell ref="G1:G4"/>
    <mergeCell ref="H1:H4"/>
    <mergeCell ref="L1:L4"/>
    <mergeCell ref="B7:R7"/>
    <mergeCell ref="A13:R13"/>
    <mergeCell ref="A14:R14"/>
    <mergeCell ref="A24:R24"/>
    <mergeCell ref="A25:R25"/>
    <mergeCell ref="R1:R4"/>
    <mergeCell ref="A3:C3"/>
    <mergeCell ref="A4:C4"/>
    <mergeCell ref="A5:R5"/>
    <mergeCell ref="A6:R6"/>
  </mergeCells>
  <pageMargins left="0.5" right="0.25" top="1" bottom="0.75" header="0.5" footer="0.25"/>
  <pageSetup fitToHeight="0" orientation="portrait" r:id="rId1"/>
  <headerFooter alignWithMargins="0">
    <oddHeader>&amp;C&amp;"Arial,Bold"&amp;14 AmbassadorTrax&amp;12
Journey Awards - &amp;D</oddHeader>
    <oddFooter>Page &amp;P</oddFooter>
  </headerFooter>
  <rowBreaks count="1" manualBreakCount="1">
    <brk id="54"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6" tint="-0.499984740745262"/>
  </sheetPr>
  <dimension ref="A1:Z148"/>
  <sheetViews>
    <sheetView showGridLines="0" zoomScaleNormal="100" workbookViewId="0">
      <selection activeCell="C7" sqref="C7"/>
    </sheetView>
  </sheetViews>
  <sheetFormatPr defaultRowHeight="12.75" x14ac:dyDescent="0.2"/>
  <cols>
    <col min="1" max="1" width="14.7109375" style="216" customWidth="1"/>
    <col min="2" max="2" width="2.7109375" style="196" customWidth="1"/>
    <col min="3" max="3" width="32.7109375" style="196" customWidth="1"/>
    <col min="4" max="18" width="3.28515625" style="218" customWidth="1"/>
    <col min="19" max="26" width="8.85546875" style="196" customWidth="1"/>
    <col min="27" max="16384" width="9.140625" style="196"/>
  </cols>
  <sheetData>
    <row r="1" spans="1:26" ht="16.5" customHeight="1" x14ac:dyDescent="0.2">
      <c r="A1" s="193"/>
      <c r="B1" s="194" t="s">
        <v>79</v>
      </c>
      <c r="C1" s="195">
        <f>Instructions!F3</f>
        <v>0</v>
      </c>
      <c r="D1" s="400" t="str">
        <f ca="1">'Ambassador 1'!$A$1</f>
        <v>Ambassador 1</v>
      </c>
      <c r="E1" s="400" t="str">
        <f ca="1">'Ambassador 2'!$A$1</f>
        <v>Ambassador 2</v>
      </c>
      <c r="F1" s="400" t="str">
        <f ca="1">'Ambassador 3'!$A$1</f>
        <v>Ambassador 3</v>
      </c>
      <c r="G1" s="400" t="str">
        <f ca="1">'Ambassador 4'!$A$1</f>
        <v>Ambassador 4</v>
      </c>
      <c r="H1" s="400" t="str">
        <f ca="1">'Ambassador 5'!$A$1</f>
        <v>Ambassador 5</v>
      </c>
      <c r="I1" s="400" t="str">
        <f ca="1">'Ambassador 6'!$A$1</f>
        <v>Ambassador 6</v>
      </c>
      <c r="J1" s="400" t="str">
        <f ca="1">'Ambassador 7'!$A$1</f>
        <v>Ambassador 7</v>
      </c>
      <c r="K1" s="400" t="str">
        <f ca="1">'Ambassador 8'!$A$1</f>
        <v>Ambassador 8</v>
      </c>
      <c r="L1" s="400" t="str">
        <f ca="1">'Ambassador 9'!$A$1</f>
        <v>Ambassador 9</v>
      </c>
      <c r="M1" s="400" t="str">
        <f ca="1">'Ambassador 10'!$A$1</f>
        <v>Ambassador 10</v>
      </c>
      <c r="N1" s="400" t="str">
        <f ca="1">'Ambassador 11'!$A$1</f>
        <v>Ambassador 11</v>
      </c>
      <c r="O1" s="400" t="str">
        <f ca="1">'Ambassador 12'!$A$1</f>
        <v>Ambassador 12</v>
      </c>
      <c r="P1" s="400" t="str">
        <f ca="1">'Ambassador 13'!$A$1</f>
        <v>Ambassador 13</v>
      </c>
      <c r="Q1" s="400" t="str">
        <f ca="1">'Ambassador 14'!$A$1</f>
        <v>Ambassador 14</v>
      </c>
      <c r="R1" s="400" t="str">
        <f ca="1">'Ambassador 15'!$A$1</f>
        <v>Ambassador 15</v>
      </c>
    </row>
    <row r="2" spans="1:26" ht="16.5" customHeight="1" x14ac:dyDescent="0.25">
      <c r="A2" s="197"/>
      <c r="B2" s="151" t="s">
        <v>80</v>
      </c>
      <c r="C2" s="198">
        <f>Instructions!F5</f>
        <v>0</v>
      </c>
      <c r="D2" s="401"/>
      <c r="E2" s="401"/>
      <c r="F2" s="401"/>
      <c r="G2" s="401"/>
      <c r="H2" s="401"/>
      <c r="I2" s="401"/>
      <c r="J2" s="401"/>
      <c r="K2" s="401"/>
      <c r="L2" s="401"/>
      <c r="M2" s="401"/>
      <c r="N2" s="401"/>
      <c r="O2" s="401"/>
      <c r="P2" s="401"/>
      <c r="Q2" s="401"/>
      <c r="R2" s="401"/>
    </row>
    <row r="3" spans="1:26" ht="16.5" customHeight="1" x14ac:dyDescent="0.2">
      <c r="A3" s="193"/>
      <c r="B3" s="443"/>
      <c r="C3" s="444"/>
      <c r="D3" s="401"/>
      <c r="E3" s="401"/>
      <c r="F3" s="401"/>
      <c r="G3" s="401"/>
      <c r="H3" s="401"/>
      <c r="I3" s="401"/>
      <c r="J3" s="401"/>
      <c r="K3" s="401"/>
      <c r="L3" s="401"/>
      <c r="M3" s="401"/>
      <c r="N3" s="401"/>
      <c r="O3" s="401"/>
      <c r="P3" s="401"/>
      <c r="Q3" s="401"/>
      <c r="R3" s="401"/>
    </row>
    <row r="4" spans="1:26" ht="16.5" customHeight="1" x14ac:dyDescent="0.2">
      <c r="A4" s="445" t="s">
        <v>24</v>
      </c>
      <c r="B4" s="445"/>
      <c r="C4" s="446"/>
      <c r="D4" s="402"/>
      <c r="E4" s="402"/>
      <c r="F4" s="402"/>
      <c r="G4" s="402"/>
      <c r="H4" s="402"/>
      <c r="I4" s="402"/>
      <c r="J4" s="402"/>
      <c r="K4" s="402"/>
      <c r="L4" s="402"/>
      <c r="M4" s="402"/>
      <c r="N4" s="402"/>
      <c r="O4" s="402"/>
      <c r="P4" s="402"/>
      <c r="Q4" s="402"/>
      <c r="R4" s="402"/>
    </row>
    <row r="5" spans="1:26" s="199" customFormat="1" ht="15.75" x14ac:dyDescent="0.2">
      <c r="A5" s="447" t="s">
        <v>133</v>
      </c>
      <c r="B5" s="448"/>
      <c r="C5" s="448"/>
      <c r="D5" s="448"/>
      <c r="E5" s="448"/>
      <c r="F5" s="448"/>
      <c r="G5" s="448"/>
      <c r="H5" s="448"/>
      <c r="I5" s="448"/>
      <c r="J5" s="448"/>
      <c r="K5" s="448"/>
      <c r="L5" s="448"/>
      <c r="M5" s="448"/>
      <c r="N5" s="448"/>
      <c r="O5" s="448"/>
      <c r="P5" s="448"/>
      <c r="Q5" s="448"/>
      <c r="R5" s="448"/>
    </row>
    <row r="6" spans="1:26" ht="15.75" x14ac:dyDescent="0.25">
      <c r="A6" s="200"/>
      <c r="B6" s="201" t="s">
        <v>136</v>
      </c>
      <c r="C6" s="202"/>
      <c r="D6" s="439" t="s">
        <v>128</v>
      </c>
      <c r="E6" s="440"/>
      <c r="F6" s="440"/>
      <c r="G6" s="440"/>
      <c r="H6" s="440"/>
      <c r="I6" s="440"/>
      <c r="J6" s="440"/>
      <c r="K6" s="440"/>
      <c r="L6" s="440"/>
      <c r="M6" s="440"/>
      <c r="N6" s="440"/>
      <c r="O6" s="440"/>
      <c r="P6" s="440"/>
      <c r="Q6" s="440"/>
      <c r="R6" s="440"/>
    </row>
    <row r="7" spans="1:26" ht="12.75" customHeight="1" x14ac:dyDescent="0.2">
      <c r="A7" s="203"/>
      <c r="B7" s="204">
        <v>1</v>
      </c>
      <c r="C7" s="205" t="s">
        <v>137</v>
      </c>
      <c r="D7" s="206"/>
      <c r="E7" s="206"/>
      <c r="F7" s="206"/>
      <c r="G7" s="206"/>
      <c r="H7" s="206"/>
      <c r="I7" s="206"/>
      <c r="J7" s="206"/>
      <c r="K7" s="206"/>
      <c r="L7" s="206"/>
      <c r="M7" s="206"/>
      <c r="N7" s="206"/>
      <c r="O7" s="206"/>
      <c r="P7" s="206"/>
      <c r="Q7" s="206"/>
      <c r="R7" s="206"/>
      <c r="S7" s="441" t="s">
        <v>138</v>
      </c>
      <c r="T7" s="442"/>
      <c r="U7" s="442"/>
      <c r="V7" s="442"/>
      <c r="W7" s="442"/>
      <c r="X7" s="442"/>
      <c r="Y7" s="442"/>
      <c r="Z7" s="442"/>
    </row>
    <row r="8" spans="1:26" x14ac:dyDescent="0.2">
      <c r="A8" s="139"/>
      <c r="B8" s="207"/>
      <c r="C8" s="208" t="s">
        <v>137</v>
      </c>
      <c r="D8" s="209"/>
      <c r="E8" s="209"/>
      <c r="F8" s="209"/>
      <c r="G8" s="209"/>
      <c r="H8" s="209"/>
      <c r="I8" s="209"/>
      <c r="J8" s="209"/>
      <c r="K8" s="209"/>
      <c r="L8" s="209"/>
      <c r="M8" s="209"/>
      <c r="N8" s="209"/>
      <c r="O8" s="209"/>
      <c r="P8" s="209"/>
      <c r="Q8" s="209"/>
      <c r="R8" s="209"/>
      <c r="S8" s="442"/>
      <c r="T8" s="442"/>
      <c r="U8" s="442"/>
      <c r="V8" s="442"/>
      <c r="W8" s="442"/>
      <c r="X8" s="442"/>
      <c r="Y8" s="442"/>
      <c r="Z8" s="442"/>
    </row>
    <row r="9" spans="1:26" x14ac:dyDescent="0.2">
      <c r="A9" s="139"/>
      <c r="B9" s="207"/>
      <c r="C9" s="208" t="s">
        <v>137</v>
      </c>
      <c r="D9" s="209"/>
      <c r="E9" s="209"/>
      <c r="F9" s="209"/>
      <c r="G9" s="209"/>
      <c r="H9" s="209"/>
      <c r="I9" s="209"/>
      <c r="J9" s="209"/>
      <c r="K9" s="209"/>
      <c r="L9" s="209"/>
      <c r="M9" s="209"/>
      <c r="N9" s="209"/>
      <c r="O9" s="209"/>
      <c r="P9" s="209"/>
      <c r="Q9" s="209"/>
      <c r="R9" s="209"/>
      <c r="S9" s="442"/>
      <c r="T9" s="442"/>
      <c r="U9" s="442"/>
      <c r="V9" s="442"/>
      <c r="W9" s="442"/>
      <c r="X9" s="442"/>
      <c r="Y9" s="442"/>
      <c r="Z9" s="442"/>
    </row>
    <row r="10" spans="1:26" x14ac:dyDescent="0.2">
      <c r="A10" s="139"/>
      <c r="B10" s="207"/>
      <c r="C10" s="208" t="s">
        <v>137</v>
      </c>
      <c r="D10" s="209"/>
      <c r="E10" s="209"/>
      <c r="F10" s="209"/>
      <c r="G10" s="209"/>
      <c r="H10" s="209"/>
      <c r="I10" s="209"/>
      <c r="J10" s="209"/>
      <c r="K10" s="209"/>
      <c r="L10" s="209"/>
      <c r="M10" s="209"/>
      <c r="N10" s="209"/>
      <c r="O10" s="209"/>
      <c r="P10" s="209"/>
      <c r="Q10" s="209"/>
      <c r="R10" s="209"/>
      <c r="S10" s="442"/>
      <c r="T10" s="442"/>
      <c r="U10" s="442"/>
      <c r="V10" s="442"/>
      <c r="W10" s="442"/>
      <c r="X10" s="442"/>
      <c r="Y10" s="442"/>
      <c r="Z10" s="442"/>
    </row>
    <row r="11" spans="1:26" x14ac:dyDescent="0.2">
      <c r="A11" s="139"/>
      <c r="B11" s="204">
        <v>2</v>
      </c>
      <c r="C11" s="210" t="s">
        <v>137</v>
      </c>
      <c r="D11" s="211" t="str">
        <f>IF(COUNTIF(D8:D10,"A")&gt;=1,"C",IF(COUNTIF(D8:D10,"A")&gt;0,"P"," "))</f>
        <v xml:space="preserve"> </v>
      </c>
      <c r="E11" s="211" t="str">
        <f t="shared" ref="E11:R11" si="0">IF(COUNTIF(E8:E10,"A")&gt;=1,"C",IF(COUNTIF(E8:E10,"A")&gt;0,"P"," "))</f>
        <v xml:space="preserve"> </v>
      </c>
      <c r="F11" s="211" t="str">
        <f t="shared" si="0"/>
        <v xml:space="preserve"> </v>
      </c>
      <c r="G11" s="211" t="str">
        <f t="shared" si="0"/>
        <v xml:space="preserve"> </v>
      </c>
      <c r="H11" s="211" t="str">
        <f t="shared" si="0"/>
        <v xml:space="preserve"> </v>
      </c>
      <c r="I11" s="211" t="str">
        <f t="shared" si="0"/>
        <v xml:space="preserve"> </v>
      </c>
      <c r="J11" s="211" t="str">
        <f t="shared" si="0"/>
        <v xml:space="preserve"> </v>
      </c>
      <c r="K11" s="211" t="str">
        <f t="shared" si="0"/>
        <v xml:space="preserve"> </v>
      </c>
      <c r="L11" s="211" t="str">
        <f t="shared" si="0"/>
        <v xml:space="preserve"> </v>
      </c>
      <c r="M11" s="211" t="str">
        <f t="shared" si="0"/>
        <v xml:space="preserve"> </v>
      </c>
      <c r="N11" s="211" t="str">
        <f t="shared" si="0"/>
        <v xml:space="preserve"> </v>
      </c>
      <c r="O11" s="211" t="str">
        <f t="shared" si="0"/>
        <v xml:space="preserve"> </v>
      </c>
      <c r="P11" s="211" t="str">
        <f t="shared" si="0"/>
        <v xml:space="preserve"> </v>
      </c>
      <c r="Q11" s="211" t="str">
        <f t="shared" si="0"/>
        <v xml:space="preserve"> </v>
      </c>
      <c r="R11" s="211" t="str">
        <f t="shared" si="0"/>
        <v xml:space="preserve"> </v>
      </c>
      <c r="S11" s="442"/>
      <c r="T11" s="442"/>
      <c r="U11" s="442"/>
      <c r="V11" s="442"/>
      <c r="W11" s="442"/>
      <c r="X11" s="442"/>
      <c r="Y11" s="442"/>
      <c r="Z11" s="442"/>
    </row>
    <row r="12" spans="1:26" x14ac:dyDescent="0.2">
      <c r="A12" s="193"/>
      <c r="B12" s="212"/>
      <c r="C12" s="208" t="s">
        <v>137</v>
      </c>
      <c r="D12" s="209"/>
      <c r="E12" s="209"/>
      <c r="F12" s="209"/>
      <c r="G12" s="209"/>
      <c r="H12" s="209"/>
      <c r="I12" s="209"/>
      <c r="J12" s="209"/>
      <c r="K12" s="209"/>
      <c r="L12" s="209"/>
      <c r="M12" s="209"/>
      <c r="N12" s="209"/>
      <c r="O12" s="209"/>
      <c r="P12" s="209"/>
      <c r="Q12" s="209"/>
      <c r="R12" s="209"/>
      <c r="S12" s="442"/>
      <c r="T12" s="442"/>
      <c r="U12" s="442"/>
      <c r="V12" s="442"/>
      <c r="W12" s="442"/>
      <c r="X12" s="442"/>
      <c r="Y12" s="442"/>
      <c r="Z12" s="442"/>
    </row>
    <row r="13" spans="1:26" x14ac:dyDescent="0.2">
      <c r="A13" s="193"/>
      <c r="B13" s="212"/>
      <c r="C13" s="208" t="s">
        <v>137</v>
      </c>
      <c r="D13" s="209"/>
      <c r="E13" s="209"/>
      <c r="F13" s="209"/>
      <c r="G13" s="209"/>
      <c r="H13" s="209"/>
      <c r="I13" s="209"/>
      <c r="J13" s="209"/>
      <c r="K13" s="209"/>
      <c r="L13" s="209"/>
      <c r="M13" s="209"/>
      <c r="N13" s="209"/>
      <c r="O13" s="209"/>
      <c r="P13" s="209"/>
      <c r="Q13" s="209"/>
      <c r="R13" s="209"/>
      <c r="S13" s="442"/>
      <c r="T13" s="442"/>
      <c r="U13" s="442"/>
      <c r="V13" s="442"/>
      <c r="W13" s="442"/>
      <c r="X13" s="442"/>
      <c r="Y13" s="442"/>
      <c r="Z13" s="442"/>
    </row>
    <row r="14" spans="1:26" x14ac:dyDescent="0.2">
      <c r="A14" s="193"/>
      <c r="B14" s="212"/>
      <c r="C14" s="208" t="s">
        <v>137</v>
      </c>
      <c r="D14" s="209"/>
      <c r="E14" s="209"/>
      <c r="F14" s="209"/>
      <c r="G14" s="209"/>
      <c r="H14" s="209"/>
      <c r="I14" s="209"/>
      <c r="J14" s="209"/>
      <c r="K14" s="209"/>
      <c r="L14" s="209"/>
      <c r="M14" s="209"/>
      <c r="N14" s="209"/>
      <c r="O14" s="209"/>
      <c r="P14" s="209"/>
      <c r="Q14" s="209"/>
      <c r="R14" s="209"/>
      <c r="S14" s="442"/>
      <c r="T14" s="442"/>
      <c r="U14" s="442"/>
      <c r="V14" s="442"/>
      <c r="W14" s="442"/>
      <c r="X14" s="442"/>
      <c r="Y14" s="442"/>
      <c r="Z14" s="442"/>
    </row>
    <row r="15" spans="1:26" x14ac:dyDescent="0.2">
      <c r="A15" s="213"/>
      <c r="B15" s="189">
        <v>3</v>
      </c>
      <c r="C15" s="210" t="s">
        <v>137</v>
      </c>
      <c r="D15" s="214" t="str">
        <f>IF(COUNTIF(D12:D14,"A")&gt;=1,"C",IF(COUNTIF(D12:D14,"A")&gt;0,"P"," "))</f>
        <v xml:space="preserve"> </v>
      </c>
      <c r="E15" s="214" t="str">
        <f t="shared" ref="E15:R15" si="1">IF(COUNTIF(E12:E14,"A")&gt;=1,"C",IF(COUNTIF(E12:E14,"A")&gt;0,"P"," "))</f>
        <v xml:space="preserve"> </v>
      </c>
      <c r="F15" s="214" t="str">
        <f t="shared" si="1"/>
        <v xml:space="preserve"> </v>
      </c>
      <c r="G15" s="214" t="str">
        <f t="shared" si="1"/>
        <v xml:space="preserve"> </v>
      </c>
      <c r="H15" s="214" t="str">
        <f t="shared" si="1"/>
        <v xml:space="preserve"> </v>
      </c>
      <c r="I15" s="214" t="str">
        <f t="shared" si="1"/>
        <v xml:space="preserve"> </v>
      </c>
      <c r="J15" s="214" t="str">
        <f t="shared" si="1"/>
        <v xml:space="preserve"> </v>
      </c>
      <c r="K15" s="214" t="str">
        <f t="shared" si="1"/>
        <v xml:space="preserve"> </v>
      </c>
      <c r="L15" s="214" t="str">
        <f t="shared" si="1"/>
        <v xml:space="preserve"> </v>
      </c>
      <c r="M15" s="214" t="str">
        <f t="shared" si="1"/>
        <v xml:space="preserve"> </v>
      </c>
      <c r="N15" s="214" t="str">
        <f t="shared" si="1"/>
        <v xml:space="preserve"> </v>
      </c>
      <c r="O15" s="214" t="str">
        <f t="shared" si="1"/>
        <v xml:space="preserve"> </v>
      </c>
      <c r="P15" s="214" t="str">
        <f t="shared" si="1"/>
        <v xml:space="preserve"> </v>
      </c>
      <c r="Q15" s="214" t="str">
        <f t="shared" si="1"/>
        <v xml:space="preserve"> </v>
      </c>
      <c r="R15" s="214" t="str">
        <f t="shared" si="1"/>
        <v xml:space="preserve"> </v>
      </c>
      <c r="S15" s="215"/>
      <c r="T15" s="215"/>
      <c r="U15" s="215"/>
      <c r="V15" s="215"/>
      <c r="W15" s="215"/>
      <c r="X15" s="215"/>
      <c r="Y15" s="215"/>
      <c r="Z15" s="215"/>
    </row>
    <row r="16" spans="1:26" ht="14.25" x14ac:dyDescent="0.2">
      <c r="A16" s="203"/>
      <c r="B16" s="212"/>
      <c r="C16" s="208" t="s">
        <v>137</v>
      </c>
      <c r="D16" s="209"/>
      <c r="E16" s="209"/>
      <c r="F16" s="209"/>
      <c r="G16" s="209"/>
      <c r="H16" s="209"/>
      <c r="I16" s="209"/>
      <c r="J16" s="209"/>
      <c r="K16" s="209"/>
      <c r="L16" s="209"/>
      <c r="M16" s="209"/>
      <c r="N16" s="209"/>
      <c r="O16" s="209"/>
      <c r="P16" s="209"/>
      <c r="Q16" s="209"/>
      <c r="R16" s="209"/>
      <c r="S16" s="215"/>
      <c r="T16" s="215"/>
      <c r="U16" s="215"/>
      <c r="V16" s="215"/>
      <c r="W16" s="215"/>
      <c r="X16" s="215"/>
      <c r="Y16" s="215"/>
      <c r="Z16" s="215"/>
    </row>
    <row r="17" spans="1:26" x14ac:dyDescent="0.2">
      <c r="A17" s="139"/>
      <c r="B17" s="212"/>
      <c r="C17" s="208" t="s">
        <v>137</v>
      </c>
      <c r="D17" s="209"/>
      <c r="E17" s="209"/>
      <c r="F17" s="209"/>
      <c r="G17" s="209"/>
      <c r="H17" s="209"/>
      <c r="I17" s="209"/>
      <c r="J17" s="209"/>
      <c r="K17" s="209"/>
      <c r="L17" s="209"/>
      <c r="M17" s="209"/>
      <c r="N17" s="209"/>
      <c r="O17" s="209"/>
      <c r="P17" s="209"/>
      <c r="Q17" s="209"/>
      <c r="R17" s="209"/>
      <c r="S17" s="215"/>
      <c r="T17" s="215"/>
      <c r="U17" s="215"/>
      <c r="V17" s="215"/>
      <c r="W17" s="215"/>
      <c r="X17" s="215"/>
      <c r="Y17" s="215"/>
      <c r="Z17" s="215"/>
    </row>
    <row r="18" spans="1:26" x14ac:dyDescent="0.2">
      <c r="A18" s="139"/>
      <c r="B18" s="212"/>
      <c r="C18" s="208" t="s">
        <v>137</v>
      </c>
      <c r="D18" s="209"/>
      <c r="E18" s="209"/>
      <c r="F18" s="209"/>
      <c r="G18" s="209"/>
      <c r="H18" s="209"/>
      <c r="I18" s="209"/>
      <c r="J18" s="209"/>
      <c r="K18" s="209"/>
      <c r="L18" s="209"/>
      <c r="M18" s="209"/>
      <c r="N18" s="209"/>
      <c r="O18" s="209"/>
      <c r="P18" s="209"/>
      <c r="Q18" s="209"/>
      <c r="R18" s="209"/>
    </row>
    <row r="19" spans="1:26" x14ac:dyDescent="0.2">
      <c r="A19" s="139"/>
      <c r="B19" s="204">
        <v>4</v>
      </c>
      <c r="C19" s="210" t="s">
        <v>137</v>
      </c>
      <c r="D19" s="211" t="str">
        <f>IF(COUNTIF(D16:D18,"A")&gt;=1,"C",IF(COUNTIF(D16:D18,"A")&gt;0,"P"," "))</f>
        <v xml:space="preserve"> </v>
      </c>
      <c r="E19" s="211" t="str">
        <f t="shared" ref="E19:R19" si="2">IF(COUNTIF(E16:E18,"A")&gt;=1,"C",IF(COUNTIF(E16:E18,"A")&gt;0,"P"," "))</f>
        <v xml:space="preserve"> </v>
      </c>
      <c r="F19" s="211" t="str">
        <f t="shared" si="2"/>
        <v xml:space="preserve"> </v>
      </c>
      <c r="G19" s="211" t="str">
        <f t="shared" si="2"/>
        <v xml:space="preserve"> </v>
      </c>
      <c r="H19" s="211" t="str">
        <f t="shared" si="2"/>
        <v xml:space="preserve"> </v>
      </c>
      <c r="I19" s="211" t="str">
        <f t="shared" si="2"/>
        <v xml:space="preserve"> </v>
      </c>
      <c r="J19" s="211" t="str">
        <f t="shared" si="2"/>
        <v xml:space="preserve"> </v>
      </c>
      <c r="K19" s="211" t="str">
        <f t="shared" si="2"/>
        <v xml:space="preserve"> </v>
      </c>
      <c r="L19" s="211" t="str">
        <f t="shared" si="2"/>
        <v xml:space="preserve"> </v>
      </c>
      <c r="M19" s="211" t="str">
        <f t="shared" si="2"/>
        <v xml:space="preserve"> </v>
      </c>
      <c r="N19" s="211" t="str">
        <f t="shared" si="2"/>
        <v xml:space="preserve"> </v>
      </c>
      <c r="O19" s="211" t="str">
        <f t="shared" si="2"/>
        <v xml:space="preserve"> </v>
      </c>
      <c r="P19" s="211" t="str">
        <f t="shared" si="2"/>
        <v xml:space="preserve"> </v>
      </c>
      <c r="Q19" s="211" t="str">
        <f t="shared" si="2"/>
        <v xml:space="preserve"> </v>
      </c>
      <c r="R19" s="211" t="str">
        <f t="shared" si="2"/>
        <v xml:space="preserve"> </v>
      </c>
    </row>
    <row r="20" spans="1:26" x14ac:dyDescent="0.2">
      <c r="A20" s="139"/>
      <c r="B20" s="212"/>
      <c r="C20" s="208" t="s">
        <v>137</v>
      </c>
      <c r="D20" s="209"/>
      <c r="E20" s="209"/>
      <c r="F20" s="209"/>
      <c r="G20" s="209"/>
      <c r="H20" s="209"/>
      <c r="I20" s="209"/>
      <c r="J20" s="209"/>
      <c r="K20" s="209"/>
      <c r="L20" s="209"/>
      <c r="M20" s="209"/>
      <c r="N20" s="209"/>
      <c r="O20" s="209"/>
      <c r="P20" s="209"/>
      <c r="Q20" s="209"/>
      <c r="R20" s="209"/>
    </row>
    <row r="21" spans="1:26" x14ac:dyDescent="0.2">
      <c r="A21" s="139"/>
      <c r="B21" s="212"/>
      <c r="C21" s="208" t="s">
        <v>137</v>
      </c>
      <c r="D21" s="209"/>
      <c r="E21" s="209"/>
      <c r="F21" s="209"/>
      <c r="G21" s="209"/>
      <c r="H21" s="209"/>
      <c r="I21" s="209"/>
      <c r="J21" s="209"/>
      <c r="K21" s="209"/>
      <c r="L21" s="209"/>
      <c r="M21" s="209"/>
      <c r="N21" s="209"/>
      <c r="O21" s="209"/>
      <c r="P21" s="209"/>
      <c r="Q21" s="209"/>
      <c r="R21" s="209"/>
    </row>
    <row r="22" spans="1:26" x14ac:dyDescent="0.2">
      <c r="A22" s="193"/>
      <c r="B22" s="212"/>
      <c r="C22" s="208" t="s">
        <v>137</v>
      </c>
      <c r="D22" s="209"/>
      <c r="E22" s="209"/>
      <c r="F22" s="209"/>
      <c r="G22" s="209"/>
      <c r="H22" s="209"/>
      <c r="I22" s="209"/>
      <c r="J22" s="209"/>
      <c r="K22" s="209"/>
      <c r="L22" s="209"/>
      <c r="M22" s="209"/>
      <c r="N22" s="209"/>
      <c r="O22" s="209"/>
      <c r="P22" s="209"/>
      <c r="Q22" s="209"/>
      <c r="R22" s="209"/>
    </row>
    <row r="23" spans="1:26" x14ac:dyDescent="0.2">
      <c r="A23" s="193"/>
      <c r="B23" s="204">
        <v>5</v>
      </c>
      <c r="C23" s="210" t="s">
        <v>137</v>
      </c>
      <c r="D23" s="211" t="str">
        <f>IF(COUNTIF(D20:D22,"A")&gt;=1,"C",IF(COUNTIF(D20:D22,"A")&gt;0,"P"," "))</f>
        <v xml:space="preserve"> </v>
      </c>
      <c r="E23" s="211" t="str">
        <f t="shared" ref="E23:R23" si="3">IF(COUNTIF(E20:E22,"A")&gt;=1,"C",IF(COUNTIF(E20:E22,"A")&gt;0,"P"," "))</f>
        <v xml:space="preserve"> </v>
      </c>
      <c r="F23" s="211" t="str">
        <f t="shared" si="3"/>
        <v xml:space="preserve"> </v>
      </c>
      <c r="G23" s="211" t="str">
        <f t="shared" si="3"/>
        <v xml:space="preserve"> </v>
      </c>
      <c r="H23" s="211" t="str">
        <f t="shared" si="3"/>
        <v xml:space="preserve"> </v>
      </c>
      <c r="I23" s="211" t="str">
        <f t="shared" si="3"/>
        <v xml:space="preserve"> </v>
      </c>
      <c r="J23" s="211" t="str">
        <f t="shared" si="3"/>
        <v xml:space="preserve"> </v>
      </c>
      <c r="K23" s="211" t="str">
        <f t="shared" si="3"/>
        <v xml:space="preserve"> </v>
      </c>
      <c r="L23" s="211" t="str">
        <f t="shared" si="3"/>
        <v xml:space="preserve"> </v>
      </c>
      <c r="M23" s="211" t="str">
        <f t="shared" si="3"/>
        <v xml:space="preserve"> </v>
      </c>
      <c r="N23" s="211" t="str">
        <f t="shared" si="3"/>
        <v xml:space="preserve"> </v>
      </c>
      <c r="O23" s="211" t="str">
        <f t="shared" si="3"/>
        <v xml:space="preserve"> </v>
      </c>
      <c r="P23" s="211" t="str">
        <f t="shared" si="3"/>
        <v xml:space="preserve"> </v>
      </c>
      <c r="Q23" s="211" t="str">
        <f t="shared" si="3"/>
        <v xml:space="preserve"> </v>
      </c>
      <c r="R23" s="211" t="str">
        <f t="shared" si="3"/>
        <v xml:space="preserve"> </v>
      </c>
    </row>
    <row r="24" spans="1:26" x14ac:dyDescent="0.2">
      <c r="B24" s="212"/>
      <c r="C24" s="208" t="s">
        <v>137</v>
      </c>
      <c r="D24" s="209"/>
      <c r="E24" s="209"/>
      <c r="F24" s="209"/>
      <c r="G24" s="209"/>
      <c r="H24" s="209"/>
      <c r="I24" s="209"/>
      <c r="J24" s="209"/>
      <c r="K24" s="209"/>
      <c r="L24" s="209"/>
      <c r="M24" s="209"/>
      <c r="N24" s="209"/>
      <c r="O24" s="209"/>
      <c r="P24" s="209"/>
      <c r="Q24" s="209"/>
      <c r="R24" s="209"/>
    </row>
    <row r="25" spans="1:26" x14ac:dyDescent="0.2">
      <c r="B25" s="212"/>
      <c r="C25" s="208" t="s">
        <v>137</v>
      </c>
      <c r="D25" s="209"/>
      <c r="E25" s="209"/>
      <c r="F25" s="209"/>
      <c r="G25" s="209"/>
      <c r="H25" s="209"/>
      <c r="I25" s="209"/>
      <c r="J25" s="209"/>
      <c r="K25" s="209"/>
      <c r="L25" s="209"/>
      <c r="M25" s="209"/>
      <c r="N25" s="209"/>
      <c r="O25" s="209"/>
      <c r="P25" s="209"/>
      <c r="Q25" s="209"/>
      <c r="R25" s="209"/>
    </row>
    <row r="26" spans="1:26" x14ac:dyDescent="0.2">
      <c r="B26" s="212"/>
      <c r="C26" s="208" t="s">
        <v>137</v>
      </c>
      <c r="D26" s="209"/>
      <c r="E26" s="209"/>
      <c r="F26" s="209"/>
      <c r="G26" s="209"/>
      <c r="H26" s="209"/>
      <c r="I26" s="209"/>
      <c r="J26" s="209"/>
      <c r="K26" s="209"/>
      <c r="L26" s="209"/>
      <c r="M26" s="209"/>
      <c r="N26" s="209"/>
      <c r="O26" s="209"/>
      <c r="P26" s="209"/>
      <c r="Q26" s="209"/>
      <c r="R26" s="209"/>
    </row>
    <row r="27" spans="1:26" ht="0.75" customHeight="1" thickBot="1" x14ac:dyDescent="0.25">
      <c r="B27" s="204"/>
      <c r="C27" s="204"/>
      <c r="D27" s="211" t="str">
        <f>IF(COUNTIF(D24:D26,"A")&gt;=1,"C",IF(COUNTIF(D24:D26,"A")&gt;0,"P"," "))</f>
        <v xml:space="preserve"> </v>
      </c>
      <c r="E27" s="211" t="str">
        <f t="shared" ref="E27:R27" si="4">IF(COUNTIF(E24:E26,"A")&gt;=1,"C",IF(COUNTIF(E24:E26,"A")&gt;0,"P"," "))</f>
        <v xml:space="preserve"> </v>
      </c>
      <c r="F27" s="211" t="str">
        <f t="shared" si="4"/>
        <v xml:space="preserve"> </v>
      </c>
      <c r="G27" s="211" t="str">
        <f t="shared" si="4"/>
        <v xml:space="preserve"> </v>
      </c>
      <c r="H27" s="211" t="str">
        <f t="shared" si="4"/>
        <v xml:space="preserve"> </v>
      </c>
      <c r="I27" s="211" t="str">
        <f t="shared" si="4"/>
        <v xml:space="preserve"> </v>
      </c>
      <c r="J27" s="211" t="str">
        <f t="shared" si="4"/>
        <v xml:space="preserve"> </v>
      </c>
      <c r="K27" s="211" t="str">
        <f t="shared" si="4"/>
        <v xml:space="preserve"> </v>
      </c>
      <c r="L27" s="211" t="str">
        <f t="shared" si="4"/>
        <v xml:space="preserve"> </v>
      </c>
      <c r="M27" s="211" t="str">
        <f t="shared" si="4"/>
        <v xml:space="preserve"> </v>
      </c>
      <c r="N27" s="211" t="str">
        <f t="shared" si="4"/>
        <v xml:space="preserve"> </v>
      </c>
      <c r="O27" s="211" t="str">
        <f t="shared" si="4"/>
        <v xml:space="preserve"> </v>
      </c>
      <c r="P27" s="211" t="str">
        <f t="shared" si="4"/>
        <v xml:space="preserve"> </v>
      </c>
      <c r="Q27" s="211" t="str">
        <f t="shared" si="4"/>
        <v xml:space="preserve"> </v>
      </c>
      <c r="R27" s="211" t="str">
        <f t="shared" si="4"/>
        <v xml:space="preserve"> </v>
      </c>
    </row>
    <row r="28" spans="1:26" ht="13.5" thickBot="1" x14ac:dyDescent="0.25">
      <c r="B28" s="204"/>
      <c r="C28" s="173" t="s">
        <v>27</v>
      </c>
      <c r="D28" s="217" t="str">
        <f>IF(COUNTIF(D11:D27,"C")&gt;4,"C",IF(COUNTIF(D11:D27,"C")&gt;0,"P"," "))</f>
        <v xml:space="preserve"> </v>
      </c>
      <c r="E28" s="217" t="str">
        <f t="shared" ref="E28:R28" si="5">IF(COUNTIF(E11:E27,"C")&gt;4,"C",IF(COUNTIF(E11:E27,"C")&gt;0,"P"," "))</f>
        <v xml:space="preserve"> </v>
      </c>
      <c r="F28" s="217" t="str">
        <f t="shared" si="5"/>
        <v xml:space="preserve"> </v>
      </c>
      <c r="G28" s="217" t="str">
        <f t="shared" si="5"/>
        <v xml:space="preserve"> </v>
      </c>
      <c r="H28" s="217" t="str">
        <f t="shared" si="5"/>
        <v xml:space="preserve"> </v>
      </c>
      <c r="I28" s="217" t="str">
        <f t="shared" si="5"/>
        <v xml:space="preserve"> </v>
      </c>
      <c r="J28" s="217" t="str">
        <f t="shared" si="5"/>
        <v xml:space="preserve"> </v>
      </c>
      <c r="K28" s="217" t="str">
        <f t="shared" si="5"/>
        <v xml:space="preserve"> </v>
      </c>
      <c r="L28" s="217" t="str">
        <f t="shared" si="5"/>
        <v xml:space="preserve"> </v>
      </c>
      <c r="M28" s="217" t="str">
        <f t="shared" si="5"/>
        <v xml:space="preserve"> </v>
      </c>
      <c r="N28" s="217" t="str">
        <f t="shared" si="5"/>
        <v xml:space="preserve"> </v>
      </c>
      <c r="O28" s="217" t="str">
        <f t="shared" si="5"/>
        <v xml:space="preserve"> </v>
      </c>
      <c r="P28" s="217" t="str">
        <f t="shared" si="5"/>
        <v xml:space="preserve"> </v>
      </c>
      <c r="Q28" s="217" t="str">
        <f t="shared" si="5"/>
        <v xml:space="preserve"> </v>
      </c>
      <c r="R28" s="217" t="str">
        <f t="shared" si="5"/>
        <v xml:space="preserve"> </v>
      </c>
    </row>
    <row r="30" spans="1:26" ht="15" x14ac:dyDescent="0.25">
      <c r="B30" s="201" t="s">
        <v>136</v>
      </c>
      <c r="C30" s="202"/>
      <c r="D30" s="439"/>
      <c r="E30" s="440"/>
      <c r="F30" s="440"/>
      <c r="G30" s="440"/>
      <c r="H30" s="440"/>
      <c r="I30" s="440"/>
      <c r="J30" s="440"/>
      <c r="K30" s="440"/>
      <c r="L30" s="440"/>
      <c r="M30" s="440"/>
      <c r="N30" s="440"/>
      <c r="O30" s="440"/>
      <c r="P30" s="440"/>
      <c r="Q30" s="440"/>
      <c r="R30" s="440"/>
    </row>
    <row r="31" spans="1:26" x14ac:dyDescent="0.2">
      <c r="B31" s="204">
        <v>1</v>
      </c>
      <c r="C31" s="205" t="s">
        <v>137</v>
      </c>
      <c r="D31" s="206"/>
      <c r="E31" s="206"/>
      <c r="F31" s="206"/>
      <c r="G31" s="206"/>
      <c r="H31" s="206"/>
      <c r="I31" s="206"/>
      <c r="J31" s="206"/>
      <c r="K31" s="206"/>
      <c r="L31" s="206"/>
      <c r="M31" s="206"/>
      <c r="N31" s="206"/>
      <c r="O31" s="206"/>
      <c r="P31" s="206"/>
      <c r="Q31" s="206"/>
      <c r="R31" s="206"/>
    </row>
    <row r="32" spans="1:26" x14ac:dyDescent="0.2">
      <c r="B32" s="207"/>
      <c r="C32" s="208" t="s">
        <v>137</v>
      </c>
      <c r="D32" s="209"/>
      <c r="E32" s="209"/>
      <c r="F32" s="209"/>
      <c r="G32" s="209"/>
      <c r="H32" s="209"/>
      <c r="I32" s="209"/>
      <c r="J32" s="209"/>
      <c r="K32" s="209"/>
      <c r="L32" s="209"/>
      <c r="M32" s="209"/>
      <c r="N32" s="209"/>
      <c r="O32" s="209"/>
      <c r="P32" s="209"/>
      <c r="Q32" s="209"/>
      <c r="R32" s="209"/>
    </row>
    <row r="33" spans="2:18" x14ac:dyDescent="0.2">
      <c r="B33" s="207"/>
      <c r="C33" s="208" t="s">
        <v>137</v>
      </c>
      <c r="D33" s="209"/>
      <c r="E33" s="209"/>
      <c r="F33" s="209"/>
      <c r="G33" s="209"/>
      <c r="H33" s="209"/>
      <c r="I33" s="209"/>
      <c r="J33" s="209"/>
      <c r="K33" s="209"/>
      <c r="L33" s="209"/>
      <c r="M33" s="209"/>
      <c r="N33" s="209"/>
      <c r="O33" s="209"/>
      <c r="P33" s="209"/>
      <c r="Q33" s="209"/>
      <c r="R33" s="209"/>
    </row>
    <row r="34" spans="2:18" x14ac:dyDescent="0.2">
      <c r="B34" s="207"/>
      <c r="C34" s="208" t="s">
        <v>137</v>
      </c>
      <c r="D34" s="209"/>
      <c r="E34" s="209"/>
      <c r="F34" s="209"/>
      <c r="G34" s="209"/>
      <c r="H34" s="209"/>
      <c r="I34" s="209"/>
      <c r="J34" s="209"/>
      <c r="K34" s="209"/>
      <c r="L34" s="209"/>
      <c r="M34" s="209"/>
      <c r="N34" s="209"/>
      <c r="O34" s="209"/>
      <c r="P34" s="209"/>
      <c r="Q34" s="209"/>
      <c r="R34" s="209"/>
    </row>
    <row r="35" spans="2:18" x14ac:dyDescent="0.2">
      <c r="B35" s="204">
        <v>2</v>
      </c>
      <c r="C35" s="210" t="s">
        <v>137</v>
      </c>
      <c r="D35" s="211" t="str">
        <f>IF(COUNTIF(D32:D34,"A")&gt;=1,"C",IF(COUNTIF(D32:D34,"A")&gt;0,"P"," "))</f>
        <v xml:space="preserve"> </v>
      </c>
      <c r="E35" s="211" t="str">
        <f t="shared" ref="E35:R35" si="6">IF(COUNTIF(E32:E34,"A")&gt;=1,"C",IF(COUNTIF(E32:E34,"A")&gt;0,"P"," "))</f>
        <v xml:space="preserve"> </v>
      </c>
      <c r="F35" s="211" t="str">
        <f t="shared" si="6"/>
        <v xml:space="preserve"> </v>
      </c>
      <c r="G35" s="211" t="str">
        <f t="shared" si="6"/>
        <v xml:space="preserve"> </v>
      </c>
      <c r="H35" s="211" t="str">
        <f t="shared" si="6"/>
        <v xml:space="preserve"> </v>
      </c>
      <c r="I35" s="211" t="str">
        <f t="shared" si="6"/>
        <v xml:space="preserve"> </v>
      </c>
      <c r="J35" s="211" t="str">
        <f t="shared" si="6"/>
        <v xml:space="preserve"> </v>
      </c>
      <c r="K35" s="211" t="str">
        <f t="shared" si="6"/>
        <v xml:space="preserve"> </v>
      </c>
      <c r="L35" s="211" t="str">
        <f t="shared" si="6"/>
        <v xml:space="preserve"> </v>
      </c>
      <c r="M35" s="211" t="str">
        <f t="shared" si="6"/>
        <v xml:space="preserve"> </v>
      </c>
      <c r="N35" s="211" t="str">
        <f t="shared" si="6"/>
        <v xml:space="preserve"> </v>
      </c>
      <c r="O35" s="211" t="str">
        <f t="shared" si="6"/>
        <v xml:space="preserve"> </v>
      </c>
      <c r="P35" s="211" t="str">
        <f t="shared" si="6"/>
        <v xml:space="preserve"> </v>
      </c>
      <c r="Q35" s="211" t="str">
        <f t="shared" si="6"/>
        <v xml:space="preserve"> </v>
      </c>
      <c r="R35" s="211" t="str">
        <f t="shared" si="6"/>
        <v xml:space="preserve"> </v>
      </c>
    </row>
    <row r="36" spans="2:18" x14ac:dyDescent="0.2">
      <c r="B36" s="212"/>
      <c r="C36" s="208" t="s">
        <v>137</v>
      </c>
      <c r="D36" s="209"/>
      <c r="E36" s="209"/>
      <c r="F36" s="209"/>
      <c r="G36" s="209"/>
      <c r="H36" s="209"/>
      <c r="I36" s="209"/>
      <c r="J36" s="209"/>
      <c r="K36" s="209"/>
      <c r="L36" s="209"/>
      <c r="M36" s="209"/>
      <c r="N36" s="209"/>
      <c r="O36" s="209"/>
      <c r="P36" s="209"/>
      <c r="Q36" s="209"/>
      <c r="R36" s="209"/>
    </row>
    <row r="37" spans="2:18" x14ac:dyDescent="0.2">
      <c r="B37" s="212"/>
      <c r="C37" s="208" t="s">
        <v>137</v>
      </c>
      <c r="D37" s="209"/>
      <c r="E37" s="209"/>
      <c r="F37" s="209"/>
      <c r="G37" s="209"/>
      <c r="H37" s="209"/>
      <c r="I37" s="209"/>
      <c r="J37" s="209"/>
      <c r="K37" s="209"/>
      <c r="L37" s="209"/>
      <c r="M37" s="209"/>
      <c r="N37" s="209"/>
      <c r="O37" s="209"/>
      <c r="P37" s="209"/>
      <c r="Q37" s="209"/>
      <c r="R37" s="209"/>
    </row>
    <row r="38" spans="2:18" x14ac:dyDescent="0.2">
      <c r="B38" s="212"/>
      <c r="C38" s="208" t="s">
        <v>137</v>
      </c>
      <c r="D38" s="209"/>
      <c r="E38" s="209"/>
      <c r="F38" s="209"/>
      <c r="G38" s="209"/>
      <c r="H38" s="209"/>
      <c r="I38" s="209"/>
      <c r="J38" s="209"/>
      <c r="K38" s="209"/>
      <c r="L38" s="209"/>
      <c r="M38" s="209"/>
      <c r="N38" s="209"/>
      <c r="O38" s="209"/>
      <c r="P38" s="209"/>
      <c r="Q38" s="209"/>
      <c r="R38" s="209"/>
    </row>
    <row r="39" spans="2:18" x14ac:dyDescent="0.2">
      <c r="B39" s="204">
        <v>3</v>
      </c>
      <c r="C39" s="210" t="s">
        <v>137</v>
      </c>
      <c r="D39" s="211" t="str">
        <f>IF(COUNTIF(D36:D38,"A")&gt;=1,"C",IF(COUNTIF(D36:D38,"A")&gt;0,"P"," "))</f>
        <v xml:space="preserve"> </v>
      </c>
      <c r="E39" s="211" t="str">
        <f t="shared" ref="E39:R39" si="7">IF(COUNTIF(E36:E38,"A")&gt;=1,"C",IF(COUNTIF(E36:E38,"A")&gt;0,"P"," "))</f>
        <v xml:space="preserve"> </v>
      </c>
      <c r="F39" s="211" t="str">
        <f t="shared" si="7"/>
        <v xml:space="preserve"> </v>
      </c>
      <c r="G39" s="211" t="str">
        <f t="shared" si="7"/>
        <v xml:space="preserve"> </v>
      </c>
      <c r="H39" s="211" t="str">
        <f t="shared" si="7"/>
        <v xml:space="preserve"> </v>
      </c>
      <c r="I39" s="211" t="str">
        <f t="shared" si="7"/>
        <v xml:space="preserve"> </v>
      </c>
      <c r="J39" s="211" t="str">
        <f t="shared" si="7"/>
        <v xml:space="preserve"> </v>
      </c>
      <c r="K39" s="211" t="str">
        <f t="shared" si="7"/>
        <v xml:space="preserve"> </v>
      </c>
      <c r="L39" s="211" t="str">
        <f t="shared" si="7"/>
        <v xml:space="preserve"> </v>
      </c>
      <c r="M39" s="211" t="str">
        <f t="shared" si="7"/>
        <v xml:space="preserve"> </v>
      </c>
      <c r="N39" s="211" t="str">
        <f t="shared" si="7"/>
        <v xml:space="preserve"> </v>
      </c>
      <c r="O39" s="211" t="str">
        <f t="shared" si="7"/>
        <v xml:space="preserve"> </v>
      </c>
      <c r="P39" s="211" t="str">
        <f t="shared" si="7"/>
        <v xml:space="preserve"> </v>
      </c>
      <c r="Q39" s="211" t="str">
        <f t="shared" si="7"/>
        <v xml:space="preserve"> </v>
      </c>
      <c r="R39" s="211" t="str">
        <f t="shared" si="7"/>
        <v xml:space="preserve"> </v>
      </c>
    </row>
    <row r="40" spans="2:18" x14ac:dyDescent="0.2">
      <c r="B40" s="212"/>
      <c r="C40" s="208" t="s">
        <v>137</v>
      </c>
      <c r="D40" s="209"/>
      <c r="E40" s="209"/>
      <c r="F40" s="209"/>
      <c r="G40" s="209"/>
      <c r="H40" s="209"/>
      <c r="I40" s="209"/>
      <c r="J40" s="209"/>
      <c r="K40" s="209"/>
      <c r="L40" s="209"/>
      <c r="M40" s="209"/>
      <c r="N40" s="209"/>
      <c r="O40" s="209"/>
      <c r="P40" s="209"/>
      <c r="Q40" s="209"/>
      <c r="R40" s="209"/>
    </row>
    <row r="41" spans="2:18" x14ac:dyDescent="0.2">
      <c r="B41" s="212"/>
      <c r="C41" s="208" t="s">
        <v>137</v>
      </c>
      <c r="D41" s="209"/>
      <c r="E41" s="209"/>
      <c r="F41" s="209"/>
      <c r="G41" s="209"/>
      <c r="H41" s="209"/>
      <c r="I41" s="209"/>
      <c r="J41" s="209"/>
      <c r="K41" s="209"/>
      <c r="L41" s="209"/>
      <c r="M41" s="209"/>
      <c r="N41" s="209"/>
      <c r="O41" s="209"/>
      <c r="P41" s="209"/>
      <c r="Q41" s="209"/>
      <c r="R41" s="209"/>
    </row>
    <row r="42" spans="2:18" x14ac:dyDescent="0.2">
      <c r="B42" s="212"/>
      <c r="C42" s="208" t="s">
        <v>137</v>
      </c>
      <c r="D42" s="209"/>
      <c r="E42" s="209"/>
      <c r="F42" s="209"/>
      <c r="G42" s="209"/>
      <c r="H42" s="209"/>
      <c r="I42" s="209"/>
      <c r="J42" s="209"/>
      <c r="K42" s="209"/>
      <c r="L42" s="209"/>
      <c r="M42" s="209"/>
      <c r="N42" s="209"/>
      <c r="O42" s="209"/>
      <c r="P42" s="209"/>
      <c r="Q42" s="209"/>
      <c r="R42" s="209"/>
    </row>
    <row r="43" spans="2:18" x14ac:dyDescent="0.2">
      <c r="B43" s="204">
        <v>4</v>
      </c>
      <c r="C43" s="210" t="s">
        <v>137</v>
      </c>
      <c r="D43" s="211" t="str">
        <f>IF(COUNTIF(D40:D42,"A")&gt;=1,"C",IF(COUNTIF(D40:D42,"A")&gt;0,"P"," "))</f>
        <v xml:space="preserve"> </v>
      </c>
      <c r="E43" s="211" t="str">
        <f t="shared" ref="E43:R43" si="8">IF(COUNTIF(E40:E42,"A")&gt;=1,"C",IF(COUNTIF(E40:E42,"A")&gt;0,"P"," "))</f>
        <v xml:space="preserve"> </v>
      </c>
      <c r="F43" s="211" t="str">
        <f t="shared" si="8"/>
        <v xml:space="preserve"> </v>
      </c>
      <c r="G43" s="211" t="str">
        <f t="shared" si="8"/>
        <v xml:space="preserve"> </v>
      </c>
      <c r="H43" s="211" t="str">
        <f t="shared" si="8"/>
        <v xml:space="preserve"> </v>
      </c>
      <c r="I43" s="211" t="str">
        <f t="shared" si="8"/>
        <v xml:space="preserve"> </v>
      </c>
      <c r="J43" s="211" t="str">
        <f t="shared" si="8"/>
        <v xml:space="preserve"> </v>
      </c>
      <c r="K43" s="211" t="str">
        <f t="shared" si="8"/>
        <v xml:space="preserve"> </v>
      </c>
      <c r="L43" s="211" t="str">
        <f t="shared" si="8"/>
        <v xml:space="preserve"> </v>
      </c>
      <c r="M43" s="211" t="str">
        <f t="shared" si="8"/>
        <v xml:space="preserve"> </v>
      </c>
      <c r="N43" s="211" t="str">
        <f t="shared" si="8"/>
        <v xml:space="preserve"> </v>
      </c>
      <c r="O43" s="211" t="str">
        <f t="shared" si="8"/>
        <v xml:space="preserve"> </v>
      </c>
      <c r="P43" s="211" t="str">
        <f t="shared" si="8"/>
        <v xml:space="preserve"> </v>
      </c>
      <c r="Q43" s="211" t="str">
        <f t="shared" si="8"/>
        <v xml:space="preserve"> </v>
      </c>
      <c r="R43" s="211" t="str">
        <f t="shared" si="8"/>
        <v xml:space="preserve"> </v>
      </c>
    </row>
    <row r="44" spans="2:18" x14ac:dyDescent="0.2">
      <c r="B44" s="212"/>
      <c r="C44" s="208" t="s">
        <v>137</v>
      </c>
      <c r="D44" s="209"/>
      <c r="E44" s="209"/>
      <c r="F44" s="209"/>
      <c r="G44" s="209"/>
      <c r="H44" s="209"/>
      <c r="I44" s="209"/>
      <c r="J44" s="209"/>
      <c r="K44" s="209"/>
      <c r="L44" s="209"/>
      <c r="M44" s="209"/>
      <c r="N44" s="209"/>
      <c r="O44" s="209"/>
      <c r="P44" s="209"/>
      <c r="Q44" s="209"/>
      <c r="R44" s="209"/>
    </row>
    <row r="45" spans="2:18" x14ac:dyDescent="0.2">
      <c r="B45" s="212"/>
      <c r="C45" s="208" t="s">
        <v>137</v>
      </c>
      <c r="D45" s="209"/>
      <c r="E45" s="209"/>
      <c r="F45" s="209"/>
      <c r="G45" s="209"/>
      <c r="H45" s="209"/>
      <c r="I45" s="209"/>
      <c r="J45" s="209"/>
      <c r="K45" s="209"/>
      <c r="L45" s="209"/>
      <c r="M45" s="209"/>
      <c r="N45" s="209"/>
      <c r="O45" s="209"/>
      <c r="P45" s="209"/>
      <c r="Q45" s="209"/>
      <c r="R45" s="209"/>
    </row>
    <row r="46" spans="2:18" x14ac:dyDescent="0.2">
      <c r="B46" s="212"/>
      <c r="C46" s="208" t="s">
        <v>137</v>
      </c>
      <c r="D46" s="209"/>
      <c r="E46" s="209"/>
      <c r="F46" s="209"/>
      <c r="G46" s="209"/>
      <c r="H46" s="209"/>
      <c r="I46" s="209"/>
      <c r="J46" s="209"/>
      <c r="K46" s="209"/>
      <c r="L46" s="209"/>
      <c r="M46" s="209"/>
      <c r="N46" s="209"/>
      <c r="O46" s="209"/>
      <c r="P46" s="209"/>
      <c r="Q46" s="209"/>
      <c r="R46" s="209"/>
    </row>
    <row r="47" spans="2:18" x14ac:dyDescent="0.2">
      <c r="B47" s="204">
        <v>5</v>
      </c>
      <c r="C47" s="210" t="s">
        <v>137</v>
      </c>
      <c r="D47" s="211" t="str">
        <f>IF(COUNTIF(D44:D46,"A")&gt;=1,"C",IF(COUNTIF(D44:D46,"A")&gt;0,"P"," "))</f>
        <v xml:space="preserve"> </v>
      </c>
      <c r="E47" s="211" t="str">
        <f t="shared" ref="E47:R47" si="9">IF(COUNTIF(E44:E46,"A")&gt;=1,"C",IF(COUNTIF(E44:E46,"A")&gt;0,"P"," "))</f>
        <v xml:space="preserve"> </v>
      </c>
      <c r="F47" s="211" t="str">
        <f t="shared" si="9"/>
        <v xml:space="preserve"> </v>
      </c>
      <c r="G47" s="211" t="str">
        <f t="shared" si="9"/>
        <v xml:space="preserve"> </v>
      </c>
      <c r="H47" s="211" t="str">
        <f t="shared" si="9"/>
        <v xml:space="preserve"> </v>
      </c>
      <c r="I47" s="211" t="str">
        <f t="shared" si="9"/>
        <v xml:space="preserve"> </v>
      </c>
      <c r="J47" s="211" t="str">
        <f t="shared" si="9"/>
        <v xml:space="preserve"> </v>
      </c>
      <c r="K47" s="211" t="str">
        <f t="shared" si="9"/>
        <v xml:space="preserve"> </v>
      </c>
      <c r="L47" s="211" t="str">
        <f t="shared" si="9"/>
        <v xml:space="preserve"> </v>
      </c>
      <c r="M47" s="211" t="str">
        <f t="shared" si="9"/>
        <v xml:space="preserve"> </v>
      </c>
      <c r="N47" s="211" t="str">
        <f t="shared" si="9"/>
        <v xml:space="preserve"> </v>
      </c>
      <c r="O47" s="211" t="str">
        <f t="shared" si="9"/>
        <v xml:space="preserve"> </v>
      </c>
      <c r="P47" s="211" t="str">
        <f t="shared" si="9"/>
        <v xml:space="preserve"> </v>
      </c>
      <c r="Q47" s="211" t="str">
        <f t="shared" si="9"/>
        <v xml:space="preserve"> </v>
      </c>
      <c r="R47" s="211" t="str">
        <f t="shared" si="9"/>
        <v xml:space="preserve"> </v>
      </c>
    </row>
    <row r="48" spans="2:18" x14ac:dyDescent="0.2">
      <c r="B48" s="212"/>
      <c r="C48" s="208" t="s">
        <v>137</v>
      </c>
      <c r="D48" s="209"/>
      <c r="E48" s="209"/>
      <c r="F48" s="209"/>
      <c r="G48" s="209"/>
      <c r="H48" s="209"/>
      <c r="I48" s="209"/>
      <c r="J48" s="209"/>
      <c r="K48" s="209"/>
      <c r="L48" s="209"/>
      <c r="M48" s="209"/>
      <c r="N48" s="209"/>
      <c r="O48" s="209"/>
      <c r="P48" s="209"/>
      <c r="Q48" s="209"/>
      <c r="R48" s="209"/>
    </row>
    <row r="49" spans="2:18" x14ac:dyDescent="0.2">
      <c r="B49" s="212"/>
      <c r="C49" s="208" t="s">
        <v>137</v>
      </c>
      <c r="D49" s="209"/>
      <c r="E49" s="209"/>
      <c r="F49" s="209"/>
      <c r="G49" s="209"/>
      <c r="H49" s="209"/>
      <c r="I49" s="209"/>
      <c r="J49" s="209"/>
      <c r="K49" s="209"/>
      <c r="L49" s="209"/>
      <c r="M49" s="209"/>
      <c r="N49" s="209"/>
      <c r="O49" s="209"/>
      <c r="P49" s="209"/>
      <c r="Q49" s="209"/>
      <c r="R49" s="209"/>
    </row>
    <row r="50" spans="2:18" x14ac:dyDescent="0.2">
      <c r="B50" s="212"/>
      <c r="C50" s="208" t="s">
        <v>137</v>
      </c>
      <c r="D50" s="209"/>
      <c r="E50" s="209"/>
      <c r="F50" s="209"/>
      <c r="G50" s="209"/>
      <c r="H50" s="209"/>
      <c r="I50" s="209"/>
      <c r="J50" s="209"/>
      <c r="K50" s="209"/>
      <c r="L50" s="209"/>
      <c r="M50" s="209"/>
      <c r="N50" s="209"/>
      <c r="O50" s="209"/>
      <c r="P50" s="209"/>
      <c r="Q50" s="209"/>
      <c r="R50" s="209"/>
    </row>
    <row r="51" spans="2:18" ht="0.75" customHeight="1" thickBot="1" x14ac:dyDescent="0.25">
      <c r="B51" s="204"/>
      <c r="C51" s="204"/>
      <c r="D51" s="211" t="str">
        <f>IF(COUNTIF(D48:D50,"A")&gt;=1,"C",IF(COUNTIF(D48:D50,"A")&gt;0,"P"," "))</f>
        <v xml:space="preserve"> </v>
      </c>
      <c r="E51" s="211" t="str">
        <f t="shared" ref="E51:R51" si="10">IF(COUNTIF(E48:E50,"A")&gt;=1,"C",IF(COUNTIF(E48:E50,"A")&gt;0,"P"," "))</f>
        <v xml:space="preserve"> </v>
      </c>
      <c r="F51" s="211" t="str">
        <f t="shared" si="10"/>
        <v xml:space="preserve"> </v>
      </c>
      <c r="G51" s="211" t="str">
        <f t="shared" si="10"/>
        <v xml:space="preserve"> </v>
      </c>
      <c r="H51" s="211" t="str">
        <f t="shared" si="10"/>
        <v xml:space="preserve"> </v>
      </c>
      <c r="I51" s="211" t="str">
        <f t="shared" si="10"/>
        <v xml:space="preserve"> </v>
      </c>
      <c r="J51" s="211" t="str">
        <f t="shared" si="10"/>
        <v xml:space="preserve"> </v>
      </c>
      <c r="K51" s="211" t="str">
        <f t="shared" si="10"/>
        <v xml:space="preserve"> </v>
      </c>
      <c r="L51" s="211" t="str">
        <f t="shared" si="10"/>
        <v xml:space="preserve"> </v>
      </c>
      <c r="M51" s="211" t="str">
        <f t="shared" si="10"/>
        <v xml:space="preserve"> </v>
      </c>
      <c r="N51" s="211" t="str">
        <f t="shared" si="10"/>
        <v xml:space="preserve"> </v>
      </c>
      <c r="O51" s="211" t="str">
        <f t="shared" si="10"/>
        <v xml:space="preserve"> </v>
      </c>
      <c r="P51" s="211" t="str">
        <f t="shared" si="10"/>
        <v xml:space="preserve"> </v>
      </c>
      <c r="Q51" s="211" t="str">
        <f t="shared" si="10"/>
        <v xml:space="preserve"> </v>
      </c>
      <c r="R51" s="211" t="str">
        <f t="shared" si="10"/>
        <v xml:space="preserve"> </v>
      </c>
    </row>
    <row r="52" spans="2:18" ht="13.5" thickBot="1" x14ac:dyDescent="0.25">
      <c r="B52" s="204"/>
      <c r="C52" s="173" t="s">
        <v>27</v>
      </c>
      <c r="D52" s="217" t="str">
        <f>IF(COUNTIF(D35:D51,"C")&gt;4,"C",IF(COUNTIF(D35:D51,"C")&gt;0,"P"," "))</f>
        <v xml:space="preserve"> </v>
      </c>
      <c r="E52" s="217" t="str">
        <f t="shared" ref="E52:R52" si="11">IF(COUNTIF(E35:E51,"C")&gt;4,"C",IF(COUNTIF(E35:E51,"C")&gt;0,"P"," "))</f>
        <v xml:space="preserve"> </v>
      </c>
      <c r="F52" s="217" t="str">
        <f t="shared" si="11"/>
        <v xml:space="preserve"> </v>
      </c>
      <c r="G52" s="217" t="str">
        <f t="shared" si="11"/>
        <v xml:space="preserve"> </v>
      </c>
      <c r="H52" s="217" t="str">
        <f t="shared" si="11"/>
        <v xml:space="preserve"> </v>
      </c>
      <c r="I52" s="217" t="str">
        <f t="shared" si="11"/>
        <v xml:space="preserve"> </v>
      </c>
      <c r="J52" s="217" t="str">
        <f t="shared" si="11"/>
        <v xml:space="preserve"> </v>
      </c>
      <c r="K52" s="217" t="str">
        <f t="shared" si="11"/>
        <v xml:space="preserve"> </v>
      </c>
      <c r="L52" s="217" t="str">
        <f t="shared" si="11"/>
        <v xml:space="preserve"> </v>
      </c>
      <c r="M52" s="217" t="str">
        <f t="shared" si="11"/>
        <v xml:space="preserve"> </v>
      </c>
      <c r="N52" s="217" t="str">
        <f t="shared" si="11"/>
        <v xml:space="preserve"> </v>
      </c>
      <c r="O52" s="217" t="str">
        <f t="shared" si="11"/>
        <v xml:space="preserve"> </v>
      </c>
      <c r="P52" s="217" t="str">
        <f t="shared" si="11"/>
        <v xml:space="preserve"> </v>
      </c>
      <c r="Q52" s="217" t="str">
        <f t="shared" si="11"/>
        <v xml:space="preserve"> </v>
      </c>
      <c r="R52" s="217" t="str">
        <f t="shared" si="11"/>
        <v xml:space="preserve"> </v>
      </c>
    </row>
    <row r="54" spans="2:18" ht="15" x14ac:dyDescent="0.25">
      <c r="B54" s="201" t="s">
        <v>136</v>
      </c>
      <c r="C54" s="202"/>
      <c r="D54" s="439"/>
      <c r="E54" s="440"/>
      <c r="F54" s="440"/>
      <c r="G54" s="440"/>
      <c r="H54" s="440"/>
      <c r="I54" s="440"/>
      <c r="J54" s="440"/>
      <c r="K54" s="440"/>
      <c r="L54" s="440"/>
      <c r="M54" s="440"/>
      <c r="N54" s="440"/>
      <c r="O54" s="440"/>
      <c r="P54" s="440"/>
      <c r="Q54" s="440"/>
      <c r="R54" s="440"/>
    </row>
    <row r="55" spans="2:18" x14ac:dyDescent="0.2">
      <c r="B55" s="204">
        <v>1</v>
      </c>
      <c r="C55" s="205" t="s">
        <v>137</v>
      </c>
      <c r="D55" s="206"/>
      <c r="E55" s="206"/>
      <c r="F55" s="206"/>
      <c r="G55" s="206"/>
      <c r="H55" s="206"/>
      <c r="I55" s="206"/>
      <c r="J55" s="206"/>
      <c r="K55" s="206"/>
      <c r="L55" s="206"/>
      <c r="M55" s="206"/>
      <c r="N55" s="206"/>
      <c r="O55" s="206"/>
      <c r="P55" s="206"/>
      <c r="Q55" s="206"/>
      <c r="R55" s="206"/>
    </row>
    <row r="56" spans="2:18" x14ac:dyDescent="0.2">
      <c r="B56" s="207"/>
      <c r="C56" s="208" t="s">
        <v>137</v>
      </c>
      <c r="D56" s="209"/>
      <c r="E56" s="209"/>
      <c r="F56" s="209"/>
      <c r="G56" s="209"/>
      <c r="H56" s="209"/>
      <c r="I56" s="209"/>
      <c r="J56" s="209"/>
      <c r="K56" s="209"/>
      <c r="L56" s="209"/>
      <c r="M56" s="209"/>
      <c r="N56" s="209"/>
      <c r="O56" s="209"/>
      <c r="P56" s="209"/>
      <c r="Q56" s="209"/>
      <c r="R56" s="209"/>
    </row>
    <row r="57" spans="2:18" x14ac:dyDescent="0.2">
      <c r="B57" s="207"/>
      <c r="C57" s="208" t="s">
        <v>137</v>
      </c>
      <c r="D57" s="209"/>
      <c r="E57" s="209"/>
      <c r="F57" s="209"/>
      <c r="G57" s="209"/>
      <c r="H57" s="209"/>
      <c r="I57" s="209"/>
      <c r="J57" s="209"/>
      <c r="K57" s="209"/>
      <c r="L57" s="209"/>
      <c r="M57" s="209"/>
      <c r="N57" s="209"/>
      <c r="O57" s="209"/>
      <c r="P57" s="209"/>
      <c r="Q57" s="209"/>
      <c r="R57" s="209"/>
    </row>
    <row r="58" spans="2:18" x14ac:dyDescent="0.2">
      <c r="B58" s="207"/>
      <c r="C58" s="208" t="s">
        <v>137</v>
      </c>
      <c r="D58" s="209"/>
      <c r="E58" s="209"/>
      <c r="F58" s="209"/>
      <c r="G58" s="209"/>
      <c r="H58" s="209"/>
      <c r="I58" s="209"/>
      <c r="J58" s="209"/>
      <c r="K58" s="209"/>
      <c r="L58" s="209"/>
      <c r="M58" s="209"/>
      <c r="N58" s="209"/>
      <c r="O58" s="209"/>
      <c r="P58" s="209"/>
      <c r="Q58" s="209"/>
      <c r="R58" s="209"/>
    </row>
    <row r="59" spans="2:18" x14ac:dyDescent="0.2">
      <c r="B59" s="204">
        <v>2</v>
      </c>
      <c r="C59" s="210" t="s">
        <v>137</v>
      </c>
      <c r="D59" s="211" t="str">
        <f>IF(COUNTIF(D56:D58,"A")&gt;=1,"C",IF(COUNTIF(D56:D58,"A")&gt;0,"P"," "))</f>
        <v xml:space="preserve"> </v>
      </c>
      <c r="E59" s="211" t="str">
        <f t="shared" ref="E59:R59" si="12">IF(COUNTIF(E56:E58,"A")&gt;=1,"C",IF(COUNTIF(E56:E58,"A")&gt;0,"P"," "))</f>
        <v xml:space="preserve"> </v>
      </c>
      <c r="F59" s="211" t="str">
        <f t="shared" si="12"/>
        <v xml:space="preserve"> </v>
      </c>
      <c r="G59" s="211" t="str">
        <f t="shared" si="12"/>
        <v xml:space="preserve"> </v>
      </c>
      <c r="H59" s="211" t="str">
        <f t="shared" si="12"/>
        <v xml:space="preserve"> </v>
      </c>
      <c r="I59" s="211" t="str">
        <f t="shared" si="12"/>
        <v xml:space="preserve"> </v>
      </c>
      <c r="J59" s="211" t="str">
        <f t="shared" si="12"/>
        <v xml:space="preserve"> </v>
      </c>
      <c r="K59" s="211" t="str">
        <f t="shared" si="12"/>
        <v xml:space="preserve"> </v>
      </c>
      <c r="L59" s="211" t="str">
        <f t="shared" si="12"/>
        <v xml:space="preserve"> </v>
      </c>
      <c r="M59" s="211" t="str">
        <f t="shared" si="12"/>
        <v xml:space="preserve"> </v>
      </c>
      <c r="N59" s="211" t="str">
        <f t="shared" si="12"/>
        <v xml:space="preserve"> </v>
      </c>
      <c r="O59" s="211" t="str">
        <f t="shared" si="12"/>
        <v xml:space="preserve"> </v>
      </c>
      <c r="P59" s="211" t="str">
        <f t="shared" si="12"/>
        <v xml:space="preserve"> </v>
      </c>
      <c r="Q59" s="211" t="str">
        <f t="shared" si="12"/>
        <v xml:space="preserve"> </v>
      </c>
      <c r="R59" s="211" t="str">
        <f t="shared" si="12"/>
        <v xml:space="preserve"> </v>
      </c>
    </row>
    <row r="60" spans="2:18" x14ac:dyDescent="0.2">
      <c r="B60" s="212"/>
      <c r="C60" s="208" t="s">
        <v>137</v>
      </c>
      <c r="D60" s="209"/>
      <c r="E60" s="209"/>
      <c r="F60" s="209"/>
      <c r="G60" s="209"/>
      <c r="H60" s="209"/>
      <c r="I60" s="209"/>
      <c r="J60" s="209"/>
      <c r="K60" s="209"/>
      <c r="L60" s="209"/>
      <c r="M60" s="209"/>
      <c r="N60" s="209"/>
      <c r="O60" s="209"/>
      <c r="P60" s="209"/>
      <c r="Q60" s="209"/>
      <c r="R60" s="209"/>
    </row>
    <row r="61" spans="2:18" x14ac:dyDescent="0.2">
      <c r="B61" s="212"/>
      <c r="C61" s="208" t="s">
        <v>137</v>
      </c>
      <c r="D61" s="209"/>
      <c r="E61" s="209"/>
      <c r="F61" s="209"/>
      <c r="G61" s="209"/>
      <c r="H61" s="209"/>
      <c r="I61" s="209"/>
      <c r="J61" s="209"/>
      <c r="K61" s="209"/>
      <c r="L61" s="209"/>
      <c r="M61" s="209"/>
      <c r="N61" s="209"/>
      <c r="O61" s="209"/>
      <c r="P61" s="209"/>
      <c r="Q61" s="209"/>
      <c r="R61" s="209"/>
    </row>
    <row r="62" spans="2:18" x14ac:dyDescent="0.2">
      <c r="B62" s="212"/>
      <c r="C62" s="208" t="s">
        <v>137</v>
      </c>
      <c r="D62" s="209"/>
      <c r="E62" s="209"/>
      <c r="F62" s="209"/>
      <c r="G62" s="209"/>
      <c r="H62" s="209"/>
      <c r="I62" s="209"/>
      <c r="J62" s="209"/>
      <c r="K62" s="209"/>
      <c r="L62" s="209"/>
      <c r="M62" s="209"/>
      <c r="N62" s="209"/>
      <c r="O62" s="209"/>
      <c r="P62" s="209"/>
      <c r="Q62" s="209"/>
      <c r="R62" s="209"/>
    </row>
    <row r="63" spans="2:18" x14ac:dyDescent="0.2">
      <c r="B63" s="204">
        <v>3</v>
      </c>
      <c r="C63" s="210" t="s">
        <v>137</v>
      </c>
      <c r="D63" s="211" t="str">
        <f>IF(COUNTIF(D60:D62,"A")&gt;=1,"C",IF(COUNTIF(D60:D62,"A")&gt;0,"P"," "))</f>
        <v xml:space="preserve"> </v>
      </c>
      <c r="E63" s="211" t="str">
        <f t="shared" ref="E63:R63" si="13">IF(COUNTIF(E60:E62,"A")&gt;=1,"C",IF(COUNTIF(E60:E62,"A")&gt;0,"P"," "))</f>
        <v xml:space="preserve"> </v>
      </c>
      <c r="F63" s="211" t="str">
        <f t="shared" si="13"/>
        <v xml:space="preserve"> </v>
      </c>
      <c r="G63" s="211" t="str">
        <f t="shared" si="13"/>
        <v xml:space="preserve"> </v>
      </c>
      <c r="H63" s="211" t="str">
        <f t="shared" si="13"/>
        <v xml:space="preserve"> </v>
      </c>
      <c r="I63" s="211" t="str">
        <f t="shared" si="13"/>
        <v xml:space="preserve"> </v>
      </c>
      <c r="J63" s="211" t="str">
        <f t="shared" si="13"/>
        <v xml:space="preserve"> </v>
      </c>
      <c r="K63" s="211" t="str">
        <f t="shared" si="13"/>
        <v xml:space="preserve"> </v>
      </c>
      <c r="L63" s="211" t="str">
        <f t="shared" si="13"/>
        <v xml:space="preserve"> </v>
      </c>
      <c r="M63" s="211" t="str">
        <f t="shared" si="13"/>
        <v xml:space="preserve"> </v>
      </c>
      <c r="N63" s="211" t="str">
        <f t="shared" si="13"/>
        <v xml:space="preserve"> </v>
      </c>
      <c r="O63" s="211" t="str">
        <f t="shared" si="13"/>
        <v xml:space="preserve"> </v>
      </c>
      <c r="P63" s="211" t="str">
        <f t="shared" si="13"/>
        <v xml:space="preserve"> </v>
      </c>
      <c r="Q63" s="211" t="str">
        <f t="shared" si="13"/>
        <v xml:space="preserve"> </v>
      </c>
      <c r="R63" s="211" t="str">
        <f t="shared" si="13"/>
        <v xml:space="preserve"> </v>
      </c>
    </row>
    <row r="64" spans="2:18" x14ac:dyDescent="0.2">
      <c r="B64" s="212"/>
      <c r="C64" s="208" t="s">
        <v>137</v>
      </c>
      <c r="D64" s="209"/>
      <c r="E64" s="209"/>
      <c r="F64" s="209"/>
      <c r="G64" s="209"/>
      <c r="H64" s="209"/>
      <c r="I64" s="209"/>
      <c r="J64" s="209"/>
      <c r="K64" s="209"/>
      <c r="L64" s="209"/>
      <c r="M64" s="209"/>
      <c r="N64" s="209"/>
      <c r="O64" s="209"/>
      <c r="P64" s="209"/>
      <c r="Q64" s="209"/>
      <c r="R64" s="209"/>
    </row>
    <row r="65" spans="2:18" x14ac:dyDescent="0.2">
      <c r="B65" s="212"/>
      <c r="C65" s="208" t="s">
        <v>137</v>
      </c>
      <c r="D65" s="209"/>
      <c r="E65" s="209"/>
      <c r="F65" s="209"/>
      <c r="G65" s="209"/>
      <c r="H65" s="209"/>
      <c r="I65" s="209"/>
      <c r="J65" s="209"/>
      <c r="K65" s="209"/>
      <c r="L65" s="209"/>
      <c r="M65" s="209"/>
      <c r="N65" s="209"/>
      <c r="O65" s="209"/>
      <c r="P65" s="209"/>
      <c r="Q65" s="209"/>
      <c r="R65" s="209"/>
    </row>
    <row r="66" spans="2:18" x14ac:dyDescent="0.2">
      <c r="B66" s="212"/>
      <c r="C66" s="208" t="s">
        <v>137</v>
      </c>
      <c r="D66" s="209"/>
      <c r="E66" s="209"/>
      <c r="F66" s="209"/>
      <c r="G66" s="209"/>
      <c r="H66" s="209"/>
      <c r="I66" s="209"/>
      <c r="J66" s="209"/>
      <c r="K66" s="209"/>
      <c r="L66" s="209"/>
      <c r="M66" s="209"/>
      <c r="N66" s="209"/>
      <c r="O66" s="209"/>
      <c r="P66" s="209"/>
      <c r="Q66" s="209"/>
      <c r="R66" s="209"/>
    </row>
    <row r="67" spans="2:18" x14ac:dyDescent="0.2">
      <c r="B67" s="204">
        <v>4</v>
      </c>
      <c r="C67" s="210" t="s">
        <v>137</v>
      </c>
      <c r="D67" s="211" t="str">
        <f>IF(COUNTIF(D64:D66,"A")&gt;=1,"C",IF(COUNTIF(D64:D66,"A")&gt;0,"P"," "))</f>
        <v xml:space="preserve"> </v>
      </c>
      <c r="E67" s="211" t="str">
        <f t="shared" ref="E67:R67" si="14">IF(COUNTIF(E64:E66,"A")&gt;=1,"C",IF(COUNTIF(E64:E66,"A")&gt;0,"P"," "))</f>
        <v xml:space="preserve"> </v>
      </c>
      <c r="F67" s="211" t="str">
        <f t="shared" si="14"/>
        <v xml:space="preserve"> </v>
      </c>
      <c r="G67" s="211" t="str">
        <f t="shared" si="14"/>
        <v xml:space="preserve"> </v>
      </c>
      <c r="H67" s="211" t="str">
        <f t="shared" si="14"/>
        <v xml:space="preserve"> </v>
      </c>
      <c r="I67" s="211" t="str">
        <f t="shared" si="14"/>
        <v xml:space="preserve"> </v>
      </c>
      <c r="J67" s="211" t="str">
        <f t="shared" si="14"/>
        <v xml:space="preserve"> </v>
      </c>
      <c r="K67" s="211" t="str">
        <f t="shared" si="14"/>
        <v xml:space="preserve"> </v>
      </c>
      <c r="L67" s="211" t="str">
        <f t="shared" si="14"/>
        <v xml:space="preserve"> </v>
      </c>
      <c r="M67" s="211" t="str">
        <f t="shared" si="14"/>
        <v xml:space="preserve"> </v>
      </c>
      <c r="N67" s="211" t="str">
        <f t="shared" si="14"/>
        <v xml:space="preserve"> </v>
      </c>
      <c r="O67" s="211" t="str">
        <f t="shared" si="14"/>
        <v xml:space="preserve"> </v>
      </c>
      <c r="P67" s="211" t="str">
        <f t="shared" si="14"/>
        <v xml:space="preserve"> </v>
      </c>
      <c r="Q67" s="211" t="str">
        <f t="shared" si="14"/>
        <v xml:space="preserve"> </v>
      </c>
      <c r="R67" s="211" t="str">
        <f t="shared" si="14"/>
        <v xml:space="preserve"> </v>
      </c>
    </row>
    <row r="68" spans="2:18" x14ac:dyDescent="0.2">
      <c r="B68" s="212"/>
      <c r="C68" s="208" t="s">
        <v>137</v>
      </c>
      <c r="D68" s="209"/>
      <c r="E68" s="209"/>
      <c r="F68" s="209"/>
      <c r="G68" s="209"/>
      <c r="H68" s="209"/>
      <c r="I68" s="209"/>
      <c r="J68" s="209"/>
      <c r="K68" s="209"/>
      <c r="L68" s="209"/>
      <c r="M68" s="209"/>
      <c r="N68" s="209"/>
      <c r="O68" s="209"/>
      <c r="P68" s="209"/>
      <c r="Q68" s="209"/>
      <c r="R68" s="209"/>
    </row>
    <row r="69" spans="2:18" x14ac:dyDescent="0.2">
      <c r="B69" s="212"/>
      <c r="C69" s="208" t="s">
        <v>137</v>
      </c>
      <c r="D69" s="209"/>
      <c r="E69" s="209"/>
      <c r="F69" s="209"/>
      <c r="G69" s="209"/>
      <c r="H69" s="209"/>
      <c r="I69" s="209"/>
      <c r="J69" s="209"/>
      <c r="K69" s="209"/>
      <c r="L69" s="209"/>
      <c r="M69" s="209"/>
      <c r="N69" s="209"/>
      <c r="O69" s="209"/>
      <c r="P69" s="209"/>
      <c r="Q69" s="209"/>
      <c r="R69" s="209"/>
    </row>
    <row r="70" spans="2:18" x14ac:dyDescent="0.2">
      <c r="B70" s="212"/>
      <c r="C70" s="208" t="s">
        <v>137</v>
      </c>
      <c r="D70" s="209"/>
      <c r="E70" s="209"/>
      <c r="F70" s="209"/>
      <c r="G70" s="209"/>
      <c r="H70" s="209"/>
      <c r="I70" s="209"/>
      <c r="J70" s="209"/>
      <c r="K70" s="209"/>
      <c r="L70" s="209"/>
      <c r="M70" s="209"/>
      <c r="N70" s="209"/>
      <c r="O70" s="209"/>
      <c r="P70" s="209"/>
      <c r="Q70" s="209"/>
      <c r="R70" s="209"/>
    </row>
    <row r="71" spans="2:18" x14ac:dyDescent="0.2">
      <c r="B71" s="204">
        <v>5</v>
      </c>
      <c r="C71" s="210" t="s">
        <v>137</v>
      </c>
      <c r="D71" s="211" t="str">
        <f>IF(COUNTIF(D68:D70,"A")&gt;=1,"C",IF(COUNTIF(D68:D70,"A")&gt;0,"P"," "))</f>
        <v xml:space="preserve"> </v>
      </c>
      <c r="E71" s="211" t="str">
        <f t="shared" ref="E71:R71" si="15">IF(COUNTIF(E68:E70,"A")&gt;=1,"C",IF(COUNTIF(E68:E70,"A")&gt;0,"P"," "))</f>
        <v xml:space="preserve"> </v>
      </c>
      <c r="F71" s="211" t="str">
        <f t="shared" si="15"/>
        <v xml:space="preserve"> </v>
      </c>
      <c r="G71" s="211" t="str">
        <f t="shared" si="15"/>
        <v xml:space="preserve"> </v>
      </c>
      <c r="H71" s="211" t="str">
        <f t="shared" si="15"/>
        <v xml:space="preserve"> </v>
      </c>
      <c r="I71" s="211" t="str">
        <f t="shared" si="15"/>
        <v xml:space="preserve"> </v>
      </c>
      <c r="J71" s="211" t="str">
        <f t="shared" si="15"/>
        <v xml:space="preserve"> </v>
      </c>
      <c r="K71" s="211" t="str">
        <f t="shared" si="15"/>
        <v xml:space="preserve"> </v>
      </c>
      <c r="L71" s="211" t="str">
        <f t="shared" si="15"/>
        <v xml:space="preserve"> </v>
      </c>
      <c r="M71" s="211" t="str">
        <f t="shared" si="15"/>
        <v xml:space="preserve"> </v>
      </c>
      <c r="N71" s="211" t="str">
        <f t="shared" si="15"/>
        <v xml:space="preserve"> </v>
      </c>
      <c r="O71" s="211" t="str">
        <f t="shared" si="15"/>
        <v xml:space="preserve"> </v>
      </c>
      <c r="P71" s="211" t="str">
        <f t="shared" si="15"/>
        <v xml:space="preserve"> </v>
      </c>
      <c r="Q71" s="211" t="str">
        <f t="shared" si="15"/>
        <v xml:space="preserve"> </v>
      </c>
      <c r="R71" s="211" t="str">
        <f t="shared" si="15"/>
        <v xml:space="preserve"> </v>
      </c>
    </row>
    <row r="72" spans="2:18" x14ac:dyDescent="0.2">
      <c r="B72" s="212"/>
      <c r="C72" s="208" t="s">
        <v>137</v>
      </c>
      <c r="D72" s="209"/>
      <c r="E72" s="209"/>
      <c r="F72" s="209"/>
      <c r="G72" s="209"/>
      <c r="H72" s="209"/>
      <c r="I72" s="209"/>
      <c r="J72" s="209"/>
      <c r="K72" s="209"/>
      <c r="L72" s="209"/>
      <c r="M72" s="209"/>
      <c r="N72" s="209"/>
      <c r="O72" s="209"/>
      <c r="P72" s="209"/>
      <c r="Q72" s="209"/>
      <c r="R72" s="209"/>
    </row>
    <row r="73" spans="2:18" x14ac:dyDescent="0.2">
      <c r="B73" s="212"/>
      <c r="C73" s="208" t="s">
        <v>137</v>
      </c>
      <c r="D73" s="209"/>
      <c r="E73" s="209"/>
      <c r="F73" s="209"/>
      <c r="G73" s="209"/>
      <c r="H73" s="209"/>
      <c r="I73" s="209"/>
      <c r="J73" s="209"/>
      <c r="K73" s="209"/>
      <c r="L73" s="209"/>
      <c r="M73" s="209"/>
      <c r="N73" s="209"/>
      <c r="O73" s="209"/>
      <c r="P73" s="209"/>
      <c r="Q73" s="209"/>
      <c r="R73" s="209"/>
    </row>
    <row r="74" spans="2:18" x14ac:dyDescent="0.2">
      <c r="B74" s="212"/>
      <c r="C74" s="208" t="s">
        <v>137</v>
      </c>
      <c r="D74" s="209"/>
      <c r="E74" s="209"/>
      <c r="F74" s="209"/>
      <c r="G74" s="209"/>
      <c r="H74" s="209"/>
      <c r="I74" s="209"/>
      <c r="J74" s="209"/>
      <c r="K74" s="209"/>
      <c r="L74" s="209"/>
      <c r="M74" s="209"/>
      <c r="N74" s="209"/>
      <c r="O74" s="209"/>
      <c r="P74" s="209"/>
      <c r="Q74" s="209"/>
      <c r="R74" s="209"/>
    </row>
    <row r="75" spans="2:18" ht="0.75" customHeight="1" thickBot="1" x14ac:dyDescent="0.25">
      <c r="B75" s="204"/>
      <c r="C75" s="204"/>
      <c r="D75" s="211" t="str">
        <f>IF(COUNTIF(D72:D74,"A")&gt;=1,"C",IF(COUNTIF(D72:D74,"A")&gt;0,"P"," "))</f>
        <v xml:space="preserve"> </v>
      </c>
      <c r="E75" s="211" t="str">
        <f t="shared" ref="E75:R75" si="16">IF(COUNTIF(E72:E74,"A")&gt;=1,"C",IF(COUNTIF(E72:E74,"A")&gt;0,"P"," "))</f>
        <v xml:space="preserve"> </v>
      </c>
      <c r="F75" s="211" t="str">
        <f t="shared" si="16"/>
        <v xml:space="preserve"> </v>
      </c>
      <c r="G75" s="211" t="str">
        <f t="shared" si="16"/>
        <v xml:space="preserve"> </v>
      </c>
      <c r="H75" s="211" t="str">
        <f t="shared" si="16"/>
        <v xml:space="preserve"> </v>
      </c>
      <c r="I75" s="211" t="str">
        <f t="shared" si="16"/>
        <v xml:space="preserve"> </v>
      </c>
      <c r="J75" s="211" t="str">
        <f t="shared" si="16"/>
        <v xml:space="preserve"> </v>
      </c>
      <c r="K75" s="211" t="str">
        <f t="shared" si="16"/>
        <v xml:space="preserve"> </v>
      </c>
      <c r="L75" s="211" t="str">
        <f t="shared" si="16"/>
        <v xml:space="preserve"> </v>
      </c>
      <c r="M75" s="211" t="str">
        <f t="shared" si="16"/>
        <v xml:space="preserve"> </v>
      </c>
      <c r="N75" s="211" t="str">
        <f t="shared" si="16"/>
        <v xml:space="preserve"> </v>
      </c>
      <c r="O75" s="211" t="str">
        <f t="shared" si="16"/>
        <v xml:space="preserve"> </v>
      </c>
      <c r="P75" s="211" t="str">
        <f t="shared" si="16"/>
        <v xml:space="preserve"> </v>
      </c>
      <c r="Q75" s="211" t="str">
        <f t="shared" si="16"/>
        <v xml:space="preserve"> </v>
      </c>
      <c r="R75" s="211" t="str">
        <f t="shared" si="16"/>
        <v xml:space="preserve"> </v>
      </c>
    </row>
    <row r="76" spans="2:18" ht="13.5" thickBot="1" x14ac:dyDescent="0.25">
      <c r="B76" s="204"/>
      <c r="C76" s="173" t="s">
        <v>27</v>
      </c>
      <c r="D76" s="217" t="str">
        <f>IF(COUNTIF(D59:D75,"C")&gt;4,"C",IF(COUNTIF(D59:D75,"C")&gt;0,"P"," "))</f>
        <v xml:space="preserve"> </v>
      </c>
      <c r="E76" s="217" t="str">
        <f t="shared" ref="E76:R76" si="17">IF(COUNTIF(E59:E75,"C")&gt;4,"C",IF(COUNTIF(E59:E75,"C")&gt;0,"P"," "))</f>
        <v xml:space="preserve"> </v>
      </c>
      <c r="F76" s="217" t="str">
        <f t="shared" si="17"/>
        <v xml:space="preserve"> </v>
      </c>
      <c r="G76" s="217" t="str">
        <f t="shared" si="17"/>
        <v xml:space="preserve"> </v>
      </c>
      <c r="H76" s="217" t="str">
        <f t="shared" si="17"/>
        <v xml:space="preserve"> </v>
      </c>
      <c r="I76" s="217" t="str">
        <f t="shared" si="17"/>
        <v xml:space="preserve"> </v>
      </c>
      <c r="J76" s="217" t="str">
        <f t="shared" si="17"/>
        <v xml:space="preserve"> </v>
      </c>
      <c r="K76" s="217" t="str">
        <f t="shared" si="17"/>
        <v xml:space="preserve"> </v>
      </c>
      <c r="L76" s="217" t="str">
        <f t="shared" si="17"/>
        <v xml:space="preserve"> </v>
      </c>
      <c r="M76" s="217" t="str">
        <f t="shared" si="17"/>
        <v xml:space="preserve"> </v>
      </c>
      <c r="N76" s="217" t="str">
        <f t="shared" si="17"/>
        <v xml:space="preserve"> </v>
      </c>
      <c r="O76" s="217" t="str">
        <f t="shared" si="17"/>
        <v xml:space="preserve"> </v>
      </c>
      <c r="P76" s="217" t="str">
        <f t="shared" si="17"/>
        <v xml:space="preserve"> </v>
      </c>
      <c r="Q76" s="217" t="str">
        <f t="shared" si="17"/>
        <v xml:space="preserve"> </v>
      </c>
      <c r="R76" s="217" t="str">
        <f t="shared" si="17"/>
        <v xml:space="preserve"> </v>
      </c>
    </row>
    <row r="78" spans="2:18" ht="15" x14ac:dyDescent="0.25">
      <c r="B78" s="201" t="s">
        <v>136</v>
      </c>
      <c r="C78" s="202"/>
      <c r="D78" s="439"/>
      <c r="E78" s="440"/>
      <c r="F78" s="440"/>
      <c r="G78" s="440"/>
      <c r="H78" s="440"/>
      <c r="I78" s="440"/>
      <c r="J78" s="440"/>
      <c r="K78" s="440"/>
      <c r="L78" s="440"/>
      <c r="M78" s="440"/>
      <c r="N78" s="440"/>
      <c r="O78" s="440"/>
      <c r="P78" s="440"/>
      <c r="Q78" s="440"/>
      <c r="R78" s="440"/>
    </row>
    <row r="79" spans="2:18" x14ac:dyDescent="0.2">
      <c r="B79" s="204">
        <v>1</v>
      </c>
      <c r="C79" s="205" t="s">
        <v>137</v>
      </c>
      <c r="D79" s="206"/>
      <c r="E79" s="206"/>
      <c r="F79" s="206"/>
      <c r="G79" s="206"/>
      <c r="H79" s="206"/>
      <c r="I79" s="206"/>
      <c r="J79" s="206"/>
      <c r="K79" s="206"/>
      <c r="L79" s="206"/>
      <c r="M79" s="206"/>
      <c r="N79" s="206"/>
      <c r="O79" s="206"/>
      <c r="P79" s="206"/>
      <c r="Q79" s="206"/>
      <c r="R79" s="206"/>
    </row>
    <row r="80" spans="2:18" x14ac:dyDescent="0.2">
      <c r="B80" s="207"/>
      <c r="C80" s="208" t="s">
        <v>137</v>
      </c>
      <c r="D80" s="209"/>
      <c r="E80" s="209"/>
      <c r="F80" s="209"/>
      <c r="G80" s="209"/>
      <c r="H80" s="209"/>
      <c r="I80" s="209"/>
      <c r="J80" s="209"/>
      <c r="K80" s="209"/>
      <c r="L80" s="209"/>
      <c r="M80" s="209"/>
      <c r="N80" s="209"/>
      <c r="O80" s="209"/>
      <c r="P80" s="209"/>
      <c r="Q80" s="209"/>
      <c r="R80" s="209"/>
    </row>
    <row r="81" spans="2:18" x14ac:dyDescent="0.2">
      <c r="B81" s="207"/>
      <c r="C81" s="208" t="s">
        <v>137</v>
      </c>
      <c r="D81" s="209"/>
      <c r="E81" s="209"/>
      <c r="F81" s="209"/>
      <c r="G81" s="209"/>
      <c r="H81" s="209"/>
      <c r="I81" s="209"/>
      <c r="J81" s="209"/>
      <c r="K81" s="209"/>
      <c r="L81" s="209"/>
      <c r="M81" s="209"/>
      <c r="N81" s="209"/>
      <c r="O81" s="209"/>
      <c r="P81" s="209"/>
      <c r="Q81" s="209"/>
      <c r="R81" s="209"/>
    </row>
    <row r="82" spans="2:18" x14ac:dyDescent="0.2">
      <c r="B82" s="207"/>
      <c r="C82" s="208" t="s">
        <v>137</v>
      </c>
      <c r="D82" s="209"/>
      <c r="E82" s="209"/>
      <c r="F82" s="209"/>
      <c r="G82" s="209"/>
      <c r="H82" s="209"/>
      <c r="I82" s="209"/>
      <c r="J82" s="209"/>
      <c r="K82" s="209"/>
      <c r="L82" s="209"/>
      <c r="M82" s="209"/>
      <c r="N82" s="209"/>
      <c r="O82" s="209"/>
      <c r="P82" s="209"/>
      <c r="Q82" s="209"/>
      <c r="R82" s="209"/>
    </row>
    <row r="83" spans="2:18" x14ac:dyDescent="0.2">
      <c r="B83" s="204">
        <v>2</v>
      </c>
      <c r="C83" s="210" t="s">
        <v>137</v>
      </c>
      <c r="D83" s="211" t="str">
        <f>IF(COUNTIF(D80:D82,"A")&gt;=1,"C",IF(COUNTIF(D80:D82,"A")&gt;0,"P"," "))</f>
        <v xml:space="preserve"> </v>
      </c>
      <c r="E83" s="211" t="str">
        <f t="shared" ref="E83:R83" si="18">IF(COUNTIF(E80:E82,"A")&gt;=1,"C",IF(COUNTIF(E80:E82,"A")&gt;0,"P"," "))</f>
        <v xml:space="preserve"> </v>
      </c>
      <c r="F83" s="211" t="str">
        <f t="shared" si="18"/>
        <v xml:space="preserve"> </v>
      </c>
      <c r="G83" s="211" t="str">
        <f t="shared" si="18"/>
        <v xml:space="preserve"> </v>
      </c>
      <c r="H83" s="211" t="str">
        <f t="shared" si="18"/>
        <v xml:space="preserve"> </v>
      </c>
      <c r="I83" s="211" t="str">
        <f t="shared" si="18"/>
        <v xml:space="preserve"> </v>
      </c>
      <c r="J83" s="211" t="str">
        <f t="shared" si="18"/>
        <v xml:space="preserve"> </v>
      </c>
      <c r="K83" s="211" t="str">
        <f t="shared" si="18"/>
        <v xml:space="preserve"> </v>
      </c>
      <c r="L83" s="211" t="str">
        <f t="shared" si="18"/>
        <v xml:space="preserve"> </v>
      </c>
      <c r="M83" s="211" t="str">
        <f t="shared" si="18"/>
        <v xml:space="preserve"> </v>
      </c>
      <c r="N83" s="211" t="str">
        <f t="shared" si="18"/>
        <v xml:space="preserve"> </v>
      </c>
      <c r="O83" s="211" t="str">
        <f t="shared" si="18"/>
        <v xml:space="preserve"> </v>
      </c>
      <c r="P83" s="211" t="str">
        <f t="shared" si="18"/>
        <v xml:space="preserve"> </v>
      </c>
      <c r="Q83" s="211" t="str">
        <f t="shared" si="18"/>
        <v xml:space="preserve"> </v>
      </c>
      <c r="R83" s="211" t="str">
        <f t="shared" si="18"/>
        <v xml:space="preserve"> </v>
      </c>
    </row>
    <row r="84" spans="2:18" x14ac:dyDescent="0.2">
      <c r="B84" s="212"/>
      <c r="C84" s="208" t="s">
        <v>137</v>
      </c>
      <c r="D84" s="209"/>
      <c r="E84" s="209"/>
      <c r="F84" s="209"/>
      <c r="G84" s="209"/>
      <c r="H84" s="209"/>
      <c r="I84" s="209"/>
      <c r="J84" s="209"/>
      <c r="K84" s="209"/>
      <c r="L84" s="209"/>
      <c r="M84" s="209"/>
      <c r="N84" s="209"/>
      <c r="O84" s="209"/>
      <c r="P84" s="209"/>
      <c r="Q84" s="209"/>
      <c r="R84" s="209"/>
    </row>
    <row r="85" spans="2:18" x14ac:dyDescent="0.2">
      <c r="B85" s="212"/>
      <c r="C85" s="208" t="s">
        <v>137</v>
      </c>
      <c r="D85" s="209"/>
      <c r="E85" s="209"/>
      <c r="F85" s="209"/>
      <c r="G85" s="209"/>
      <c r="H85" s="209"/>
      <c r="I85" s="209"/>
      <c r="J85" s="209"/>
      <c r="K85" s="209"/>
      <c r="L85" s="209"/>
      <c r="M85" s="209"/>
      <c r="N85" s="209"/>
      <c r="O85" s="209"/>
      <c r="P85" s="209"/>
      <c r="Q85" s="209"/>
      <c r="R85" s="209"/>
    </row>
    <row r="86" spans="2:18" x14ac:dyDescent="0.2">
      <c r="B86" s="212"/>
      <c r="C86" s="208" t="s">
        <v>137</v>
      </c>
      <c r="D86" s="209"/>
      <c r="E86" s="209"/>
      <c r="F86" s="209"/>
      <c r="G86" s="209"/>
      <c r="H86" s="209"/>
      <c r="I86" s="209"/>
      <c r="J86" s="209"/>
      <c r="K86" s="209"/>
      <c r="L86" s="209"/>
      <c r="M86" s="209"/>
      <c r="N86" s="209"/>
      <c r="O86" s="209"/>
      <c r="P86" s="209"/>
      <c r="Q86" s="209"/>
      <c r="R86" s="209"/>
    </row>
    <row r="87" spans="2:18" x14ac:dyDescent="0.2">
      <c r="B87" s="204">
        <v>3</v>
      </c>
      <c r="C87" s="210" t="s">
        <v>137</v>
      </c>
      <c r="D87" s="211" t="str">
        <f>IF(COUNTIF(D84:D86,"A")&gt;=1,"C",IF(COUNTIF(D84:D86,"A")&gt;0,"P"," "))</f>
        <v xml:space="preserve"> </v>
      </c>
      <c r="E87" s="211" t="str">
        <f t="shared" ref="E87:R87" si="19">IF(COUNTIF(E84:E86,"A")&gt;=1,"C",IF(COUNTIF(E84:E86,"A")&gt;0,"P"," "))</f>
        <v xml:space="preserve"> </v>
      </c>
      <c r="F87" s="211" t="str">
        <f t="shared" si="19"/>
        <v xml:space="preserve"> </v>
      </c>
      <c r="G87" s="211" t="str">
        <f t="shared" si="19"/>
        <v xml:space="preserve"> </v>
      </c>
      <c r="H87" s="211" t="str">
        <f t="shared" si="19"/>
        <v xml:space="preserve"> </v>
      </c>
      <c r="I87" s="211" t="str">
        <f t="shared" si="19"/>
        <v xml:space="preserve"> </v>
      </c>
      <c r="J87" s="211" t="str">
        <f t="shared" si="19"/>
        <v xml:space="preserve"> </v>
      </c>
      <c r="K87" s="211" t="str">
        <f t="shared" si="19"/>
        <v xml:space="preserve"> </v>
      </c>
      <c r="L87" s="211" t="str">
        <f t="shared" si="19"/>
        <v xml:space="preserve"> </v>
      </c>
      <c r="M87" s="211" t="str">
        <f t="shared" si="19"/>
        <v xml:space="preserve"> </v>
      </c>
      <c r="N87" s="211" t="str">
        <f t="shared" si="19"/>
        <v xml:space="preserve"> </v>
      </c>
      <c r="O87" s="211" t="str">
        <f t="shared" si="19"/>
        <v xml:space="preserve"> </v>
      </c>
      <c r="P87" s="211" t="str">
        <f t="shared" si="19"/>
        <v xml:space="preserve"> </v>
      </c>
      <c r="Q87" s="211" t="str">
        <f t="shared" si="19"/>
        <v xml:space="preserve"> </v>
      </c>
      <c r="R87" s="211" t="str">
        <f t="shared" si="19"/>
        <v xml:space="preserve"> </v>
      </c>
    </row>
    <row r="88" spans="2:18" x14ac:dyDescent="0.2">
      <c r="B88" s="212"/>
      <c r="C88" s="208" t="s">
        <v>137</v>
      </c>
      <c r="D88" s="209"/>
      <c r="E88" s="209"/>
      <c r="F88" s="209"/>
      <c r="G88" s="209"/>
      <c r="H88" s="209"/>
      <c r="I88" s="209"/>
      <c r="J88" s="209"/>
      <c r="K88" s="209"/>
      <c r="L88" s="209"/>
      <c r="M88" s="209"/>
      <c r="N88" s="209"/>
      <c r="O88" s="209"/>
      <c r="P88" s="209"/>
      <c r="Q88" s="209"/>
      <c r="R88" s="209"/>
    </row>
    <row r="89" spans="2:18" x14ac:dyDescent="0.2">
      <c r="B89" s="212"/>
      <c r="C89" s="208" t="s">
        <v>137</v>
      </c>
      <c r="D89" s="209"/>
      <c r="E89" s="209"/>
      <c r="F89" s="209"/>
      <c r="G89" s="209"/>
      <c r="H89" s="209"/>
      <c r="I89" s="209"/>
      <c r="J89" s="209"/>
      <c r="K89" s="209"/>
      <c r="L89" s="209"/>
      <c r="M89" s="209"/>
      <c r="N89" s="209"/>
      <c r="O89" s="209"/>
      <c r="P89" s="209"/>
      <c r="Q89" s="209"/>
      <c r="R89" s="209"/>
    </row>
    <row r="90" spans="2:18" x14ac:dyDescent="0.2">
      <c r="B90" s="212"/>
      <c r="C90" s="208" t="s">
        <v>137</v>
      </c>
      <c r="D90" s="209"/>
      <c r="E90" s="209"/>
      <c r="F90" s="209"/>
      <c r="G90" s="209"/>
      <c r="H90" s="209"/>
      <c r="I90" s="209"/>
      <c r="J90" s="209"/>
      <c r="K90" s="209"/>
      <c r="L90" s="209"/>
      <c r="M90" s="209"/>
      <c r="N90" s="209"/>
      <c r="O90" s="209"/>
      <c r="P90" s="209"/>
      <c r="Q90" s="209"/>
      <c r="R90" s="209"/>
    </row>
    <row r="91" spans="2:18" x14ac:dyDescent="0.2">
      <c r="B91" s="204">
        <v>4</v>
      </c>
      <c r="C91" s="210" t="s">
        <v>137</v>
      </c>
      <c r="D91" s="211" t="str">
        <f>IF(COUNTIF(D88:D90,"A")&gt;=1,"C",IF(COUNTIF(D88:D90,"A")&gt;0,"P"," "))</f>
        <v xml:space="preserve"> </v>
      </c>
      <c r="E91" s="211" t="str">
        <f t="shared" ref="E91:R91" si="20">IF(COUNTIF(E88:E90,"A")&gt;=1,"C",IF(COUNTIF(E88:E90,"A")&gt;0,"P"," "))</f>
        <v xml:space="preserve"> </v>
      </c>
      <c r="F91" s="211" t="str">
        <f t="shared" si="20"/>
        <v xml:space="preserve"> </v>
      </c>
      <c r="G91" s="211" t="str">
        <f t="shared" si="20"/>
        <v xml:space="preserve"> </v>
      </c>
      <c r="H91" s="211" t="str">
        <f t="shared" si="20"/>
        <v xml:space="preserve"> </v>
      </c>
      <c r="I91" s="211" t="str">
        <f t="shared" si="20"/>
        <v xml:space="preserve"> </v>
      </c>
      <c r="J91" s="211" t="str">
        <f t="shared" si="20"/>
        <v xml:space="preserve"> </v>
      </c>
      <c r="K91" s="211" t="str">
        <f t="shared" si="20"/>
        <v xml:space="preserve"> </v>
      </c>
      <c r="L91" s="211" t="str">
        <f t="shared" si="20"/>
        <v xml:space="preserve"> </v>
      </c>
      <c r="M91" s="211" t="str">
        <f t="shared" si="20"/>
        <v xml:space="preserve"> </v>
      </c>
      <c r="N91" s="211" t="str">
        <f t="shared" si="20"/>
        <v xml:space="preserve"> </v>
      </c>
      <c r="O91" s="211" t="str">
        <f t="shared" si="20"/>
        <v xml:space="preserve"> </v>
      </c>
      <c r="P91" s="211" t="str">
        <f t="shared" si="20"/>
        <v xml:space="preserve"> </v>
      </c>
      <c r="Q91" s="211" t="str">
        <f t="shared" si="20"/>
        <v xml:space="preserve"> </v>
      </c>
      <c r="R91" s="211" t="str">
        <f t="shared" si="20"/>
        <v xml:space="preserve"> </v>
      </c>
    </row>
    <row r="92" spans="2:18" x14ac:dyDescent="0.2">
      <c r="B92" s="212"/>
      <c r="C92" s="208" t="s">
        <v>137</v>
      </c>
      <c r="D92" s="209"/>
      <c r="E92" s="209"/>
      <c r="F92" s="209"/>
      <c r="G92" s="209"/>
      <c r="H92" s="209"/>
      <c r="I92" s="209"/>
      <c r="J92" s="209"/>
      <c r="K92" s="209"/>
      <c r="L92" s="209"/>
      <c r="M92" s="209"/>
      <c r="N92" s="209"/>
      <c r="O92" s="209"/>
      <c r="P92" s="209"/>
      <c r="Q92" s="209"/>
      <c r="R92" s="209"/>
    </row>
    <row r="93" spans="2:18" x14ac:dyDescent="0.2">
      <c r="B93" s="212"/>
      <c r="C93" s="208" t="s">
        <v>137</v>
      </c>
      <c r="D93" s="209"/>
      <c r="E93" s="209"/>
      <c r="F93" s="209"/>
      <c r="G93" s="209"/>
      <c r="H93" s="209"/>
      <c r="I93" s="209"/>
      <c r="J93" s="209"/>
      <c r="K93" s="209"/>
      <c r="L93" s="209"/>
      <c r="M93" s="209"/>
      <c r="N93" s="209"/>
      <c r="O93" s="209"/>
      <c r="P93" s="209"/>
      <c r="Q93" s="209"/>
      <c r="R93" s="209"/>
    </row>
    <row r="94" spans="2:18" x14ac:dyDescent="0.2">
      <c r="B94" s="212"/>
      <c r="C94" s="208" t="s">
        <v>137</v>
      </c>
      <c r="D94" s="209"/>
      <c r="E94" s="209"/>
      <c r="F94" s="209"/>
      <c r="G94" s="209"/>
      <c r="H94" s="209"/>
      <c r="I94" s="209"/>
      <c r="J94" s="209"/>
      <c r="K94" s="209"/>
      <c r="L94" s="209"/>
      <c r="M94" s="209"/>
      <c r="N94" s="209"/>
      <c r="O94" s="209"/>
      <c r="P94" s="209"/>
      <c r="Q94" s="209"/>
      <c r="R94" s="209"/>
    </row>
    <row r="95" spans="2:18" x14ac:dyDescent="0.2">
      <c r="B95" s="204">
        <v>5</v>
      </c>
      <c r="C95" s="210" t="s">
        <v>137</v>
      </c>
      <c r="D95" s="211" t="str">
        <f>IF(COUNTIF(D92:D94,"A")&gt;=1,"C",IF(COUNTIF(D92:D94,"A")&gt;0,"P"," "))</f>
        <v xml:space="preserve"> </v>
      </c>
      <c r="E95" s="211" t="str">
        <f t="shared" ref="E95:R95" si="21">IF(COUNTIF(E92:E94,"A")&gt;=1,"C",IF(COUNTIF(E92:E94,"A")&gt;0,"P"," "))</f>
        <v xml:space="preserve"> </v>
      </c>
      <c r="F95" s="211" t="str">
        <f t="shared" si="21"/>
        <v xml:space="preserve"> </v>
      </c>
      <c r="G95" s="211" t="str">
        <f t="shared" si="21"/>
        <v xml:space="preserve"> </v>
      </c>
      <c r="H95" s="211" t="str">
        <f t="shared" si="21"/>
        <v xml:space="preserve"> </v>
      </c>
      <c r="I95" s="211" t="str">
        <f t="shared" si="21"/>
        <v xml:space="preserve"> </v>
      </c>
      <c r="J95" s="211" t="str">
        <f t="shared" si="21"/>
        <v xml:space="preserve"> </v>
      </c>
      <c r="K95" s="211" t="str">
        <f t="shared" si="21"/>
        <v xml:space="preserve"> </v>
      </c>
      <c r="L95" s="211" t="str">
        <f t="shared" si="21"/>
        <v xml:space="preserve"> </v>
      </c>
      <c r="M95" s="211" t="str">
        <f t="shared" si="21"/>
        <v xml:space="preserve"> </v>
      </c>
      <c r="N95" s="211" t="str">
        <f t="shared" si="21"/>
        <v xml:space="preserve"> </v>
      </c>
      <c r="O95" s="211" t="str">
        <f t="shared" si="21"/>
        <v xml:space="preserve"> </v>
      </c>
      <c r="P95" s="211" t="str">
        <f t="shared" si="21"/>
        <v xml:space="preserve"> </v>
      </c>
      <c r="Q95" s="211" t="str">
        <f t="shared" si="21"/>
        <v xml:space="preserve"> </v>
      </c>
      <c r="R95" s="211" t="str">
        <f t="shared" si="21"/>
        <v xml:space="preserve"> </v>
      </c>
    </row>
    <row r="96" spans="2:18" x14ac:dyDescent="0.2">
      <c r="B96" s="212"/>
      <c r="C96" s="208" t="s">
        <v>137</v>
      </c>
      <c r="D96" s="209"/>
      <c r="E96" s="209"/>
      <c r="F96" s="209"/>
      <c r="G96" s="209"/>
      <c r="H96" s="209"/>
      <c r="I96" s="209"/>
      <c r="J96" s="209"/>
      <c r="K96" s="209"/>
      <c r="L96" s="209"/>
      <c r="M96" s="209"/>
      <c r="N96" s="209"/>
      <c r="O96" s="209"/>
      <c r="P96" s="209"/>
      <c r="Q96" s="209"/>
      <c r="R96" s="209"/>
    </row>
    <row r="97" spans="2:18" x14ac:dyDescent="0.2">
      <c r="B97" s="212"/>
      <c r="C97" s="208" t="s">
        <v>137</v>
      </c>
      <c r="D97" s="209"/>
      <c r="E97" s="209"/>
      <c r="F97" s="209"/>
      <c r="G97" s="209"/>
      <c r="H97" s="209"/>
      <c r="I97" s="209"/>
      <c r="J97" s="209"/>
      <c r="K97" s="209"/>
      <c r="L97" s="209"/>
      <c r="M97" s="209"/>
      <c r="N97" s="209"/>
      <c r="O97" s="209"/>
      <c r="P97" s="209"/>
      <c r="Q97" s="209"/>
      <c r="R97" s="209"/>
    </row>
    <row r="98" spans="2:18" x14ac:dyDescent="0.2">
      <c r="B98" s="212"/>
      <c r="C98" s="208" t="s">
        <v>137</v>
      </c>
      <c r="D98" s="209"/>
      <c r="E98" s="209"/>
      <c r="F98" s="209"/>
      <c r="G98" s="209"/>
      <c r="H98" s="209"/>
      <c r="I98" s="209"/>
      <c r="J98" s="209"/>
      <c r="K98" s="209"/>
      <c r="L98" s="209"/>
      <c r="M98" s="209"/>
      <c r="N98" s="209"/>
      <c r="O98" s="209"/>
      <c r="P98" s="209"/>
      <c r="Q98" s="209"/>
      <c r="R98" s="209"/>
    </row>
    <row r="99" spans="2:18" ht="0.75" customHeight="1" thickBot="1" x14ac:dyDescent="0.25">
      <c r="B99" s="204"/>
      <c r="C99" s="204"/>
      <c r="D99" s="211" t="str">
        <f>IF(COUNTIF(D96:D98,"A")&gt;=1,"C",IF(COUNTIF(D96:D98,"A")&gt;0,"P"," "))</f>
        <v xml:space="preserve"> </v>
      </c>
      <c r="E99" s="211" t="str">
        <f t="shared" ref="E99:R99" si="22">IF(COUNTIF(E96:E98,"A")&gt;=1,"C",IF(COUNTIF(E96:E98,"A")&gt;0,"P"," "))</f>
        <v xml:space="preserve"> </v>
      </c>
      <c r="F99" s="211" t="str">
        <f t="shared" si="22"/>
        <v xml:space="preserve"> </v>
      </c>
      <c r="G99" s="211" t="str">
        <f t="shared" si="22"/>
        <v xml:space="preserve"> </v>
      </c>
      <c r="H99" s="211" t="str">
        <f t="shared" si="22"/>
        <v xml:space="preserve"> </v>
      </c>
      <c r="I99" s="211" t="str">
        <f t="shared" si="22"/>
        <v xml:space="preserve"> </v>
      </c>
      <c r="J99" s="211" t="str">
        <f t="shared" si="22"/>
        <v xml:space="preserve"> </v>
      </c>
      <c r="K99" s="211" t="str">
        <f t="shared" si="22"/>
        <v xml:space="preserve"> </v>
      </c>
      <c r="L99" s="211" t="str">
        <f t="shared" si="22"/>
        <v xml:space="preserve"> </v>
      </c>
      <c r="M99" s="211" t="str">
        <f t="shared" si="22"/>
        <v xml:space="preserve"> </v>
      </c>
      <c r="N99" s="211" t="str">
        <f t="shared" si="22"/>
        <v xml:space="preserve"> </v>
      </c>
      <c r="O99" s="211" t="str">
        <f t="shared" si="22"/>
        <v xml:space="preserve"> </v>
      </c>
      <c r="P99" s="211" t="str">
        <f t="shared" si="22"/>
        <v xml:space="preserve"> </v>
      </c>
      <c r="Q99" s="211" t="str">
        <f t="shared" si="22"/>
        <v xml:space="preserve"> </v>
      </c>
      <c r="R99" s="211" t="str">
        <f t="shared" si="22"/>
        <v xml:space="preserve"> </v>
      </c>
    </row>
    <row r="100" spans="2:18" ht="13.5" thickBot="1" x14ac:dyDescent="0.25">
      <c r="B100" s="204"/>
      <c r="C100" s="173" t="s">
        <v>27</v>
      </c>
      <c r="D100" s="217" t="str">
        <f>IF(COUNTIF(D83:D99,"C")&gt;4,"C",IF(COUNTIF(D83:D99,"C")&gt;0,"P"," "))</f>
        <v xml:space="preserve"> </v>
      </c>
      <c r="E100" s="217" t="str">
        <f t="shared" ref="E100:R100" si="23">IF(COUNTIF(E83:E99,"C")&gt;4,"C",IF(COUNTIF(E83:E99,"C")&gt;0,"P"," "))</f>
        <v xml:space="preserve"> </v>
      </c>
      <c r="F100" s="217" t="str">
        <f t="shared" si="23"/>
        <v xml:space="preserve"> </v>
      </c>
      <c r="G100" s="217" t="str">
        <f t="shared" si="23"/>
        <v xml:space="preserve"> </v>
      </c>
      <c r="H100" s="217" t="str">
        <f t="shared" si="23"/>
        <v xml:space="preserve"> </v>
      </c>
      <c r="I100" s="217" t="str">
        <f t="shared" si="23"/>
        <v xml:space="preserve"> </v>
      </c>
      <c r="J100" s="217" t="str">
        <f t="shared" si="23"/>
        <v xml:space="preserve"> </v>
      </c>
      <c r="K100" s="217" t="str">
        <f t="shared" si="23"/>
        <v xml:space="preserve"> </v>
      </c>
      <c r="L100" s="217" t="str">
        <f t="shared" si="23"/>
        <v xml:space="preserve"> </v>
      </c>
      <c r="M100" s="217" t="str">
        <f t="shared" si="23"/>
        <v xml:space="preserve"> </v>
      </c>
      <c r="N100" s="217" t="str">
        <f t="shared" si="23"/>
        <v xml:space="preserve"> </v>
      </c>
      <c r="O100" s="217" t="str">
        <f t="shared" si="23"/>
        <v xml:space="preserve"> </v>
      </c>
      <c r="P100" s="217" t="str">
        <f t="shared" si="23"/>
        <v xml:space="preserve"> </v>
      </c>
      <c r="Q100" s="217" t="str">
        <f t="shared" si="23"/>
        <v xml:space="preserve"> </v>
      </c>
      <c r="R100" s="217" t="str">
        <f t="shared" si="23"/>
        <v xml:space="preserve"> </v>
      </c>
    </row>
    <row r="102" spans="2:18" ht="15" x14ac:dyDescent="0.25">
      <c r="B102" s="201" t="s">
        <v>136</v>
      </c>
      <c r="C102" s="202"/>
      <c r="D102" s="439"/>
      <c r="E102" s="440"/>
      <c r="F102" s="440"/>
      <c r="G102" s="440"/>
      <c r="H102" s="440"/>
      <c r="I102" s="440"/>
      <c r="J102" s="440"/>
      <c r="K102" s="440"/>
      <c r="L102" s="440"/>
      <c r="M102" s="440"/>
      <c r="N102" s="440"/>
      <c r="O102" s="440"/>
      <c r="P102" s="440"/>
      <c r="Q102" s="440"/>
      <c r="R102" s="440"/>
    </row>
    <row r="103" spans="2:18" x14ac:dyDescent="0.2">
      <c r="B103" s="204">
        <v>1</v>
      </c>
      <c r="C103" s="205" t="s">
        <v>137</v>
      </c>
      <c r="D103" s="206"/>
      <c r="E103" s="206"/>
      <c r="F103" s="206"/>
      <c r="G103" s="206"/>
      <c r="H103" s="206"/>
      <c r="I103" s="206"/>
      <c r="J103" s="206"/>
      <c r="K103" s="206"/>
      <c r="L103" s="206"/>
      <c r="M103" s="206"/>
      <c r="N103" s="206"/>
      <c r="O103" s="206"/>
      <c r="P103" s="206"/>
      <c r="Q103" s="206"/>
      <c r="R103" s="206"/>
    </row>
    <row r="104" spans="2:18" x14ac:dyDescent="0.2">
      <c r="B104" s="207"/>
      <c r="C104" s="208" t="s">
        <v>137</v>
      </c>
      <c r="D104" s="209"/>
      <c r="E104" s="209"/>
      <c r="F104" s="209"/>
      <c r="G104" s="209"/>
      <c r="H104" s="209"/>
      <c r="I104" s="209"/>
      <c r="J104" s="209"/>
      <c r="K104" s="209"/>
      <c r="L104" s="209"/>
      <c r="M104" s="209"/>
      <c r="N104" s="209"/>
      <c r="O104" s="209"/>
      <c r="P104" s="209"/>
      <c r="Q104" s="209"/>
      <c r="R104" s="209"/>
    </row>
    <row r="105" spans="2:18" x14ac:dyDescent="0.2">
      <c r="B105" s="207"/>
      <c r="C105" s="208" t="s">
        <v>137</v>
      </c>
      <c r="D105" s="209"/>
      <c r="E105" s="209"/>
      <c r="F105" s="209"/>
      <c r="G105" s="209"/>
      <c r="H105" s="209"/>
      <c r="I105" s="209"/>
      <c r="J105" s="209"/>
      <c r="K105" s="209"/>
      <c r="L105" s="209"/>
      <c r="M105" s="209"/>
      <c r="N105" s="209"/>
      <c r="O105" s="209"/>
      <c r="P105" s="209"/>
      <c r="Q105" s="209"/>
      <c r="R105" s="209"/>
    </row>
    <row r="106" spans="2:18" x14ac:dyDescent="0.2">
      <c r="B106" s="207"/>
      <c r="C106" s="208" t="s">
        <v>137</v>
      </c>
      <c r="D106" s="209"/>
      <c r="E106" s="209"/>
      <c r="F106" s="209"/>
      <c r="G106" s="209"/>
      <c r="H106" s="209"/>
      <c r="I106" s="209"/>
      <c r="J106" s="209"/>
      <c r="K106" s="209"/>
      <c r="L106" s="209"/>
      <c r="M106" s="209"/>
      <c r="N106" s="209"/>
      <c r="O106" s="209"/>
      <c r="P106" s="209"/>
      <c r="Q106" s="209"/>
      <c r="R106" s="209"/>
    </row>
    <row r="107" spans="2:18" x14ac:dyDescent="0.2">
      <c r="B107" s="204">
        <v>2</v>
      </c>
      <c r="C107" s="210" t="s">
        <v>137</v>
      </c>
      <c r="D107" s="211" t="str">
        <f>IF(COUNTIF(D104:D106,"A")&gt;=1,"C",IF(COUNTIF(D104:D106,"A")&gt;0,"P"," "))</f>
        <v xml:space="preserve"> </v>
      </c>
      <c r="E107" s="211" t="str">
        <f t="shared" ref="E107:R107" si="24">IF(COUNTIF(E104:E106,"A")&gt;=1,"C",IF(COUNTIF(E104:E106,"A")&gt;0,"P"," "))</f>
        <v xml:space="preserve"> </v>
      </c>
      <c r="F107" s="211" t="str">
        <f t="shared" si="24"/>
        <v xml:space="preserve"> </v>
      </c>
      <c r="G107" s="211" t="str">
        <f t="shared" si="24"/>
        <v xml:space="preserve"> </v>
      </c>
      <c r="H107" s="211" t="str">
        <f t="shared" si="24"/>
        <v xml:space="preserve"> </v>
      </c>
      <c r="I107" s="211" t="str">
        <f t="shared" si="24"/>
        <v xml:space="preserve"> </v>
      </c>
      <c r="J107" s="211" t="str">
        <f t="shared" si="24"/>
        <v xml:space="preserve"> </v>
      </c>
      <c r="K107" s="211" t="str">
        <f t="shared" si="24"/>
        <v xml:space="preserve"> </v>
      </c>
      <c r="L107" s="211" t="str">
        <f t="shared" si="24"/>
        <v xml:space="preserve"> </v>
      </c>
      <c r="M107" s="211" t="str">
        <f t="shared" si="24"/>
        <v xml:space="preserve"> </v>
      </c>
      <c r="N107" s="211" t="str">
        <f t="shared" si="24"/>
        <v xml:space="preserve"> </v>
      </c>
      <c r="O107" s="211" t="str">
        <f t="shared" si="24"/>
        <v xml:space="preserve"> </v>
      </c>
      <c r="P107" s="211" t="str">
        <f t="shared" si="24"/>
        <v xml:space="preserve"> </v>
      </c>
      <c r="Q107" s="211" t="str">
        <f t="shared" si="24"/>
        <v xml:space="preserve"> </v>
      </c>
      <c r="R107" s="211" t="str">
        <f t="shared" si="24"/>
        <v xml:space="preserve"> </v>
      </c>
    </row>
    <row r="108" spans="2:18" x14ac:dyDescent="0.2">
      <c r="B108" s="212"/>
      <c r="C108" s="208" t="s">
        <v>137</v>
      </c>
      <c r="D108" s="209"/>
      <c r="E108" s="209"/>
      <c r="F108" s="209"/>
      <c r="G108" s="209"/>
      <c r="H108" s="209"/>
      <c r="I108" s="209"/>
      <c r="J108" s="209"/>
      <c r="K108" s="209"/>
      <c r="L108" s="209"/>
      <c r="M108" s="209"/>
      <c r="N108" s="209"/>
      <c r="O108" s="209"/>
      <c r="P108" s="209"/>
      <c r="Q108" s="209"/>
      <c r="R108" s="209"/>
    </row>
    <row r="109" spans="2:18" x14ac:dyDescent="0.2">
      <c r="B109" s="212"/>
      <c r="C109" s="208" t="s">
        <v>137</v>
      </c>
      <c r="D109" s="209"/>
      <c r="E109" s="209"/>
      <c r="F109" s="209"/>
      <c r="G109" s="209"/>
      <c r="H109" s="209"/>
      <c r="I109" s="209"/>
      <c r="J109" s="209"/>
      <c r="K109" s="209"/>
      <c r="L109" s="209"/>
      <c r="M109" s="209"/>
      <c r="N109" s="209"/>
      <c r="O109" s="209"/>
      <c r="P109" s="209"/>
      <c r="Q109" s="209"/>
      <c r="R109" s="209"/>
    </row>
    <row r="110" spans="2:18" x14ac:dyDescent="0.2">
      <c r="B110" s="212"/>
      <c r="C110" s="208" t="s">
        <v>137</v>
      </c>
      <c r="D110" s="209"/>
      <c r="E110" s="209"/>
      <c r="F110" s="209"/>
      <c r="G110" s="209"/>
      <c r="H110" s="209"/>
      <c r="I110" s="209"/>
      <c r="J110" s="209"/>
      <c r="K110" s="209"/>
      <c r="L110" s="209"/>
      <c r="M110" s="209"/>
      <c r="N110" s="209"/>
      <c r="O110" s="209"/>
      <c r="P110" s="209"/>
      <c r="Q110" s="209"/>
      <c r="R110" s="209"/>
    </row>
    <row r="111" spans="2:18" x14ac:dyDescent="0.2">
      <c r="B111" s="204">
        <v>3</v>
      </c>
      <c r="C111" s="210" t="s">
        <v>137</v>
      </c>
      <c r="D111" s="211" t="str">
        <f>IF(COUNTIF(D108:D110,"A")&gt;=1,"C",IF(COUNTIF(D108:D110,"A")&gt;0,"P"," "))</f>
        <v xml:space="preserve"> </v>
      </c>
      <c r="E111" s="211" t="str">
        <f t="shared" ref="E111:R111" si="25">IF(COUNTIF(E108:E110,"A")&gt;=1,"C",IF(COUNTIF(E108:E110,"A")&gt;0,"P"," "))</f>
        <v xml:space="preserve"> </v>
      </c>
      <c r="F111" s="211" t="str">
        <f t="shared" si="25"/>
        <v xml:space="preserve"> </v>
      </c>
      <c r="G111" s="211" t="str">
        <f t="shared" si="25"/>
        <v xml:space="preserve"> </v>
      </c>
      <c r="H111" s="211" t="str">
        <f t="shared" si="25"/>
        <v xml:space="preserve"> </v>
      </c>
      <c r="I111" s="211" t="str">
        <f t="shared" si="25"/>
        <v xml:space="preserve"> </v>
      </c>
      <c r="J111" s="211" t="str">
        <f t="shared" si="25"/>
        <v xml:space="preserve"> </v>
      </c>
      <c r="K111" s="211" t="str">
        <f t="shared" si="25"/>
        <v xml:space="preserve"> </v>
      </c>
      <c r="L111" s="211" t="str">
        <f t="shared" si="25"/>
        <v xml:space="preserve"> </v>
      </c>
      <c r="M111" s="211" t="str">
        <f t="shared" si="25"/>
        <v xml:space="preserve"> </v>
      </c>
      <c r="N111" s="211" t="str">
        <f t="shared" si="25"/>
        <v xml:space="preserve"> </v>
      </c>
      <c r="O111" s="211" t="str">
        <f t="shared" si="25"/>
        <v xml:space="preserve"> </v>
      </c>
      <c r="P111" s="211" t="str">
        <f t="shared" si="25"/>
        <v xml:space="preserve"> </v>
      </c>
      <c r="Q111" s="211" t="str">
        <f t="shared" si="25"/>
        <v xml:space="preserve"> </v>
      </c>
      <c r="R111" s="211" t="str">
        <f t="shared" si="25"/>
        <v xml:space="preserve"> </v>
      </c>
    </row>
    <row r="112" spans="2:18" x14ac:dyDescent="0.2">
      <c r="B112" s="212"/>
      <c r="C112" s="208" t="s">
        <v>137</v>
      </c>
      <c r="D112" s="209"/>
      <c r="E112" s="209"/>
      <c r="F112" s="209"/>
      <c r="G112" s="209"/>
      <c r="H112" s="209"/>
      <c r="I112" s="209"/>
      <c r="J112" s="209"/>
      <c r="K112" s="209"/>
      <c r="L112" s="209"/>
      <c r="M112" s="209"/>
      <c r="N112" s="209"/>
      <c r="O112" s="209"/>
      <c r="P112" s="209"/>
      <c r="Q112" s="209"/>
      <c r="R112" s="209"/>
    </row>
    <row r="113" spans="2:18" x14ac:dyDescent="0.2">
      <c r="B113" s="212"/>
      <c r="C113" s="208" t="s">
        <v>137</v>
      </c>
      <c r="D113" s="209"/>
      <c r="E113" s="209"/>
      <c r="F113" s="209"/>
      <c r="G113" s="209"/>
      <c r="H113" s="209"/>
      <c r="I113" s="209"/>
      <c r="J113" s="209"/>
      <c r="K113" s="209"/>
      <c r="L113" s="209"/>
      <c r="M113" s="209"/>
      <c r="N113" s="209"/>
      <c r="O113" s="209"/>
      <c r="P113" s="209"/>
      <c r="Q113" s="209"/>
      <c r="R113" s="209"/>
    </row>
    <row r="114" spans="2:18" x14ac:dyDescent="0.2">
      <c r="B114" s="212"/>
      <c r="C114" s="208" t="s">
        <v>137</v>
      </c>
      <c r="D114" s="209"/>
      <c r="E114" s="209"/>
      <c r="F114" s="209"/>
      <c r="G114" s="209"/>
      <c r="H114" s="209"/>
      <c r="I114" s="209"/>
      <c r="J114" s="209"/>
      <c r="K114" s="209"/>
      <c r="L114" s="209"/>
      <c r="M114" s="209"/>
      <c r="N114" s="209"/>
      <c r="O114" s="209"/>
      <c r="P114" s="209"/>
      <c r="Q114" s="209"/>
      <c r="R114" s="209"/>
    </row>
    <row r="115" spans="2:18" x14ac:dyDescent="0.2">
      <c r="B115" s="204">
        <v>4</v>
      </c>
      <c r="C115" s="210" t="s">
        <v>137</v>
      </c>
      <c r="D115" s="211" t="str">
        <f>IF(COUNTIF(D112:D114,"A")&gt;=1,"C",IF(COUNTIF(D112:D114,"A")&gt;0,"P"," "))</f>
        <v xml:space="preserve"> </v>
      </c>
      <c r="E115" s="211" t="str">
        <f t="shared" ref="E115:R115" si="26">IF(COUNTIF(E112:E114,"A")&gt;=1,"C",IF(COUNTIF(E112:E114,"A")&gt;0,"P"," "))</f>
        <v xml:space="preserve"> </v>
      </c>
      <c r="F115" s="211" t="str">
        <f t="shared" si="26"/>
        <v xml:space="preserve"> </v>
      </c>
      <c r="G115" s="211" t="str">
        <f t="shared" si="26"/>
        <v xml:space="preserve"> </v>
      </c>
      <c r="H115" s="211" t="str">
        <f t="shared" si="26"/>
        <v xml:space="preserve"> </v>
      </c>
      <c r="I115" s="211" t="str">
        <f t="shared" si="26"/>
        <v xml:space="preserve"> </v>
      </c>
      <c r="J115" s="211" t="str">
        <f t="shared" si="26"/>
        <v xml:space="preserve"> </v>
      </c>
      <c r="K115" s="211" t="str">
        <f t="shared" si="26"/>
        <v xml:space="preserve"> </v>
      </c>
      <c r="L115" s="211" t="str">
        <f t="shared" si="26"/>
        <v xml:space="preserve"> </v>
      </c>
      <c r="M115" s="211" t="str">
        <f t="shared" si="26"/>
        <v xml:space="preserve"> </v>
      </c>
      <c r="N115" s="211" t="str">
        <f t="shared" si="26"/>
        <v xml:space="preserve"> </v>
      </c>
      <c r="O115" s="211" t="str">
        <f t="shared" si="26"/>
        <v xml:space="preserve"> </v>
      </c>
      <c r="P115" s="211" t="str">
        <f t="shared" si="26"/>
        <v xml:space="preserve"> </v>
      </c>
      <c r="Q115" s="211" t="str">
        <f t="shared" si="26"/>
        <v xml:space="preserve"> </v>
      </c>
      <c r="R115" s="211" t="str">
        <f t="shared" si="26"/>
        <v xml:space="preserve"> </v>
      </c>
    </row>
    <row r="116" spans="2:18" x14ac:dyDescent="0.2">
      <c r="B116" s="212"/>
      <c r="C116" s="208" t="s">
        <v>137</v>
      </c>
      <c r="D116" s="209"/>
      <c r="E116" s="209"/>
      <c r="F116" s="209"/>
      <c r="G116" s="209"/>
      <c r="H116" s="209"/>
      <c r="I116" s="209"/>
      <c r="J116" s="209"/>
      <c r="K116" s="209"/>
      <c r="L116" s="209"/>
      <c r="M116" s="209"/>
      <c r="N116" s="209"/>
      <c r="O116" s="209"/>
      <c r="P116" s="209"/>
      <c r="Q116" s="209"/>
      <c r="R116" s="209"/>
    </row>
    <row r="117" spans="2:18" x14ac:dyDescent="0.2">
      <c r="B117" s="212"/>
      <c r="C117" s="208" t="s">
        <v>137</v>
      </c>
      <c r="D117" s="209"/>
      <c r="E117" s="209"/>
      <c r="F117" s="209"/>
      <c r="G117" s="209"/>
      <c r="H117" s="209"/>
      <c r="I117" s="209"/>
      <c r="J117" s="209"/>
      <c r="K117" s="209"/>
      <c r="L117" s="209"/>
      <c r="M117" s="209"/>
      <c r="N117" s="209"/>
      <c r="O117" s="209"/>
      <c r="P117" s="209"/>
      <c r="Q117" s="209"/>
      <c r="R117" s="209"/>
    </row>
    <row r="118" spans="2:18" x14ac:dyDescent="0.2">
      <c r="B118" s="212"/>
      <c r="C118" s="208" t="s">
        <v>137</v>
      </c>
      <c r="D118" s="209"/>
      <c r="E118" s="209"/>
      <c r="F118" s="209"/>
      <c r="G118" s="209"/>
      <c r="H118" s="209"/>
      <c r="I118" s="209"/>
      <c r="J118" s="209"/>
      <c r="K118" s="209"/>
      <c r="L118" s="209"/>
      <c r="M118" s="209"/>
      <c r="N118" s="209"/>
      <c r="O118" s="209"/>
      <c r="P118" s="209"/>
      <c r="Q118" s="209"/>
      <c r="R118" s="209"/>
    </row>
    <row r="119" spans="2:18" x14ac:dyDescent="0.2">
      <c r="B119" s="204">
        <v>5</v>
      </c>
      <c r="C119" s="210" t="s">
        <v>137</v>
      </c>
      <c r="D119" s="211" t="str">
        <f>IF(COUNTIF(D116:D118,"A")&gt;=1,"C",IF(COUNTIF(D116:D118,"A")&gt;0,"P"," "))</f>
        <v xml:space="preserve"> </v>
      </c>
      <c r="E119" s="211" t="str">
        <f t="shared" ref="E119:R119" si="27">IF(COUNTIF(E116:E118,"A")&gt;=1,"C",IF(COUNTIF(E116:E118,"A")&gt;0,"P"," "))</f>
        <v xml:space="preserve"> </v>
      </c>
      <c r="F119" s="211" t="str">
        <f t="shared" si="27"/>
        <v xml:space="preserve"> </v>
      </c>
      <c r="G119" s="211" t="str">
        <f t="shared" si="27"/>
        <v xml:space="preserve"> </v>
      </c>
      <c r="H119" s="211" t="str">
        <f t="shared" si="27"/>
        <v xml:space="preserve"> </v>
      </c>
      <c r="I119" s="211" t="str">
        <f t="shared" si="27"/>
        <v xml:space="preserve"> </v>
      </c>
      <c r="J119" s="211" t="str">
        <f t="shared" si="27"/>
        <v xml:space="preserve"> </v>
      </c>
      <c r="K119" s="211" t="str">
        <f t="shared" si="27"/>
        <v xml:space="preserve"> </v>
      </c>
      <c r="L119" s="211" t="str">
        <f t="shared" si="27"/>
        <v xml:space="preserve"> </v>
      </c>
      <c r="M119" s="211" t="str">
        <f t="shared" si="27"/>
        <v xml:space="preserve"> </v>
      </c>
      <c r="N119" s="211" t="str">
        <f t="shared" si="27"/>
        <v xml:space="preserve"> </v>
      </c>
      <c r="O119" s="211" t="str">
        <f t="shared" si="27"/>
        <v xml:space="preserve"> </v>
      </c>
      <c r="P119" s="211" t="str">
        <f t="shared" si="27"/>
        <v xml:space="preserve"> </v>
      </c>
      <c r="Q119" s="211" t="str">
        <f t="shared" si="27"/>
        <v xml:space="preserve"> </v>
      </c>
      <c r="R119" s="211" t="str">
        <f t="shared" si="27"/>
        <v xml:space="preserve"> </v>
      </c>
    </row>
    <row r="120" spans="2:18" x14ac:dyDescent="0.2">
      <c r="B120" s="212"/>
      <c r="C120" s="208" t="s">
        <v>137</v>
      </c>
      <c r="D120" s="209"/>
      <c r="E120" s="209"/>
      <c r="F120" s="209"/>
      <c r="G120" s="209"/>
      <c r="H120" s="209"/>
      <c r="I120" s="209"/>
      <c r="J120" s="209"/>
      <c r="K120" s="209"/>
      <c r="L120" s="209"/>
      <c r="M120" s="209"/>
      <c r="N120" s="209"/>
      <c r="O120" s="209"/>
      <c r="P120" s="209"/>
      <c r="Q120" s="209"/>
      <c r="R120" s="209"/>
    </row>
    <row r="121" spans="2:18" x14ac:dyDescent="0.2">
      <c r="B121" s="212"/>
      <c r="C121" s="208" t="s">
        <v>137</v>
      </c>
      <c r="D121" s="209"/>
      <c r="E121" s="209"/>
      <c r="F121" s="209"/>
      <c r="G121" s="209"/>
      <c r="H121" s="209"/>
      <c r="I121" s="209"/>
      <c r="J121" s="209"/>
      <c r="K121" s="209"/>
      <c r="L121" s="209"/>
      <c r="M121" s="209"/>
      <c r="N121" s="209"/>
      <c r="O121" s="209"/>
      <c r="P121" s="209"/>
      <c r="Q121" s="209"/>
      <c r="R121" s="209"/>
    </row>
    <row r="122" spans="2:18" x14ac:dyDescent="0.2">
      <c r="B122" s="212"/>
      <c r="C122" s="208" t="s">
        <v>137</v>
      </c>
      <c r="D122" s="209"/>
      <c r="E122" s="209"/>
      <c r="F122" s="209"/>
      <c r="G122" s="209"/>
      <c r="H122" s="209"/>
      <c r="I122" s="209"/>
      <c r="J122" s="209"/>
      <c r="K122" s="209"/>
      <c r="L122" s="209"/>
      <c r="M122" s="209"/>
      <c r="N122" s="209"/>
      <c r="O122" s="209"/>
      <c r="P122" s="209"/>
      <c r="Q122" s="209"/>
      <c r="R122" s="209"/>
    </row>
    <row r="123" spans="2:18" ht="0.75" customHeight="1" thickBot="1" x14ac:dyDescent="0.25">
      <c r="B123" s="204"/>
      <c r="C123" s="204"/>
      <c r="D123" s="211" t="str">
        <f>IF(COUNTIF(D120:D122,"A")&gt;=1,"C",IF(COUNTIF(D120:D122,"A")&gt;0,"P"," "))</f>
        <v xml:space="preserve"> </v>
      </c>
      <c r="E123" s="211" t="str">
        <f t="shared" ref="E123:R123" si="28">IF(COUNTIF(E120:E122,"A")&gt;=1,"C",IF(COUNTIF(E120:E122,"A")&gt;0,"P"," "))</f>
        <v xml:space="preserve"> </v>
      </c>
      <c r="F123" s="211" t="str">
        <f t="shared" si="28"/>
        <v xml:space="preserve"> </v>
      </c>
      <c r="G123" s="211" t="str">
        <f t="shared" si="28"/>
        <v xml:space="preserve"> </v>
      </c>
      <c r="H123" s="211" t="str">
        <f t="shared" si="28"/>
        <v xml:space="preserve"> </v>
      </c>
      <c r="I123" s="211" t="str">
        <f t="shared" si="28"/>
        <v xml:space="preserve"> </v>
      </c>
      <c r="J123" s="211" t="str">
        <f t="shared" si="28"/>
        <v xml:space="preserve"> </v>
      </c>
      <c r="K123" s="211" t="str">
        <f t="shared" si="28"/>
        <v xml:space="preserve"> </v>
      </c>
      <c r="L123" s="211" t="str">
        <f t="shared" si="28"/>
        <v xml:space="preserve"> </v>
      </c>
      <c r="M123" s="211" t="str">
        <f t="shared" si="28"/>
        <v xml:space="preserve"> </v>
      </c>
      <c r="N123" s="211" t="str">
        <f t="shared" si="28"/>
        <v xml:space="preserve"> </v>
      </c>
      <c r="O123" s="211" t="str">
        <f t="shared" si="28"/>
        <v xml:space="preserve"> </v>
      </c>
      <c r="P123" s="211" t="str">
        <f t="shared" si="28"/>
        <v xml:space="preserve"> </v>
      </c>
      <c r="Q123" s="211" t="str">
        <f t="shared" si="28"/>
        <v xml:space="preserve"> </v>
      </c>
      <c r="R123" s="211" t="str">
        <f t="shared" si="28"/>
        <v xml:space="preserve"> </v>
      </c>
    </row>
    <row r="124" spans="2:18" ht="13.5" thickBot="1" x14ac:dyDescent="0.25">
      <c r="B124" s="204"/>
      <c r="C124" s="173" t="s">
        <v>27</v>
      </c>
      <c r="D124" s="217" t="str">
        <f>IF(COUNTIF(D107:D123,"C")&gt;4,"C",IF(COUNTIF(D107:D123,"C")&gt;0,"P"," "))</f>
        <v xml:space="preserve"> </v>
      </c>
      <c r="E124" s="217" t="str">
        <f t="shared" ref="E124:R124" si="29">IF(COUNTIF(E107:E123,"C")&gt;4,"C",IF(COUNTIF(E107:E123,"C")&gt;0,"P"," "))</f>
        <v xml:space="preserve"> </v>
      </c>
      <c r="F124" s="217" t="str">
        <f t="shared" si="29"/>
        <v xml:space="preserve"> </v>
      </c>
      <c r="G124" s="217" t="str">
        <f t="shared" si="29"/>
        <v xml:space="preserve"> </v>
      </c>
      <c r="H124" s="217" t="str">
        <f t="shared" si="29"/>
        <v xml:space="preserve"> </v>
      </c>
      <c r="I124" s="217" t="str">
        <f t="shared" si="29"/>
        <v xml:space="preserve"> </v>
      </c>
      <c r="J124" s="217" t="str">
        <f t="shared" si="29"/>
        <v xml:space="preserve"> </v>
      </c>
      <c r="K124" s="217" t="str">
        <f t="shared" si="29"/>
        <v xml:space="preserve"> </v>
      </c>
      <c r="L124" s="217" t="str">
        <f t="shared" si="29"/>
        <v xml:space="preserve"> </v>
      </c>
      <c r="M124" s="217" t="str">
        <f t="shared" si="29"/>
        <v xml:space="preserve"> </v>
      </c>
      <c r="N124" s="217" t="str">
        <f t="shared" si="29"/>
        <v xml:space="preserve"> </v>
      </c>
      <c r="O124" s="217" t="str">
        <f t="shared" si="29"/>
        <v xml:space="preserve"> </v>
      </c>
      <c r="P124" s="217" t="str">
        <f t="shared" si="29"/>
        <v xml:space="preserve"> </v>
      </c>
      <c r="Q124" s="217" t="str">
        <f t="shared" si="29"/>
        <v xml:space="preserve"> </v>
      </c>
      <c r="R124" s="217" t="str">
        <f t="shared" si="29"/>
        <v xml:space="preserve"> </v>
      </c>
    </row>
    <row r="126" spans="2:18" ht="15" x14ac:dyDescent="0.25">
      <c r="B126" s="201" t="s">
        <v>136</v>
      </c>
      <c r="C126" s="202"/>
      <c r="D126" s="439"/>
      <c r="E126" s="440"/>
      <c r="F126" s="440"/>
      <c r="G126" s="440"/>
      <c r="H126" s="440"/>
      <c r="I126" s="440"/>
      <c r="J126" s="440"/>
      <c r="K126" s="440"/>
      <c r="L126" s="440"/>
      <c r="M126" s="440"/>
      <c r="N126" s="440"/>
      <c r="O126" s="440"/>
      <c r="P126" s="440"/>
      <c r="Q126" s="440"/>
      <c r="R126" s="440"/>
    </row>
    <row r="127" spans="2:18" x14ac:dyDescent="0.2">
      <c r="B127" s="204">
        <v>1</v>
      </c>
      <c r="C127" s="205" t="s">
        <v>137</v>
      </c>
      <c r="D127" s="206"/>
      <c r="E127" s="206"/>
      <c r="F127" s="206"/>
      <c r="G127" s="206"/>
      <c r="H127" s="206"/>
      <c r="I127" s="206"/>
      <c r="J127" s="206"/>
      <c r="K127" s="206"/>
      <c r="L127" s="206"/>
      <c r="M127" s="206"/>
      <c r="N127" s="206"/>
      <c r="O127" s="206"/>
      <c r="P127" s="206"/>
      <c r="Q127" s="206"/>
      <c r="R127" s="206"/>
    </row>
    <row r="128" spans="2:18" x14ac:dyDescent="0.2">
      <c r="B128" s="207"/>
      <c r="C128" s="208" t="s">
        <v>137</v>
      </c>
      <c r="D128" s="209"/>
      <c r="E128" s="209"/>
      <c r="F128" s="209"/>
      <c r="G128" s="209"/>
      <c r="H128" s="209"/>
      <c r="I128" s="209"/>
      <c r="J128" s="209"/>
      <c r="K128" s="209"/>
      <c r="L128" s="209"/>
      <c r="M128" s="209"/>
      <c r="N128" s="209"/>
      <c r="O128" s="209"/>
      <c r="P128" s="209"/>
      <c r="Q128" s="209"/>
      <c r="R128" s="209"/>
    </row>
    <row r="129" spans="2:18" x14ac:dyDescent="0.2">
      <c r="B129" s="207"/>
      <c r="C129" s="208" t="s">
        <v>137</v>
      </c>
      <c r="D129" s="209"/>
      <c r="E129" s="209"/>
      <c r="F129" s="209"/>
      <c r="G129" s="209"/>
      <c r="H129" s="209"/>
      <c r="I129" s="209"/>
      <c r="J129" s="209"/>
      <c r="K129" s="209"/>
      <c r="L129" s="209"/>
      <c r="M129" s="209"/>
      <c r="N129" s="209"/>
      <c r="O129" s="209"/>
      <c r="P129" s="209"/>
      <c r="Q129" s="209"/>
      <c r="R129" s="209"/>
    </row>
    <row r="130" spans="2:18" x14ac:dyDescent="0.2">
      <c r="B130" s="207"/>
      <c r="C130" s="208" t="s">
        <v>137</v>
      </c>
      <c r="D130" s="209"/>
      <c r="E130" s="209"/>
      <c r="F130" s="209"/>
      <c r="G130" s="209"/>
      <c r="H130" s="209"/>
      <c r="I130" s="209"/>
      <c r="J130" s="209"/>
      <c r="K130" s="209"/>
      <c r="L130" s="209"/>
      <c r="M130" s="209"/>
      <c r="N130" s="209"/>
      <c r="O130" s="209"/>
      <c r="P130" s="209"/>
      <c r="Q130" s="209"/>
      <c r="R130" s="209"/>
    </row>
    <row r="131" spans="2:18" x14ac:dyDescent="0.2">
      <c r="B131" s="204">
        <v>2</v>
      </c>
      <c r="C131" s="210" t="s">
        <v>137</v>
      </c>
      <c r="D131" s="211" t="str">
        <f>IF(COUNTIF(D128:D130,"A")&gt;=1,"C",IF(COUNTIF(D128:D130,"A")&gt;0,"P"," "))</f>
        <v xml:space="preserve"> </v>
      </c>
      <c r="E131" s="211" t="str">
        <f t="shared" ref="E131:R131" si="30">IF(COUNTIF(E128:E130,"A")&gt;=1,"C",IF(COUNTIF(E128:E130,"A")&gt;0,"P"," "))</f>
        <v xml:space="preserve"> </v>
      </c>
      <c r="F131" s="211" t="str">
        <f t="shared" si="30"/>
        <v xml:space="preserve"> </v>
      </c>
      <c r="G131" s="211" t="str">
        <f t="shared" si="30"/>
        <v xml:space="preserve"> </v>
      </c>
      <c r="H131" s="211" t="str">
        <f t="shared" si="30"/>
        <v xml:space="preserve"> </v>
      </c>
      <c r="I131" s="211" t="str">
        <f t="shared" si="30"/>
        <v xml:space="preserve"> </v>
      </c>
      <c r="J131" s="211" t="str">
        <f t="shared" si="30"/>
        <v xml:space="preserve"> </v>
      </c>
      <c r="K131" s="211" t="str">
        <f t="shared" si="30"/>
        <v xml:space="preserve"> </v>
      </c>
      <c r="L131" s="211" t="str">
        <f t="shared" si="30"/>
        <v xml:space="preserve"> </v>
      </c>
      <c r="M131" s="211" t="str">
        <f t="shared" si="30"/>
        <v xml:space="preserve"> </v>
      </c>
      <c r="N131" s="211" t="str">
        <f t="shared" si="30"/>
        <v xml:space="preserve"> </v>
      </c>
      <c r="O131" s="211" t="str">
        <f t="shared" si="30"/>
        <v xml:space="preserve"> </v>
      </c>
      <c r="P131" s="211" t="str">
        <f t="shared" si="30"/>
        <v xml:space="preserve"> </v>
      </c>
      <c r="Q131" s="211" t="str">
        <f t="shared" si="30"/>
        <v xml:space="preserve"> </v>
      </c>
      <c r="R131" s="211" t="str">
        <f t="shared" si="30"/>
        <v xml:space="preserve"> </v>
      </c>
    </row>
    <row r="132" spans="2:18" x14ac:dyDescent="0.2">
      <c r="B132" s="212"/>
      <c r="C132" s="208" t="s">
        <v>137</v>
      </c>
      <c r="D132" s="209"/>
      <c r="E132" s="209"/>
      <c r="F132" s="209"/>
      <c r="G132" s="209"/>
      <c r="H132" s="209"/>
      <c r="I132" s="209"/>
      <c r="J132" s="209"/>
      <c r="K132" s="209"/>
      <c r="L132" s="209"/>
      <c r="M132" s="209"/>
      <c r="N132" s="209"/>
      <c r="O132" s="209"/>
      <c r="P132" s="209"/>
      <c r="Q132" s="209"/>
      <c r="R132" s="209"/>
    </row>
    <row r="133" spans="2:18" x14ac:dyDescent="0.2">
      <c r="B133" s="212"/>
      <c r="C133" s="208" t="s">
        <v>137</v>
      </c>
      <c r="D133" s="209"/>
      <c r="E133" s="209"/>
      <c r="F133" s="209"/>
      <c r="G133" s="209"/>
      <c r="H133" s="209"/>
      <c r="I133" s="209"/>
      <c r="J133" s="209"/>
      <c r="K133" s="209"/>
      <c r="L133" s="209"/>
      <c r="M133" s="209"/>
      <c r="N133" s="209"/>
      <c r="O133" s="209"/>
      <c r="P133" s="209"/>
      <c r="Q133" s="209"/>
      <c r="R133" s="209"/>
    </row>
    <row r="134" spans="2:18" x14ac:dyDescent="0.2">
      <c r="B134" s="212"/>
      <c r="C134" s="208" t="s">
        <v>137</v>
      </c>
      <c r="D134" s="209"/>
      <c r="E134" s="209"/>
      <c r="F134" s="209"/>
      <c r="G134" s="209"/>
      <c r="H134" s="209"/>
      <c r="I134" s="209"/>
      <c r="J134" s="209"/>
      <c r="K134" s="209"/>
      <c r="L134" s="209"/>
      <c r="M134" s="209"/>
      <c r="N134" s="209"/>
      <c r="O134" s="209"/>
      <c r="P134" s="209"/>
      <c r="Q134" s="209"/>
      <c r="R134" s="209"/>
    </row>
    <row r="135" spans="2:18" x14ac:dyDescent="0.2">
      <c r="B135" s="204">
        <v>3</v>
      </c>
      <c r="C135" s="210" t="s">
        <v>137</v>
      </c>
      <c r="D135" s="211" t="str">
        <f>IF(COUNTIF(D132:D134,"A")&gt;=1,"C",IF(COUNTIF(D132:D134,"A")&gt;0,"P"," "))</f>
        <v xml:space="preserve"> </v>
      </c>
      <c r="E135" s="211" t="str">
        <f t="shared" ref="E135:R135" si="31">IF(COUNTIF(E132:E134,"A")&gt;=1,"C",IF(COUNTIF(E132:E134,"A")&gt;0,"P"," "))</f>
        <v xml:space="preserve"> </v>
      </c>
      <c r="F135" s="211" t="str">
        <f t="shared" si="31"/>
        <v xml:space="preserve"> </v>
      </c>
      <c r="G135" s="211" t="str">
        <f t="shared" si="31"/>
        <v xml:space="preserve"> </v>
      </c>
      <c r="H135" s="211" t="str">
        <f t="shared" si="31"/>
        <v xml:space="preserve"> </v>
      </c>
      <c r="I135" s="211" t="str">
        <f t="shared" si="31"/>
        <v xml:space="preserve"> </v>
      </c>
      <c r="J135" s="211" t="str">
        <f t="shared" si="31"/>
        <v xml:space="preserve"> </v>
      </c>
      <c r="K135" s="211" t="str">
        <f t="shared" si="31"/>
        <v xml:space="preserve"> </v>
      </c>
      <c r="L135" s="211" t="str">
        <f t="shared" si="31"/>
        <v xml:space="preserve"> </v>
      </c>
      <c r="M135" s="211" t="str">
        <f t="shared" si="31"/>
        <v xml:space="preserve"> </v>
      </c>
      <c r="N135" s="211" t="str">
        <f t="shared" si="31"/>
        <v xml:space="preserve"> </v>
      </c>
      <c r="O135" s="211" t="str">
        <f t="shared" si="31"/>
        <v xml:space="preserve"> </v>
      </c>
      <c r="P135" s="211" t="str">
        <f t="shared" si="31"/>
        <v xml:space="preserve"> </v>
      </c>
      <c r="Q135" s="211" t="str">
        <f t="shared" si="31"/>
        <v xml:space="preserve"> </v>
      </c>
      <c r="R135" s="211" t="str">
        <f t="shared" si="31"/>
        <v xml:space="preserve"> </v>
      </c>
    </row>
    <row r="136" spans="2:18" x14ac:dyDescent="0.2">
      <c r="B136" s="212"/>
      <c r="C136" s="208" t="s">
        <v>137</v>
      </c>
      <c r="D136" s="209"/>
      <c r="E136" s="209"/>
      <c r="F136" s="209"/>
      <c r="G136" s="209"/>
      <c r="H136" s="209"/>
      <c r="I136" s="209"/>
      <c r="J136" s="209"/>
      <c r="K136" s="209"/>
      <c r="L136" s="209"/>
      <c r="M136" s="209"/>
      <c r="N136" s="209"/>
      <c r="O136" s="209"/>
      <c r="P136" s="209"/>
      <c r="Q136" s="209"/>
      <c r="R136" s="209"/>
    </row>
    <row r="137" spans="2:18" x14ac:dyDescent="0.2">
      <c r="B137" s="212"/>
      <c r="C137" s="208" t="s">
        <v>137</v>
      </c>
      <c r="D137" s="209"/>
      <c r="E137" s="209"/>
      <c r="F137" s="209"/>
      <c r="G137" s="209"/>
      <c r="H137" s="209"/>
      <c r="I137" s="209"/>
      <c r="J137" s="209"/>
      <c r="K137" s="209"/>
      <c r="L137" s="209"/>
      <c r="M137" s="209"/>
      <c r="N137" s="209"/>
      <c r="O137" s="209"/>
      <c r="P137" s="209"/>
      <c r="Q137" s="209"/>
      <c r="R137" s="209"/>
    </row>
    <row r="138" spans="2:18" x14ac:dyDescent="0.2">
      <c r="B138" s="212"/>
      <c r="C138" s="208" t="s">
        <v>137</v>
      </c>
      <c r="D138" s="209"/>
      <c r="E138" s="209"/>
      <c r="F138" s="209"/>
      <c r="G138" s="209"/>
      <c r="H138" s="209"/>
      <c r="I138" s="209"/>
      <c r="J138" s="209"/>
      <c r="K138" s="209"/>
      <c r="L138" s="209"/>
      <c r="M138" s="209"/>
      <c r="N138" s="209"/>
      <c r="O138" s="209"/>
      <c r="P138" s="209"/>
      <c r="Q138" s="209"/>
      <c r="R138" s="209"/>
    </row>
    <row r="139" spans="2:18" x14ac:dyDescent="0.2">
      <c r="B139" s="204">
        <v>4</v>
      </c>
      <c r="C139" s="210" t="s">
        <v>137</v>
      </c>
      <c r="D139" s="211" t="str">
        <f>IF(COUNTIF(D136:D138,"A")&gt;=1,"C",IF(COUNTIF(D136:D138,"A")&gt;0,"P"," "))</f>
        <v xml:space="preserve"> </v>
      </c>
      <c r="E139" s="211" t="str">
        <f t="shared" ref="E139:R139" si="32">IF(COUNTIF(E136:E138,"A")&gt;=1,"C",IF(COUNTIF(E136:E138,"A")&gt;0,"P"," "))</f>
        <v xml:space="preserve"> </v>
      </c>
      <c r="F139" s="211" t="str">
        <f t="shared" si="32"/>
        <v xml:space="preserve"> </v>
      </c>
      <c r="G139" s="211" t="str">
        <f t="shared" si="32"/>
        <v xml:space="preserve"> </v>
      </c>
      <c r="H139" s="211" t="str">
        <f t="shared" si="32"/>
        <v xml:space="preserve"> </v>
      </c>
      <c r="I139" s="211" t="str">
        <f t="shared" si="32"/>
        <v xml:space="preserve"> </v>
      </c>
      <c r="J139" s="211" t="str">
        <f t="shared" si="32"/>
        <v xml:space="preserve"> </v>
      </c>
      <c r="K139" s="211" t="str">
        <f t="shared" si="32"/>
        <v xml:space="preserve"> </v>
      </c>
      <c r="L139" s="211" t="str">
        <f t="shared" si="32"/>
        <v xml:space="preserve"> </v>
      </c>
      <c r="M139" s="211" t="str">
        <f t="shared" si="32"/>
        <v xml:space="preserve"> </v>
      </c>
      <c r="N139" s="211" t="str">
        <f t="shared" si="32"/>
        <v xml:space="preserve"> </v>
      </c>
      <c r="O139" s="211" t="str">
        <f t="shared" si="32"/>
        <v xml:space="preserve"> </v>
      </c>
      <c r="P139" s="211" t="str">
        <f t="shared" si="32"/>
        <v xml:space="preserve"> </v>
      </c>
      <c r="Q139" s="211" t="str">
        <f t="shared" si="32"/>
        <v xml:space="preserve"> </v>
      </c>
      <c r="R139" s="211" t="str">
        <f t="shared" si="32"/>
        <v xml:space="preserve"> </v>
      </c>
    </row>
    <row r="140" spans="2:18" x14ac:dyDescent="0.2">
      <c r="B140" s="212"/>
      <c r="C140" s="208" t="s">
        <v>137</v>
      </c>
      <c r="D140" s="209"/>
      <c r="E140" s="209"/>
      <c r="F140" s="209"/>
      <c r="G140" s="209"/>
      <c r="H140" s="209"/>
      <c r="I140" s="209"/>
      <c r="J140" s="209"/>
      <c r="K140" s="209"/>
      <c r="L140" s="209"/>
      <c r="M140" s="209"/>
      <c r="N140" s="209"/>
      <c r="O140" s="209"/>
      <c r="P140" s="209"/>
      <c r="Q140" s="209"/>
      <c r="R140" s="209"/>
    </row>
    <row r="141" spans="2:18" x14ac:dyDescent="0.2">
      <c r="B141" s="212"/>
      <c r="C141" s="208" t="s">
        <v>137</v>
      </c>
      <c r="D141" s="209"/>
      <c r="E141" s="209"/>
      <c r="F141" s="209"/>
      <c r="G141" s="209"/>
      <c r="H141" s="209"/>
      <c r="I141" s="209"/>
      <c r="J141" s="209"/>
      <c r="K141" s="209"/>
      <c r="L141" s="209"/>
      <c r="M141" s="209"/>
      <c r="N141" s="209"/>
      <c r="O141" s="209"/>
      <c r="P141" s="209"/>
      <c r="Q141" s="209"/>
      <c r="R141" s="209"/>
    </row>
    <row r="142" spans="2:18" x14ac:dyDescent="0.2">
      <c r="B142" s="212"/>
      <c r="C142" s="208" t="s">
        <v>137</v>
      </c>
      <c r="D142" s="209"/>
      <c r="E142" s="209"/>
      <c r="F142" s="209"/>
      <c r="G142" s="209"/>
      <c r="H142" s="209"/>
      <c r="I142" s="209"/>
      <c r="J142" s="209"/>
      <c r="K142" s="209"/>
      <c r="L142" s="209"/>
      <c r="M142" s="209"/>
      <c r="N142" s="209"/>
      <c r="O142" s="209"/>
      <c r="P142" s="209"/>
      <c r="Q142" s="209"/>
      <c r="R142" s="209"/>
    </row>
    <row r="143" spans="2:18" x14ac:dyDescent="0.2">
      <c r="B143" s="204">
        <v>5</v>
      </c>
      <c r="C143" s="210" t="s">
        <v>137</v>
      </c>
      <c r="D143" s="211" t="str">
        <f>IF(COUNTIF(D140:D142,"A")&gt;=1,"C",IF(COUNTIF(D140:D142,"A")&gt;0,"P"," "))</f>
        <v xml:space="preserve"> </v>
      </c>
      <c r="E143" s="211" t="str">
        <f t="shared" ref="E143:R143" si="33">IF(COUNTIF(E140:E142,"A")&gt;=1,"C",IF(COUNTIF(E140:E142,"A")&gt;0,"P"," "))</f>
        <v xml:space="preserve"> </v>
      </c>
      <c r="F143" s="211" t="str">
        <f t="shared" si="33"/>
        <v xml:space="preserve"> </v>
      </c>
      <c r="G143" s="211" t="str">
        <f t="shared" si="33"/>
        <v xml:space="preserve"> </v>
      </c>
      <c r="H143" s="211" t="str">
        <f t="shared" si="33"/>
        <v xml:space="preserve"> </v>
      </c>
      <c r="I143" s="211" t="str">
        <f t="shared" si="33"/>
        <v xml:space="preserve"> </v>
      </c>
      <c r="J143" s="211" t="str">
        <f t="shared" si="33"/>
        <v xml:space="preserve"> </v>
      </c>
      <c r="K143" s="211" t="str">
        <f t="shared" si="33"/>
        <v xml:space="preserve"> </v>
      </c>
      <c r="L143" s="211" t="str">
        <f t="shared" si="33"/>
        <v xml:space="preserve"> </v>
      </c>
      <c r="M143" s="211" t="str">
        <f t="shared" si="33"/>
        <v xml:space="preserve"> </v>
      </c>
      <c r="N143" s="211" t="str">
        <f t="shared" si="33"/>
        <v xml:space="preserve"> </v>
      </c>
      <c r="O143" s="211" t="str">
        <f t="shared" si="33"/>
        <v xml:space="preserve"> </v>
      </c>
      <c r="P143" s="211" t="str">
        <f t="shared" si="33"/>
        <v xml:space="preserve"> </v>
      </c>
      <c r="Q143" s="211" t="str">
        <f t="shared" si="33"/>
        <v xml:space="preserve"> </v>
      </c>
      <c r="R143" s="211" t="str">
        <f t="shared" si="33"/>
        <v xml:space="preserve"> </v>
      </c>
    </row>
    <row r="144" spans="2:18" x14ac:dyDescent="0.2">
      <c r="B144" s="212"/>
      <c r="C144" s="208" t="s">
        <v>137</v>
      </c>
      <c r="D144" s="209"/>
      <c r="E144" s="209"/>
      <c r="F144" s="209"/>
      <c r="G144" s="209"/>
      <c r="H144" s="209"/>
      <c r="I144" s="209"/>
      <c r="J144" s="209"/>
      <c r="K144" s="209"/>
      <c r="L144" s="209"/>
      <c r="M144" s="209"/>
      <c r="N144" s="209"/>
      <c r="O144" s="209"/>
      <c r="P144" s="209"/>
      <c r="Q144" s="209"/>
      <c r="R144" s="209"/>
    </row>
    <row r="145" spans="2:18" x14ac:dyDescent="0.2">
      <c r="B145" s="212"/>
      <c r="C145" s="208" t="s">
        <v>137</v>
      </c>
      <c r="D145" s="209"/>
      <c r="E145" s="209"/>
      <c r="F145" s="209"/>
      <c r="G145" s="209"/>
      <c r="H145" s="209"/>
      <c r="I145" s="209"/>
      <c r="J145" s="209"/>
      <c r="K145" s="209"/>
      <c r="L145" s="209"/>
      <c r="M145" s="209"/>
      <c r="N145" s="209"/>
      <c r="O145" s="209"/>
      <c r="P145" s="209"/>
      <c r="Q145" s="209"/>
      <c r="R145" s="209"/>
    </row>
    <row r="146" spans="2:18" x14ac:dyDescent="0.2">
      <c r="B146" s="212"/>
      <c r="C146" s="208" t="s">
        <v>137</v>
      </c>
      <c r="D146" s="209"/>
      <c r="E146" s="209"/>
      <c r="F146" s="209"/>
      <c r="G146" s="209"/>
      <c r="H146" s="209"/>
      <c r="I146" s="209"/>
      <c r="J146" s="209"/>
      <c r="K146" s="209"/>
      <c r="L146" s="209"/>
      <c r="M146" s="209"/>
      <c r="N146" s="209"/>
      <c r="O146" s="209"/>
      <c r="P146" s="209"/>
      <c r="Q146" s="209"/>
      <c r="R146" s="209"/>
    </row>
    <row r="147" spans="2:18" ht="0.75" customHeight="1" thickBot="1" x14ac:dyDescent="0.25">
      <c r="B147" s="204"/>
      <c r="C147" s="204"/>
      <c r="D147" s="211" t="str">
        <f>IF(COUNTIF(D144:D146,"A")&gt;=1,"C",IF(COUNTIF(D144:D146,"A")&gt;0,"P"," "))</f>
        <v xml:space="preserve"> </v>
      </c>
      <c r="E147" s="211" t="str">
        <f t="shared" ref="E147:R147" si="34">IF(COUNTIF(E144:E146,"A")&gt;=1,"C",IF(COUNTIF(E144:E146,"A")&gt;0,"P"," "))</f>
        <v xml:space="preserve"> </v>
      </c>
      <c r="F147" s="211" t="str">
        <f t="shared" si="34"/>
        <v xml:space="preserve"> </v>
      </c>
      <c r="G147" s="211" t="str">
        <f t="shared" si="34"/>
        <v xml:space="preserve"> </v>
      </c>
      <c r="H147" s="211" t="str">
        <f t="shared" si="34"/>
        <v xml:space="preserve"> </v>
      </c>
      <c r="I147" s="211" t="str">
        <f t="shared" si="34"/>
        <v xml:space="preserve"> </v>
      </c>
      <c r="J147" s="211" t="str">
        <f t="shared" si="34"/>
        <v xml:space="preserve"> </v>
      </c>
      <c r="K147" s="211" t="str">
        <f t="shared" si="34"/>
        <v xml:space="preserve"> </v>
      </c>
      <c r="L147" s="211" t="str">
        <f t="shared" si="34"/>
        <v xml:space="preserve"> </v>
      </c>
      <c r="M147" s="211" t="str">
        <f t="shared" si="34"/>
        <v xml:space="preserve"> </v>
      </c>
      <c r="N147" s="211" t="str">
        <f t="shared" si="34"/>
        <v xml:space="preserve"> </v>
      </c>
      <c r="O147" s="211" t="str">
        <f t="shared" si="34"/>
        <v xml:space="preserve"> </v>
      </c>
      <c r="P147" s="211" t="str">
        <f t="shared" si="34"/>
        <v xml:space="preserve"> </v>
      </c>
      <c r="Q147" s="211" t="str">
        <f t="shared" si="34"/>
        <v xml:space="preserve"> </v>
      </c>
      <c r="R147" s="211" t="str">
        <f t="shared" si="34"/>
        <v xml:space="preserve"> </v>
      </c>
    </row>
    <row r="148" spans="2:18" ht="13.5" thickBot="1" x14ac:dyDescent="0.25">
      <c r="B148" s="204"/>
      <c r="C148" s="173" t="s">
        <v>27</v>
      </c>
      <c r="D148" s="217" t="str">
        <f>IF(COUNTIF(D131:D147,"C")&gt;4,"C",IF(COUNTIF(D131:D147,"C")&gt;0,"P"," "))</f>
        <v xml:space="preserve"> </v>
      </c>
      <c r="E148" s="217" t="str">
        <f t="shared" ref="E148:R148" si="35">IF(COUNTIF(E131:E147,"C")&gt;4,"C",IF(COUNTIF(E131:E147,"C")&gt;0,"P"," "))</f>
        <v xml:space="preserve"> </v>
      </c>
      <c r="F148" s="217" t="str">
        <f t="shared" si="35"/>
        <v xml:space="preserve"> </v>
      </c>
      <c r="G148" s="217" t="str">
        <f t="shared" si="35"/>
        <v xml:space="preserve"> </v>
      </c>
      <c r="H148" s="217" t="str">
        <f t="shared" si="35"/>
        <v xml:space="preserve"> </v>
      </c>
      <c r="I148" s="217" t="str">
        <f t="shared" si="35"/>
        <v xml:space="preserve"> </v>
      </c>
      <c r="J148" s="217" t="str">
        <f t="shared" si="35"/>
        <v xml:space="preserve"> </v>
      </c>
      <c r="K148" s="217" t="str">
        <f t="shared" si="35"/>
        <v xml:space="preserve"> </v>
      </c>
      <c r="L148" s="217" t="str">
        <f t="shared" si="35"/>
        <v xml:space="preserve"> </v>
      </c>
      <c r="M148" s="217" t="str">
        <f t="shared" si="35"/>
        <v xml:space="preserve"> </v>
      </c>
      <c r="N148" s="217" t="str">
        <f t="shared" si="35"/>
        <v xml:space="preserve"> </v>
      </c>
      <c r="O148" s="217" t="str">
        <f t="shared" si="35"/>
        <v xml:space="preserve"> </v>
      </c>
      <c r="P148" s="217" t="str">
        <f t="shared" si="35"/>
        <v xml:space="preserve"> </v>
      </c>
      <c r="Q148" s="217" t="str">
        <f t="shared" si="35"/>
        <v xml:space="preserve"> </v>
      </c>
      <c r="R148" s="217" t="str">
        <f t="shared" si="35"/>
        <v xml:space="preserve"> </v>
      </c>
    </row>
  </sheetData>
  <sheetProtection password="9A15" sheet="1" objects="1" scenarios="1" selectLockedCells="1"/>
  <mergeCells count="25">
    <mergeCell ref="B3:C3"/>
    <mergeCell ref="A4:C4"/>
    <mergeCell ref="A5:R5"/>
    <mergeCell ref="J1:J4"/>
    <mergeCell ref="K1:K4"/>
    <mergeCell ref="L1:L4"/>
    <mergeCell ref="M1:M4"/>
    <mergeCell ref="N1:N4"/>
    <mergeCell ref="O1:O4"/>
    <mergeCell ref="D1:D4"/>
    <mergeCell ref="E1:E4"/>
    <mergeCell ref="F1:F4"/>
    <mergeCell ref="G1:G4"/>
    <mergeCell ref="S7:Z14"/>
    <mergeCell ref="D30:R30"/>
    <mergeCell ref="Q1:Q4"/>
    <mergeCell ref="R1:R4"/>
    <mergeCell ref="D6:R6"/>
    <mergeCell ref="D54:R54"/>
    <mergeCell ref="D78:R78"/>
    <mergeCell ref="D126:R126"/>
    <mergeCell ref="D102:R102"/>
    <mergeCell ref="H1:H4"/>
    <mergeCell ref="I1:I4"/>
    <mergeCell ref="P1:P4"/>
  </mergeCells>
  <pageMargins left="0.75" right="0.75" top="1" bottom="0.5" header="0.25" footer="0.25"/>
  <pageSetup scale="70" fitToHeight="0" orientation="portrait" r:id="rId1"/>
  <headerFooter alignWithMargins="0">
    <oddHeader>&amp;C&amp;"Arial,Bold"&amp;14AmbassadorTrax&amp;12
Council Own - &amp;D</oddHeader>
    <oddFooter>Page &amp;P</oddFooter>
  </headerFooter>
  <rowBreaks count="1" manualBreakCount="1">
    <brk id="76" max="17"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51"/>
  </sheetPr>
  <dimension ref="A1:R64"/>
  <sheetViews>
    <sheetView showGridLines="0" zoomScaleNormal="100" workbookViewId="0">
      <selection activeCell="D6" sqref="D6"/>
    </sheetView>
  </sheetViews>
  <sheetFormatPr defaultRowHeight="12.75" x14ac:dyDescent="0.2"/>
  <cols>
    <col min="1" max="1" width="12.28515625" customWidth="1"/>
    <col min="2" max="2" width="2.7109375" customWidth="1"/>
    <col min="3" max="3" width="35.85546875" customWidth="1"/>
    <col min="4" max="18" width="3.28515625" customWidth="1"/>
  </cols>
  <sheetData>
    <row r="1" spans="1:18" ht="15.75" customHeight="1" x14ac:dyDescent="0.2">
      <c r="A1" s="67"/>
      <c r="B1" s="232" t="s">
        <v>79</v>
      </c>
      <c r="C1" s="233">
        <f>Instructions!F3</f>
        <v>0</v>
      </c>
      <c r="D1" s="400" t="str">
        <f ca="1">'Ambassador 1'!$A$1</f>
        <v>Ambassador 1</v>
      </c>
      <c r="E1" s="400" t="str">
        <f ca="1">'Ambassador 2'!$A$1</f>
        <v>Ambassador 2</v>
      </c>
      <c r="F1" s="400" t="str">
        <f ca="1">'Ambassador 3'!$A$1</f>
        <v>Ambassador 3</v>
      </c>
      <c r="G1" s="400" t="str">
        <f ca="1">'Ambassador 4'!$A$1</f>
        <v>Ambassador 4</v>
      </c>
      <c r="H1" s="400" t="str">
        <f ca="1">'Ambassador 5'!$A$1</f>
        <v>Ambassador 5</v>
      </c>
      <c r="I1" s="400" t="str">
        <f ca="1">'Ambassador 6'!$A$1</f>
        <v>Ambassador 6</v>
      </c>
      <c r="J1" s="400" t="str">
        <f ca="1">'Ambassador 7'!$A$1</f>
        <v>Ambassador 7</v>
      </c>
      <c r="K1" s="400" t="str">
        <f ca="1">'Ambassador 8'!$A$1</f>
        <v>Ambassador 8</v>
      </c>
      <c r="L1" s="400" t="str">
        <f ca="1">'Ambassador 9'!$A$1</f>
        <v>Ambassador 9</v>
      </c>
      <c r="M1" s="400" t="str">
        <f ca="1">'Ambassador 10'!$A$1</f>
        <v>Ambassador 10</v>
      </c>
      <c r="N1" s="400" t="str">
        <f ca="1">'Ambassador 11'!$A$1</f>
        <v>Ambassador 11</v>
      </c>
      <c r="O1" s="400" t="str">
        <f ca="1">'Ambassador 12'!$A$1</f>
        <v>Ambassador 12</v>
      </c>
      <c r="P1" s="400" t="str">
        <f ca="1">'Ambassador 13'!$A$1</f>
        <v>Ambassador 13</v>
      </c>
      <c r="Q1" s="400" t="str">
        <f ca="1">'Ambassador 14'!$A$1</f>
        <v>Ambassador 14</v>
      </c>
      <c r="R1" s="400" t="str">
        <f ca="1">'Ambassador 15'!$A$1</f>
        <v>Ambassador 15</v>
      </c>
    </row>
    <row r="2" spans="1:18" ht="15.75" customHeight="1" x14ac:dyDescent="0.25">
      <c r="A2" s="68"/>
      <c r="B2" s="90" t="s">
        <v>80</v>
      </c>
      <c r="C2" s="85">
        <f>Instructions!F5</f>
        <v>0</v>
      </c>
      <c r="D2" s="401"/>
      <c r="E2" s="401"/>
      <c r="F2" s="401"/>
      <c r="G2" s="401"/>
      <c r="H2" s="401"/>
      <c r="I2" s="401"/>
      <c r="J2" s="401"/>
      <c r="K2" s="401"/>
      <c r="L2" s="401"/>
      <c r="M2" s="401"/>
      <c r="N2" s="401"/>
      <c r="O2" s="401"/>
      <c r="P2" s="401"/>
      <c r="Q2" s="401"/>
      <c r="R2" s="401"/>
    </row>
    <row r="3" spans="1:18" ht="15.75" customHeight="1" x14ac:dyDescent="0.2">
      <c r="A3" s="67"/>
      <c r="B3" s="453"/>
      <c r="C3" s="454"/>
      <c r="D3" s="401"/>
      <c r="E3" s="401"/>
      <c r="F3" s="401"/>
      <c r="G3" s="401"/>
      <c r="H3" s="401"/>
      <c r="I3" s="401"/>
      <c r="J3" s="401"/>
      <c r="K3" s="401"/>
      <c r="L3" s="401"/>
      <c r="M3" s="401"/>
      <c r="N3" s="401"/>
      <c r="O3" s="401"/>
      <c r="P3" s="401"/>
      <c r="Q3" s="401"/>
      <c r="R3" s="401"/>
    </row>
    <row r="4" spans="1:18" ht="15.75" customHeight="1" x14ac:dyDescent="0.2">
      <c r="A4" s="451" t="s">
        <v>24</v>
      </c>
      <c r="B4" s="451"/>
      <c r="C4" s="452"/>
      <c r="D4" s="402"/>
      <c r="E4" s="402"/>
      <c r="F4" s="402"/>
      <c r="G4" s="402"/>
      <c r="H4" s="402"/>
      <c r="I4" s="402"/>
      <c r="J4" s="402"/>
      <c r="K4" s="402"/>
      <c r="L4" s="402"/>
      <c r="M4" s="402"/>
      <c r="N4" s="402"/>
      <c r="O4" s="402"/>
      <c r="P4" s="402"/>
      <c r="Q4" s="402"/>
      <c r="R4" s="402"/>
    </row>
    <row r="5" spans="1:18" x14ac:dyDescent="0.2">
      <c r="A5" s="6"/>
      <c r="B5" s="449" t="s">
        <v>200</v>
      </c>
      <c r="C5" s="450"/>
      <c r="D5" s="455"/>
      <c r="E5" s="455"/>
      <c r="F5" s="455"/>
      <c r="G5" s="455"/>
      <c r="H5" s="455"/>
      <c r="I5" s="455"/>
      <c r="J5" s="455"/>
      <c r="K5" s="455"/>
      <c r="L5" s="455"/>
      <c r="M5" s="455"/>
      <c r="N5" s="455"/>
      <c r="O5" s="455"/>
      <c r="P5" s="455"/>
      <c r="Q5" s="455"/>
      <c r="R5" s="455"/>
    </row>
    <row r="6" spans="1:18" x14ac:dyDescent="0.2">
      <c r="A6" s="69"/>
      <c r="B6" s="70">
        <v>1</v>
      </c>
      <c r="C6" s="237" t="s">
        <v>201</v>
      </c>
      <c r="D6" s="66"/>
      <c r="E6" s="15"/>
      <c r="F6" s="15"/>
      <c r="G6" s="15"/>
      <c r="H6" s="15"/>
      <c r="I6" s="15"/>
      <c r="J6" s="15"/>
      <c r="K6" s="15"/>
      <c r="L6" s="15"/>
      <c r="M6" s="15"/>
      <c r="N6" s="15"/>
      <c r="O6" s="15"/>
      <c r="P6" s="15"/>
      <c r="Q6" s="15"/>
      <c r="R6" s="15"/>
    </row>
    <row r="7" spans="1:18" ht="13.5" thickBot="1" x14ac:dyDescent="0.25">
      <c r="A7" s="71"/>
      <c r="B7" s="70">
        <v>2</v>
      </c>
      <c r="C7" s="237" t="s">
        <v>139</v>
      </c>
      <c r="D7" s="66"/>
      <c r="E7" s="15"/>
      <c r="F7" s="15"/>
      <c r="G7" s="15"/>
      <c r="H7" s="15"/>
      <c r="I7" s="15"/>
      <c r="J7" s="15"/>
      <c r="K7" s="15"/>
      <c r="L7" s="15"/>
      <c r="M7" s="15"/>
      <c r="N7" s="15"/>
      <c r="O7" s="15"/>
      <c r="P7" s="15"/>
      <c r="Q7" s="15"/>
      <c r="R7" s="15"/>
    </row>
    <row r="8" spans="1:18" ht="13.5" customHeight="1" thickBot="1" x14ac:dyDescent="0.25">
      <c r="A8" s="6"/>
      <c r="B8" s="6"/>
      <c r="C8" s="72" t="s">
        <v>27</v>
      </c>
      <c r="D8" s="73" t="str">
        <f>IF(COUNTIF(D6:D7,"A")=2,"C",IF(COUNTIF(D6:D7,"A")&gt;0,"P"," "))</f>
        <v xml:space="preserve"> </v>
      </c>
      <c r="E8" s="73" t="str">
        <f t="shared" ref="E8:R8" si="0">IF(COUNTIF(E6:E7,"A")=2,"C",IF(COUNTIF(E6:E7,"A")&gt;0,"P"," "))</f>
        <v xml:space="preserve"> </v>
      </c>
      <c r="F8" s="73" t="str">
        <f t="shared" si="0"/>
        <v xml:space="preserve"> </v>
      </c>
      <c r="G8" s="73" t="str">
        <f t="shared" si="0"/>
        <v xml:space="preserve"> </v>
      </c>
      <c r="H8" s="73" t="str">
        <f t="shared" si="0"/>
        <v xml:space="preserve"> </v>
      </c>
      <c r="I8" s="73" t="str">
        <f t="shared" si="0"/>
        <v xml:space="preserve"> </v>
      </c>
      <c r="J8" s="73" t="str">
        <f t="shared" si="0"/>
        <v xml:space="preserve"> </v>
      </c>
      <c r="K8" s="73" t="str">
        <f t="shared" si="0"/>
        <v xml:space="preserve"> </v>
      </c>
      <c r="L8" s="73" t="str">
        <f t="shared" si="0"/>
        <v xml:space="preserve"> </v>
      </c>
      <c r="M8" s="73" t="str">
        <f t="shared" si="0"/>
        <v xml:space="preserve"> </v>
      </c>
      <c r="N8" s="73" t="str">
        <f t="shared" si="0"/>
        <v xml:space="preserve"> </v>
      </c>
      <c r="O8" s="73" t="str">
        <f t="shared" si="0"/>
        <v xml:space="preserve"> </v>
      </c>
      <c r="P8" s="73" t="str">
        <f t="shared" si="0"/>
        <v xml:space="preserve"> </v>
      </c>
      <c r="Q8" s="73" t="str">
        <f t="shared" si="0"/>
        <v xml:space="preserve"> </v>
      </c>
      <c r="R8" s="73" t="str">
        <f t="shared" si="0"/>
        <v xml:space="preserve"> </v>
      </c>
    </row>
    <row r="9" spans="1:18" ht="13.5" customHeight="1" x14ac:dyDescent="0.2">
      <c r="A9" s="6"/>
      <c r="B9" s="449" t="s">
        <v>199</v>
      </c>
      <c r="C9" s="450"/>
      <c r="D9" s="455"/>
      <c r="E9" s="455"/>
      <c r="F9" s="455"/>
      <c r="G9" s="455"/>
      <c r="H9" s="455"/>
      <c r="I9" s="455"/>
      <c r="J9" s="455"/>
      <c r="K9" s="455"/>
      <c r="L9" s="455"/>
      <c r="M9" s="455"/>
      <c r="N9" s="455"/>
      <c r="O9" s="455"/>
      <c r="P9" s="455"/>
      <c r="Q9" s="455"/>
      <c r="R9" s="455"/>
    </row>
    <row r="10" spans="1:18" ht="13.5" customHeight="1" thickBot="1" x14ac:dyDescent="0.25">
      <c r="A10" s="6"/>
      <c r="B10" s="70">
        <v>1</v>
      </c>
      <c r="C10" s="237" t="s">
        <v>205</v>
      </c>
      <c r="D10" s="66"/>
      <c r="E10" s="15"/>
      <c r="F10" s="15"/>
      <c r="G10" s="15"/>
      <c r="H10" s="15"/>
      <c r="I10" s="15"/>
      <c r="J10" s="15"/>
      <c r="K10" s="15"/>
      <c r="L10" s="15"/>
      <c r="M10" s="15"/>
      <c r="N10" s="15"/>
      <c r="O10" s="15"/>
      <c r="P10" s="15"/>
      <c r="Q10" s="15"/>
      <c r="R10" s="15"/>
    </row>
    <row r="11" spans="1:18" ht="13.5" thickBot="1" x14ac:dyDescent="0.25">
      <c r="B11" s="6"/>
      <c r="C11" s="72" t="s">
        <v>27</v>
      </c>
      <c r="D11" s="73" t="str">
        <f>IF(COUNTIF(D10,"A")=1,"C",IF(COUNTIF(D10,"A")&gt;0,"P"," "))</f>
        <v xml:space="preserve"> </v>
      </c>
      <c r="E11" s="73" t="str">
        <f t="shared" ref="E11:R11" si="1">IF(COUNTIF(E10,"A")=1,"C",IF(COUNTIF(E10,"A")&gt;0,"P"," "))</f>
        <v xml:space="preserve"> </v>
      </c>
      <c r="F11" s="73" t="str">
        <f t="shared" si="1"/>
        <v xml:space="preserve"> </v>
      </c>
      <c r="G11" s="73" t="str">
        <f t="shared" si="1"/>
        <v xml:space="preserve"> </v>
      </c>
      <c r="H11" s="73" t="str">
        <f t="shared" si="1"/>
        <v xml:space="preserve"> </v>
      </c>
      <c r="I11" s="73" t="str">
        <f t="shared" si="1"/>
        <v xml:space="preserve"> </v>
      </c>
      <c r="J11" s="73" t="str">
        <f t="shared" si="1"/>
        <v xml:space="preserve"> </v>
      </c>
      <c r="K11" s="73" t="str">
        <f t="shared" si="1"/>
        <v xml:space="preserve"> </v>
      </c>
      <c r="L11" s="73" t="str">
        <f t="shared" si="1"/>
        <v xml:space="preserve"> </v>
      </c>
      <c r="M11" s="73" t="str">
        <f t="shared" si="1"/>
        <v xml:space="preserve"> </v>
      </c>
      <c r="N11" s="73" t="str">
        <f t="shared" si="1"/>
        <v xml:space="preserve"> </v>
      </c>
      <c r="O11" s="73" t="str">
        <f t="shared" si="1"/>
        <v xml:space="preserve"> </v>
      </c>
      <c r="P11" s="73" t="str">
        <f t="shared" si="1"/>
        <v xml:space="preserve"> </v>
      </c>
      <c r="Q11" s="73" t="str">
        <f t="shared" si="1"/>
        <v xml:space="preserve"> </v>
      </c>
      <c r="R11" s="73" t="str">
        <f t="shared" si="1"/>
        <v xml:space="preserve"> </v>
      </c>
    </row>
    <row r="12" spans="1:18" x14ac:dyDescent="0.2">
      <c r="B12" s="449" t="s">
        <v>198</v>
      </c>
      <c r="C12" s="450"/>
      <c r="D12" s="238"/>
      <c r="E12" s="238"/>
      <c r="F12" s="238"/>
      <c r="G12" s="238"/>
      <c r="H12" s="238"/>
      <c r="I12" s="238"/>
      <c r="J12" s="238"/>
      <c r="K12" s="238"/>
      <c r="L12" s="238"/>
      <c r="M12" s="238"/>
      <c r="N12" s="238"/>
      <c r="O12" s="238"/>
      <c r="P12" s="238"/>
      <c r="Q12" s="238"/>
      <c r="R12" s="238"/>
    </row>
    <row r="13" spans="1:18" ht="13.5" thickBot="1" x14ac:dyDescent="0.25">
      <c r="B13" s="70">
        <v>1</v>
      </c>
      <c r="C13" s="237" t="s">
        <v>205</v>
      </c>
      <c r="D13" s="66"/>
      <c r="E13" s="15"/>
      <c r="F13" s="15"/>
      <c r="G13" s="15"/>
      <c r="H13" s="15"/>
      <c r="I13" s="15"/>
      <c r="J13" s="15"/>
      <c r="K13" s="15"/>
      <c r="L13" s="15"/>
      <c r="M13" s="15"/>
      <c r="N13" s="15"/>
      <c r="O13" s="15"/>
      <c r="P13" s="15"/>
      <c r="Q13" s="15"/>
      <c r="R13" s="15"/>
    </row>
    <row r="14" spans="1:18" ht="13.5" thickBot="1" x14ac:dyDescent="0.25">
      <c r="B14" s="6"/>
      <c r="C14" s="72" t="s">
        <v>27</v>
      </c>
      <c r="D14" s="73" t="str">
        <f>IF(COUNTIF(D13,"A")=1,"C",IF(COUNTIF(D13,"A")&gt;0,"P"," "))</f>
        <v xml:space="preserve"> </v>
      </c>
      <c r="E14" s="73" t="str">
        <f t="shared" ref="E14:R14" si="2">IF(COUNTIF(E13,"A")=1,"C",IF(COUNTIF(E13,"A")&gt;0,"P"," "))</f>
        <v xml:space="preserve"> </v>
      </c>
      <c r="F14" s="73" t="str">
        <f t="shared" si="2"/>
        <v xml:space="preserve"> </v>
      </c>
      <c r="G14" s="73" t="str">
        <f t="shared" si="2"/>
        <v xml:space="preserve"> </v>
      </c>
      <c r="H14" s="73" t="str">
        <f t="shared" si="2"/>
        <v xml:space="preserve"> </v>
      </c>
      <c r="I14" s="73" t="str">
        <f t="shared" si="2"/>
        <v xml:space="preserve"> </v>
      </c>
      <c r="J14" s="73" t="str">
        <f t="shared" si="2"/>
        <v xml:space="preserve"> </v>
      </c>
      <c r="K14" s="73" t="str">
        <f t="shared" si="2"/>
        <v xml:space="preserve"> </v>
      </c>
      <c r="L14" s="73" t="str">
        <f t="shared" si="2"/>
        <v xml:space="preserve"> </v>
      </c>
      <c r="M14" s="73" t="str">
        <f t="shared" si="2"/>
        <v xml:space="preserve"> </v>
      </c>
      <c r="N14" s="73" t="str">
        <f t="shared" si="2"/>
        <v xml:space="preserve"> </v>
      </c>
      <c r="O14" s="73" t="str">
        <f t="shared" si="2"/>
        <v xml:space="preserve"> </v>
      </c>
      <c r="P14" s="73" t="str">
        <f t="shared" si="2"/>
        <v xml:space="preserve"> </v>
      </c>
      <c r="Q14" s="73" t="str">
        <f t="shared" si="2"/>
        <v xml:space="preserve"> </v>
      </c>
      <c r="R14" s="73" t="str">
        <f t="shared" si="2"/>
        <v xml:space="preserve"> </v>
      </c>
    </row>
    <row r="15" spans="1:18" x14ac:dyDescent="0.2">
      <c r="B15" s="449" t="s">
        <v>197</v>
      </c>
      <c r="C15" s="450"/>
      <c r="D15" s="238"/>
      <c r="E15" s="238"/>
      <c r="F15" s="238"/>
      <c r="G15" s="238"/>
      <c r="H15" s="238"/>
      <c r="I15" s="238"/>
      <c r="J15" s="238"/>
      <c r="K15" s="238"/>
      <c r="L15" s="238"/>
      <c r="M15" s="238"/>
      <c r="N15" s="238"/>
      <c r="O15" s="238"/>
      <c r="P15" s="238"/>
      <c r="Q15" s="238"/>
      <c r="R15" s="238"/>
    </row>
    <row r="16" spans="1:18" x14ac:dyDescent="0.2">
      <c r="B16" s="70">
        <v>1</v>
      </c>
      <c r="C16" s="237" t="s">
        <v>202</v>
      </c>
      <c r="D16" s="66"/>
      <c r="E16" s="15"/>
      <c r="F16" s="15"/>
      <c r="G16" s="15"/>
      <c r="H16" s="15"/>
      <c r="I16" s="15"/>
      <c r="J16" s="15"/>
      <c r="K16" s="15"/>
      <c r="L16" s="15"/>
      <c r="M16" s="15"/>
      <c r="N16" s="15"/>
      <c r="O16" s="15"/>
      <c r="P16" s="15"/>
      <c r="Q16" s="15"/>
      <c r="R16" s="15"/>
    </row>
    <row r="17" spans="1:18" x14ac:dyDescent="0.2">
      <c r="B17" s="70">
        <v>2</v>
      </c>
      <c r="C17" s="237" t="s">
        <v>204</v>
      </c>
      <c r="D17" s="66"/>
      <c r="E17" s="15"/>
      <c r="F17" s="15"/>
      <c r="G17" s="15"/>
      <c r="H17" s="15"/>
      <c r="I17" s="15"/>
      <c r="J17" s="15"/>
      <c r="K17" s="15"/>
      <c r="L17" s="15"/>
      <c r="M17" s="15"/>
      <c r="N17" s="15"/>
      <c r="O17" s="15"/>
      <c r="P17" s="15"/>
      <c r="Q17" s="15"/>
      <c r="R17" s="15"/>
    </row>
    <row r="18" spans="1:18" ht="13.5" thickBot="1" x14ac:dyDescent="0.25">
      <c r="B18" s="70">
        <v>3</v>
      </c>
      <c r="C18" s="237" t="s">
        <v>203</v>
      </c>
      <c r="D18" s="66"/>
      <c r="E18" s="15"/>
      <c r="F18" s="15"/>
      <c r="G18" s="15"/>
      <c r="H18" s="15"/>
      <c r="I18" s="15"/>
      <c r="J18" s="15"/>
      <c r="K18" s="15"/>
      <c r="L18" s="15"/>
      <c r="M18" s="15"/>
      <c r="N18" s="15"/>
      <c r="O18" s="15"/>
      <c r="P18" s="15"/>
      <c r="Q18" s="15"/>
      <c r="R18" s="15"/>
    </row>
    <row r="19" spans="1:18" ht="13.5" thickBot="1" x14ac:dyDescent="0.25">
      <c r="B19" s="6"/>
      <c r="C19" s="72" t="s">
        <v>27</v>
      </c>
      <c r="D19" s="73" t="str">
        <f>IF(COUNTIF(D16:D18,"A")=3,"C",IF(COUNTIF(D16:D18,"A")&gt;0,"P"," "))</f>
        <v xml:space="preserve"> </v>
      </c>
      <c r="E19" s="73" t="str">
        <f t="shared" ref="E19:R19" si="3">IF(COUNTIF(E16:E18,"A")=3,"C",IF(COUNTIF(E16:E18,"A")&gt;0,"P"," "))</f>
        <v xml:space="preserve"> </v>
      </c>
      <c r="F19" s="73" t="str">
        <f t="shared" si="3"/>
        <v xml:space="preserve"> </v>
      </c>
      <c r="G19" s="73" t="str">
        <f t="shared" si="3"/>
        <v xml:space="preserve"> </v>
      </c>
      <c r="H19" s="73" t="str">
        <f t="shared" si="3"/>
        <v xml:space="preserve"> </v>
      </c>
      <c r="I19" s="73" t="str">
        <f t="shared" si="3"/>
        <v xml:space="preserve"> </v>
      </c>
      <c r="J19" s="73" t="str">
        <f t="shared" si="3"/>
        <v xml:space="preserve"> </v>
      </c>
      <c r="K19" s="73" t="str">
        <f t="shared" si="3"/>
        <v xml:space="preserve"> </v>
      </c>
      <c r="L19" s="73" t="str">
        <f t="shared" si="3"/>
        <v xml:space="preserve"> </v>
      </c>
      <c r="M19" s="73" t="str">
        <f t="shared" si="3"/>
        <v xml:space="preserve"> </v>
      </c>
      <c r="N19" s="73" t="str">
        <f t="shared" si="3"/>
        <v xml:space="preserve"> </v>
      </c>
      <c r="O19" s="73" t="str">
        <f t="shared" si="3"/>
        <v xml:space="preserve"> </v>
      </c>
      <c r="P19" s="73" t="str">
        <f t="shared" si="3"/>
        <v xml:space="preserve"> </v>
      </c>
      <c r="Q19" s="73" t="str">
        <f t="shared" si="3"/>
        <v xml:space="preserve"> </v>
      </c>
      <c r="R19" s="73" t="str">
        <f t="shared" si="3"/>
        <v xml:space="preserve"> </v>
      </c>
    </row>
    <row r="20" spans="1:18" s="113" customFormat="1" x14ac:dyDescent="0.2">
      <c r="A20" s="285"/>
      <c r="B20" s="286" t="s">
        <v>143</v>
      </c>
      <c r="C20" s="139"/>
      <c r="D20" s="138"/>
      <c r="E20" s="138"/>
      <c r="F20" s="138"/>
      <c r="G20" s="138"/>
      <c r="H20" s="138"/>
      <c r="I20" s="138"/>
      <c r="J20" s="138"/>
      <c r="K20" s="138"/>
      <c r="L20" s="138"/>
      <c r="M20" s="138"/>
      <c r="N20" s="138"/>
      <c r="O20" s="138"/>
      <c r="P20" s="138"/>
      <c r="Q20" s="138"/>
      <c r="R20" s="138"/>
    </row>
    <row r="21" spans="1:18" s="113" customFormat="1" x14ac:dyDescent="0.2">
      <c r="A21" s="285"/>
      <c r="B21" s="139"/>
      <c r="C21" s="287" t="s">
        <v>143</v>
      </c>
      <c r="D21" s="303" t="str">
        <f>IF(COUNTIF(Journey!C30:'Journey'!C66,"B")=3,"C",IF(COUNTIF(Journey!C30:'Journey'!C66,"B")&gt;0,"P"," "))</f>
        <v xml:space="preserve"> </v>
      </c>
      <c r="E21" s="303" t="str">
        <f>IF(COUNTIF(Journey!D30:'Journey'!D66,"B")=3,"C",IF(COUNTIF(Journey!D30:'Journey'!D66,"B")&gt;0,"P"," "))</f>
        <v xml:space="preserve"> </v>
      </c>
      <c r="F21" s="303" t="str">
        <f>IF(COUNTIF(Journey!E30:'Journey'!E66,"B")=3,"C",IF(COUNTIF(Journey!E30:'Journey'!E66,"B")&gt;0,"P"," "))</f>
        <v xml:space="preserve"> </v>
      </c>
      <c r="G21" s="303" t="str">
        <f>IF(COUNTIF(Journey!F30:'Journey'!F66,"B")=3,"C",IF(COUNTIF(Journey!F30:'Journey'!F66,"B")&gt;0,"P"," "))</f>
        <v xml:space="preserve"> </v>
      </c>
      <c r="H21" s="303" t="str">
        <f>IF(COUNTIF(Journey!G30:'Journey'!G66,"B")=3,"C",IF(COUNTIF(Journey!G30:'Journey'!G66,"B")&gt;0,"P"," "))</f>
        <v xml:space="preserve"> </v>
      </c>
      <c r="I21" s="303" t="str">
        <f>IF(COUNTIF(Journey!H30:'Journey'!H66,"B")=3,"C",IF(COUNTIF(Journey!H30:'Journey'!H66,"B")&gt;0,"P"," "))</f>
        <v xml:space="preserve"> </v>
      </c>
      <c r="J21" s="303" t="str">
        <f>IF(COUNTIF(Journey!I30:'Journey'!I66,"B")=3,"C",IF(COUNTIF(Journey!I30:'Journey'!I66,"B")&gt;0,"P"," "))</f>
        <v xml:space="preserve"> </v>
      </c>
      <c r="K21" s="303" t="str">
        <f>IF(COUNTIF(Journey!J30:'Journey'!J66,"B")=3,"C",IF(COUNTIF(Journey!J30:'Journey'!J66,"B")&gt;0,"P"," "))</f>
        <v xml:space="preserve"> </v>
      </c>
      <c r="L21" s="303" t="str">
        <f>IF(COUNTIF(Journey!K30:'Journey'!K66,"B")=3,"C",IF(COUNTIF(Journey!K30:'Journey'!K66,"B")&gt;0,"P"," "))</f>
        <v xml:space="preserve"> </v>
      </c>
      <c r="M21" s="303" t="str">
        <f>IF(COUNTIF(Journey!L30:'Journey'!L66,"B")=3,"C",IF(COUNTIF(Journey!L30:'Journey'!L66,"B")&gt;0,"P"," "))</f>
        <v xml:space="preserve"> </v>
      </c>
      <c r="N21" s="303" t="str">
        <f>IF(COUNTIF(Journey!M30:'Journey'!M66,"B")=3,"C",IF(COUNTIF(Journey!M30:'Journey'!M66,"B")&gt;0,"P"," "))</f>
        <v xml:space="preserve"> </v>
      </c>
      <c r="O21" s="303" t="str">
        <f>IF(COUNTIF(Journey!N30:'Journey'!N66,"B")=3,"C",IF(COUNTIF(Journey!N30:'Journey'!N66,"B")&gt;0,"P"," "))</f>
        <v xml:space="preserve"> </v>
      </c>
      <c r="P21" s="303" t="str">
        <f>IF(COUNTIF(Journey!O30:'Journey'!O66,"B")=3,"C",IF(COUNTIF(Journey!O30:'Journey'!O66,"B")&gt;0,"P"," "))</f>
        <v xml:space="preserve"> </v>
      </c>
      <c r="Q21" s="303" t="str">
        <f>IF(COUNTIF(Journey!P30:'Journey'!P66,"B")=3,"C",IF(COUNTIF(Journey!P30:'Journey'!P66,"B")&gt;0,"P"," "))</f>
        <v xml:space="preserve"> </v>
      </c>
      <c r="R21" s="303" t="str">
        <f>IF(COUNTIF(Journey!Q30:'Journey'!Q66,"B")=3,"C",IF(COUNTIF(Journey!Q30:'Journey'!Q66,"B")&gt;0,"P"," "))</f>
        <v xml:space="preserve"> </v>
      </c>
    </row>
    <row r="22" spans="1:18" x14ac:dyDescent="0.2">
      <c r="B22" s="1" t="s">
        <v>83</v>
      </c>
      <c r="C22" s="99"/>
      <c r="D22" s="145" t="s">
        <v>83</v>
      </c>
      <c r="E22" s="100"/>
      <c r="F22" s="100"/>
      <c r="G22" s="100"/>
      <c r="H22" s="100"/>
      <c r="I22" s="100"/>
      <c r="J22" s="100"/>
      <c r="K22" s="100"/>
      <c r="L22" s="100"/>
      <c r="M22" s="100"/>
      <c r="N22" s="100"/>
      <c r="O22" s="100"/>
      <c r="P22" s="102"/>
      <c r="Q22" s="100"/>
      <c r="R22" s="100"/>
    </row>
    <row r="23" spans="1:18" x14ac:dyDescent="0.2">
      <c r="C23" s="133" t="s">
        <v>102</v>
      </c>
      <c r="D23" s="9"/>
      <c r="E23" s="9"/>
      <c r="F23" s="9"/>
      <c r="G23" s="9"/>
      <c r="H23" s="9"/>
      <c r="I23" s="9"/>
      <c r="J23" s="9"/>
      <c r="K23" s="9"/>
      <c r="L23" s="9"/>
      <c r="M23" s="9"/>
      <c r="N23" s="9"/>
      <c r="O23" s="9"/>
      <c r="P23" s="9"/>
      <c r="Q23" s="9"/>
      <c r="R23" s="9"/>
    </row>
    <row r="24" spans="1:18" x14ac:dyDescent="0.2">
      <c r="C24" s="133" t="s">
        <v>103</v>
      </c>
      <c r="D24" s="9"/>
      <c r="E24" s="9"/>
      <c r="F24" s="9"/>
      <c r="G24" s="9"/>
      <c r="H24" s="9"/>
      <c r="I24" s="9"/>
      <c r="J24" s="9"/>
      <c r="K24" s="9"/>
      <c r="L24" s="9"/>
      <c r="M24" s="9"/>
      <c r="N24" s="9"/>
      <c r="O24" s="9"/>
      <c r="P24" s="9"/>
      <c r="Q24" s="9"/>
      <c r="R24" s="9"/>
    </row>
    <row r="25" spans="1:18" x14ac:dyDescent="0.2">
      <c r="C25" s="133" t="s">
        <v>104</v>
      </c>
      <c r="D25" s="9"/>
      <c r="E25" s="9"/>
      <c r="F25" s="9"/>
      <c r="G25" s="9"/>
      <c r="H25" s="9"/>
      <c r="I25" s="9"/>
      <c r="J25" s="9"/>
      <c r="K25" s="9"/>
      <c r="L25" s="9"/>
      <c r="M25" s="9"/>
      <c r="N25" s="9"/>
      <c r="O25" s="9"/>
      <c r="P25" s="9"/>
      <c r="Q25" s="9"/>
      <c r="R25" s="9"/>
    </row>
    <row r="26" spans="1:18" x14ac:dyDescent="0.2">
      <c r="C26" s="133" t="s">
        <v>105</v>
      </c>
      <c r="D26" s="9"/>
      <c r="E26" s="9"/>
      <c r="F26" s="9"/>
      <c r="G26" s="9"/>
      <c r="H26" s="9"/>
      <c r="I26" s="9"/>
      <c r="J26" s="9"/>
      <c r="K26" s="9"/>
      <c r="L26" s="9"/>
      <c r="M26" s="9"/>
      <c r="N26" s="9"/>
      <c r="O26" s="9"/>
      <c r="P26" s="9"/>
      <c r="Q26" s="9"/>
      <c r="R26" s="9"/>
    </row>
    <row r="27" spans="1:18" x14ac:dyDescent="0.2">
      <c r="C27" s="133" t="s">
        <v>106</v>
      </c>
      <c r="D27" s="9"/>
      <c r="E27" s="9"/>
      <c r="F27" s="9"/>
      <c r="G27" s="9"/>
      <c r="H27" s="9"/>
      <c r="I27" s="9"/>
      <c r="J27" s="9"/>
      <c r="K27" s="9"/>
      <c r="L27" s="9"/>
      <c r="M27" s="9"/>
      <c r="N27" s="9"/>
      <c r="O27" s="9"/>
      <c r="P27" s="9"/>
      <c r="Q27" s="9"/>
      <c r="R27" s="9"/>
    </row>
    <row r="28" spans="1:18" x14ac:dyDescent="0.2">
      <c r="C28" s="133" t="s">
        <v>107</v>
      </c>
      <c r="D28" s="9"/>
      <c r="E28" s="9"/>
      <c r="F28" s="9"/>
      <c r="G28" s="9"/>
      <c r="H28" s="9"/>
      <c r="I28" s="9"/>
      <c r="J28" s="9"/>
      <c r="K28" s="9"/>
      <c r="L28" s="9"/>
      <c r="M28" s="9"/>
      <c r="N28" s="9"/>
      <c r="O28" s="9"/>
      <c r="P28" s="9"/>
      <c r="Q28" s="9"/>
      <c r="R28" s="9"/>
    </row>
    <row r="29" spans="1:18" x14ac:dyDescent="0.2">
      <c r="B29" s="1" t="s">
        <v>93</v>
      </c>
      <c r="D29" s="107"/>
      <c r="E29" s="107"/>
      <c r="F29" s="107"/>
      <c r="G29" s="107"/>
      <c r="H29" s="107"/>
      <c r="I29" s="107"/>
      <c r="J29" s="107"/>
      <c r="K29" s="107"/>
      <c r="L29" s="107"/>
      <c r="M29" s="107"/>
      <c r="N29" s="107"/>
      <c r="O29" s="107"/>
      <c r="P29" s="107"/>
      <c r="Q29" s="107"/>
      <c r="R29" s="107"/>
    </row>
    <row r="30" spans="1:18" x14ac:dyDescent="0.2">
      <c r="C30" s="133" t="s">
        <v>108</v>
      </c>
      <c r="D30" s="9"/>
      <c r="E30" s="9"/>
      <c r="F30" s="9"/>
      <c r="G30" s="9"/>
      <c r="H30" s="9"/>
      <c r="I30" s="9"/>
      <c r="J30" s="9"/>
      <c r="K30" s="9"/>
      <c r="L30" s="9"/>
      <c r="M30" s="9"/>
      <c r="N30" s="9"/>
      <c r="O30" s="9"/>
      <c r="P30" s="9"/>
      <c r="Q30" s="9"/>
      <c r="R30" s="9"/>
    </row>
    <row r="31" spans="1:18" x14ac:dyDescent="0.2">
      <c r="C31" s="133" t="s">
        <v>109</v>
      </c>
      <c r="D31" s="9"/>
      <c r="E31" s="9"/>
      <c r="F31" s="9"/>
      <c r="G31" s="9"/>
      <c r="H31" s="9"/>
      <c r="I31" s="9"/>
      <c r="J31" s="9"/>
      <c r="K31" s="9"/>
      <c r="L31" s="9"/>
      <c r="M31" s="9"/>
      <c r="N31" s="9"/>
      <c r="O31" s="9"/>
      <c r="P31" s="9"/>
      <c r="Q31" s="9"/>
      <c r="R31" s="9"/>
    </row>
    <row r="32" spans="1:18" x14ac:dyDescent="0.2">
      <c r="B32" s="1" t="s">
        <v>76</v>
      </c>
      <c r="D32" s="146" t="s">
        <v>140</v>
      </c>
      <c r="E32" s="107"/>
      <c r="F32" s="107"/>
      <c r="G32" s="107"/>
      <c r="H32" s="107"/>
      <c r="I32" s="107"/>
      <c r="J32" s="107"/>
      <c r="K32" s="107"/>
      <c r="L32" s="107"/>
      <c r="M32" s="107"/>
      <c r="N32" s="107"/>
      <c r="O32" s="107"/>
      <c r="P32" s="107"/>
      <c r="Q32" s="107"/>
      <c r="R32" s="107"/>
    </row>
    <row r="33" spans="1:18" x14ac:dyDescent="0.2">
      <c r="C33" s="133" t="s">
        <v>110</v>
      </c>
      <c r="D33" s="9"/>
      <c r="E33" s="9"/>
      <c r="F33" s="9"/>
      <c r="G33" s="9"/>
      <c r="H33" s="9"/>
      <c r="I33" s="9"/>
      <c r="J33" s="9"/>
      <c r="K33" s="9"/>
      <c r="L33" s="9"/>
      <c r="M33" s="9"/>
      <c r="N33" s="9"/>
      <c r="O33" s="9"/>
      <c r="P33" s="9"/>
      <c r="Q33" s="9"/>
      <c r="R33" s="9"/>
    </row>
    <row r="34" spans="1:18" x14ac:dyDescent="0.2">
      <c r="C34" s="133" t="s">
        <v>111</v>
      </c>
      <c r="D34" s="9"/>
      <c r="E34" s="9"/>
      <c r="F34" s="9"/>
      <c r="G34" s="9"/>
      <c r="H34" s="9"/>
      <c r="I34" s="9"/>
      <c r="J34" s="9"/>
      <c r="K34" s="9"/>
      <c r="L34" s="9"/>
      <c r="M34" s="9"/>
      <c r="N34" s="9"/>
      <c r="O34" s="9"/>
      <c r="P34" s="9"/>
      <c r="Q34" s="9"/>
      <c r="R34" s="9"/>
    </row>
    <row r="35" spans="1:18" x14ac:dyDescent="0.2">
      <c r="B35" s="1" t="s">
        <v>121</v>
      </c>
      <c r="C35" s="134"/>
      <c r="D35" s="149" t="s">
        <v>122</v>
      </c>
      <c r="E35" s="136"/>
      <c r="F35" s="136"/>
      <c r="G35" s="136"/>
      <c r="H35" s="136"/>
      <c r="I35" s="136"/>
      <c r="J35" s="136"/>
      <c r="K35" s="136"/>
      <c r="L35" s="136"/>
      <c r="M35" s="136"/>
      <c r="N35" s="136"/>
      <c r="O35" s="136"/>
      <c r="P35" s="136"/>
      <c r="Q35" s="136"/>
      <c r="R35" s="136"/>
    </row>
    <row r="36" spans="1:18" x14ac:dyDescent="0.2">
      <c r="C36" s="148" t="s">
        <v>122</v>
      </c>
      <c r="D36" s="9"/>
      <c r="E36" s="9"/>
      <c r="F36" s="9"/>
      <c r="G36" s="9"/>
      <c r="H36" s="9"/>
      <c r="I36" s="9"/>
      <c r="J36" s="9"/>
      <c r="K36" s="9"/>
      <c r="L36" s="9"/>
      <c r="M36" s="9"/>
      <c r="N36" s="9"/>
      <c r="O36" s="9"/>
      <c r="P36" s="9"/>
      <c r="Q36" s="9"/>
      <c r="R36" s="9"/>
    </row>
    <row r="37" spans="1:18" x14ac:dyDescent="0.2">
      <c r="B37" s="1" t="s">
        <v>123</v>
      </c>
      <c r="C37" s="147"/>
      <c r="D37" s="136"/>
      <c r="E37" s="136"/>
      <c r="F37" s="136"/>
      <c r="G37" s="136"/>
      <c r="H37" s="136"/>
      <c r="I37" s="136"/>
      <c r="J37" s="136"/>
      <c r="K37" s="136"/>
      <c r="L37" s="136"/>
      <c r="M37" s="136"/>
      <c r="N37" s="136"/>
      <c r="O37" s="136"/>
      <c r="P37" s="136"/>
      <c r="Q37" s="136"/>
      <c r="R37" s="136"/>
    </row>
    <row r="38" spans="1:18" x14ac:dyDescent="0.2">
      <c r="C38" s="148" t="s">
        <v>124</v>
      </c>
      <c r="D38" s="9"/>
      <c r="E38" s="9"/>
      <c r="F38" s="9"/>
      <c r="G38" s="9"/>
      <c r="H38" s="9"/>
      <c r="I38" s="9"/>
      <c r="J38" s="9"/>
      <c r="K38" s="9"/>
      <c r="L38" s="9"/>
      <c r="M38" s="9"/>
      <c r="N38" s="9"/>
      <c r="O38" s="9"/>
      <c r="P38" s="9"/>
      <c r="Q38" s="9"/>
      <c r="R38" s="9"/>
    </row>
    <row r="39" spans="1:18" x14ac:dyDescent="0.2">
      <c r="B39" s="1" t="s">
        <v>82</v>
      </c>
      <c r="D39" s="107"/>
      <c r="E39" s="107"/>
      <c r="F39" s="107"/>
      <c r="G39" s="107"/>
      <c r="H39" s="107"/>
      <c r="I39" s="107"/>
      <c r="J39" s="107"/>
      <c r="K39" s="107"/>
      <c r="L39" s="107"/>
      <c r="M39" s="107"/>
      <c r="N39" s="107"/>
      <c r="O39" s="107"/>
      <c r="P39" s="107"/>
      <c r="Q39" s="107"/>
      <c r="R39" s="107"/>
    </row>
    <row r="40" spans="1:18" x14ac:dyDescent="0.2">
      <c r="C40" s="51" t="s">
        <v>17</v>
      </c>
      <c r="D40" s="9"/>
      <c r="E40" s="9"/>
      <c r="F40" s="9"/>
      <c r="G40" s="9"/>
      <c r="H40" s="9"/>
      <c r="I40" s="9"/>
      <c r="J40" s="9"/>
      <c r="K40" s="9"/>
      <c r="L40" s="9"/>
      <c r="M40" s="9"/>
      <c r="N40" s="9"/>
      <c r="O40" s="9"/>
      <c r="P40" s="9"/>
      <c r="Q40" s="9"/>
      <c r="R40" s="9"/>
    </row>
    <row r="41" spans="1:18" x14ac:dyDescent="0.2">
      <c r="C41" s="133" t="s">
        <v>112</v>
      </c>
      <c r="D41" s="9"/>
      <c r="E41" s="9"/>
      <c r="F41" s="9"/>
      <c r="G41" s="9"/>
      <c r="H41" s="9"/>
      <c r="I41" s="9"/>
      <c r="J41" s="9"/>
      <c r="K41" s="9"/>
      <c r="L41" s="9"/>
      <c r="M41" s="9"/>
      <c r="N41" s="9"/>
      <c r="O41" s="9"/>
      <c r="P41" s="9"/>
      <c r="Q41" s="9"/>
      <c r="R41" s="9"/>
    </row>
    <row r="42" spans="1:18" x14ac:dyDescent="0.2">
      <c r="C42" s="133" t="s">
        <v>113</v>
      </c>
      <c r="D42" s="9"/>
      <c r="E42" s="9"/>
      <c r="F42" s="9"/>
      <c r="G42" s="9"/>
      <c r="H42" s="9"/>
      <c r="I42" s="9"/>
      <c r="J42" s="9"/>
      <c r="K42" s="9"/>
      <c r="L42" s="9"/>
      <c r="M42" s="9"/>
      <c r="N42" s="9"/>
      <c r="O42" s="9"/>
      <c r="P42" s="9"/>
      <c r="Q42" s="9"/>
      <c r="R42" s="9"/>
    </row>
    <row r="43" spans="1:18" x14ac:dyDescent="0.2">
      <c r="B43" s="137" t="s">
        <v>114</v>
      </c>
      <c r="C43" s="138"/>
      <c r="D43" s="138"/>
      <c r="E43" s="138"/>
      <c r="F43" s="138"/>
      <c r="G43" s="138"/>
      <c r="H43" s="138"/>
      <c r="I43" s="138"/>
      <c r="J43" s="138"/>
      <c r="K43" s="138"/>
      <c r="L43" s="138"/>
      <c r="M43" s="138"/>
      <c r="N43" s="138"/>
      <c r="O43" s="138"/>
      <c r="P43" s="138"/>
      <c r="Q43" s="138"/>
      <c r="R43" s="138"/>
    </row>
    <row r="44" spans="1:18" x14ac:dyDescent="0.2">
      <c r="A44" s="304"/>
      <c r="B44" s="139">
        <v>1</v>
      </c>
      <c r="C44" s="140" t="s">
        <v>115</v>
      </c>
      <c r="D44" s="141"/>
      <c r="E44" s="141"/>
      <c r="F44" s="141"/>
      <c r="G44" s="141"/>
      <c r="H44" s="141"/>
      <c r="I44" s="141"/>
      <c r="J44" s="141"/>
      <c r="K44" s="141"/>
      <c r="L44" s="141"/>
      <c r="M44" s="141"/>
      <c r="N44" s="141"/>
      <c r="O44" s="141"/>
      <c r="P44" s="141"/>
      <c r="Q44" s="141"/>
      <c r="R44" s="141"/>
    </row>
    <row r="45" spans="1:18" x14ac:dyDescent="0.2">
      <c r="B45" s="139">
        <v>2</v>
      </c>
      <c r="C45" s="140" t="s">
        <v>116</v>
      </c>
      <c r="D45" s="141"/>
      <c r="E45" s="141"/>
      <c r="F45" s="141"/>
      <c r="G45" s="141"/>
      <c r="H45" s="141"/>
      <c r="I45" s="141"/>
      <c r="J45" s="141"/>
      <c r="K45" s="141"/>
      <c r="L45" s="141"/>
      <c r="M45" s="141"/>
      <c r="N45" s="141"/>
      <c r="O45" s="141"/>
      <c r="P45" s="141"/>
      <c r="Q45" s="141"/>
      <c r="R45" s="141"/>
    </row>
    <row r="46" spans="1:18" ht="13.5" customHeight="1" x14ac:dyDescent="0.2">
      <c r="B46" s="139">
        <v>3</v>
      </c>
      <c r="C46" s="140" t="s">
        <v>117</v>
      </c>
      <c r="D46" s="141"/>
      <c r="E46" s="141"/>
      <c r="F46" s="141"/>
      <c r="G46" s="141"/>
      <c r="H46" s="141"/>
      <c r="I46" s="141"/>
      <c r="J46" s="141"/>
      <c r="K46" s="141"/>
      <c r="L46" s="141"/>
      <c r="M46" s="141"/>
      <c r="N46" s="141"/>
      <c r="O46" s="141"/>
      <c r="P46" s="141"/>
      <c r="Q46" s="141"/>
      <c r="R46" s="141"/>
    </row>
    <row r="47" spans="1:18" x14ac:dyDescent="0.2">
      <c r="B47" s="142">
        <v>4</v>
      </c>
      <c r="C47" s="140" t="s">
        <v>118</v>
      </c>
      <c r="D47" s="141"/>
      <c r="E47" s="141"/>
      <c r="F47" s="141"/>
      <c r="G47" s="141"/>
      <c r="H47" s="141"/>
      <c r="I47" s="141"/>
      <c r="J47" s="141"/>
      <c r="K47" s="141"/>
      <c r="L47" s="141"/>
      <c r="M47" s="141"/>
      <c r="N47" s="141"/>
      <c r="O47" s="141"/>
      <c r="P47" s="141"/>
      <c r="Q47" s="141"/>
      <c r="R47" s="141"/>
    </row>
    <row r="48" spans="1:18" ht="13.5" thickBot="1" x14ac:dyDescent="0.25">
      <c r="B48" s="142">
        <v>5</v>
      </c>
      <c r="C48" s="140" t="s">
        <v>120</v>
      </c>
      <c r="D48" s="141"/>
      <c r="E48" s="141"/>
      <c r="F48" s="141"/>
      <c r="G48" s="141"/>
      <c r="H48" s="141"/>
      <c r="I48" s="141"/>
      <c r="J48" s="141"/>
      <c r="K48" s="141"/>
      <c r="L48" s="141"/>
      <c r="M48" s="141"/>
      <c r="N48" s="141"/>
      <c r="O48" s="141"/>
      <c r="P48" s="141"/>
      <c r="Q48" s="141"/>
      <c r="R48" s="141"/>
    </row>
    <row r="49" spans="2:18" ht="12.75" customHeight="1" thickBot="1" x14ac:dyDescent="0.25">
      <c r="B49" s="139"/>
      <c r="C49" s="143" t="s">
        <v>27</v>
      </c>
      <c r="D49" s="144" t="str">
        <f>IF(COUNTIF(D44:D48,"A")&gt;4,"C",IF(COUNTIF(D44:D48,"A")&gt;0,"P"," "))</f>
        <v xml:space="preserve"> </v>
      </c>
      <c r="E49" s="144" t="str">
        <f t="shared" ref="E49:R49" si="4">IF(COUNTIF(E44:E48,"A")&gt;4,"C",IF(COUNTIF(E44:E48,"A")&gt;0,"P"," "))</f>
        <v xml:space="preserve"> </v>
      </c>
      <c r="F49" s="144" t="str">
        <f t="shared" si="4"/>
        <v xml:space="preserve"> </v>
      </c>
      <c r="G49" s="144" t="str">
        <f t="shared" si="4"/>
        <v xml:space="preserve"> </v>
      </c>
      <c r="H49" s="144" t="str">
        <f t="shared" si="4"/>
        <v xml:space="preserve"> </v>
      </c>
      <c r="I49" s="144" t="str">
        <f t="shared" si="4"/>
        <v xml:space="preserve"> </v>
      </c>
      <c r="J49" s="144" t="str">
        <f t="shared" si="4"/>
        <v xml:space="preserve"> </v>
      </c>
      <c r="K49" s="144" t="str">
        <f t="shared" si="4"/>
        <v xml:space="preserve"> </v>
      </c>
      <c r="L49" s="144" t="str">
        <f t="shared" si="4"/>
        <v xml:space="preserve"> </v>
      </c>
      <c r="M49" s="144" t="str">
        <f t="shared" si="4"/>
        <v xml:space="preserve"> </v>
      </c>
      <c r="N49" s="144" t="str">
        <f t="shared" si="4"/>
        <v xml:space="preserve"> </v>
      </c>
      <c r="O49" s="144" t="str">
        <f t="shared" si="4"/>
        <v xml:space="preserve"> </v>
      </c>
      <c r="P49" s="144" t="str">
        <f t="shared" si="4"/>
        <v xml:space="preserve"> </v>
      </c>
      <c r="Q49" s="144" t="str">
        <f t="shared" si="4"/>
        <v xml:space="preserve"> </v>
      </c>
      <c r="R49" s="144" t="str">
        <f t="shared" si="4"/>
        <v xml:space="preserve"> </v>
      </c>
    </row>
    <row r="50" spans="2:18" x14ac:dyDescent="0.2">
      <c r="B50" s="137" t="s">
        <v>119</v>
      </c>
      <c r="C50" s="138"/>
      <c r="D50" s="138"/>
      <c r="E50" s="138"/>
      <c r="F50" s="138"/>
      <c r="G50" s="138"/>
      <c r="H50" s="138"/>
      <c r="I50" s="138"/>
      <c r="J50" s="138"/>
      <c r="K50" s="138"/>
      <c r="L50" s="138"/>
      <c r="M50" s="138"/>
      <c r="N50" s="138"/>
      <c r="O50" s="138"/>
      <c r="P50" s="138"/>
      <c r="Q50" s="138"/>
      <c r="R50" s="138"/>
    </row>
    <row r="51" spans="2:18" x14ac:dyDescent="0.2">
      <c r="B51" s="139">
        <v>1</v>
      </c>
      <c r="C51" s="140" t="s">
        <v>115</v>
      </c>
      <c r="D51" s="141"/>
      <c r="E51" s="141"/>
      <c r="F51" s="141"/>
      <c r="G51" s="141"/>
      <c r="H51" s="141"/>
      <c r="I51" s="141"/>
      <c r="J51" s="141"/>
      <c r="K51" s="141"/>
      <c r="L51" s="141"/>
      <c r="M51" s="141"/>
      <c r="N51" s="141"/>
      <c r="O51" s="141"/>
      <c r="P51" s="141"/>
      <c r="Q51" s="141"/>
      <c r="R51" s="141"/>
    </row>
    <row r="52" spans="2:18" ht="12" customHeight="1" x14ac:dyDescent="0.2">
      <c r="B52" s="139">
        <v>2</v>
      </c>
      <c r="C52" s="140" t="s">
        <v>116</v>
      </c>
      <c r="D52" s="141"/>
      <c r="E52" s="141"/>
      <c r="F52" s="141"/>
      <c r="G52" s="141"/>
      <c r="H52" s="141"/>
      <c r="I52" s="141"/>
      <c r="J52" s="141"/>
      <c r="K52" s="141"/>
      <c r="L52" s="141"/>
      <c r="M52" s="141"/>
      <c r="N52" s="141"/>
      <c r="O52" s="141"/>
      <c r="P52" s="141"/>
      <c r="Q52" s="141"/>
      <c r="R52" s="141"/>
    </row>
    <row r="53" spans="2:18" x14ac:dyDescent="0.2">
      <c r="B53" s="139">
        <v>3</v>
      </c>
      <c r="C53" s="140" t="s">
        <v>117</v>
      </c>
      <c r="D53" s="141"/>
      <c r="E53" s="141"/>
      <c r="F53" s="141"/>
      <c r="G53" s="141"/>
      <c r="H53" s="141"/>
      <c r="I53" s="141"/>
      <c r="J53" s="141"/>
      <c r="K53" s="141"/>
      <c r="L53" s="141"/>
      <c r="M53" s="141"/>
      <c r="N53" s="141"/>
      <c r="O53" s="141"/>
      <c r="P53" s="141"/>
      <c r="Q53" s="141"/>
      <c r="R53" s="141"/>
    </row>
    <row r="54" spans="2:18" ht="12.75" customHeight="1" x14ac:dyDescent="0.2">
      <c r="B54" s="142">
        <v>4</v>
      </c>
      <c r="C54" s="140" t="s">
        <v>118</v>
      </c>
      <c r="D54" s="141"/>
      <c r="E54" s="141"/>
      <c r="F54" s="141"/>
      <c r="G54" s="141"/>
      <c r="H54" s="141"/>
      <c r="I54" s="141"/>
      <c r="J54" s="141"/>
      <c r="K54" s="141"/>
      <c r="L54" s="141"/>
      <c r="M54" s="141"/>
      <c r="N54" s="141"/>
      <c r="O54" s="141"/>
      <c r="P54" s="141"/>
      <c r="Q54" s="141"/>
      <c r="R54" s="141"/>
    </row>
    <row r="55" spans="2:18" ht="13.5" thickBot="1" x14ac:dyDescent="0.25">
      <c r="B55" s="142">
        <v>5</v>
      </c>
      <c r="C55" s="140" t="s">
        <v>120</v>
      </c>
      <c r="D55" s="141"/>
      <c r="E55" s="141"/>
      <c r="F55" s="141"/>
      <c r="G55" s="141"/>
      <c r="H55" s="141"/>
      <c r="I55" s="141"/>
      <c r="J55" s="141"/>
      <c r="K55" s="141"/>
      <c r="L55" s="141"/>
      <c r="M55" s="141"/>
      <c r="N55" s="141"/>
      <c r="O55" s="141"/>
      <c r="P55" s="141"/>
      <c r="Q55" s="141"/>
      <c r="R55" s="141"/>
    </row>
    <row r="56" spans="2:18" ht="13.5" thickBot="1" x14ac:dyDescent="0.25">
      <c r="B56" s="139"/>
      <c r="C56" s="143" t="s">
        <v>27</v>
      </c>
      <c r="D56" s="144" t="str">
        <f>IF(COUNTIF(D51:D55,"A")&gt;4,"C",IF(COUNTIF(D51:D55,"A")&gt;0,"P"," "))</f>
        <v xml:space="preserve"> </v>
      </c>
      <c r="E56" s="144" t="str">
        <f t="shared" ref="E56:R56" si="5">IF(COUNTIF(E51:E55,"A")&gt;4,"C",IF(COUNTIF(E51:E55,"A")&gt;0,"P"," "))</f>
        <v xml:space="preserve"> </v>
      </c>
      <c r="F56" s="144" t="str">
        <f t="shared" si="5"/>
        <v xml:space="preserve"> </v>
      </c>
      <c r="G56" s="144" t="str">
        <f t="shared" si="5"/>
        <v xml:space="preserve"> </v>
      </c>
      <c r="H56" s="144" t="str">
        <f t="shared" si="5"/>
        <v xml:space="preserve"> </v>
      </c>
      <c r="I56" s="144" t="str">
        <f t="shared" si="5"/>
        <v xml:space="preserve"> </v>
      </c>
      <c r="J56" s="144" t="str">
        <f t="shared" si="5"/>
        <v xml:space="preserve"> </v>
      </c>
      <c r="K56" s="144" t="str">
        <f t="shared" si="5"/>
        <v xml:space="preserve"> </v>
      </c>
      <c r="L56" s="144" t="str">
        <f t="shared" si="5"/>
        <v xml:space="preserve"> </v>
      </c>
      <c r="M56" s="144" t="str">
        <f t="shared" si="5"/>
        <v xml:space="preserve"> </v>
      </c>
      <c r="N56" s="144" t="str">
        <f t="shared" si="5"/>
        <v xml:space="preserve"> </v>
      </c>
      <c r="O56" s="144" t="str">
        <f t="shared" si="5"/>
        <v xml:space="preserve"> </v>
      </c>
      <c r="P56" s="144" t="str">
        <f t="shared" si="5"/>
        <v xml:space="preserve"> </v>
      </c>
      <c r="Q56" s="144" t="str">
        <f t="shared" si="5"/>
        <v xml:space="preserve"> </v>
      </c>
      <c r="R56" s="144" t="str">
        <f t="shared" si="5"/>
        <v xml:space="preserve"> </v>
      </c>
    </row>
    <row r="57" spans="2:18" x14ac:dyDescent="0.2">
      <c r="B57" s="75" t="s">
        <v>131</v>
      </c>
      <c r="C57" s="6"/>
      <c r="D57" s="177" t="s">
        <v>130</v>
      </c>
      <c r="E57" s="76"/>
      <c r="F57" s="76"/>
      <c r="G57" s="76"/>
      <c r="H57" s="76"/>
      <c r="I57" s="76"/>
      <c r="J57" s="76"/>
      <c r="K57" s="76"/>
      <c r="L57" s="76"/>
      <c r="M57" s="76"/>
      <c r="N57" s="76"/>
      <c r="O57" s="76"/>
      <c r="P57" s="76"/>
      <c r="Q57" s="76"/>
      <c r="R57" s="76"/>
    </row>
    <row r="58" spans="2:18" x14ac:dyDescent="0.2">
      <c r="B58" s="77">
        <v>1</v>
      </c>
      <c r="C58" s="150" t="s">
        <v>145</v>
      </c>
      <c r="D58" s="65"/>
      <c r="E58" s="65"/>
      <c r="F58" s="65"/>
      <c r="G58" s="65"/>
      <c r="H58" s="65"/>
      <c r="I58" s="65"/>
      <c r="J58" s="65"/>
      <c r="K58" s="65"/>
      <c r="L58" s="65"/>
      <c r="M58" s="65"/>
      <c r="N58" s="65"/>
      <c r="O58" s="65"/>
      <c r="P58" s="65"/>
      <c r="Q58" s="65"/>
      <c r="R58" s="65"/>
    </row>
    <row r="59" spans="2:18" x14ac:dyDescent="0.2">
      <c r="B59" s="77">
        <v>2</v>
      </c>
      <c r="C59" s="150" t="s">
        <v>146</v>
      </c>
      <c r="D59" s="65"/>
      <c r="E59" s="65"/>
      <c r="F59" s="65"/>
      <c r="G59" s="65"/>
      <c r="H59" s="65"/>
      <c r="I59" s="65"/>
      <c r="J59" s="65"/>
      <c r="K59" s="65"/>
      <c r="L59" s="65"/>
      <c r="M59" s="65"/>
      <c r="N59" s="65"/>
      <c r="O59" s="65"/>
      <c r="P59" s="65"/>
      <c r="Q59" s="65"/>
      <c r="R59" s="65"/>
    </row>
    <row r="60" spans="2:18" x14ac:dyDescent="0.2">
      <c r="B60" s="77">
        <v>3</v>
      </c>
      <c r="C60" s="150" t="s">
        <v>147</v>
      </c>
      <c r="D60" s="65"/>
      <c r="E60" s="65"/>
      <c r="F60" s="65"/>
      <c r="G60" s="65"/>
      <c r="H60" s="65"/>
      <c r="I60" s="65"/>
      <c r="J60" s="65"/>
      <c r="K60" s="65"/>
      <c r="L60" s="65"/>
      <c r="M60" s="65"/>
      <c r="N60" s="65"/>
      <c r="O60" s="65"/>
      <c r="P60" s="65"/>
      <c r="Q60" s="65"/>
      <c r="R60" s="65"/>
    </row>
    <row r="61" spans="2:18" x14ac:dyDescent="0.2">
      <c r="B61" s="77">
        <v>4</v>
      </c>
      <c r="C61" s="150" t="s">
        <v>148</v>
      </c>
      <c r="D61" s="65"/>
      <c r="E61" s="65"/>
      <c r="F61" s="65"/>
      <c r="G61" s="65"/>
      <c r="H61" s="65"/>
      <c r="I61" s="65"/>
      <c r="J61" s="65"/>
      <c r="K61" s="65"/>
      <c r="L61" s="65"/>
      <c r="M61" s="65"/>
      <c r="N61" s="65"/>
      <c r="O61" s="65"/>
      <c r="P61" s="65"/>
      <c r="Q61" s="65"/>
      <c r="R61" s="65"/>
    </row>
    <row r="62" spans="2:18" ht="13.5" thickBot="1" x14ac:dyDescent="0.25">
      <c r="B62" s="77">
        <v>5</v>
      </c>
      <c r="C62" s="150" t="s">
        <v>149</v>
      </c>
      <c r="D62" s="65"/>
      <c r="E62" s="65"/>
      <c r="F62" s="65"/>
      <c r="G62" s="65"/>
      <c r="H62" s="65"/>
      <c r="I62" s="65"/>
      <c r="J62" s="65"/>
      <c r="K62" s="65"/>
      <c r="L62" s="65"/>
      <c r="M62" s="65"/>
      <c r="N62" s="65"/>
      <c r="O62" s="65"/>
      <c r="P62" s="65"/>
      <c r="Q62" s="65"/>
      <c r="R62" s="65"/>
    </row>
    <row r="63" spans="2:18" ht="13.5" thickBot="1" x14ac:dyDescent="0.25">
      <c r="B63" s="69"/>
      <c r="C63" s="80" t="s">
        <v>27</v>
      </c>
      <c r="D63" s="81" t="str">
        <f>IF(COUNTIF(D58:D62,"A")=5,"C",IF(COUNTIF(D58:D62,"A")&gt;0,"P"," "))</f>
        <v xml:space="preserve"> </v>
      </c>
      <c r="E63" s="81" t="str">
        <f t="shared" ref="E63:R63" si="6">IF(COUNTIF(E58:E62,"A")=5,"C",IF(COUNTIF(E58:E62,"A")&gt;0,"P"," "))</f>
        <v xml:space="preserve"> </v>
      </c>
      <c r="F63" s="81" t="str">
        <f t="shared" si="6"/>
        <v xml:space="preserve"> </v>
      </c>
      <c r="G63" s="81" t="str">
        <f t="shared" si="6"/>
        <v xml:space="preserve"> </v>
      </c>
      <c r="H63" s="81" t="str">
        <f t="shared" si="6"/>
        <v xml:space="preserve"> </v>
      </c>
      <c r="I63" s="81" t="str">
        <f t="shared" si="6"/>
        <v xml:space="preserve"> </v>
      </c>
      <c r="J63" s="81" t="str">
        <f t="shared" si="6"/>
        <v xml:space="preserve"> </v>
      </c>
      <c r="K63" s="81" t="str">
        <f t="shared" si="6"/>
        <v xml:space="preserve"> </v>
      </c>
      <c r="L63" s="81" t="str">
        <f t="shared" si="6"/>
        <v xml:space="preserve"> </v>
      </c>
      <c r="M63" s="81" t="str">
        <f t="shared" si="6"/>
        <v xml:space="preserve"> </v>
      </c>
      <c r="N63" s="81" t="str">
        <f t="shared" si="6"/>
        <v xml:space="preserve"> </v>
      </c>
      <c r="O63" s="81" t="str">
        <f t="shared" si="6"/>
        <v xml:space="preserve"> </v>
      </c>
      <c r="P63" s="81" t="str">
        <f t="shared" si="6"/>
        <v xml:space="preserve"> </v>
      </c>
      <c r="Q63" s="81" t="str">
        <f t="shared" si="6"/>
        <v xml:space="preserve"> </v>
      </c>
      <c r="R63" s="81" t="str">
        <f t="shared" si="6"/>
        <v xml:space="preserve"> </v>
      </c>
    </row>
    <row r="64" spans="2:18" x14ac:dyDescent="0.2">
      <c r="B64" s="82"/>
      <c r="C64" s="80"/>
      <c r="D64" s="80"/>
      <c r="E64" s="80"/>
      <c r="F64" s="80"/>
      <c r="G64" s="80"/>
      <c r="H64" s="80"/>
      <c r="I64" s="80"/>
      <c r="J64" s="80"/>
      <c r="K64" s="80"/>
      <c r="L64" s="80"/>
      <c r="M64" s="80"/>
      <c r="N64" s="80"/>
      <c r="O64" s="80"/>
      <c r="P64" s="80"/>
      <c r="Q64" s="80"/>
      <c r="R64" s="80"/>
    </row>
  </sheetData>
  <sheetProtection password="9A15" sheet="1" objects="1" scenarios="1" selectLockedCells="1"/>
  <mergeCells count="23">
    <mergeCell ref="B15:C15"/>
    <mergeCell ref="A4:C4"/>
    <mergeCell ref="F1:F4"/>
    <mergeCell ref="B5:C5"/>
    <mergeCell ref="B3:C3"/>
    <mergeCell ref="D5:R5"/>
    <mergeCell ref="E1:E4"/>
    <mergeCell ref="M1:M4"/>
    <mergeCell ref="R1:R4"/>
    <mergeCell ref="P1:P4"/>
    <mergeCell ref="Q1:Q4"/>
    <mergeCell ref="B9:C9"/>
    <mergeCell ref="D9:R9"/>
    <mergeCell ref="B12:C12"/>
    <mergeCell ref="I1:I4"/>
    <mergeCell ref="H1:H4"/>
    <mergeCell ref="O1:O4"/>
    <mergeCell ref="K1:K4"/>
    <mergeCell ref="L1:L4"/>
    <mergeCell ref="J1:J4"/>
    <mergeCell ref="D1:D4"/>
    <mergeCell ref="G1:G4"/>
    <mergeCell ref="N1:N4"/>
  </mergeCells>
  <phoneticPr fontId="2" type="noConversion"/>
  <hyperlinks>
    <hyperlink ref="D32" r:id="rId1"/>
    <hyperlink ref="D35" r:id="rId2"/>
    <hyperlink ref="D22" r:id="rId3"/>
  </hyperlinks>
  <pageMargins left="0.5" right="0.25" top="1" bottom="1" header="0.5" footer="0.5"/>
  <pageSetup scale="98" fitToWidth="0" orientation="portrait" r:id="rId4"/>
  <headerFooter alignWithMargins="0">
    <oddHeader>&amp;C&amp;"Arial,Bold"&amp;14AmbassadorTrax&amp;12
Age-Level Awards - &amp;D</oddHeader>
    <oddFooter>Page &amp;P</oddFooter>
  </headerFooter>
  <rowBreaks count="1" manualBreakCount="1">
    <brk id="4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17"/>
    <pageSetUpPr fitToPage="1"/>
  </sheetPr>
  <dimension ref="A1:U18"/>
  <sheetViews>
    <sheetView showGridLines="0" zoomScaleNormal="100" workbookViewId="0">
      <selection activeCell="U22" sqref="U22"/>
    </sheetView>
  </sheetViews>
  <sheetFormatPr defaultRowHeight="12.75" x14ac:dyDescent="0.2"/>
  <cols>
    <col min="1" max="1" width="11.42578125" style="113" customWidth="1"/>
    <col min="2" max="2" width="2.28515625" style="113" customWidth="1"/>
    <col min="3" max="3" width="34.7109375" style="113" bestFit="1" customWidth="1"/>
    <col min="4" max="18" width="3.28515625" style="113" bestFit="1" customWidth="1"/>
    <col min="19" max="16384" width="9.140625" style="113"/>
  </cols>
  <sheetData>
    <row r="1" spans="1:21" ht="17.25" customHeight="1" x14ac:dyDescent="0.2">
      <c r="A1" s="229"/>
      <c r="B1" s="194" t="s">
        <v>97</v>
      </c>
      <c r="C1" s="230">
        <f>Instructions!F3</f>
        <v>0</v>
      </c>
      <c r="D1" s="400" t="str">
        <f ca="1">'Ambassador 1'!$A$1</f>
        <v>Ambassador 1</v>
      </c>
      <c r="E1" s="400" t="str">
        <f ca="1">'Ambassador 2'!$A$1</f>
        <v>Ambassador 2</v>
      </c>
      <c r="F1" s="400" t="str">
        <f ca="1">'Ambassador 3'!$A$1</f>
        <v>Ambassador 3</v>
      </c>
      <c r="G1" s="400" t="str">
        <f ca="1">'Ambassador 4'!$A$1</f>
        <v>Ambassador 4</v>
      </c>
      <c r="H1" s="400" t="str">
        <f ca="1">'Ambassador 5'!$A$1</f>
        <v>Ambassador 5</v>
      </c>
      <c r="I1" s="400" t="str">
        <f ca="1">'Ambassador 6'!$A$1</f>
        <v>Ambassador 6</v>
      </c>
      <c r="J1" s="400" t="str">
        <f ca="1">'Ambassador 7'!$A$1</f>
        <v>Ambassador 7</v>
      </c>
      <c r="K1" s="400" t="str">
        <f ca="1">'Ambassador 8'!$A$1</f>
        <v>Ambassador 8</v>
      </c>
      <c r="L1" s="400" t="str">
        <f ca="1">'Ambassador 9'!$A$1</f>
        <v>Ambassador 9</v>
      </c>
      <c r="M1" s="400" t="str">
        <f ca="1">'Ambassador 10'!$A$1</f>
        <v>Ambassador 10</v>
      </c>
      <c r="N1" s="400" t="str">
        <f ca="1">'Ambassador 11'!$A$1</f>
        <v>Ambassador 11</v>
      </c>
      <c r="O1" s="400" t="str">
        <f ca="1">'Ambassador 12'!$A$1</f>
        <v>Ambassador 12</v>
      </c>
      <c r="P1" s="400" t="str">
        <f ca="1">'Ambassador 13'!$A$1</f>
        <v>Ambassador 13</v>
      </c>
      <c r="Q1" s="400" t="str">
        <f ca="1">'Ambassador 14'!$A$1</f>
        <v>Ambassador 14</v>
      </c>
      <c r="R1" s="400" t="str">
        <f ca="1">'Ambassador 15'!$A$1</f>
        <v>Ambassador 15</v>
      </c>
    </row>
    <row r="2" spans="1:21" ht="17.25" customHeight="1" x14ac:dyDescent="0.25">
      <c r="A2" s="231"/>
      <c r="B2" s="151" t="s">
        <v>98</v>
      </c>
      <c r="C2" s="152">
        <f>Instructions!F5</f>
        <v>0</v>
      </c>
      <c r="D2" s="401"/>
      <c r="E2" s="401"/>
      <c r="F2" s="401"/>
      <c r="G2" s="401"/>
      <c r="H2" s="401"/>
      <c r="I2" s="401"/>
      <c r="J2" s="401"/>
      <c r="K2" s="401"/>
      <c r="L2" s="401"/>
      <c r="M2" s="401"/>
      <c r="N2" s="401"/>
      <c r="O2" s="401"/>
      <c r="P2" s="401"/>
      <c r="Q2" s="401"/>
      <c r="R2" s="401"/>
    </row>
    <row r="3" spans="1:21" ht="17.25" customHeight="1" x14ac:dyDescent="0.2">
      <c r="A3" s="458"/>
      <c r="B3" s="458"/>
      <c r="C3" s="459"/>
      <c r="D3" s="401"/>
      <c r="E3" s="401"/>
      <c r="F3" s="401"/>
      <c r="G3" s="401"/>
      <c r="H3" s="401"/>
      <c r="I3" s="401"/>
      <c r="J3" s="401"/>
      <c r="K3" s="401"/>
      <c r="L3" s="401"/>
      <c r="M3" s="401"/>
      <c r="N3" s="401"/>
      <c r="O3" s="401"/>
      <c r="P3" s="401"/>
      <c r="Q3" s="401"/>
      <c r="R3" s="401"/>
    </row>
    <row r="4" spans="1:21" ht="17.25" customHeight="1" x14ac:dyDescent="0.2">
      <c r="A4" s="460" t="s">
        <v>78</v>
      </c>
      <c r="B4" s="460"/>
      <c r="C4" s="461"/>
      <c r="D4" s="402"/>
      <c r="E4" s="402"/>
      <c r="F4" s="402"/>
      <c r="G4" s="402"/>
      <c r="H4" s="402"/>
      <c r="I4" s="402"/>
      <c r="J4" s="402"/>
      <c r="K4" s="402"/>
      <c r="L4" s="402"/>
      <c r="M4" s="402"/>
      <c r="N4" s="402"/>
      <c r="O4" s="402"/>
      <c r="P4" s="402"/>
      <c r="Q4" s="402"/>
      <c r="R4" s="402"/>
    </row>
    <row r="5" spans="1:21" x14ac:dyDescent="0.2">
      <c r="A5" s="153"/>
      <c r="B5" s="153"/>
      <c r="C5" s="153"/>
      <c r="D5" s="154"/>
      <c r="E5" s="154"/>
      <c r="F5" s="153"/>
      <c r="G5" s="153"/>
      <c r="H5" s="153"/>
      <c r="I5" s="153"/>
      <c r="J5" s="456"/>
      <c r="K5" s="457"/>
      <c r="L5" s="457"/>
      <c r="M5" s="457"/>
      <c r="N5" s="457"/>
      <c r="O5" s="457"/>
      <c r="P5" s="457"/>
      <c r="Q5" s="457"/>
      <c r="R5" s="457"/>
    </row>
    <row r="6" spans="1:21" x14ac:dyDescent="0.2">
      <c r="A6" s="155"/>
      <c r="B6" s="156" t="s">
        <v>125</v>
      </c>
      <c r="C6" s="157"/>
      <c r="D6" s="158"/>
      <c r="E6" s="158"/>
      <c r="F6" s="157"/>
      <c r="G6" s="157"/>
      <c r="H6" s="157"/>
      <c r="I6" s="157"/>
      <c r="J6" s="159"/>
      <c r="K6" s="160"/>
      <c r="L6" s="160"/>
      <c r="M6" s="160"/>
      <c r="N6" s="160"/>
      <c r="O6" s="160"/>
      <c r="P6" s="160"/>
      <c r="Q6" s="160"/>
      <c r="R6" s="160"/>
      <c r="U6" s="113" t="str">
        <f>GetComments(C6)</f>
        <v>Share your talents and skills by teaching younger Girl Scouts something you learned to do as an Anbassador. 
This list has a few ideas to get you started. You only have to do one of these-or something like it-to complete the step.</v>
      </c>
    </row>
    <row r="7" spans="1:21" x14ac:dyDescent="0.2">
      <c r="A7" s="161"/>
      <c r="B7" s="162">
        <v>1</v>
      </c>
      <c r="C7" s="163" t="s">
        <v>315</v>
      </c>
      <c r="D7" s="164"/>
      <c r="E7" s="165" t="s">
        <v>26</v>
      </c>
      <c r="F7" s="165" t="s">
        <v>26</v>
      </c>
      <c r="G7" s="165" t="s">
        <v>26</v>
      </c>
      <c r="H7" s="165" t="s">
        <v>26</v>
      </c>
      <c r="I7" s="165"/>
      <c r="J7" s="165" t="s">
        <v>26</v>
      </c>
      <c r="K7" s="165" t="s">
        <v>26</v>
      </c>
      <c r="L7" s="165" t="s">
        <v>26</v>
      </c>
      <c r="M7" s="165" t="s">
        <v>26</v>
      </c>
      <c r="N7" s="165" t="s">
        <v>26</v>
      </c>
      <c r="O7" s="165" t="s">
        <v>26</v>
      </c>
      <c r="P7" s="165" t="s">
        <v>26</v>
      </c>
      <c r="Q7" s="165" t="s">
        <v>26</v>
      </c>
      <c r="R7" s="165" t="s">
        <v>26</v>
      </c>
      <c r="U7" s="113" t="str">
        <f t="shared" ref="U7:U18" si="0">GetComments(C7)</f>
        <v>National Leadership Journey. Did you add a trip? Meet local experts? Do something specail when you earned your awards? Put together a special package or presentation to share advice and experiences with Seniors.</v>
      </c>
    </row>
    <row r="8" spans="1:21" x14ac:dyDescent="0.2">
      <c r="A8" s="161"/>
      <c r="B8" s="162">
        <v>2</v>
      </c>
      <c r="C8" s="163" t="s">
        <v>226</v>
      </c>
      <c r="D8" s="165"/>
      <c r="E8" s="165"/>
      <c r="F8" s="165"/>
      <c r="G8" s="165"/>
      <c r="H8" s="165"/>
      <c r="I8" s="165"/>
      <c r="J8" s="165"/>
      <c r="K8" s="165"/>
      <c r="L8" s="165"/>
      <c r="M8" s="165"/>
      <c r="N8" s="165"/>
      <c r="O8" s="165"/>
      <c r="P8" s="165"/>
      <c r="Q8" s="165"/>
      <c r="R8" s="165"/>
      <c r="U8" s="113" t="str">
        <f t="shared" si="0"/>
        <v>favorite memories of being an Ambassador-your Take Action projects, trips, outings, friendships, and leadership lessons learned. As you help Seniors define what leadership means to them, reflect on how others helped you along the way.</v>
      </c>
    </row>
    <row r="9" spans="1:21" x14ac:dyDescent="0.2">
      <c r="A9" s="161"/>
      <c r="B9" s="162">
        <v>3</v>
      </c>
      <c r="C9" s="163" t="s">
        <v>227</v>
      </c>
      <c r="D9" s="164"/>
      <c r="E9" s="165"/>
      <c r="F9" s="165"/>
      <c r="G9" s="165"/>
      <c r="H9" s="165"/>
      <c r="I9" s="165"/>
      <c r="J9" s="165"/>
      <c r="K9" s="165"/>
      <c r="L9" s="165"/>
      <c r="M9" s="165"/>
      <c r="N9" s="165"/>
      <c r="O9" s="165"/>
      <c r="P9" s="165"/>
      <c r="Q9" s="165"/>
      <c r="R9" s="165"/>
      <c r="U9" s="113" t="str">
        <f t="shared" si="0"/>
        <v>earn badges or complete a Journey activity. You could also hold a fitness clinic, teach a dance class, take them geocaching, or pass on any other special skill you've learned as a Girl Scout.</v>
      </c>
    </row>
    <row r="10" spans="1:21" s="170" customFormat="1" ht="6" customHeight="1" x14ac:dyDescent="0.2">
      <c r="A10" s="166"/>
      <c r="B10" s="167"/>
      <c r="C10" s="168"/>
      <c r="D10" s="169" t="str">
        <f t="shared" ref="D10:R10" si="1">IF(COUNTIF(D7:D9,"A")&gt;=1,"C",IF(COUNTIF(D7:D9,"A")&gt;0,"P"," "))</f>
        <v xml:space="preserve"> </v>
      </c>
      <c r="E10" s="169" t="str">
        <f t="shared" si="1"/>
        <v xml:space="preserve"> </v>
      </c>
      <c r="F10" s="169" t="str">
        <f t="shared" si="1"/>
        <v xml:space="preserve"> </v>
      </c>
      <c r="G10" s="169" t="str">
        <f t="shared" si="1"/>
        <v xml:space="preserve"> </v>
      </c>
      <c r="H10" s="169" t="str">
        <f t="shared" si="1"/>
        <v xml:space="preserve"> </v>
      </c>
      <c r="I10" s="169" t="str">
        <f t="shared" si="1"/>
        <v xml:space="preserve"> </v>
      </c>
      <c r="J10" s="169" t="str">
        <f t="shared" si="1"/>
        <v xml:space="preserve"> </v>
      </c>
      <c r="K10" s="169" t="str">
        <f t="shared" si="1"/>
        <v xml:space="preserve"> </v>
      </c>
      <c r="L10" s="169" t="str">
        <f t="shared" si="1"/>
        <v xml:space="preserve"> </v>
      </c>
      <c r="M10" s="169" t="str">
        <f t="shared" si="1"/>
        <v xml:space="preserve"> </v>
      </c>
      <c r="N10" s="169" t="str">
        <f t="shared" si="1"/>
        <v xml:space="preserve"> </v>
      </c>
      <c r="O10" s="169" t="str">
        <f t="shared" si="1"/>
        <v xml:space="preserve"> </v>
      </c>
      <c r="P10" s="169" t="str">
        <f t="shared" si="1"/>
        <v xml:space="preserve"> </v>
      </c>
      <c r="Q10" s="169" t="str">
        <f t="shared" si="1"/>
        <v xml:space="preserve"> </v>
      </c>
      <c r="R10" s="169" t="str">
        <f t="shared" si="1"/>
        <v xml:space="preserve"> </v>
      </c>
      <c r="U10" s="113" t="str">
        <f t="shared" si="0"/>
        <v/>
      </c>
    </row>
    <row r="11" spans="1:21" x14ac:dyDescent="0.2">
      <c r="A11" s="139"/>
      <c r="B11" s="156" t="s">
        <v>126</v>
      </c>
      <c r="C11" s="157"/>
      <c r="D11" s="158"/>
      <c r="E11" s="158"/>
      <c r="F11" s="157"/>
      <c r="G11" s="157"/>
      <c r="H11" s="157"/>
      <c r="I11" s="157"/>
      <c r="J11" s="159"/>
      <c r="K11" s="160"/>
      <c r="L11" s="160"/>
      <c r="M11" s="160"/>
      <c r="N11" s="160"/>
      <c r="O11" s="160"/>
      <c r="P11" s="160"/>
      <c r="Q11" s="160"/>
      <c r="R11" s="160"/>
      <c r="U11" s="113" t="str">
        <f t="shared" si="0"/>
        <v>More than 900,00 adults empower girls to become leaders through Girl Scouting. Talk to Girl Scout Adults to find out what inspires them and to get ideas about what you'd like to do.
This list has a few ideas to get you started. You only have to do one of these-or something like it-to complete the step.</v>
      </c>
    </row>
    <row r="12" spans="1:21" x14ac:dyDescent="0.2">
      <c r="A12" s="139"/>
      <c r="B12" s="162">
        <v>1</v>
      </c>
      <c r="C12" s="163" t="s">
        <v>228</v>
      </c>
      <c r="D12" s="164"/>
      <c r="E12" s="165" t="s">
        <v>26</v>
      </c>
      <c r="F12" s="165" t="s">
        <v>26</v>
      </c>
      <c r="G12" s="165" t="s">
        <v>26</v>
      </c>
      <c r="H12" s="165" t="s">
        <v>26</v>
      </c>
      <c r="I12" s="165"/>
      <c r="J12" s="165" t="s">
        <v>26</v>
      </c>
      <c r="K12" s="165" t="s">
        <v>26</v>
      </c>
      <c r="L12" s="165" t="s">
        <v>26</v>
      </c>
      <c r="M12" s="165" t="s">
        <v>26</v>
      </c>
      <c r="N12" s="165" t="s">
        <v>26</v>
      </c>
      <c r="O12" s="165" t="s">
        <v>26</v>
      </c>
      <c r="P12" s="165" t="s">
        <v>26</v>
      </c>
      <c r="Q12" s="165" t="s">
        <v>26</v>
      </c>
      <c r="R12" s="165" t="s">
        <v>26</v>
      </c>
      <c r="U12" s="113" t="str">
        <f t="shared" si="0"/>
        <v>This doesn't have to be formal. You can start a conversation at a pizza party, take a walk on the beach, have a movie night, or go on a camping trip. Ask your adult why she thinks the Girl Scou legacy has endured or what she considers the highlights of volnuteering.</v>
      </c>
    </row>
    <row r="13" spans="1:21" x14ac:dyDescent="0.2">
      <c r="A13" s="139"/>
      <c r="B13" s="162">
        <v>2</v>
      </c>
      <c r="C13" s="163" t="s">
        <v>229</v>
      </c>
      <c r="D13" s="164"/>
      <c r="E13" s="165"/>
      <c r="F13" s="165"/>
      <c r="G13" s="165"/>
      <c r="H13" s="165"/>
      <c r="I13" s="165"/>
      <c r="J13" s="165"/>
      <c r="K13" s="165"/>
      <c r="L13" s="165"/>
      <c r="M13" s="165"/>
      <c r="N13" s="165"/>
      <c r="O13" s="165"/>
      <c r="P13" s="165"/>
      <c r="Q13" s="165"/>
      <c r="R13" s="165"/>
      <c r="U13" s="113" t="str">
        <f t="shared" si="0"/>
        <v>for Girl Scout adults who have supported you. Share your memeories, photos, or even a poem to tell them how much their help ment to you.</v>
      </c>
    </row>
    <row r="14" spans="1:21" x14ac:dyDescent="0.2">
      <c r="A14" s="139"/>
      <c r="B14" s="162">
        <v>3</v>
      </c>
      <c r="C14" s="163" t="s">
        <v>230</v>
      </c>
      <c r="D14" s="164"/>
      <c r="E14" s="165"/>
      <c r="F14" s="165"/>
      <c r="G14" s="165"/>
      <c r="H14" s="165"/>
      <c r="I14" s="165"/>
      <c r="J14" s="165"/>
      <c r="K14" s="165"/>
      <c r="L14" s="165"/>
      <c r="M14" s="165"/>
      <c r="N14" s="165"/>
      <c r="O14" s="165"/>
      <c r="P14" s="165"/>
      <c r="Q14" s="165"/>
      <c r="R14" s="165"/>
      <c r="U14" s="113" t="str">
        <f t="shared" si="0"/>
        <v>momentws in Girl Scouts. Add some music, then gather your friends, family, and the Girl Scout adults who influenced you to share your walk down memory lane.</v>
      </c>
    </row>
    <row r="15" spans="1:21" s="170" customFormat="1" ht="6" customHeight="1" x14ac:dyDescent="0.2">
      <c r="A15" s="166"/>
      <c r="B15" s="166"/>
      <c r="C15" s="166"/>
      <c r="D15" s="169" t="str">
        <f t="shared" ref="D15:R15" si="2">IF(COUNTIF(D12:D14,"A")&gt;=1,"C",IF(COUNTIF(D12:D14,"A")&gt;0,"P"," "))</f>
        <v xml:space="preserve"> </v>
      </c>
      <c r="E15" s="169" t="str">
        <f t="shared" si="2"/>
        <v xml:space="preserve"> </v>
      </c>
      <c r="F15" s="169" t="str">
        <f t="shared" si="2"/>
        <v xml:space="preserve"> </v>
      </c>
      <c r="G15" s="169" t="str">
        <f t="shared" si="2"/>
        <v xml:space="preserve"> </v>
      </c>
      <c r="H15" s="169" t="str">
        <f t="shared" si="2"/>
        <v xml:space="preserve"> </v>
      </c>
      <c r="I15" s="169" t="str">
        <f t="shared" si="2"/>
        <v xml:space="preserve"> </v>
      </c>
      <c r="J15" s="169" t="str">
        <f t="shared" si="2"/>
        <v xml:space="preserve"> </v>
      </c>
      <c r="K15" s="169" t="str">
        <f t="shared" si="2"/>
        <v xml:space="preserve"> </v>
      </c>
      <c r="L15" s="169" t="str">
        <f t="shared" si="2"/>
        <v xml:space="preserve"> </v>
      </c>
      <c r="M15" s="169" t="str">
        <f t="shared" si="2"/>
        <v xml:space="preserve"> </v>
      </c>
      <c r="N15" s="169" t="str">
        <f t="shared" si="2"/>
        <v xml:space="preserve"> </v>
      </c>
      <c r="O15" s="169" t="str">
        <f t="shared" si="2"/>
        <v xml:space="preserve"> </v>
      </c>
      <c r="P15" s="169" t="str">
        <f t="shared" si="2"/>
        <v xml:space="preserve"> </v>
      </c>
      <c r="Q15" s="169" t="str">
        <f t="shared" si="2"/>
        <v xml:space="preserve"> </v>
      </c>
      <c r="R15" s="169" t="str">
        <f t="shared" si="2"/>
        <v xml:space="preserve"> </v>
      </c>
      <c r="U15" s="113" t="str">
        <f t="shared" si="0"/>
        <v/>
      </c>
    </row>
    <row r="16" spans="1:21" x14ac:dyDescent="0.2">
      <c r="A16" s="139"/>
      <c r="B16" s="162"/>
      <c r="C16" s="163" t="s">
        <v>127</v>
      </c>
      <c r="D16" s="164"/>
      <c r="E16" s="165"/>
      <c r="F16" s="165"/>
      <c r="G16" s="165"/>
      <c r="H16" s="165"/>
      <c r="I16" s="165"/>
      <c r="J16" s="165"/>
      <c r="K16" s="165"/>
      <c r="L16" s="165"/>
      <c r="M16" s="165"/>
      <c r="N16" s="165"/>
      <c r="O16" s="165"/>
      <c r="P16" s="165"/>
      <c r="Q16" s="165"/>
      <c r="R16" s="165"/>
      <c r="U16" s="113" t="str">
        <f t="shared" si="0"/>
        <v>Congratulations! You've earned your Bridge to Girl Scout Adult Award! Celebrate with a favorite ceremony you learned in your time as a Girl Scout.</v>
      </c>
    </row>
    <row r="17" spans="1:21" s="170" customFormat="1" ht="6" customHeight="1" thickBot="1" x14ac:dyDescent="0.25">
      <c r="A17" s="166"/>
      <c r="B17" s="171"/>
      <c r="C17" s="172"/>
      <c r="D17" s="169" t="str">
        <f t="shared" ref="D17:R17" si="3">IF(COUNTIF(D16:D16,"A")=1,"C",IF(COUNTIF(D16:D16,"A")&gt;0,"P"," "))</f>
        <v xml:space="preserve"> </v>
      </c>
      <c r="E17" s="169" t="str">
        <f t="shared" si="3"/>
        <v xml:space="preserve"> </v>
      </c>
      <c r="F17" s="169" t="str">
        <f t="shared" si="3"/>
        <v xml:space="preserve"> </v>
      </c>
      <c r="G17" s="169" t="str">
        <f t="shared" si="3"/>
        <v xml:space="preserve"> </v>
      </c>
      <c r="H17" s="169" t="str">
        <f t="shared" si="3"/>
        <v xml:space="preserve"> </v>
      </c>
      <c r="I17" s="169" t="str">
        <f t="shared" si="3"/>
        <v xml:space="preserve"> </v>
      </c>
      <c r="J17" s="169" t="str">
        <f t="shared" si="3"/>
        <v xml:space="preserve"> </v>
      </c>
      <c r="K17" s="169" t="str">
        <f t="shared" si="3"/>
        <v xml:space="preserve"> </v>
      </c>
      <c r="L17" s="169" t="str">
        <f t="shared" si="3"/>
        <v xml:space="preserve"> </v>
      </c>
      <c r="M17" s="169" t="str">
        <f t="shared" si="3"/>
        <v xml:space="preserve"> </v>
      </c>
      <c r="N17" s="169" t="str">
        <f t="shared" si="3"/>
        <v xml:space="preserve"> </v>
      </c>
      <c r="O17" s="169" t="str">
        <f t="shared" si="3"/>
        <v xml:space="preserve"> </v>
      </c>
      <c r="P17" s="169" t="str">
        <f t="shared" si="3"/>
        <v xml:space="preserve"> </v>
      </c>
      <c r="Q17" s="169" t="str">
        <f t="shared" si="3"/>
        <v xml:space="preserve"> </v>
      </c>
      <c r="R17" s="169" t="str">
        <f t="shared" si="3"/>
        <v xml:space="preserve"> </v>
      </c>
      <c r="U17" s="113" t="str">
        <f t="shared" si="0"/>
        <v/>
      </c>
    </row>
    <row r="18" spans="1:21" ht="13.5" thickBot="1" x14ac:dyDescent="0.25">
      <c r="A18" s="139"/>
      <c r="B18" s="139"/>
      <c r="C18" s="173" t="s">
        <v>27</v>
      </c>
      <c r="D18" s="174" t="str">
        <f t="shared" ref="D18:R18" si="4">IF(COUNTIF(D7:D17,"C")=3,"C",IF(COUNTIF(D7:D17,"C")&gt;0,"P"," "))</f>
        <v xml:space="preserve"> </v>
      </c>
      <c r="E18" s="174" t="str">
        <f t="shared" si="4"/>
        <v xml:space="preserve"> </v>
      </c>
      <c r="F18" s="174" t="str">
        <f t="shared" si="4"/>
        <v xml:space="preserve"> </v>
      </c>
      <c r="G18" s="174" t="str">
        <f t="shared" si="4"/>
        <v xml:space="preserve"> </v>
      </c>
      <c r="H18" s="174" t="str">
        <f t="shared" si="4"/>
        <v xml:space="preserve"> </v>
      </c>
      <c r="I18" s="174" t="str">
        <f t="shared" si="4"/>
        <v xml:space="preserve"> </v>
      </c>
      <c r="J18" s="174" t="str">
        <f t="shared" si="4"/>
        <v xml:space="preserve"> </v>
      </c>
      <c r="K18" s="174" t="str">
        <f t="shared" si="4"/>
        <v xml:space="preserve"> </v>
      </c>
      <c r="L18" s="174" t="str">
        <f t="shared" si="4"/>
        <v xml:space="preserve"> </v>
      </c>
      <c r="M18" s="174" t="str">
        <f t="shared" si="4"/>
        <v xml:space="preserve"> </v>
      </c>
      <c r="N18" s="174" t="str">
        <f t="shared" si="4"/>
        <v xml:space="preserve"> </v>
      </c>
      <c r="O18" s="174" t="str">
        <f t="shared" si="4"/>
        <v xml:space="preserve"> </v>
      </c>
      <c r="P18" s="174" t="str">
        <f t="shared" si="4"/>
        <v xml:space="preserve"> </v>
      </c>
      <c r="Q18" s="174" t="str">
        <f t="shared" si="4"/>
        <v xml:space="preserve"> </v>
      </c>
      <c r="R18" s="174" t="str">
        <f t="shared" si="4"/>
        <v xml:space="preserve"> </v>
      </c>
      <c r="U18" s="113" t="str">
        <f t="shared" si="0"/>
        <v/>
      </c>
    </row>
  </sheetData>
  <sheetProtection selectLockedCells="1"/>
  <mergeCells count="18">
    <mergeCell ref="A3:C3"/>
    <mergeCell ref="A4:C4"/>
    <mergeCell ref="N1:N4"/>
    <mergeCell ref="O1:O4"/>
    <mergeCell ref="D1:D4"/>
    <mergeCell ref="E1:E4"/>
    <mergeCell ref="F1:F4"/>
    <mergeCell ref="G1:G4"/>
    <mergeCell ref="H1:H4"/>
    <mergeCell ref="I1:I4"/>
    <mergeCell ref="J5:R5"/>
    <mergeCell ref="J1:J4"/>
    <mergeCell ref="K1:K4"/>
    <mergeCell ref="L1:L4"/>
    <mergeCell ref="M1:M4"/>
    <mergeCell ref="P1:P4"/>
    <mergeCell ref="Q1:Q4"/>
    <mergeCell ref="R1:R4"/>
  </mergeCells>
  <pageMargins left="0.75" right="0.75" top="1" bottom="0.5" header="0.25" footer="0.25"/>
  <pageSetup scale="92" orientation="portrait" horizontalDpi="300" verticalDpi="300" r:id="rId1"/>
  <headerFooter alignWithMargins="0">
    <oddHeader>&amp;C&amp;"Arial,Bold"&amp;14AmbassadorTrax
&amp;12Bridging - &amp;D</oddHead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22"/>
    <pageSetUpPr fitToPage="1"/>
  </sheetPr>
  <dimension ref="A1:U13"/>
  <sheetViews>
    <sheetView showGridLines="0" tabSelected="1" zoomScaleNormal="100" workbookViewId="0">
      <selection activeCell="U17" sqref="U17"/>
    </sheetView>
  </sheetViews>
  <sheetFormatPr defaultRowHeight="12" x14ac:dyDescent="0.2"/>
  <cols>
    <col min="1" max="1" width="12.7109375" style="235" bestFit="1" customWidth="1"/>
    <col min="2" max="2" width="2" style="235" bestFit="1" customWidth="1"/>
    <col min="3" max="3" width="29.140625" style="235" bestFit="1" customWidth="1"/>
    <col min="4" max="18" width="3.42578125" style="236" bestFit="1" customWidth="1"/>
    <col min="19" max="16384" width="9.140625" style="235"/>
  </cols>
  <sheetData>
    <row r="1" spans="1:21" ht="18" customHeight="1" x14ac:dyDescent="0.2">
      <c r="A1" s="462" t="s">
        <v>79</v>
      </c>
      <c r="B1" s="462"/>
      <c r="C1" s="347">
        <f>Instructions!F3</f>
        <v>0</v>
      </c>
      <c r="D1" s="400" t="str">
        <f ca="1">'Ambassador 1'!$A$1</f>
        <v>Ambassador 1</v>
      </c>
      <c r="E1" s="400" t="str">
        <f ca="1">'Ambassador 2'!$A$1</f>
        <v>Ambassador 2</v>
      </c>
      <c r="F1" s="400" t="str">
        <f ca="1">'Ambassador 3'!$A$1</f>
        <v>Ambassador 3</v>
      </c>
      <c r="G1" s="400" t="str">
        <f ca="1">'Ambassador 4'!$A$1</f>
        <v>Ambassador 4</v>
      </c>
      <c r="H1" s="400" t="str">
        <f ca="1">'Ambassador 5'!$A$1</f>
        <v>Ambassador 5</v>
      </c>
      <c r="I1" s="400" t="str">
        <f ca="1">'Ambassador 6'!$A$1</f>
        <v>Ambassador 6</v>
      </c>
      <c r="J1" s="400" t="str">
        <f ca="1">'Ambassador 7'!$A$1</f>
        <v>Ambassador 7</v>
      </c>
      <c r="K1" s="400" t="str">
        <f ca="1">'Ambassador 8'!$A$1</f>
        <v>Ambassador 8</v>
      </c>
      <c r="L1" s="400" t="str">
        <f ca="1">'Ambassador 9'!$A$1</f>
        <v>Ambassador 9</v>
      </c>
      <c r="M1" s="400" t="str">
        <f ca="1">'Ambassador 10'!$A$1</f>
        <v>Ambassador 10</v>
      </c>
      <c r="N1" s="400" t="str">
        <f ca="1">'Ambassador 11'!$A$1</f>
        <v>Ambassador 11</v>
      </c>
      <c r="O1" s="400" t="str">
        <f ca="1">'Ambassador 12'!$A$1</f>
        <v>Ambassador 12</v>
      </c>
      <c r="P1" s="400" t="str">
        <f ca="1">'Ambassador 13'!$A$1</f>
        <v>Ambassador 13</v>
      </c>
      <c r="Q1" s="400" t="str">
        <f ca="1">'Ambassador 14'!$A$1</f>
        <v>Ambassador 14</v>
      </c>
      <c r="R1" s="400" t="str">
        <f ca="1">'Ambassador 15'!$A$1</f>
        <v>Ambassador 15</v>
      </c>
    </row>
    <row r="2" spans="1:21" ht="18" customHeight="1" x14ac:dyDescent="0.25">
      <c r="A2" s="463" t="s">
        <v>80</v>
      </c>
      <c r="B2" s="463"/>
      <c r="C2" s="348">
        <f>Instructions!E5</f>
        <v>0</v>
      </c>
      <c r="D2" s="401"/>
      <c r="E2" s="401"/>
      <c r="F2" s="401"/>
      <c r="G2" s="401"/>
      <c r="H2" s="401"/>
      <c r="I2" s="401"/>
      <c r="J2" s="401"/>
      <c r="K2" s="401"/>
      <c r="L2" s="401"/>
      <c r="M2" s="401"/>
      <c r="N2" s="401"/>
      <c r="O2" s="401"/>
      <c r="P2" s="401"/>
      <c r="Q2" s="401"/>
      <c r="R2" s="401"/>
    </row>
    <row r="3" spans="1:21" ht="18" customHeight="1" x14ac:dyDescent="0.2">
      <c r="A3" s="464" t="s">
        <v>78</v>
      </c>
      <c r="B3" s="465"/>
      <c r="C3" s="466"/>
      <c r="D3" s="401"/>
      <c r="E3" s="401"/>
      <c r="F3" s="401"/>
      <c r="G3" s="401"/>
      <c r="H3" s="401"/>
      <c r="I3" s="401"/>
      <c r="J3" s="401"/>
      <c r="K3" s="401"/>
      <c r="L3" s="401"/>
      <c r="M3" s="401"/>
      <c r="N3" s="401"/>
      <c r="O3" s="401"/>
      <c r="P3" s="401"/>
      <c r="Q3" s="401"/>
      <c r="R3" s="401"/>
    </row>
    <row r="4" spans="1:21" ht="18" customHeight="1" x14ac:dyDescent="0.2">
      <c r="A4" s="350"/>
      <c r="B4" s="351"/>
      <c r="C4" s="351"/>
      <c r="D4" s="402"/>
      <c r="E4" s="402"/>
      <c r="F4" s="402"/>
      <c r="G4" s="402"/>
      <c r="H4" s="402"/>
      <c r="I4" s="402"/>
      <c r="J4" s="402"/>
      <c r="K4" s="402"/>
      <c r="L4" s="402"/>
      <c r="M4" s="402"/>
      <c r="N4" s="402"/>
      <c r="O4" s="402"/>
      <c r="P4" s="402"/>
      <c r="Q4" s="402"/>
      <c r="R4" s="402"/>
    </row>
    <row r="5" spans="1:21" ht="12.75" x14ac:dyDescent="0.2">
      <c r="A5" s="351" t="s">
        <v>231</v>
      </c>
      <c r="B5" s="351"/>
      <c r="C5" s="353"/>
      <c r="D5" s="109"/>
      <c r="E5" s="310"/>
      <c r="F5" s="310"/>
      <c r="G5" s="310"/>
      <c r="H5" s="354"/>
      <c r="I5" s="354"/>
      <c r="J5" s="354"/>
      <c r="K5" s="354"/>
      <c r="L5" s="354"/>
      <c r="M5" s="354"/>
      <c r="N5" s="354"/>
      <c r="O5" s="354"/>
      <c r="P5" s="354"/>
      <c r="Q5" s="354"/>
      <c r="R5" s="354"/>
    </row>
    <row r="6" spans="1:21" x14ac:dyDescent="0.2">
      <c r="A6" s="351"/>
      <c r="B6" s="332">
        <v>1</v>
      </c>
      <c r="C6" s="355" t="s">
        <v>232</v>
      </c>
      <c r="D6" s="33"/>
      <c r="E6" s="33"/>
      <c r="F6" s="33"/>
      <c r="G6" s="33"/>
      <c r="H6" s="33"/>
      <c r="I6" s="33"/>
      <c r="J6" s="33"/>
      <c r="K6" s="33"/>
      <c r="L6" s="33"/>
      <c r="M6" s="33"/>
      <c r="N6" s="33"/>
      <c r="O6" s="33"/>
      <c r="P6" s="33"/>
      <c r="Q6" s="33"/>
      <c r="R6" s="33"/>
      <c r="U6" s="235" t="str">
        <f>GetComments(C6)</f>
        <v>Use your values and skills to identify a community issue you care about.</v>
      </c>
    </row>
    <row r="7" spans="1:21" x14ac:dyDescent="0.2">
      <c r="A7" s="351"/>
      <c r="B7" s="332">
        <v>2</v>
      </c>
      <c r="C7" s="355" t="s">
        <v>233</v>
      </c>
      <c r="D7" s="33"/>
      <c r="E7" s="33"/>
      <c r="F7" s="33"/>
      <c r="G7" s="33"/>
      <c r="H7" s="33"/>
      <c r="I7" s="33"/>
      <c r="J7" s="33"/>
      <c r="K7" s="33"/>
      <c r="L7" s="33"/>
      <c r="M7" s="33"/>
      <c r="N7" s="33"/>
      <c r="O7" s="33"/>
      <c r="P7" s="33"/>
      <c r="Q7" s="33"/>
      <c r="R7" s="33"/>
      <c r="U7" s="235" t="str">
        <f t="shared" ref="U7:U13" si="0">GetComments(C7)</f>
        <v>Research everything you can about the issue.</v>
      </c>
    </row>
    <row r="8" spans="1:21" x14ac:dyDescent="0.2">
      <c r="A8" s="351"/>
      <c r="B8" s="332">
        <v>3</v>
      </c>
      <c r="C8" s="355" t="s">
        <v>234</v>
      </c>
      <c r="D8" s="33"/>
      <c r="E8" s="33"/>
      <c r="F8" s="33"/>
      <c r="G8" s="33"/>
      <c r="H8" s="33"/>
      <c r="I8" s="33"/>
      <c r="J8" s="33"/>
      <c r="K8" s="33"/>
      <c r="L8" s="33"/>
      <c r="M8" s="33"/>
      <c r="N8" s="33"/>
      <c r="O8" s="33"/>
      <c r="P8" s="33"/>
      <c r="Q8" s="33"/>
      <c r="R8" s="33"/>
      <c r="U8" s="235" t="str">
        <f t="shared" si="0"/>
        <v>Invite others to support and take action with you.</v>
      </c>
    </row>
    <row r="9" spans="1:21" x14ac:dyDescent="0.2">
      <c r="A9" s="351"/>
      <c r="B9" s="332">
        <v>4</v>
      </c>
      <c r="C9" s="355" t="s">
        <v>235</v>
      </c>
      <c r="D9" s="33"/>
      <c r="E9" s="33"/>
      <c r="F9" s="33"/>
      <c r="G9" s="33"/>
      <c r="H9" s="33"/>
      <c r="I9" s="33"/>
      <c r="J9" s="33"/>
      <c r="K9" s="33"/>
      <c r="L9" s="33"/>
      <c r="M9" s="33"/>
      <c r="N9" s="33"/>
      <c r="O9" s="33"/>
      <c r="P9" s="33"/>
      <c r="Q9" s="33"/>
      <c r="R9" s="33"/>
      <c r="U9" s="235" t="str">
        <f t="shared" si="0"/>
        <v>Create a project plan that achieves sustainable and measurable impact.</v>
      </c>
    </row>
    <row r="10" spans="1:21" x14ac:dyDescent="0.2">
      <c r="A10" s="351"/>
      <c r="B10" s="351">
        <v>5</v>
      </c>
      <c r="C10" s="356" t="s">
        <v>236</v>
      </c>
      <c r="D10" s="33"/>
      <c r="E10" s="33"/>
      <c r="F10" s="33"/>
      <c r="G10" s="33"/>
      <c r="H10" s="33"/>
      <c r="I10" s="33"/>
      <c r="J10" s="33"/>
      <c r="K10" s="33"/>
      <c r="L10" s="33"/>
      <c r="M10" s="33"/>
      <c r="N10" s="33"/>
      <c r="O10" s="33"/>
      <c r="P10" s="33"/>
      <c r="Q10" s="33"/>
      <c r="R10" s="33"/>
      <c r="U10" s="235" t="str">
        <f t="shared" si="0"/>
        <v>Sum up your project plan for your Girl Scout council.</v>
      </c>
    </row>
    <row r="11" spans="1:21" x14ac:dyDescent="0.2">
      <c r="A11" s="351"/>
      <c r="B11" s="351">
        <v>6</v>
      </c>
      <c r="C11" s="356" t="s">
        <v>237</v>
      </c>
      <c r="D11" s="33"/>
      <c r="E11" s="33"/>
      <c r="F11" s="33"/>
      <c r="G11" s="33"/>
      <c r="H11" s="33"/>
      <c r="I11" s="33"/>
      <c r="J11" s="33"/>
      <c r="K11" s="33"/>
      <c r="L11" s="33"/>
      <c r="M11" s="33"/>
      <c r="N11" s="33"/>
      <c r="O11" s="33"/>
      <c r="P11" s="33"/>
      <c r="Q11" s="33"/>
      <c r="R11" s="33"/>
      <c r="U11" s="235" t="str">
        <f t="shared" si="0"/>
        <v>Take the lead to carry out your plan.</v>
      </c>
    </row>
    <row r="12" spans="1:21" ht="12.75" thickBot="1" x14ac:dyDescent="0.25">
      <c r="A12" s="351"/>
      <c r="B12" s="351">
        <v>7</v>
      </c>
      <c r="C12" s="357" t="s">
        <v>238</v>
      </c>
      <c r="D12" s="33"/>
      <c r="E12" s="33"/>
      <c r="F12" s="33"/>
      <c r="G12" s="33"/>
      <c r="H12" s="33"/>
      <c r="I12" s="33"/>
      <c r="J12" s="33"/>
      <c r="K12" s="33"/>
      <c r="L12" s="33"/>
      <c r="M12" s="33"/>
      <c r="N12" s="33"/>
      <c r="O12" s="33"/>
      <c r="P12" s="33"/>
      <c r="Q12" s="33"/>
      <c r="R12" s="33"/>
      <c r="U12" s="235" t="str">
        <f t="shared" si="0"/>
        <v>Share what you have experienced with others.</v>
      </c>
    </row>
    <row r="13" spans="1:21" ht="12.75" thickBot="1" x14ac:dyDescent="0.25">
      <c r="A13" s="351"/>
      <c r="B13" s="351"/>
      <c r="C13" s="352"/>
      <c r="D13" s="358"/>
      <c r="E13" s="358"/>
      <c r="F13" s="358"/>
      <c r="G13" s="358"/>
      <c r="H13" s="358"/>
      <c r="I13" s="358"/>
      <c r="J13" s="358"/>
      <c r="K13" s="358"/>
      <c r="L13" s="358"/>
      <c r="M13" s="358"/>
      <c r="N13" s="358"/>
      <c r="O13" s="358"/>
      <c r="P13" s="358"/>
      <c r="Q13" s="358"/>
      <c r="R13" s="358"/>
      <c r="U13" s="235" t="str">
        <f t="shared" si="0"/>
        <v/>
      </c>
    </row>
  </sheetData>
  <sheetProtection selectLockedCells="1"/>
  <mergeCells count="18">
    <mergeCell ref="N1:N4"/>
    <mergeCell ref="O1:O4"/>
    <mergeCell ref="P1:P4"/>
    <mergeCell ref="Q1:Q4"/>
    <mergeCell ref="R1:R4"/>
    <mergeCell ref="M1:M4"/>
    <mergeCell ref="A1:B1"/>
    <mergeCell ref="D1:D4"/>
    <mergeCell ref="E1:E4"/>
    <mergeCell ref="F1:F4"/>
    <mergeCell ref="G1:G4"/>
    <mergeCell ref="A2:B2"/>
    <mergeCell ref="A3:C3"/>
    <mergeCell ref="H1:H4"/>
    <mergeCell ref="I1:I4"/>
    <mergeCell ref="J1:J4"/>
    <mergeCell ref="K1:K4"/>
    <mergeCell ref="L1:L4"/>
  </mergeCells>
  <pageMargins left="0.5" right="0.25" top="1" bottom="0.75" header="0.5" footer="0.25"/>
  <pageSetup fitToHeight="0" orientation="portrait" horizontalDpi="300" verticalDpi="300" r:id="rId1"/>
  <headerFooter alignWithMargins="0">
    <oddHeader>&amp;C&amp;"Arial,Bold"&amp;14AmbassadorTrax
&amp;12Gold Award - &amp;D</oddHeader>
    <oddFooter>&amp;CPage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62"/>
    <pageSetUpPr fitToPage="1"/>
  </sheetPr>
  <dimension ref="A1:R38"/>
  <sheetViews>
    <sheetView showGridLines="0" zoomScaleNormal="100" workbookViewId="0">
      <selection activeCell="C5" sqref="C5"/>
    </sheetView>
  </sheetViews>
  <sheetFormatPr defaultRowHeight="12.75" x14ac:dyDescent="0.2"/>
  <cols>
    <col min="1" max="1" width="9" customWidth="1"/>
    <col min="2" max="2" width="2.7109375" customWidth="1"/>
    <col min="3" max="3" width="32.7109375" customWidth="1"/>
    <col min="4" max="18" width="3.28515625" customWidth="1"/>
  </cols>
  <sheetData>
    <row r="1" spans="1:18" ht="17.25" customHeight="1" x14ac:dyDescent="0.2">
      <c r="A1" s="67"/>
      <c r="B1" s="232" t="s">
        <v>79</v>
      </c>
      <c r="C1" s="233">
        <f>Instructions!F3</f>
        <v>0</v>
      </c>
      <c r="D1" s="400" t="str">
        <f ca="1">'Ambassador 1'!$A$1</f>
        <v>Ambassador 1</v>
      </c>
      <c r="E1" s="400" t="str">
        <f ca="1">'Ambassador 2'!$A$1</f>
        <v>Ambassador 2</v>
      </c>
      <c r="F1" s="400" t="str">
        <f ca="1">'Ambassador 3'!$A$1</f>
        <v>Ambassador 3</v>
      </c>
      <c r="G1" s="400" t="str">
        <f ca="1">'Ambassador 4'!$A$1</f>
        <v>Ambassador 4</v>
      </c>
      <c r="H1" s="400" t="str">
        <f ca="1">'Ambassador 5'!$A$1</f>
        <v>Ambassador 5</v>
      </c>
      <c r="I1" s="400" t="str">
        <f ca="1">'Ambassador 6'!$A$1</f>
        <v>Ambassador 6</v>
      </c>
      <c r="J1" s="400" t="str">
        <f ca="1">'Ambassador 7'!$A$1</f>
        <v>Ambassador 7</v>
      </c>
      <c r="K1" s="400" t="str">
        <f ca="1">'Ambassador 8'!$A$1</f>
        <v>Ambassador 8</v>
      </c>
      <c r="L1" s="400" t="str">
        <f ca="1">'Ambassador 9'!$A$1</f>
        <v>Ambassador 9</v>
      </c>
      <c r="M1" s="400" t="str">
        <f ca="1">'Ambassador 10'!$A$1</f>
        <v>Ambassador 10</v>
      </c>
      <c r="N1" s="400" t="str">
        <f ca="1">'Ambassador 11'!$A$1</f>
        <v>Ambassador 11</v>
      </c>
      <c r="O1" s="400" t="str">
        <f ca="1">'Ambassador 12'!$A$1</f>
        <v>Ambassador 12</v>
      </c>
      <c r="P1" s="400" t="str">
        <f ca="1">'Ambassador 13'!$A$1</f>
        <v>Ambassador 13</v>
      </c>
      <c r="Q1" s="400" t="str">
        <f ca="1">'Ambassador 14'!$A$1</f>
        <v>Ambassador 14</v>
      </c>
      <c r="R1" s="400" t="str">
        <f ca="1">'Ambassador 15'!$A$1</f>
        <v>Ambassador 15</v>
      </c>
    </row>
    <row r="2" spans="1:18" ht="17.25" customHeight="1" x14ac:dyDescent="0.25">
      <c r="A2" s="68"/>
      <c r="B2" s="90" t="s">
        <v>80</v>
      </c>
      <c r="C2" s="85">
        <f>Instructions!F5</f>
        <v>0</v>
      </c>
      <c r="D2" s="401"/>
      <c r="E2" s="401"/>
      <c r="F2" s="401"/>
      <c r="G2" s="401"/>
      <c r="H2" s="401"/>
      <c r="I2" s="401"/>
      <c r="J2" s="401"/>
      <c r="K2" s="401"/>
      <c r="L2" s="401"/>
      <c r="M2" s="401"/>
      <c r="N2" s="401"/>
      <c r="O2" s="401"/>
      <c r="P2" s="401"/>
      <c r="Q2" s="401"/>
      <c r="R2" s="401"/>
    </row>
    <row r="3" spans="1:18" ht="17.25" customHeight="1" x14ac:dyDescent="0.2">
      <c r="A3" s="67"/>
      <c r="B3" s="453"/>
      <c r="C3" s="454"/>
      <c r="D3" s="401"/>
      <c r="E3" s="401"/>
      <c r="F3" s="401"/>
      <c r="G3" s="401"/>
      <c r="H3" s="401"/>
      <c r="I3" s="401"/>
      <c r="J3" s="401"/>
      <c r="K3" s="401"/>
      <c r="L3" s="401"/>
      <c r="M3" s="401"/>
      <c r="N3" s="401"/>
      <c r="O3" s="401"/>
      <c r="P3" s="401"/>
      <c r="Q3" s="401"/>
      <c r="R3" s="401"/>
    </row>
    <row r="4" spans="1:18" ht="17.25" customHeight="1" x14ac:dyDescent="0.2">
      <c r="A4" s="451" t="s">
        <v>24</v>
      </c>
      <c r="B4" s="451"/>
      <c r="C4" s="452"/>
      <c r="D4" s="402"/>
      <c r="E4" s="402"/>
      <c r="F4" s="402"/>
      <c r="G4" s="402"/>
      <c r="H4" s="402"/>
      <c r="I4" s="402"/>
      <c r="J4" s="402"/>
      <c r="K4" s="402"/>
      <c r="L4" s="402"/>
      <c r="M4" s="402"/>
      <c r="N4" s="402"/>
      <c r="O4" s="402"/>
      <c r="P4" s="402"/>
      <c r="Q4" s="402"/>
      <c r="R4" s="402"/>
    </row>
    <row r="5" spans="1:18" x14ac:dyDescent="0.2">
      <c r="A5" s="69"/>
      <c r="B5" s="70"/>
      <c r="C5" s="98" t="s">
        <v>52</v>
      </c>
      <c r="D5" s="97"/>
      <c r="E5" s="15"/>
      <c r="F5" s="15"/>
      <c r="G5" s="15"/>
      <c r="H5" s="15"/>
      <c r="I5" s="15"/>
      <c r="J5" s="15"/>
      <c r="K5" s="15"/>
      <c r="L5" s="15"/>
      <c r="M5" s="15"/>
      <c r="N5" s="15"/>
      <c r="O5" s="15"/>
      <c r="P5" s="97"/>
      <c r="Q5" s="15"/>
      <c r="R5" s="15"/>
    </row>
    <row r="6" spans="1:18" x14ac:dyDescent="0.2">
      <c r="A6" s="71"/>
      <c r="B6" s="70"/>
      <c r="C6" s="98" t="s">
        <v>52</v>
      </c>
      <c r="D6" s="15"/>
      <c r="E6" s="15"/>
      <c r="F6" s="15"/>
      <c r="G6" s="15"/>
      <c r="H6" s="15"/>
      <c r="I6" s="15"/>
      <c r="J6" s="15"/>
      <c r="K6" s="15"/>
      <c r="L6" s="15"/>
      <c r="M6" s="15"/>
      <c r="N6" s="15"/>
      <c r="O6" s="15"/>
      <c r="P6" s="15"/>
      <c r="Q6" s="15"/>
      <c r="R6" s="15"/>
    </row>
    <row r="7" spans="1:18" x14ac:dyDescent="0.2">
      <c r="A7" s="71"/>
      <c r="B7" s="70"/>
      <c r="C7" s="98" t="s">
        <v>52</v>
      </c>
      <c r="D7" s="15"/>
      <c r="E7" s="15"/>
      <c r="F7" s="15"/>
      <c r="G7" s="15"/>
      <c r="H7" s="15"/>
      <c r="I7" s="15"/>
      <c r="J7" s="15"/>
      <c r="K7" s="15"/>
      <c r="L7" s="15"/>
      <c r="M7" s="15"/>
      <c r="N7" s="15"/>
      <c r="O7" s="15"/>
      <c r="P7" s="15"/>
      <c r="Q7" s="15"/>
      <c r="R7" s="15"/>
    </row>
    <row r="8" spans="1:18" x14ac:dyDescent="0.2">
      <c r="A8" s="6"/>
      <c r="B8" s="70"/>
      <c r="C8" s="98" t="s">
        <v>52</v>
      </c>
      <c r="D8" s="15"/>
      <c r="E8" s="15"/>
      <c r="F8" s="15"/>
      <c r="G8" s="15"/>
      <c r="H8" s="15"/>
      <c r="I8" s="15"/>
      <c r="J8" s="15"/>
      <c r="K8" s="15"/>
      <c r="L8" s="15"/>
      <c r="M8" s="15"/>
      <c r="N8" s="15"/>
      <c r="O8" s="15"/>
      <c r="P8" s="15"/>
      <c r="Q8" s="15"/>
      <c r="R8" s="15"/>
    </row>
    <row r="9" spans="1:18" x14ac:dyDescent="0.2">
      <c r="A9" s="71"/>
      <c r="B9" s="70"/>
      <c r="C9" s="98" t="s">
        <v>52</v>
      </c>
      <c r="D9" s="15"/>
      <c r="E9" s="15"/>
      <c r="F9" s="15"/>
      <c r="G9" s="15"/>
      <c r="H9" s="15"/>
      <c r="I9" s="15"/>
      <c r="J9" s="15"/>
      <c r="K9" s="15"/>
      <c r="L9" s="15"/>
      <c r="M9" s="15"/>
      <c r="N9" s="15"/>
      <c r="O9" s="15"/>
      <c r="P9" s="15"/>
      <c r="Q9" s="15"/>
      <c r="R9" s="15"/>
    </row>
    <row r="10" spans="1:18" x14ac:dyDescent="0.2">
      <c r="A10" s="71"/>
      <c r="B10" s="70"/>
      <c r="C10" s="98" t="s">
        <v>52</v>
      </c>
      <c r="D10" s="15"/>
      <c r="E10" s="15"/>
      <c r="F10" s="15"/>
      <c r="G10" s="15"/>
      <c r="H10" s="15"/>
      <c r="I10" s="15"/>
      <c r="J10" s="15"/>
      <c r="K10" s="15"/>
      <c r="L10" s="15"/>
      <c r="M10" s="15"/>
      <c r="N10" s="15"/>
      <c r="O10" s="15"/>
      <c r="P10" s="15"/>
      <c r="Q10" s="15"/>
      <c r="R10" s="15"/>
    </row>
    <row r="11" spans="1:18" x14ac:dyDescent="0.2">
      <c r="A11" s="69"/>
      <c r="B11" s="70"/>
      <c r="C11" s="98" t="s">
        <v>52</v>
      </c>
      <c r="D11" s="15"/>
      <c r="E11" s="15"/>
      <c r="F11" s="15"/>
      <c r="G11" s="15"/>
      <c r="H11" s="15"/>
      <c r="I11" s="15"/>
      <c r="J11" s="15"/>
      <c r="K11" s="15"/>
      <c r="L11" s="15"/>
      <c r="M11" s="15"/>
      <c r="N11" s="15"/>
      <c r="O11" s="15"/>
      <c r="P11" s="15"/>
      <c r="Q11" s="15"/>
      <c r="R11" s="15"/>
    </row>
    <row r="12" spans="1:18" x14ac:dyDescent="0.2">
      <c r="A12" s="69"/>
      <c r="B12" s="77"/>
      <c r="C12" s="98" t="s">
        <v>52</v>
      </c>
      <c r="D12" s="65"/>
      <c r="E12" s="65"/>
      <c r="F12" s="65"/>
      <c r="G12" s="65"/>
      <c r="H12" s="65"/>
      <c r="I12" s="65"/>
      <c r="J12" s="65"/>
      <c r="K12" s="65"/>
      <c r="L12" s="65"/>
      <c r="M12" s="65"/>
      <c r="N12" s="65"/>
      <c r="O12" s="65"/>
      <c r="P12" s="65"/>
      <c r="Q12" s="65"/>
      <c r="R12" s="65"/>
    </row>
    <row r="13" spans="1:18" ht="12.75" customHeight="1" x14ac:dyDescent="0.2">
      <c r="A13" s="78"/>
      <c r="B13" s="77"/>
      <c r="C13" s="98" t="s">
        <v>52</v>
      </c>
      <c r="D13" s="65"/>
      <c r="E13" s="65"/>
      <c r="F13" s="65"/>
      <c r="G13" s="65"/>
      <c r="H13" s="65"/>
      <c r="I13" s="65"/>
      <c r="J13" s="65"/>
      <c r="K13" s="65"/>
      <c r="L13" s="65"/>
      <c r="M13" s="65"/>
      <c r="N13" s="65"/>
      <c r="O13" s="65"/>
      <c r="P13" s="65"/>
      <c r="Q13" s="65"/>
      <c r="R13" s="65"/>
    </row>
    <row r="14" spans="1:18" x14ac:dyDescent="0.2">
      <c r="A14" s="79"/>
      <c r="B14" s="77"/>
      <c r="C14" s="98" t="s">
        <v>52</v>
      </c>
      <c r="D14" s="65"/>
      <c r="E14" s="65"/>
      <c r="F14" s="65"/>
      <c r="G14" s="65"/>
      <c r="H14" s="65"/>
      <c r="I14" s="65"/>
      <c r="J14" s="65"/>
      <c r="K14" s="65"/>
      <c r="L14" s="65"/>
      <c r="M14" s="65"/>
      <c r="N14" s="65"/>
      <c r="O14" s="65"/>
      <c r="P14" s="65"/>
      <c r="Q14" s="65"/>
      <c r="R14" s="65"/>
    </row>
    <row r="15" spans="1:18" x14ac:dyDescent="0.2">
      <c r="A15" s="78"/>
      <c r="B15" s="77"/>
      <c r="C15" s="98" t="s">
        <v>52</v>
      </c>
      <c r="D15" s="65"/>
      <c r="E15" s="65"/>
      <c r="F15" s="65"/>
      <c r="G15" s="65"/>
      <c r="H15" s="65"/>
      <c r="I15" s="65"/>
      <c r="J15" s="65"/>
      <c r="K15" s="65"/>
      <c r="L15" s="65"/>
      <c r="M15" s="65"/>
      <c r="N15" s="65"/>
      <c r="O15" s="65"/>
      <c r="P15" s="65"/>
      <c r="Q15" s="65"/>
      <c r="R15" s="65"/>
    </row>
    <row r="16" spans="1:18" ht="12" customHeight="1" x14ac:dyDescent="0.2">
      <c r="A16" s="78"/>
      <c r="B16" s="77"/>
      <c r="C16" s="98" t="s">
        <v>52</v>
      </c>
      <c r="D16" s="65"/>
      <c r="E16" s="65"/>
      <c r="F16" s="65"/>
      <c r="G16" s="65"/>
      <c r="H16" s="65"/>
      <c r="I16" s="65"/>
      <c r="J16" s="65"/>
      <c r="K16" s="65"/>
      <c r="L16" s="65"/>
      <c r="M16" s="65"/>
      <c r="N16" s="65"/>
      <c r="O16" s="65"/>
      <c r="P16" s="65"/>
      <c r="Q16" s="65"/>
      <c r="R16" s="65"/>
    </row>
    <row r="17" spans="1:18" x14ac:dyDescent="0.2">
      <c r="A17" s="78"/>
      <c r="B17" s="77"/>
      <c r="C17" s="98" t="s">
        <v>52</v>
      </c>
      <c r="D17" s="65"/>
      <c r="E17" s="65"/>
      <c r="F17" s="65"/>
      <c r="G17" s="65"/>
      <c r="H17" s="65"/>
      <c r="I17" s="65"/>
      <c r="J17" s="65"/>
      <c r="K17" s="65"/>
      <c r="L17" s="65"/>
      <c r="M17" s="65"/>
      <c r="N17" s="65"/>
      <c r="O17" s="65"/>
      <c r="P17" s="65"/>
      <c r="Q17" s="65"/>
      <c r="R17" s="65"/>
    </row>
    <row r="18" spans="1:18" x14ac:dyDescent="0.2">
      <c r="A18" s="78"/>
      <c r="B18" s="77"/>
      <c r="C18" s="98" t="s">
        <v>52</v>
      </c>
      <c r="D18" s="66"/>
      <c r="E18" s="66"/>
      <c r="F18" s="66"/>
      <c r="G18" s="66"/>
      <c r="H18" s="66"/>
      <c r="I18" s="66"/>
      <c r="J18" s="66"/>
      <c r="K18" s="66"/>
      <c r="L18" s="66"/>
      <c r="M18" s="66"/>
      <c r="N18" s="66"/>
      <c r="O18" s="66"/>
      <c r="P18" s="66"/>
      <c r="Q18" s="66"/>
      <c r="R18" s="66"/>
    </row>
    <row r="19" spans="1:18" x14ac:dyDescent="0.2">
      <c r="A19" s="78"/>
      <c r="B19" s="77"/>
      <c r="C19" s="98" t="s">
        <v>52</v>
      </c>
      <c r="D19" s="15"/>
      <c r="E19" s="15"/>
      <c r="F19" s="15"/>
      <c r="G19" s="15"/>
      <c r="H19" s="15"/>
      <c r="I19" s="15"/>
      <c r="J19" s="15"/>
      <c r="K19" s="15"/>
      <c r="L19" s="15"/>
      <c r="M19" s="15"/>
      <c r="N19" s="15"/>
      <c r="O19" s="15"/>
      <c r="P19" s="15"/>
      <c r="Q19" s="15"/>
      <c r="R19" s="15"/>
    </row>
    <row r="20" spans="1:18" x14ac:dyDescent="0.2">
      <c r="A20" s="78"/>
      <c r="B20" s="77"/>
      <c r="C20" s="98" t="s">
        <v>52</v>
      </c>
      <c r="D20" s="65"/>
      <c r="E20" s="65"/>
      <c r="F20" s="65"/>
      <c r="G20" s="65"/>
      <c r="H20" s="65"/>
      <c r="I20" s="65"/>
      <c r="J20" s="65"/>
      <c r="K20" s="65"/>
      <c r="L20" s="65"/>
      <c r="M20" s="65"/>
      <c r="N20" s="65"/>
      <c r="O20" s="65"/>
      <c r="P20" s="65"/>
      <c r="Q20" s="65"/>
      <c r="R20" s="65"/>
    </row>
    <row r="21" spans="1:18" s="87" customFormat="1" x14ac:dyDescent="0.2">
      <c r="A21" s="49"/>
      <c r="B21" s="77"/>
      <c r="C21" s="98" t="s">
        <v>52</v>
      </c>
      <c r="D21" s="64"/>
      <c r="E21" s="64"/>
      <c r="F21" s="64"/>
      <c r="G21" s="64"/>
      <c r="H21" s="64"/>
      <c r="I21" s="64"/>
      <c r="J21" s="64"/>
      <c r="K21" s="64"/>
      <c r="L21" s="64"/>
      <c r="M21" s="64"/>
      <c r="N21" s="64"/>
      <c r="O21" s="64"/>
      <c r="P21" s="64"/>
      <c r="Q21" s="64"/>
      <c r="R21" s="64"/>
    </row>
    <row r="22" spans="1:18" ht="12" customHeight="1" x14ac:dyDescent="0.2">
      <c r="A22" s="78"/>
      <c r="B22" s="77"/>
      <c r="C22" s="98" t="s">
        <v>52</v>
      </c>
      <c r="D22" s="15"/>
      <c r="E22" s="15"/>
      <c r="F22" s="15"/>
      <c r="G22" s="15"/>
      <c r="H22" s="15"/>
      <c r="I22" s="15"/>
      <c r="J22" s="15"/>
      <c r="K22" s="15"/>
      <c r="L22" s="15"/>
      <c r="M22" s="15"/>
      <c r="N22" s="15"/>
      <c r="O22" s="15"/>
      <c r="P22" s="15"/>
      <c r="Q22" s="15"/>
      <c r="R22" s="15"/>
    </row>
    <row r="23" spans="1:18" x14ac:dyDescent="0.2">
      <c r="A23" s="78"/>
      <c r="B23" s="77"/>
      <c r="C23" s="98" t="s">
        <v>52</v>
      </c>
      <c r="D23" s="15"/>
      <c r="E23" s="15"/>
      <c r="F23" s="15"/>
      <c r="G23" s="15"/>
      <c r="H23" s="15"/>
      <c r="I23" s="15"/>
      <c r="J23" s="15"/>
      <c r="K23" s="15"/>
      <c r="L23" s="15"/>
      <c r="M23" s="15"/>
      <c r="N23" s="15"/>
      <c r="O23" s="15"/>
      <c r="P23" s="15"/>
      <c r="Q23" s="15"/>
      <c r="R23" s="15"/>
    </row>
    <row r="24" spans="1:18" x14ac:dyDescent="0.2">
      <c r="A24" s="78"/>
      <c r="B24" s="77"/>
      <c r="C24" s="98" t="s">
        <v>52</v>
      </c>
      <c r="D24" s="15"/>
      <c r="E24" s="15"/>
      <c r="F24" s="15"/>
      <c r="G24" s="15"/>
      <c r="H24" s="15"/>
      <c r="I24" s="15"/>
      <c r="J24" s="15"/>
      <c r="K24" s="15"/>
      <c r="L24" s="15"/>
      <c r="M24" s="15"/>
      <c r="N24" s="15"/>
      <c r="O24" s="15"/>
      <c r="P24" s="15"/>
      <c r="Q24" s="15"/>
      <c r="R24" s="15"/>
    </row>
    <row r="25" spans="1:18" x14ac:dyDescent="0.2">
      <c r="A25" s="78"/>
      <c r="B25" s="77"/>
      <c r="C25" s="98" t="s">
        <v>52</v>
      </c>
      <c r="D25" s="15"/>
      <c r="E25" s="15"/>
      <c r="F25" s="15"/>
      <c r="G25" s="15"/>
      <c r="H25" s="15"/>
      <c r="I25" s="15"/>
      <c r="J25" s="15"/>
      <c r="K25" s="15"/>
      <c r="L25" s="15"/>
      <c r="M25" s="15"/>
      <c r="N25" s="15"/>
      <c r="O25" s="15"/>
      <c r="P25" s="15"/>
      <c r="Q25" s="15"/>
      <c r="R25" s="15"/>
    </row>
    <row r="26" spans="1:18" x14ac:dyDescent="0.2">
      <c r="C26" s="98" t="s">
        <v>52</v>
      </c>
      <c r="D26" s="23"/>
      <c r="E26" s="23"/>
      <c r="F26" s="23"/>
      <c r="G26" s="23"/>
      <c r="H26" s="23"/>
      <c r="I26" s="23"/>
      <c r="J26" s="23"/>
      <c r="K26" s="23"/>
      <c r="L26" s="23"/>
      <c r="M26" s="23"/>
      <c r="N26" s="23"/>
      <c r="O26" s="23"/>
      <c r="P26" s="23"/>
      <c r="Q26" s="23"/>
      <c r="R26" s="23"/>
    </row>
    <row r="27" spans="1:18" x14ac:dyDescent="0.2">
      <c r="C27" s="98" t="s">
        <v>52</v>
      </c>
      <c r="D27" s="23"/>
      <c r="E27" s="23"/>
      <c r="F27" s="23"/>
      <c r="G27" s="23"/>
      <c r="H27" s="23"/>
      <c r="I27" s="23"/>
      <c r="J27" s="23"/>
      <c r="K27" s="23"/>
      <c r="L27" s="23"/>
      <c r="M27" s="23"/>
      <c r="N27" s="23"/>
      <c r="O27" s="23"/>
      <c r="P27" s="23"/>
      <c r="Q27" s="23"/>
      <c r="R27" s="23"/>
    </row>
    <row r="28" spans="1:18" x14ac:dyDescent="0.2">
      <c r="C28" s="98" t="s">
        <v>52</v>
      </c>
      <c r="D28" s="23"/>
      <c r="E28" s="23"/>
      <c r="F28" s="23"/>
      <c r="G28" s="23"/>
      <c r="H28" s="23"/>
      <c r="I28" s="23"/>
      <c r="J28" s="23"/>
      <c r="K28" s="23"/>
      <c r="L28" s="23"/>
      <c r="M28" s="23"/>
      <c r="N28" s="23"/>
      <c r="O28" s="23"/>
      <c r="P28" s="23"/>
      <c r="Q28" s="23"/>
      <c r="R28" s="23"/>
    </row>
    <row r="29" spans="1:18" x14ac:dyDescent="0.2">
      <c r="C29" s="98" t="s">
        <v>52</v>
      </c>
      <c r="D29" s="23"/>
      <c r="E29" s="23"/>
      <c r="F29" s="23"/>
      <c r="G29" s="23"/>
      <c r="H29" s="23"/>
      <c r="I29" s="23"/>
      <c r="J29" s="23"/>
      <c r="K29" s="23"/>
      <c r="L29" s="23"/>
      <c r="M29" s="23"/>
      <c r="N29" s="23"/>
      <c r="O29" s="23"/>
      <c r="P29" s="23"/>
      <c r="Q29" s="23"/>
      <c r="R29" s="23"/>
    </row>
    <row r="30" spans="1:18" x14ac:dyDescent="0.2">
      <c r="C30" s="98" t="s">
        <v>52</v>
      </c>
      <c r="D30" s="23"/>
      <c r="E30" s="23"/>
      <c r="F30" s="23"/>
      <c r="G30" s="23"/>
      <c r="H30" s="23"/>
      <c r="I30" s="23"/>
      <c r="J30" s="23"/>
      <c r="K30" s="23"/>
      <c r="L30" s="23"/>
      <c r="M30" s="23"/>
      <c r="N30" s="23"/>
      <c r="O30" s="23"/>
      <c r="P30" s="23"/>
      <c r="Q30" s="23"/>
      <c r="R30" s="23"/>
    </row>
    <row r="31" spans="1:18" x14ac:dyDescent="0.2">
      <c r="C31" s="98" t="s">
        <v>52</v>
      </c>
      <c r="D31" s="23"/>
      <c r="E31" s="23"/>
      <c r="F31" s="23"/>
      <c r="G31" s="23"/>
      <c r="H31" s="23"/>
      <c r="I31" s="23"/>
      <c r="J31" s="23"/>
      <c r="K31" s="23"/>
      <c r="L31" s="23"/>
      <c r="M31" s="23"/>
      <c r="N31" s="23"/>
      <c r="O31" s="23"/>
      <c r="P31" s="23"/>
      <c r="Q31" s="23"/>
      <c r="R31" s="23"/>
    </row>
    <row r="32" spans="1:18" x14ac:dyDescent="0.2">
      <c r="C32" s="98" t="s">
        <v>52</v>
      </c>
      <c r="D32" s="23"/>
      <c r="E32" s="23"/>
      <c r="F32" s="23"/>
      <c r="G32" s="23"/>
      <c r="H32" s="23"/>
      <c r="I32" s="23"/>
      <c r="J32" s="23"/>
      <c r="K32" s="23"/>
      <c r="L32" s="23"/>
      <c r="M32" s="23"/>
      <c r="N32" s="23"/>
      <c r="O32" s="23"/>
      <c r="P32" s="23"/>
      <c r="Q32" s="23"/>
      <c r="R32" s="23"/>
    </row>
    <row r="33" spans="3:18" x14ac:dyDescent="0.2">
      <c r="C33" s="98" t="s">
        <v>52</v>
      </c>
      <c r="D33" s="23"/>
      <c r="E33" s="23"/>
      <c r="F33" s="23"/>
      <c r="G33" s="23"/>
      <c r="H33" s="23"/>
      <c r="I33" s="23"/>
      <c r="J33" s="23"/>
      <c r="K33" s="23"/>
      <c r="L33" s="23"/>
      <c r="M33" s="23"/>
      <c r="N33" s="23"/>
      <c r="O33" s="23"/>
      <c r="P33" s="23"/>
      <c r="Q33" s="23"/>
      <c r="R33" s="23"/>
    </row>
    <row r="34" spans="3:18" x14ac:dyDescent="0.2">
      <c r="C34" s="98" t="s">
        <v>52</v>
      </c>
      <c r="D34" s="23"/>
      <c r="E34" s="23"/>
      <c r="F34" s="23"/>
      <c r="G34" s="23"/>
      <c r="H34" s="23"/>
      <c r="I34" s="23"/>
      <c r="J34" s="23"/>
      <c r="K34" s="23"/>
      <c r="L34" s="23"/>
      <c r="M34" s="23"/>
      <c r="N34" s="23"/>
      <c r="O34" s="23"/>
      <c r="P34" s="23"/>
      <c r="Q34" s="23"/>
      <c r="R34" s="23"/>
    </row>
    <row r="35" spans="3:18" x14ac:dyDescent="0.2">
      <c r="C35" s="98" t="s">
        <v>52</v>
      </c>
      <c r="D35" s="23"/>
      <c r="E35" s="23"/>
      <c r="F35" s="23"/>
      <c r="G35" s="23"/>
      <c r="H35" s="23"/>
      <c r="I35" s="23"/>
      <c r="J35" s="23"/>
      <c r="K35" s="23"/>
      <c r="L35" s="23"/>
      <c r="M35" s="23"/>
      <c r="N35" s="23"/>
      <c r="O35" s="23"/>
      <c r="P35" s="23"/>
      <c r="Q35" s="23"/>
      <c r="R35" s="23"/>
    </row>
    <row r="36" spans="3:18" x14ac:dyDescent="0.2">
      <c r="C36" s="98" t="s">
        <v>52</v>
      </c>
      <c r="D36" s="23"/>
      <c r="E36" s="23"/>
      <c r="F36" s="23"/>
      <c r="G36" s="23"/>
      <c r="H36" s="23"/>
      <c r="I36" s="23"/>
      <c r="J36" s="23"/>
      <c r="K36" s="23"/>
      <c r="L36" s="23"/>
      <c r="M36" s="23"/>
      <c r="N36" s="23"/>
      <c r="O36" s="23"/>
      <c r="P36" s="23"/>
      <c r="Q36" s="23"/>
      <c r="R36" s="23"/>
    </row>
    <row r="37" spans="3:18" x14ac:dyDescent="0.2">
      <c r="C37" s="98" t="s">
        <v>52</v>
      </c>
      <c r="D37" s="23"/>
      <c r="E37" s="23"/>
      <c r="F37" s="23"/>
      <c r="G37" s="23"/>
      <c r="H37" s="23"/>
      <c r="I37" s="23"/>
      <c r="J37" s="23"/>
      <c r="K37" s="23"/>
      <c r="L37" s="23"/>
      <c r="M37" s="23"/>
      <c r="N37" s="23"/>
      <c r="O37" s="23"/>
      <c r="P37" s="23"/>
      <c r="Q37" s="23"/>
      <c r="R37" s="23"/>
    </row>
    <row r="38" spans="3:18" x14ac:dyDescent="0.2">
      <c r="C38" s="98" t="s">
        <v>52</v>
      </c>
      <c r="D38" s="23"/>
      <c r="E38" s="23"/>
      <c r="F38" s="23"/>
      <c r="G38" s="23"/>
      <c r="H38" s="23"/>
      <c r="I38" s="23"/>
      <c r="J38" s="23"/>
      <c r="K38" s="23"/>
      <c r="L38" s="23"/>
      <c r="M38" s="23"/>
      <c r="N38" s="23"/>
      <c r="O38" s="23"/>
      <c r="P38" s="23"/>
      <c r="Q38" s="23"/>
      <c r="R38" s="23"/>
    </row>
  </sheetData>
  <sheetProtection password="9A15" sheet="1" objects="1" scenarios="1" selectLockedCells="1"/>
  <mergeCells count="17">
    <mergeCell ref="J1:J4"/>
    <mergeCell ref="P1:P4"/>
    <mergeCell ref="I1:I4"/>
    <mergeCell ref="Q1:Q4"/>
    <mergeCell ref="K1:K4"/>
    <mergeCell ref="A4:C4"/>
    <mergeCell ref="B3:C3"/>
    <mergeCell ref="H1:H4"/>
    <mergeCell ref="E1:E4"/>
    <mergeCell ref="D1:D4"/>
    <mergeCell ref="G1:G4"/>
    <mergeCell ref="F1:F4"/>
    <mergeCell ref="M1:M4"/>
    <mergeCell ref="R1:R4"/>
    <mergeCell ref="O1:O4"/>
    <mergeCell ref="L1:L4"/>
    <mergeCell ref="N1:N4"/>
  </mergeCells>
  <phoneticPr fontId="2" type="noConversion"/>
  <pageMargins left="0.5" right="0.25" top="1" bottom="1" header="0.5" footer="0.5"/>
  <pageSetup scale="89" orientation="portrait" r:id="rId1"/>
  <headerFooter alignWithMargins="0">
    <oddHeader>&amp;C&amp;"Arial,Bold"&amp;14CadetteTrax&amp;12
Fun Patches - &amp;D</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C99FF"/>
  </sheetPr>
  <dimension ref="A1:AE87"/>
  <sheetViews>
    <sheetView showGridLines="0" zoomScaleNormal="100" workbookViewId="0">
      <selection activeCell="C4" sqref="C4"/>
    </sheetView>
  </sheetViews>
  <sheetFormatPr defaultRowHeight="12.75" x14ac:dyDescent="0.2"/>
  <cols>
    <col min="1" max="1" width="42.140625" bestFit="1" customWidth="1"/>
    <col min="2" max="2" width="6.140625" bestFit="1" customWidth="1"/>
    <col min="3" max="3" width="3.28515625" bestFit="1" customWidth="1"/>
    <col min="4" max="4" width="6.140625" bestFit="1" customWidth="1"/>
    <col min="5" max="5" width="3.28515625" bestFit="1" customWidth="1"/>
    <col min="6" max="6" width="6.140625" bestFit="1" customWidth="1"/>
    <col min="7" max="7" width="3.28515625" bestFit="1" customWidth="1"/>
    <col min="8" max="8" width="6.140625" bestFit="1" customWidth="1"/>
    <col min="9" max="9" width="3.28515625" bestFit="1" customWidth="1"/>
    <col min="10" max="10" width="6.140625" bestFit="1" customWidth="1"/>
    <col min="11" max="11" width="3.28515625" bestFit="1" customWidth="1"/>
    <col min="12" max="12" width="6.140625" bestFit="1" customWidth="1"/>
    <col min="13" max="13" width="3.28515625" bestFit="1" customWidth="1"/>
    <col min="14" max="14" width="6.140625" bestFit="1" customWidth="1"/>
    <col min="15" max="15" width="3.28515625" bestFit="1" customWidth="1"/>
    <col min="16" max="16" width="6.140625" bestFit="1" customWidth="1"/>
    <col min="17" max="17" width="3.28515625" bestFit="1" customWidth="1"/>
    <col min="18" max="18" width="6.140625" bestFit="1" customWidth="1"/>
    <col min="19" max="19" width="3.28515625" bestFit="1" customWidth="1"/>
    <col min="20" max="20" width="6.140625" bestFit="1" customWidth="1"/>
    <col min="21" max="21" width="3.28515625" bestFit="1" customWidth="1"/>
    <col min="22" max="22" width="6.140625" bestFit="1" customWidth="1"/>
    <col min="23" max="23" width="3.28515625" bestFit="1" customWidth="1"/>
    <col min="24" max="24" width="6.140625" bestFit="1" customWidth="1"/>
    <col min="25" max="25" width="3.28515625" bestFit="1" customWidth="1"/>
    <col min="26" max="26" width="6.140625" bestFit="1" customWidth="1"/>
    <col min="27" max="27" width="3.28515625" bestFit="1" customWidth="1"/>
    <col min="28" max="28" width="6.140625" bestFit="1" customWidth="1"/>
    <col min="29" max="29" width="3.28515625" bestFit="1" customWidth="1"/>
    <col min="30" max="30" width="6.140625" bestFit="1" customWidth="1"/>
    <col min="31" max="31" width="3.28515625" bestFit="1" customWidth="1"/>
  </cols>
  <sheetData>
    <row r="1" spans="1:31" ht="65.25" customHeight="1" thickTop="1" x14ac:dyDescent="0.2">
      <c r="A1" s="53" t="s">
        <v>33</v>
      </c>
      <c r="B1" s="467" t="str">
        <f ca="1">'Ambassador 1'!$A$1</f>
        <v>Ambassador 1</v>
      </c>
      <c r="C1" s="467"/>
      <c r="D1" s="467" t="str">
        <f ca="1">'Ambassador 2'!$A$1</f>
        <v>Ambassador 2</v>
      </c>
      <c r="E1" s="467"/>
      <c r="F1" s="467" t="str">
        <f ca="1">'Ambassador 3'!$A$1</f>
        <v>Ambassador 3</v>
      </c>
      <c r="G1" s="467"/>
      <c r="H1" s="467" t="str">
        <f ca="1">'Ambassador 4'!$A$1</f>
        <v>Ambassador 4</v>
      </c>
      <c r="I1" s="467"/>
      <c r="J1" s="467" t="str">
        <f ca="1">'Ambassador 5'!$A$1</f>
        <v>Ambassador 5</v>
      </c>
      <c r="K1" s="467"/>
      <c r="L1" s="467" t="str">
        <f ca="1">'Ambassador 6'!$A$1</f>
        <v>Ambassador 6</v>
      </c>
      <c r="M1" s="467"/>
      <c r="N1" s="467" t="str">
        <f ca="1">'Ambassador 7'!$A$1</f>
        <v>Ambassador 7</v>
      </c>
      <c r="O1" s="467"/>
      <c r="P1" s="467" t="str">
        <f ca="1">'Ambassador 8'!$A$1</f>
        <v>Ambassador 8</v>
      </c>
      <c r="Q1" s="467"/>
      <c r="R1" s="467" t="str">
        <f ca="1">'Ambassador 9'!$A$1</f>
        <v>Ambassador 9</v>
      </c>
      <c r="S1" s="467"/>
      <c r="T1" s="467" t="str">
        <f ca="1">'Ambassador 10'!$A$1</f>
        <v>Ambassador 10</v>
      </c>
      <c r="U1" s="467"/>
      <c r="V1" s="467" t="str">
        <f ca="1">'Ambassador 11'!$A$1</f>
        <v>Ambassador 11</v>
      </c>
      <c r="W1" s="467"/>
      <c r="X1" s="467" t="str">
        <f ca="1">'Ambassador 12'!$A$1</f>
        <v>Ambassador 12</v>
      </c>
      <c r="Y1" s="467"/>
      <c r="Z1" s="467" t="str">
        <f ca="1">'Ambassador 13'!$A$1</f>
        <v>Ambassador 13</v>
      </c>
      <c r="AA1" s="467"/>
      <c r="AB1" s="467" t="str">
        <f ca="1">'Ambassador 14'!$A$1</f>
        <v>Ambassador 14</v>
      </c>
      <c r="AC1" s="467"/>
      <c r="AD1" s="467" t="str">
        <f ca="1">'Ambassador 15'!$A$1</f>
        <v>Ambassador 15</v>
      </c>
      <c r="AE1" s="467"/>
    </row>
    <row r="2" spans="1:31" ht="45.75" x14ac:dyDescent="0.2">
      <c r="A2" s="288" t="s">
        <v>144</v>
      </c>
      <c r="B2" s="56" t="s">
        <v>68</v>
      </c>
      <c r="C2" s="57" t="s">
        <v>69</v>
      </c>
      <c r="D2" s="56" t="s">
        <v>68</v>
      </c>
      <c r="E2" s="57" t="s">
        <v>69</v>
      </c>
      <c r="F2" s="56" t="s">
        <v>68</v>
      </c>
      <c r="G2" s="57" t="s">
        <v>69</v>
      </c>
      <c r="H2" s="56" t="s">
        <v>68</v>
      </c>
      <c r="I2" s="57" t="s">
        <v>69</v>
      </c>
      <c r="J2" s="56" t="s">
        <v>68</v>
      </c>
      <c r="K2" s="57" t="s">
        <v>69</v>
      </c>
      <c r="L2" s="56" t="s">
        <v>68</v>
      </c>
      <c r="M2" s="57" t="s">
        <v>69</v>
      </c>
      <c r="N2" s="56" t="s">
        <v>68</v>
      </c>
      <c r="O2" s="57" t="s">
        <v>69</v>
      </c>
      <c r="P2" s="56" t="s">
        <v>68</v>
      </c>
      <c r="Q2" s="57" t="s">
        <v>69</v>
      </c>
      <c r="R2" s="56" t="s">
        <v>68</v>
      </c>
      <c r="S2" s="57" t="s">
        <v>69</v>
      </c>
      <c r="T2" s="56" t="s">
        <v>68</v>
      </c>
      <c r="U2" s="57" t="s">
        <v>69</v>
      </c>
      <c r="V2" s="56" t="s">
        <v>68</v>
      </c>
      <c r="W2" s="57" t="s">
        <v>69</v>
      </c>
      <c r="X2" s="56" t="s">
        <v>68</v>
      </c>
      <c r="Y2" s="57" t="s">
        <v>69</v>
      </c>
      <c r="Z2" s="56" t="s">
        <v>68</v>
      </c>
      <c r="AA2" s="57" t="s">
        <v>69</v>
      </c>
      <c r="AB2" s="56" t="s">
        <v>68</v>
      </c>
      <c r="AC2" s="57" t="s">
        <v>69</v>
      </c>
      <c r="AD2" s="56" t="s">
        <v>68</v>
      </c>
      <c r="AE2" s="92" t="s">
        <v>69</v>
      </c>
    </row>
    <row r="3" spans="1:31" x14ac:dyDescent="0.2">
      <c r="A3" s="54" t="str">
        <f>Badges!A5</f>
        <v>Legacy</v>
      </c>
      <c r="B3" s="58"/>
      <c r="C3" s="289"/>
      <c r="D3" s="58"/>
      <c r="E3" s="289"/>
      <c r="F3" s="58"/>
      <c r="G3" s="289"/>
      <c r="H3" s="58"/>
      <c r="I3" s="289"/>
      <c r="J3" s="58"/>
      <c r="K3" s="289"/>
      <c r="L3" s="58"/>
      <c r="M3" s="289"/>
      <c r="N3" s="58"/>
      <c r="O3" s="289"/>
      <c r="P3" s="58"/>
      <c r="Q3" s="289"/>
      <c r="R3" s="58"/>
      <c r="S3" s="289"/>
      <c r="T3" s="58"/>
      <c r="U3" s="289"/>
      <c r="V3" s="58"/>
      <c r="W3" s="289"/>
      <c r="X3" s="58"/>
      <c r="Y3" s="289"/>
      <c r="Z3" s="58"/>
      <c r="AA3" s="289"/>
      <c r="AB3" s="58"/>
      <c r="AC3" s="289"/>
      <c r="AD3" s="58"/>
      <c r="AE3" s="294"/>
    </row>
    <row r="4" spans="1:31" x14ac:dyDescent="0.2">
      <c r="A4" s="290" t="str">
        <f>Badges!B6</f>
        <v>Photography</v>
      </c>
      <c r="B4" s="291" t="str">
        <f>IF(Badges!D28="C","E","")</f>
        <v/>
      </c>
      <c r="C4" s="292"/>
      <c r="D4" s="291" t="str">
        <f>IF(Badges!E28="C","E","")</f>
        <v/>
      </c>
      <c r="E4" s="292"/>
      <c r="F4" s="291" t="str">
        <f>IF(Badges!F28="C","E","")</f>
        <v/>
      </c>
      <c r="G4" s="292"/>
      <c r="H4" s="291" t="str">
        <f>IF(Badges!G28="C","E","")</f>
        <v/>
      </c>
      <c r="I4" s="292"/>
      <c r="J4" s="291" t="str">
        <f>IF(Badges!H28="C","E","")</f>
        <v/>
      </c>
      <c r="K4" s="292"/>
      <c r="L4" s="291" t="str">
        <f>IF(Badges!I28="C","E","")</f>
        <v/>
      </c>
      <c r="M4" s="292"/>
      <c r="N4" s="291" t="str">
        <f>IF(Badges!J28="C","E","")</f>
        <v/>
      </c>
      <c r="O4" s="292"/>
      <c r="P4" s="291" t="str">
        <f>IF(Badges!K28="C","E","")</f>
        <v/>
      </c>
      <c r="Q4" s="292"/>
      <c r="R4" s="291" t="str">
        <f>IF(Badges!L28="C","E","")</f>
        <v/>
      </c>
      <c r="S4" s="292"/>
      <c r="T4" s="291" t="str">
        <f>IF(Badges!M28="C","E","")</f>
        <v/>
      </c>
      <c r="U4" s="292"/>
      <c r="V4" s="291" t="str">
        <f>IF(Badges!N28="C","E","")</f>
        <v/>
      </c>
      <c r="W4" s="292"/>
      <c r="X4" s="291" t="str">
        <f>IF(Badges!O28="C","E","")</f>
        <v/>
      </c>
      <c r="Y4" s="292"/>
      <c r="Z4" s="291" t="str">
        <f>IF(Badges!P28="C","E","")</f>
        <v/>
      </c>
      <c r="AA4" s="292"/>
      <c r="AB4" s="291" t="str">
        <f>IF(Badges!Q28="C","E","")</f>
        <v/>
      </c>
      <c r="AC4" s="292"/>
      <c r="AD4" s="291" t="str">
        <f>IF(Badges!R28="C","E","")</f>
        <v/>
      </c>
      <c r="AE4" s="293"/>
    </row>
    <row r="5" spans="1:31" x14ac:dyDescent="0.2">
      <c r="A5" s="290" t="str">
        <f>Badges!B29</f>
        <v>Coaching</v>
      </c>
      <c r="B5" s="291" t="str">
        <f>IF(Badges!D51="C","E","")</f>
        <v/>
      </c>
      <c r="C5" s="292"/>
      <c r="D5" s="291" t="str">
        <f>IF(Badges!E51="C","E","")</f>
        <v/>
      </c>
      <c r="E5" s="292"/>
      <c r="F5" s="291" t="str">
        <f>IF(Badges!F51="C","E","")</f>
        <v/>
      </c>
      <c r="G5" s="292"/>
      <c r="H5" s="291" t="str">
        <f>IF(Badges!G51="C","E","")</f>
        <v/>
      </c>
      <c r="I5" s="292"/>
      <c r="J5" s="291" t="str">
        <f>IF(Badges!H51="C","E","")</f>
        <v/>
      </c>
      <c r="K5" s="292"/>
      <c r="L5" s="291" t="str">
        <f>IF(Badges!I51="C","E","")</f>
        <v/>
      </c>
      <c r="M5" s="292"/>
      <c r="N5" s="291" t="str">
        <f>IF(Badges!J51="C","E","")</f>
        <v/>
      </c>
      <c r="O5" s="292"/>
      <c r="P5" s="291" t="str">
        <f>IF(Badges!K51="C","E","")</f>
        <v/>
      </c>
      <c r="Q5" s="292"/>
      <c r="R5" s="291" t="str">
        <f>IF(Badges!L51="C","E","")</f>
        <v/>
      </c>
      <c r="S5" s="292"/>
      <c r="T5" s="291" t="str">
        <f>IF(Badges!M51="C","E","")</f>
        <v/>
      </c>
      <c r="U5" s="292"/>
      <c r="V5" s="291" t="str">
        <f>IF(Badges!N51="C","E","")</f>
        <v/>
      </c>
      <c r="W5" s="292"/>
      <c r="X5" s="291" t="str">
        <f>IF(Badges!O51="C","E","")</f>
        <v/>
      </c>
      <c r="Y5" s="292"/>
      <c r="Z5" s="291" t="str">
        <f>IF(Badges!P51="C","E","")</f>
        <v/>
      </c>
      <c r="AA5" s="292"/>
      <c r="AB5" s="291" t="str">
        <f>IF(Badges!Q51="C","E","")</f>
        <v/>
      </c>
      <c r="AC5" s="292"/>
      <c r="AD5" s="291" t="str">
        <f>IF(Badges!R51="C","E","")</f>
        <v/>
      </c>
      <c r="AE5" s="293"/>
    </row>
    <row r="6" spans="1:31" x14ac:dyDescent="0.2">
      <c r="A6" s="290" t="str">
        <f>Badges!B52</f>
        <v>Public Policy</v>
      </c>
      <c r="B6" s="291" t="str">
        <f>IF(Badges!D74="C","E","")</f>
        <v/>
      </c>
      <c r="C6" s="292"/>
      <c r="D6" s="291" t="str">
        <f>IF(Badges!E74="C","E","")</f>
        <v/>
      </c>
      <c r="E6" s="292"/>
      <c r="F6" s="291" t="str">
        <f>IF(Badges!F74="C","E","")</f>
        <v/>
      </c>
      <c r="G6" s="292"/>
      <c r="H6" s="291" t="str">
        <f>IF(Badges!G74="C","E","")</f>
        <v/>
      </c>
      <c r="I6" s="292"/>
      <c r="J6" s="291" t="str">
        <f>IF(Badges!H74="C","E","")</f>
        <v/>
      </c>
      <c r="K6" s="292"/>
      <c r="L6" s="291" t="str">
        <f>IF(Badges!I74="C","E","")</f>
        <v/>
      </c>
      <c r="M6" s="292"/>
      <c r="N6" s="291" t="str">
        <f>IF(Badges!J74="C","E","")</f>
        <v/>
      </c>
      <c r="O6" s="292"/>
      <c r="P6" s="291" t="str">
        <f>IF(Badges!K74="C","E","")</f>
        <v/>
      </c>
      <c r="Q6" s="292"/>
      <c r="R6" s="291" t="str">
        <f>IF(Badges!L74="C","E","")</f>
        <v/>
      </c>
      <c r="S6" s="292"/>
      <c r="T6" s="291" t="str">
        <f>IF(Badges!M74="C","E","")</f>
        <v/>
      </c>
      <c r="U6" s="292"/>
      <c r="V6" s="291" t="str">
        <f>IF(Badges!N74="C","E","")</f>
        <v/>
      </c>
      <c r="W6" s="292"/>
      <c r="X6" s="291" t="str">
        <f>IF(Badges!O74="C","E","")</f>
        <v/>
      </c>
      <c r="Y6" s="292"/>
      <c r="Z6" s="291" t="str">
        <f>IF(Badges!P74="C","E","")</f>
        <v/>
      </c>
      <c r="AA6" s="292"/>
      <c r="AB6" s="291" t="str">
        <f>IF(Badges!Q74="C","E","")</f>
        <v/>
      </c>
      <c r="AC6" s="292"/>
      <c r="AD6" s="291" t="str">
        <f>IF(Badges!R74="C","E","")</f>
        <v/>
      </c>
      <c r="AE6" s="293"/>
    </row>
    <row r="7" spans="1:31" x14ac:dyDescent="0.2">
      <c r="A7" s="290" t="str">
        <f>Badges!B75</f>
        <v>Dinner Party</v>
      </c>
      <c r="B7" s="291" t="str">
        <f>IF(Badges!D97="C","E","")</f>
        <v/>
      </c>
      <c r="C7" s="292"/>
      <c r="D7" s="291" t="str">
        <f>IF(Badges!E97="C","E","")</f>
        <v/>
      </c>
      <c r="E7" s="292"/>
      <c r="F7" s="291" t="str">
        <f>IF(Badges!F97="C","E","")</f>
        <v/>
      </c>
      <c r="G7" s="292"/>
      <c r="H7" s="291" t="str">
        <f>IF(Badges!G97="C","E","")</f>
        <v/>
      </c>
      <c r="I7" s="292"/>
      <c r="J7" s="291" t="str">
        <f>IF(Badges!H97="C","E","")</f>
        <v/>
      </c>
      <c r="K7" s="292"/>
      <c r="L7" s="291" t="str">
        <f>IF(Badges!I97="C","E","")</f>
        <v/>
      </c>
      <c r="M7" s="292"/>
      <c r="N7" s="291" t="str">
        <f>IF(Badges!J97="C","E","")</f>
        <v/>
      </c>
      <c r="O7" s="292"/>
      <c r="P7" s="291" t="str">
        <f>IF(Badges!K97="C","E","")</f>
        <v/>
      </c>
      <c r="Q7" s="292"/>
      <c r="R7" s="291" t="str">
        <f>IF(Badges!L97="C","E","")</f>
        <v/>
      </c>
      <c r="S7" s="292"/>
      <c r="T7" s="291" t="str">
        <f>IF(Badges!M97="C","E","")</f>
        <v/>
      </c>
      <c r="U7" s="292"/>
      <c r="V7" s="291" t="str">
        <f>IF(Badges!N97="C","E","")</f>
        <v/>
      </c>
      <c r="W7" s="292"/>
      <c r="X7" s="291" t="str">
        <f>IF(Badges!O97="C","E","")</f>
        <v/>
      </c>
      <c r="Y7" s="292"/>
      <c r="Z7" s="291" t="str">
        <f>IF(Badges!P97="C","E","")</f>
        <v/>
      </c>
      <c r="AA7" s="292"/>
      <c r="AB7" s="291" t="str">
        <f>IF(Badges!Q97="C","E","")</f>
        <v/>
      </c>
      <c r="AC7" s="292"/>
      <c r="AD7" s="291" t="str">
        <f>IF(Badges!R97="C","E","")</f>
        <v/>
      </c>
      <c r="AE7" s="293"/>
    </row>
    <row r="8" spans="1:31" x14ac:dyDescent="0.2">
      <c r="A8" s="290" t="str">
        <f>Badges!B98</f>
        <v>Ambassador First Aid</v>
      </c>
      <c r="B8" s="291" t="str">
        <f>IF(Badges!D120="C","E","")</f>
        <v/>
      </c>
      <c r="C8" s="292"/>
      <c r="D8" s="291" t="str">
        <f>IF(Badges!E120="C","E","")</f>
        <v/>
      </c>
      <c r="E8" s="292"/>
      <c r="F8" s="291" t="str">
        <f>IF(Badges!F120="C","E","")</f>
        <v/>
      </c>
      <c r="G8" s="292"/>
      <c r="H8" s="291" t="str">
        <f>IF(Badges!G120="C","E","")</f>
        <v/>
      </c>
      <c r="I8" s="292"/>
      <c r="J8" s="291" t="str">
        <f>IF(Badges!H120="C","E","")</f>
        <v/>
      </c>
      <c r="K8" s="292"/>
      <c r="L8" s="291" t="str">
        <f>IF(Badges!I120="C","E","")</f>
        <v/>
      </c>
      <c r="M8" s="292"/>
      <c r="N8" s="291" t="str">
        <f>IF(Badges!J120="C","E","")</f>
        <v/>
      </c>
      <c r="O8" s="292"/>
      <c r="P8" s="291" t="str">
        <f>IF(Badges!K120="C","E","")</f>
        <v/>
      </c>
      <c r="Q8" s="292"/>
      <c r="R8" s="291" t="str">
        <f>IF(Badges!L120="C","E","")</f>
        <v/>
      </c>
      <c r="S8" s="292"/>
      <c r="T8" s="291" t="str">
        <f>IF(Badges!M120="C","E","")</f>
        <v/>
      </c>
      <c r="U8" s="292"/>
      <c r="V8" s="291" t="str">
        <f>IF(Badges!N120="C","E","")</f>
        <v/>
      </c>
      <c r="W8" s="292"/>
      <c r="X8" s="291" t="str">
        <f>IF(Badges!O120="C","E","")</f>
        <v/>
      </c>
      <c r="Y8" s="292"/>
      <c r="Z8" s="291" t="str">
        <f>IF(Badges!P120="C","E","")</f>
        <v/>
      </c>
      <c r="AA8" s="292"/>
      <c r="AB8" s="291" t="str">
        <f>IF(Badges!Q120="C","E","")</f>
        <v/>
      </c>
      <c r="AC8" s="292"/>
      <c r="AD8" s="291" t="str">
        <f>IF(Badges!R120="C","E","")</f>
        <v/>
      </c>
      <c r="AE8" s="293"/>
    </row>
    <row r="9" spans="1:31" x14ac:dyDescent="0.2">
      <c r="A9" s="290" t="str">
        <f>Badges!B121</f>
        <v>Ambassador Girl Scout Way</v>
      </c>
      <c r="B9" s="291" t="str">
        <f>IF(Badges!D143="C","E","")</f>
        <v/>
      </c>
      <c r="C9" s="292"/>
      <c r="D9" s="291" t="str">
        <f>IF(Badges!E143="C","E","")</f>
        <v/>
      </c>
      <c r="E9" s="292"/>
      <c r="F9" s="291" t="str">
        <f>IF(Badges!F143="C","E","")</f>
        <v/>
      </c>
      <c r="G9" s="292"/>
      <c r="H9" s="291" t="str">
        <f>IF(Badges!G143="C","E","")</f>
        <v/>
      </c>
      <c r="I9" s="292"/>
      <c r="J9" s="291" t="str">
        <f>IF(Badges!H143="C","E","")</f>
        <v/>
      </c>
      <c r="K9" s="292"/>
      <c r="L9" s="291" t="str">
        <f>IF(Badges!I143="C","E","")</f>
        <v/>
      </c>
      <c r="M9" s="292"/>
      <c r="N9" s="291" t="str">
        <f>IF(Badges!J143="C","E","")</f>
        <v/>
      </c>
      <c r="O9" s="292"/>
      <c r="P9" s="291" t="str">
        <f>IF(Badges!K143="C","E","")</f>
        <v/>
      </c>
      <c r="Q9" s="292"/>
      <c r="R9" s="291" t="str">
        <f>IF(Badges!L143="C","E","")</f>
        <v/>
      </c>
      <c r="S9" s="292"/>
      <c r="T9" s="291" t="str">
        <f>IF(Badges!M143="C","E","")</f>
        <v/>
      </c>
      <c r="U9" s="292"/>
      <c r="V9" s="291" t="str">
        <f>IF(Badges!N143="C","E","")</f>
        <v/>
      </c>
      <c r="W9" s="292"/>
      <c r="X9" s="291" t="str">
        <f>IF(Badges!O143="C","E","")</f>
        <v/>
      </c>
      <c r="Y9" s="292"/>
      <c r="Z9" s="291" t="str">
        <f>IF(Badges!P143="C","E","")</f>
        <v/>
      </c>
      <c r="AA9" s="292"/>
      <c r="AB9" s="291" t="str">
        <f>IF(Badges!Q143="C","E","")</f>
        <v/>
      </c>
      <c r="AC9" s="292"/>
      <c r="AD9" s="291" t="str">
        <f>IF(Badges!R143="C","E","")</f>
        <v/>
      </c>
      <c r="AE9" s="293"/>
    </row>
    <row r="10" spans="1:31" x14ac:dyDescent="0.2">
      <c r="A10" s="290" t="str">
        <f>Badges!B144</f>
        <v>Water</v>
      </c>
      <c r="B10" s="291" t="str">
        <f>IF(Badges!D166="C","E","")</f>
        <v/>
      </c>
      <c r="C10" s="292"/>
      <c r="D10" s="291" t="str">
        <f>IF(Badges!E166="C","E","")</f>
        <v/>
      </c>
      <c r="E10" s="292"/>
      <c r="F10" s="291" t="str">
        <f>IF(Badges!F166="C","E","")</f>
        <v/>
      </c>
      <c r="G10" s="292"/>
      <c r="H10" s="291" t="str">
        <f>IF(Badges!G166="C","E","")</f>
        <v/>
      </c>
      <c r="I10" s="292"/>
      <c r="J10" s="291" t="str">
        <f>IF(Badges!H166="C","E","")</f>
        <v/>
      </c>
      <c r="K10" s="292"/>
      <c r="L10" s="291" t="str">
        <f>IF(Badges!I166="C","E","")</f>
        <v/>
      </c>
      <c r="M10" s="292"/>
      <c r="N10" s="291" t="str">
        <f>IF(Badges!J166="C","E","")</f>
        <v/>
      </c>
      <c r="O10" s="292"/>
      <c r="P10" s="291" t="str">
        <f>IF(Badges!K166="C","E","")</f>
        <v/>
      </c>
      <c r="Q10" s="292"/>
      <c r="R10" s="291" t="str">
        <f>IF(Badges!L166="C","E","")</f>
        <v/>
      </c>
      <c r="S10" s="292"/>
      <c r="T10" s="291" t="str">
        <f>IF(Badges!M166="C","E","")</f>
        <v/>
      </c>
      <c r="U10" s="292"/>
      <c r="V10" s="291" t="str">
        <f>IF(Badges!N166="C","E","")</f>
        <v/>
      </c>
      <c r="W10" s="292"/>
      <c r="X10" s="291" t="str">
        <f>IF(Badges!O166="C","E","")</f>
        <v/>
      </c>
      <c r="Y10" s="292"/>
      <c r="Z10" s="291" t="str">
        <f>IF(Badges!P166="C","E","")</f>
        <v/>
      </c>
      <c r="AA10" s="292"/>
      <c r="AB10" s="291" t="str">
        <f>IF(Badges!Q166="C","E","")</f>
        <v/>
      </c>
      <c r="AC10" s="292"/>
      <c r="AD10" s="291" t="str">
        <f>IF(Badges!R166="C","E","")</f>
        <v/>
      </c>
      <c r="AE10" s="293"/>
    </row>
    <row r="11" spans="1:31" x14ac:dyDescent="0.2">
      <c r="A11" s="54" t="str">
        <f>Badges!A167</f>
        <v>Financial Literacy</v>
      </c>
      <c r="B11" s="58"/>
      <c r="C11" s="289"/>
      <c r="D11" s="58"/>
      <c r="E11" s="289"/>
      <c r="F11" s="58"/>
      <c r="G11" s="289"/>
      <c r="H11" s="58"/>
      <c r="I11" s="289"/>
      <c r="J11" s="58"/>
      <c r="K11" s="289"/>
      <c r="L11" s="58"/>
      <c r="M11" s="289"/>
      <c r="N11" s="58"/>
      <c r="O11" s="289"/>
      <c r="P11" s="58"/>
      <c r="Q11" s="289"/>
      <c r="R11" s="58"/>
      <c r="S11" s="289"/>
      <c r="T11" s="58"/>
      <c r="U11" s="289"/>
      <c r="V11" s="58"/>
      <c r="W11" s="289"/>
      <c r="X11" s="58"/>
      <c r="Y11" s="289"/>
      <c r="Z11" s="58"/>
      <c r="AA11" s="289"/>
      <c r="AB11" s="58"/>
      <c r="AC11" s="289"/>
      <c r="AD11" s="58"/>
      <c r="AE11" s="294"/>
    </row>
    <row r="12" spans="1:31" x14ac:dyDescent="0.2">
      <c r="A12" s="290" t="str">
        <f>Badges!B168</f>
        <v>On My Own</v>
      </c>
      <c r="B12" s="291" t="str">
        <f>IF(Badges!D190="C","E","")</f>
        <v/>
      </c>
      <c r="C12" s="292"/>
      <c r="D12" s="291" t="str">
        <f>IF(Badges!E190="C","E","")</f>
        <v/>
      </c>
      <c r="E12" s="292"/>
      <c r="F12" s="291" t="str">
        <f>IF(Badges!F190="C","E","")</f>
        <v/>
      </c>
      <c r="G12" s="292"/>
      <c r="H12" s="291" t="str">
        <f>IF(Badges!G190="C","E","")</f>
        <v/>
      </c>
      <c r="I12" s="292"/>
      <c r="J12" s="291" t="str">
        <f>IF(Badges!H190="C","E","")</f>
        <v/>
      </c>
      <c r="K12" s="292"/>
      <c r="L12" s="291" t="str">
        <f>IF(Badges!I190="C","E","")</f>
        <v/>
      </c>
      <c r="M12" s="292"/>
      <c r="N12" s="291" t="str">
        <f>IF(Badges!J190="C","E","")</f>
        <v/>
      </c>
      <c r="O12" s="292"/>
      <c r="P12" s="291" t="str">
        <f>IF(Badges!K190="C","E","")</f>
        <v/>
      </c>
      <c r="Q12" s="292"/>
      <c r="R12" s="291" t="str">
        <f>IF(Badges!L190="C","E","")</f>
        <v/>
      </c>
      <c r="S12" s="292"/>
      <c r="T12" s="291" t="str">
        <f>IF(Badges!M190="C","E","")</f>
        <v/>
      </c>
      <c r="U12" s="292"/>
      <c r="V12" s="291" t="str">
        <f>IF(Badges!N190="C","E","")</f>
        <v/>
      </c>
      <c r="W12" s="292"/>
      <c r="X12" s="291" t="str">
        <f>IF(Badges!O190="C","E","")</f>
        <v/>
      </c>
      <c r="Y12" s="292"/>
      <c r="Z12" s="291" t="str">
        <f>IF(Badges!P190="C","E","")</f>
        <v/>
      </c>
      <c r="AA12" s="292"/>
      <c r="AB12" s="291" t="str">
        <f>IF(Badges!Q190="C","E","")</f>
        <v/>
      </c>
      <c r="AC12" s="292"/>
      <c r="AD12" s="291" t="str">
        <f>IF(Badges!R190="C","E","")</f>
        <v/>
      </c>
      <c r="AE12" s="293"/>
    </row>
    <row r="13" spans="1:31" x14ac:dyDescent="0.2">
      <c r="A13" s="290" t="str">
        <f>Badges!B191</f>
        <v>Good Credit</v>
      </c>
      <c r="B13" s="291" t="str">
        <f>IF(Badges!D213="C","E","")</f>
        <v/>
      </c>
      <c r="C13" s="292"/>
      <c r="D13" s="291" t="str">
        <f>IF(Badges!E213="C","E","")</f>
        <v/>
      </c>
      <c r="E13" s="292"/>
      <c r="F13" s="291" t="str">
        <f>IF(Badges!F213="C","E","")</f>
        <v/>
      </c>
      <c r="G13" s="292"/>
      <c r="H13" s="291" t="str">
        <f>IF(Badges!G213="C","E","")</f>
        <v/>
      </c>
      <c r="I13" s="292"/>
      <c r="J13" s="291" t="str">
        <f>IF(Badges!H213="C","E","")</f>
        <v/>
      </c>
      <c r="K13" s="292"/>
      <c r="L13" s="291" t="str">
        <f>IF(Badges!I213="C","E","")</f>
        <v/>
      </c>
      <c r="M13" s="292"/>
      <c r="N13" s="291" t="str">
        <f>IF(Badges!J213="C","E","")</f>
        <v/>
      </c>
      <c r="O13" s="292"/>
      <c r="P13" s="291" t="str">
        <f>IF(Badges!K213="C","E","")</f>
        <v/>
      </c>
      <c r="Q13" s="292"/>
      <c r="R13" s="291" t="str">
        <f>IF(Badges!L213="C","E","")</f>
        <v/>
      </c>
      <c r="S13" s="292"/>
      <c r="T13" s="291" t="str">
        <f>IF(Badges!M213="C","E","")</f>
        <v/>
      </c>
      <c r="U13" s="292"/>
      <c r="V13" s="291" t="str">
        <f>IF(Badges!N213="C","E","")</f>
        <v/>
      </c>
      <c r="W13" s="292"/>
      <c r="X13" s="291" t="str">
        <f>IF(Badges!O213="C","E","")</f>
        <v/>
      </c>
      <c r="Y13" s="292"/>
      <c r="Z13" s="291" t="str">
        <f>IF(Badges!P213="C","E","")</f>
        <v/>
      </c>
      <c r="AA13" s="292"/>
      <c r="AB13" s="291" t="str">
        <f>IF(Badges!Q213="C","E","")</f>
        <v/>
      </c>
      <c r="AC13" s="292"/>
      <c r="AD13" s="291" t="str">
        <f>IF(Badges!R213="C","E","")</f>
        <v/>
      </c>
      <c r="AE13" s="292"/>
    </row>
    <row r="14" spans="1:31" x14ac:dyDescent="0.2">
      <c r="A14" s="54" t="str">
        <f>Badges!A214</f>
        <v>Cookie Business</v>
      </c>
      <c r="B14" s="58"/>
      <c r="C14" s="289"/>
      <c r="D14" s="58"/>
      <c r="E14" s="289"/>
      <c r="F14" s="58"/>
      <c r="G14" s="289"/>
      <c r="H14" s="58"/>
      <c r="I14" s="289"/>
      <c r="J14" s="58"/>
      <c r="K14" s="289"/>
      <c r="L14" s="58"/>
      <c r="M14" s="289"/>
      <c r="N14" s="58"/>
      <c r="O14" s="289"/>
      <c r="P14" s="58"/>
      <c r="Q14" s="289"/>
      <c r="R14" s="58"/>
      <c r="S14" s="289"/>
      <c r="T14" s="58"/>
      <c r="U14" s="289"/>
      <c r="V14" s="58"/>
      <c r="W14" s="289"/>
      <c r="X14" s="58"/>
      <c r="Y14" s="289"/>
      <c r="Z14" s="58"/>
      <c r="AA14" s="289"/>
      <c r="AB14" s="58"/>
      <c r="AC14" s="289"/>
      <c r="AD14" s="58"/>
      <c r="AE14" s="294"/>
    </row>
    <row r="15" spans="1:31" x14ac:dyDescent="0.2">
      <c r="A15" s="290" t="str">
        <f>Badges!B215</f>
        <v>Research and Development</v>
      </c>
      <c r="B15" s="291" t="str">
        <f>IF(Badges!D227="C","E","")</f>
        <v/>
      </c>
      <c r="C15" s="292"/>
      <c r="D15" s="291" t="str">
        <f>IF(Badges!E227="C","E","")</f>
        <v/>
      </c>
      <c r="E15" s="292"/>
      <c r="F15" s="291" t="str">
        <f>IF(Badges!F227="C","E","")</f>
        <v/>
      </c>
      <c r="G15" s="292"/>
      <c r="H15" s="291" t="str">
        <f>IF(Badges!G227="C","E","")</f>
        <v/>
      </c>
      <c r="I15" s="292"/>
      <c r="J15" s="291" t="str">
        <f>IF(Badges!H227="C","E","")</f>
        <v/>
      </c>
      <c r="K15" s="292"/>
      <c r="L15" s="291" t="str">
        <f>IF(Badges!I227="C","E","")</f>
        <v/>
      </c>
      <c r="M15" s="292"/>
      <c r="N15" s="291" t="str">
        <f>IF(Badges!J227="C","E","")</f>
        <v/>
      </c>
      <c r="O15" s="292"/>
      <c r="P15" s="291" t="str">
        <f>IF(Badges!K227="C","E","")</f>
        <v/>
      </c>
      <c r="Q15" s="292"/>
      <c r="R15" s="291" t="str">
        <f>IF(Badges!L227="C","E","")</f>
        <v/>
      </c>
      <c r="S15" s="292"/>
      <c r="T15" s="291" t="str">
        <f>IF(Badges!M227="C","E","")</f>
        <v/>
      </c>
      <c r="U15" s="292"/>
      <c r="V15" s="291" t="str">
        <f>IF(Badges!N227="C","E","")</f>
        <v/>
      </c>
      <c r="W15" s="292"/>
      <c r="X15" s="291" t="str">
        <f>IF(Badges!O227="C","E","")</f>
        <v/>
      </c>
      <c r="Y15" s="292"/>
      <c r="Z15" s="291" t="str">
        <f>IF(Badges!P227="C","E","")</f>
        <v/>
      </c>
      <c r="AA15" s="292"/>
      <c r="AB15" s="291" t="str">
        <f>IF(Badges!Q227="C","E","")</f>
        <v/>
      </c>
      <c r="AC15" s="292"/>
      <c r="AD15" s="291" t="str">
        <f>IF(Badges!R227="C","E","")</f>
        <v/>
      </c>
      <c r="AE15" s="293"/>
    </row>
    <row r="16" spans="1:31" x14ac:dyDescent="0.2">
      <c r="A16" s="290" t="str">
        <f>Badges!B228</f>
        <v>P &amp; L</v>
      </c>
      <c r="B16" s="291" t="str">
        <f>IF(Badges!D240="C","E","")</f>
        <v/>
      </c>
      <c r="C16" s="292"/>
      <c r="D16" s="291" t="str">
        <f>IF(Badges!E240="C","E","")</f>
        <v/>
      </c>
      <c r="F16" s="291" t="str">
        <f>IF(Badges!F240="C","E","")</f>
        <v/>
      </c>
      <c r="H16" s="291" t="str">
        <f>IF(Badges!G240="C","E","")</f>
        <v/>
      </c>
      <c r="I16" s="292"/>
      <c r="J16" s="291" t="str">
        <f>IF(Badges!H240="C","E","")</f>
        <v/>
      </c>
      <c r="L16" s="291" t="str">
        <f>IF(Badges!I240="C","E","")</f>
        <v/>
      </c>
      <c r="M16" s="292"/>
      <c r="N16" s="291" t="str">
        <f>IF(Badges!J240="C","E","")</f>
        <v/>
      </c>
      <c r="P16" s="291" t="str">
        <f>IF(Badges!K240="C","E","")</f>
        <v/>
      </c>
      <c r="Q16" s="292"/>
      <c r="R16" s="291" t="str">
        <f>IF(Badges!L240="C","E","")</f>
        <v/>
      </c>
      <c r="T16" s="291" t="str">
        <f>IF(Badges!M240="C","E","")</f>
        <v/>
      </c>
      <c r="V16" s="291" t="str">
        <f>IF(Badges!N240="C","E","")</f>
        <v/>
      </c>
      <c r="X16" s="291" t="str">
        <f>IF(Badges!O240="C","E","")</f>
        <v/>
      </c>
      <c r="Y16" s="292"/>
      <c r="Z16" s="291" t="str">
        <f>IF(Badges!P240="C","E","")</f>
        <v/>
      </c>
      <c r="AA16" s="292"/>
      <c r="AB16" s="291" t="str">
        <f>IF(Badges!Q240="C","E","")</f>
        <v/>
      </c>
      <c r="AC16" s="292"/>
      <c r="AD16" s="291" t="str">
        <f>IF(Badges!R240="C","E","")</f>
        <v/>
      </c>
      <c r="AE16" s="293"/>
    </row>
    <row r="17" spans="1:31" ht="15" x14ac:dyDescent="0.2">
      <c r="A17" s="59" t="s">
        <v>84</v>
      </c>
      <c r="B17" s="359"/>
      <c r="C17" s="360"/>
      <c r="D17" s="359"/>
      <c r="E17" s="360"/>
      <c r="F17" s="359"/>
      <c r="G17" s="360"/>
      <c r="H17" s="359"/>
      <c r="I17" s="360"/>
      <c r="J17" s="359"/>
      <c r="K17" s="360"/>
      <c r="L17" s="359"/>
      <c r="M17" s="360"/>
      <c r="N17" s="359"/>
      <c r="O17" s="360"/>
      <c r="P17" s="359"/>
      <c r="Q17" s="360"/>
      <c r="R17" s="359"/>
      <c r="S17" s="360"/>
      <c r="T17" s="359"/>
      <c r="U17" s="360"/>
      <c r="V17" s="359"/>
      <c r="W17" s="360"/>
      <c r="X17" s="359"/>
      <c r="Y17" s="360"/>
      <c r="Z17" s="359"/>
      <c r="AA17" s="360"/>
      <c r="AB17" s="359"/>
      <c r="AC17" s="360"/>
      <c r="AD17" s="359"/>
      <c r="AE17" s="361"/>
    </row>
    <row r="18" spans="1:31" ht="15" x14ac:dyDescent="0.2">
      <c r="A18" s="363" t="str">
        <f>Journey!A6</f>
        <v>Your Voice, Your World: The Power of Advocacy</v>
      </c>
      <c r="B18" s="362" t="str">
        <f>Journey!D11</f>
        <v xml:space="preserve"> </v>
      </c>
      <c r="C18" s="292"/>
      <c r="D18" s="362" t="str">
        <f>Journey!E11</f>
        <v xml:space="preserve"> </v>
      </c>
      <c r="E18" s="292"/>
      <c r="F18" s="362" t="str">
        <f>Journey!F11</f>
        <v xml:space="preserve"> </v>
      </c>
      <c r="G18" s="292"/>
      <c r="H18" s="362" t="str">
        <f>Journey!G11</f>
        <v xml:space="preserve"> </v>
      </c>
      <c r="I18" s="292"/>
      <c r="J18" s="362" t="str">
        <f>Journey!H11</f>
        <v xml:space="preserve"> </v>
      </c>
      <c r="K18" s="292"/>
      <c r="L18" s="362" t="str">
        <f>Journey!I11</f>
        <v xml:space="preserve"> </v>
      </c>
      <c r="M18" s="292"/>
      <c r="N18" s="362" t="str">
        <f>Journey!J11</f>
        <v xml:space="preserve"> </v>
      </c>
      <c r="O18" s="292"/>
      <c r="P18" s="362" t="str">
        <f>Journey!K11</f>
        <v xml:space="preserve"> </v>
      </c>
      <c r="Q18" s="292"/>
      <c r="R18" s="362" t="str">
        <f>Journey!L11</f>
        <v xml:space="preserve"> </v>
      </c>
      <c r="S18" s="292"/>
      <c r="T18" s="362" t="str">
        <f>Journey!M11</f>
        <v xml:space="preserve"> </v>
      </c>
      <c r="U18" s="292"/>
      <c r="V18" s="362" t="str">
        <f>Journey!N11</f>
        <v xml:space="preserve"> </v>
      </c>
      <c r="W18" s="292"/>
      <c r="X18" s="362" t="str">
        <f>Journey!O11</f>
        <v xml:space="preserve"> </v>
      </c>
      <c r="Y18" s="292"/>
      <c r="Z18" s="362" t="str">
        <f>Journey!P11</f>
        <v xml:space="preserve"> </v>
      </c>
      <c r="AA18" s="292"/>
      <c r="AB18" s="362" t="str">
        <f>Journey!Q11</f>
        <v xml:space="preserve"> </v>
      </c>
      <c r="AC18" s="292"/>
      <c r="AD18" s="362" t="str">
        <f>Journey!R11</f>
        <v xml:space="preserve"> </v>
      </c>
      <c r="AE18" s="293"/>
    </row>
    <row r="19" spans="1:31" ht="15" x14ac:dyDescent="0.2">
      <c r="A19" s="363" t="str">
        <f>Journey!A14</f>
        <v>JUSTICE</v>
      </c>
      <c r="B19" s="362" t="str">
        <f>Journey!D22</f>
        <v xml:space="preserve"> </v>
      </c>
      <c r="C19" s="292"/>
      <c r="D19" s="362" t="str">
        <f>Journey!E22</f>
        <v xml:space="preserve"> </v>
      </c>
      <c r="E19" s="292"/>
      <c r="F19" s="362" t="str">
        <f>Journey!F22</f>
        <v xml:space="preserve"> </v>
      </c>
      <c r="G19" s="292"/>
      <c r="H19" s="362" t="str">
        <f>Journey!G22</f>
        <v xml:space="preserve"> </v>
      </c>
      <c r="I19" s="292"/>
      <c r="J19" s="362" t="str">
        <f>Journey!H22</f>
        <v xml:space="preserve"> </v>
      </c>
      <c r="K19" s="292"/>
      <c r="L19" s="362" t="str">
        <f>Journey!I22</f>
        <v xml:space="preserve"> </v>
      </c>
      <c r="M19" s="292"/>
      <c r="N19" s="362" t="str">
        <f>Journey!J22</f>
        <v xml:space="preserve"> </v>
      </c>
      <c r="O19" s="292"/>
      <c r="P19" s="362" t="str">
        <f>Journey!K22</f>
        <v xml:space="preserve"> </v>
      </c>
      <c r="Q19" s="292"/>
      <c r="R19" s="362" t="str">
        <f>Journey!L22</f>
        <v xml:space="preserve"> </v>
      </c>
      <c r="S19" s="292"/>
      <c r="T19" s="362" t="str">
        <f>Journey!M22</f>
        <v xml:space="preserve"> </v>
      </c>
      <c r="U19" s="292"/>
      <c r="V19" s="362" t="str">
        <f>Journey!N22</f>
        <v xml:space="preserve"> </v>
      </c>
      <c r="W19" s="292"/>
      <c r="X19" s="362" t="str">
        <f>Journey!O22</f>
        <v xml:space="preserve"> </v>
      </c>
      <c r="Y19" s="292"/>
      <c r="Z19" s="362" t="str">
        <f>Journey!P22</f>
        <v xml:space="preserve"> </v>
      </c>
      <c r="AA19" s="292"/>
      <c r="AB19" s="362" t="str">
        <f>Journey!Q22</f>
        <v xml:space="preserve"> </v>
      </c>
      <c r="AC19" s="292"/>
      <c r="AD19" s="362" t="str">
        <f>Journey!R22</f>
        <v xml:space="preserve"> </v>
      </c>
      <c r="AE19" s="293"/>
    </row>
    <row r="20" spans="1:31" ht="15" x14ac:dyDescent="0.2">
      <c r="A20" s="363" t="str">
        <f>Journey!A25</f>
        <v>BLISS: Live it! Give It!</v>
      </c>
      <c r="B20" s="362" t="str">
        <f>Journey!D31</f>
        <v xml:space="preserve"> </v>
      </c>
      <c r="C20" s="292"/>
      <c r="D20" s="362" t="str">
        <f>Journey!E31</f>
        <v xml:space="preserve"> </v>
      </c>
      <c r="E20" s="292"/>
      <c r="F20" s="362" t="str">
        <f>Journey!F31</f>
        <v xml:space="preserve"> </v>
      </c>
      <c r="G20" s="292"/>
      <c r="H20" s="362" t="str">
        <f>Journey!G31</f>
        <v xml:space="preserve"> </v>
      </c>
      <c r="I20" s="292"/>
      <c r="J20" s="362" t="str">
        <f>Journey!H31</f>
        <v xml:space="preserve"> </v>
      </c>
      <c r="K20" s="292"/>
      <c r="L20" s="362" t="str">
        <f>Journey!I31</f>
        <v xml:space="preserve"> </v>
      </c>
      <c r="M20" s="292"/>
      <c r="N20" s="362" t="str">
        <f>Journey!J31</f>
        <v xml:space="preserve"> </v>
      </c>
      <c r="O20" s="292"/>
      <c r="P20" s="362" t="str">
        <f>Journey!K31</f>
        <v xml:space="preserve"> </v>
      </c>
      <c r="Q20" s="292"/>
      <c r="R20" s="362" t="str">
        <f>Journey!L31</f>
        <v xml:space="preserve"> </v>
      </c>
      <c r="S20" s="292"/>
      <c r="T20" s="362" t="str">
        <f>Journey!M31</f>
        <v xml:space="preserve"> </v>
      </c>
      <c r="U20" s="292"/>
      <c r="V20" s="362" t="str">
        <f>Journey!N31</f>
        <v xml:space="preserve"> </v>
      </c>
      <c r="W20" s="292"/>
      <c r="X20" s="362" t="str">
        <f>Journey!O31</f>
        <v xml:space="preserve"> </v>
      </c>
      <c r="Y20" s="292"/>
      <c r="Z20" s="362" t="str">
        <f>Journey!P31</f>
        <v xml:space="preserve"> </v>
      </c>
      <c r="AA20" s="292"/>
      <c r="AB20" s="362" t="str">
        <f>Journey!Q31</f>
        <v xml:space="preserve"> </v>
      </c>
      <c r="AC20" s="292"/>
      <c r="AD20" s="362" t="str">
        <f>Journey!R31</f>
        <v xml:space="preserve"> </v>
      </c>
      <c r="AE20" s="293"/>
    </row>
    <row r="21" spans="1:31" x14ac:dyDescent="0.2">
      <c r="A21" s="54" t="str">
        <f>'Council Own'!A5:R5</f>
        <v>Council's Own</v>
      </c>
      <c r="B21" s="58"/>
      <c r="C21" s="289"/>
      <c r="D21" s="58"/>
      <c r="E21" s="289"/>
      <c r="F21" s="58"/>
      <c r="G21" s="289"/>
      <c r="H21" s="58"/>
      <c r="I21" s="289"/>
      <c r="J21" s="58"/>
      <c r="K21" s="289"/>
      <c r="L21" s="58"/>
      <c r="M21" s="289"/>
      <c r="N21" s="58"/>
      <c r="O21" s="289"/>
      <c r="P21" s="58"/>
      <c r="Q21" s="289"/>
      <c r="R21" s="58"/>
      <c r="S21" s="289"/>
      <c r="T21" s="58"/>
      <c r="U21" s="289"/>
      <c r="V21" s="58"/>
      <c r="W21" s="289"/>
      <c r="X21" s="58"/>
      <c r="Y21" s="289"/>
      <c r="Z21" s="58"/>
      <c r="AA21" s="289"/>
      <c r="AB21" s="58"/>
      <c r="AC21" s="289"/>
      <c r="AD21" s="58"/>
      <c r="AE21" s="294"/>
    </row>
    <row r="22" spans="1:31" x14ac:dyDescent="0.2">
      <c r="A22" s="290" t="str">
        <f>'Council Own'!B6</f>
        <v>&lt;&lt;List Badge Here&gt;&gt;</v>
      </c>
      <c r="B22" s="291" t="str">
        <f>IF('Council Own'!D28="C","E","")</f>
        <v/>
      </c>
      <c r="C22" s="292"/>
      <c r="D22" s="291" t="str">
        <f>IF('Council Own'!E28="C","E","")</f>
        <v/>
      </c>
      <c r="E22" s="292"/>
      <c r="F22" s="291" t="str">
        <f>IF('Council Own'!F28="C","E","")</f>
        <v/>
      </c>
      <c r="G22" s="292"/>
      <c r="H22" s="291" t="str">
        <f>IF('Council Own'!G28="C","E","")</f>
        <v/>
      </c>
      <c r="I22" s="292"/>
      <c r="J22" s="291" t="str">
        <f>IF('Council Own'!H28="C","E","")</f>
        <v/>
      </c>
      <c r="K22" s="292"/>
      <c r="L22" s="291" t="str">
        <f>IF('Council Own'!I28="C","E","")</f>
        <v/>
      </c>
      <c r="M22" s="292"/>
      <c r="N22" s="291" t="str">
        <f>IF('Council Own'!J28="C","E","")</f>
        <v/>
      </c>
      <c r="O22" s="292"/>
      <c r="P22" s="291" t="str">
        <f>IF('Council Own'!K28="C","E","")</f>
        <v/>
      </c>
      <c r="Q22" s="292"/>
      <c r="R22" s="291" t="str">
        <f>IF('Council Own'!L28="C","E","")</f>
        <v/>
      </c>
      <c r="S22" s="292"/>
      <c r="T22" s="291" t="str">
        <f>IF('Council Own'!M28="C","E","")</f>
        <v/>
      </c>
      <c r="U22" s="292"/>
      <c r="V22" s="291" t="str">
        <f>IF('Council Own'!N28="C","E","")</f>
        <v/>
      </c>
      <c r="W22" s="292"/>
      <c r="X22" s="291" t="str">
        <f>IF('Council Own'!O28="C","E","")</f>
        <v/>
      </c>
      <c r="Y22" s="292"/>
      <c r="Z22" s="291" t="str">
        <f>IF('Council Own'!P28="C","E","")</f>
        <v/>
      </c>
      <c r="AA22" s="292"/>
      <c r="AB22" s="291" t="str">
        <f>IF('Council Own'!Q28="C","E","")</f>
        <v/>
      </c>
      <c r="AC22" s="292"/>
      <c r="AD22" s="291" t="str">
        <f>IF('Council Own'!R28="C","E","")</f>
        <v/>
      </c>
      <c r="AE22" s="293"/>
    </row>
    <row r="23" spans="1:31" x14ac:dyDescent="0.2">
      <c r="A23" s="290" t="str">
        <f>'Council Own'!B30</f>
        <v>&lt;&lt;List Badge Here&gt;&gt;</v>
      </c>
      <c r="B23" s="291" t="str">
        <f>IF('Council Own'!D52="C","E","")</f>
        <v/>
      </c>
      <c r="C23" s="292"/>
      <c r="D23" s="291" t="str">
        <f>IF('Council Own'!E52="C","E","")</f>
        <v/>
      </c>
      <c r="E23" s="292"/>
      <c r="F23" s="291" t="str">
        <f>IF('Council Own'!F52="C","E","")</f>
        <v/>
      </c>
      <c r="G23" s="292"/>
      <c r="H23" s="291" t="str">
        <f>IF('Council Own'!G52="C","E","")</f>
        <v/>
      </c>
      <c r="I23" s="292"/>
      <c r="J23" s="291" t="str">
        <f>IF('Council Own'!H52="C","E","")</f>
        <v/>
      </c>
      <c r="K23" s="292"/>
      <c r="L23" s="291" t="str">
        <f>IF('Council Own'!I52="C","E","")</f>
        <v/>
      </c>
      <c r="M23" s="292"/>
      <c r="N23" s="291" t="str">
        <f>IF('Council Own'!J52="C","E","")</f>
        <v/>
      </c>
      <c r="O23" s="292"/>
      <c r="P23" s="291" t="str">
        <f>IF('Council Own'!K52="C","E","")</f>
        <v/>
      </c>
      <c r="Q23" s="292"/>
      <c r="R23" s="291" t="str">
        <f>IF('Council Own'!L52="C","E","")</f>
        <v/>
      </c>
      <c r="S23" s="292"/>
      <c r="T23" s="291" t="str">
        <f>IF('Council Own'!M52="C","E","")</f>
        <v/>
      </c>
      <c r="U23" s="292"/>
      <c r="V23" s="291" t="str">
        <f>IF('Council Own'!N52="C","E","")</f>
        <v/>
      </c>
      <c r="W23" s="292"/>
      <c r="X23" s="291" t="str">
        <f>IF('Council Own'!O52="C","E","")</f>
        <v/>
      </c>
      <c r="Y23" s="292"/>
      <c r="Z23" s="291" t="str">
        <f>IF('Council Own'!P52="C","E","")</f>
        <v/>
      </c>
      <c r="AA23" s="292"/>
      <c r="AB23" s="291" t="str">
        <f>IF('Council Own'!Q52="C","E","")</f>
        <v/>
      </c>
      <c r="AC23" s="292"/>
      <c r="AD23" s="291" t="str">
        <f>IF('Council Own'!R52="C","E","")</f>
        <v/>
      </c>
      <c r="AE23" s="293"/>
    </row>
    <row r="24" spans="1:31" x14ac:dyDescent="0.2">
      <c r="A24" s="290" t="str">
        <f>'Council Own'!B54</f>
        <v>&lt;&lt;List Badge Here&gt;&gt;</v>
      </c>
      <c r="B24" s="291" t="str">
        <f>IF('Council Own'!D76="C","E","")</f>
        <v/>
      </c>
      <c r="C24" s="292"/>
      <c r="D24" s="291" t="str">
        <f>IF('Council Own'!E76="C","E","")</f>
        <v/>
      </c>
      <c r="E24" s="292"/>
      <c r="F24" s="291" t="str">
        <f>IF('Council Own'!F76="C","E","")</f>
        <v/>
      </c>
      <c r="G24" s="292"/>
      <c r="H24" s="291" t="str">
        <f>IF('Council Own'!G76="C","E","")</f>
        <v/>
      </c>
      <c r="I24" s="292"/>
      <c r="J24" s="291" t="str">
        <f>IF('Council Own'!H76="C","E","")</f>
        <v/>
      </c>
      <c r="K24" s="292"/>
      <c r="L24" s="291" t="str">
        <f>IF('Council Own'!I76="C","E","")</f>
        <v/>
      </c>
      <c r="M24" s="292"/>
      <c r="N24" s="291" t="str">
        <f>IF('Council Own'!J76="C","E","")</f>
        <v/>
      </c>
      <c r="O24" s="292"/>
      <c r="P24" s="291" t="str">
        <f>IF('Council Own'!K76="C","E","")</f>
        <v/>
      </c>
      <c r="Q24" s="292"/>
      <c r="R24" s="291" t="str">
        <f>IF('Council Own'!L76="C","E","")</f>
        <v/>
      </c>
      <c r="S24" s="292"/>
      <c r="T24" s="291" t="str">
        <f>IF('Council Own'!M76="C","E","")</f>
        <v/>
      </c>
      <c r="U24" s="292"/>
      <c r="V24" s="291" t="str">
        <f>IF('Council Own'!N76="C","E","")</f>
        <v/>
      </c>
      <c r="W24" s="292"/>
      <c r="X24" s="291" t="str">
        <f>IF('Council Own'!O76="C","E","")</f>
        <v/>
      </c>
      <c r="Y24" s="292"/>
      <c r="Z24" s="291" t="str">
        <f>IF('Council Own'!P76="C","E","")</f>
        <v/>
      </c>
      <c r="AA24" s="292"/>
      <c r="AB24" s="291" t="str">
        <f>IF('Council Own'!Q76="C","E","")</f>
        <v/>
      </c>
      <c r="AC24" s="292"/>
      <c r="AD24" s="291" t="str">
        <f>IF('Council Own'!R76="C","E","")</f>
        <v/>
      </c>
      <c r="AE24" s="293"/>
    </row>
    <row r="25" spans="1:31" x14ac:dyDescent="0.2">
      <c r="A25" s="290" t="str">
        <f>'Council Own'!B78</f>
        <v>&lt;&lt;List Badge Here&gt;&gt;</v>
      </c>
      <c r="B25" s="291" t="str">
        <f>IF('Council Own'!D100="C","E","")</f>
        <v/>
      </c>
      <c r="C25" s="292"/>
      <c r="D25" s="291" t="str">
        <f>IF('Council Own'!E100="C","E","")</f>
        <v/>
      </c>
      <c r="E25" s="292"/>
      <c r="F25" s="291" t="str">
        <f>IF('Council Own'!F100="C","E","")</f>
        <v/>
      </c>
      <c r="G25" s="292"/>
      <c r="H25" s="291" t="str">
        <f>IF('Council Own'!G100="C","E","")</f>
        <v/>
      </c>
      <c r="I25" s="292"/>
      <c r="J25" s="291" t="str">
        <f>IF('Council Own'!H100="C","E","")</f>
        <v/>
      </c>
      <c r="K25" s="292"/>
      <c r="L25" s="291" t="str">
        <f>IF('Council Own'!I100="C","E","")</f>
        <v/>
      </c>
      <c r="M25" s="292"/>
      <c r="N25" s="291" t="str">
        <f>IF('Council Own'!J100="C","E","")</f>
        <v/>
      </c>
      <c r="O25" s="292"/>
      <c r="P25" s="291" t="str">
        <f>IF('Council Own'!K100="C","E","")</f>
        <v/>
      </c>
      <c r="Q25" s="292"/>
      <c r="R25" s="291" t="str">
        <f>IF('Council Own'!L100="C","E","")</f>
        <v/>
      </c>
      <c r="S25" s="292"/>
      <c r="T25" s="291" t="str">
        <f>IF('Council Own'!M100="C","E","")</f>
        <v/>
      </c>
      <c r="U25" s="292"/>
      <c r="V25" s="291" t="str">
        <f>IF('Council Own'!N100="C","E","")</f>
        <v/>
      </c>
      <c r="W25" s="292"/>
      <c r="X25" s="291" t="str">
        <f>IF('Council Own'!O100="C","E","")</f>
        <v/>
      </c>
      <c r="Y25" s="292"/>
      <c r="Z25" s="291" t="str">
        <f>IF('Council Own'!P100="C","E","")</f>
        <v/>
      </c>
      <c r="AA25" s="292"/>
      <c r="AB25" s="291" t="str">
        <f>IF('Council Own'!Q100="C","E","")</f>
        <v/>
      </c>
      <c r="AC25" s="292"/>
      <c r="AD25" s="291" t="str">
        <f>IF('Council Own'!R100="C","E","")</f>
        <v/>
      </c>
      <c r="AE25" s="293"/>
    </row>
    <row r="26" spans="1:31" x14ac:dyDescent="0.2">
      <c r="A26" s="290" t="str">
        <f>'Council Own'!B102</f>
        <v>&lt;&lt;List Badge Here&gt;&gt;</v>
      </c>
      <c r="B26" s="291" t="str">
        <f>IF('Council Own'!D124="C","E","")</f>
        <v/>
      </c>
      <c r="C26" s="296"/>
      <c r="D26" s="291" t="str">
        <f>IF('Council Own'!E124="C","E","")</f>
        <v/>
      </c>
      <c r="E26" s="296"/>
      <c r="F26" s="291" t="str">
        <f>IF('Council Own'!F124="C","E","")</f>
        <v/>
      </c>
      <c r="G26" s="296"/>
      <c r="H26" s="291" t="str">
        <f>IF('Council Own'!G124="C","E","")</f>
        <v/>
      </c>
      <c r="I26" s="296"/>
      <c r="J26" s="291" t="str">
        <f>IF('Council Own'!H124="C","E","")</f>
        <v/>
      </c>
      <c r="K26" s="296"/>
      <c r="L26" s="291" t="str">
        <f>IF('Council Own'!I124="C","E","")</f>
        <v/>
      </c>
      <c r="M26" s="296"/>
      <c r="N26" s="291" t="str">
        <f>IF('Council Own'!J124="C","E","")</f>
        <v/>
      </c>
      <c r="O26" s="296"/>
      <c r="P26" s="291" t="str">
        <f>IF('Council Own'!K124="C","E","")</f>
        <v/>
      </c>
      <c r="Q26" s="296"/>
      <c r="R26" s="291" t="str">
        <f>IF('Council Own'!L124="C","E","")</f>
        <v/>
      </c>
      <c r="S26" s="296"/>
      <c r="T26" s="291" t="str">
        <f>IF('Council Own'!M124="C","E","")</f>
        <v/>
      </c>
      <c r="U26" s="296"/>
      <c r="V26" s="291" t="str">
        <f>IF('Council Own'!N124="C","E","")</f>
        <v/>
      </c>
      <c r="W26" s="296"/>
      <c r="X26" s="291" t="str">
        <f>IF('Council Own'!O124="C","E","")</f>
        <v/>
      </c>
      <c r="Y26" s="296"/>
      <c r="Z26" s="291" t="str">
        <f>IF('Council Own'!P124="C","E","")</f>
        <v/>
      </c>
      <c r="AA26" s="296"/>
      <c r="AB26" s="291" t="str">
        <f>IF('Council Own'!Q124="C","E","")</f>
        <v/>
      </c>
      <c r="AC26" s="296"/>
      <c r="AD26" s="291" t="str">
        <f>IF('Council Own'!R124="C","E","")</f>
        <v/>
      </c>
      <c r="AE26" s="297"/>
    </row>
    <row r="27" spans="1:31" x14ac:dyDescent="0.2">
      <c r="A27" s="290" t="str">
        <f>'Council Own'!B126</f>
        <v>&lt;&lt;List Badge Here&gt;&gt;</v>
      </c>
      <c r="B27" s="291" t="str">
        <f>IF('Council Own'!D148="C","E","")</f>
        <v/>
      </c>
      <c r="C27" s="296"/>
      <c r="D27" s="291" t="str">
        <f>IF('Council Own'!E148="C","E","")</f>
        <v/>
      </c>
      <c r="E27" s="296"/>
      <c r="F27" s="291" t="str">
        <f>IF('Council Own'!F148="C","E","")</f>
        <v/>
      </c>
      <c r="G27" s="296"/>
      <c r="H27" s="291" t="str">
        <f>IF('Council Own'!G148="C","E","")</f>
        <v/>
      </c>
      <c r="I27" s="296"/>
      <c r="J27" s="291" t="str">
        <f>IF('Council Own'!H148="C","E","")</f>
        <v/>
      </c>
      <c r="K27" s="296"/>
      <c r="L27" s="291" t="str">
        <f>IF('Council Own'!I148="C","E","")</f>
        <v/>
      </c>
      <c r="M27" s="296"/>
      <c r="N27" s="291" t="str">
        <f>IF('Council Own'!J148="C","E","")</f>
        <v/>
      </c>
      <c r="O27" s="296"/>
      <c r="P27" s="291" t="str">
        <f>IF('Council Own'!K148="C","E","")</f>
        <v/>
      </c>
      <c r="Q27" s="296"/>
      <c r="R27" s="291" t="str">
        <f>IF('Council Own'!L148="C","E","")</f>
        <v/>
      </c>
      <c r="S27" s="296"/>
      <c r="T27" s="291" t="str">
        <f>IF('Council Own'!M148="C","E","")</f>
        <v/>
      </c>
      <c r="U27" s="296"/>
      <c r="V27" s="291" t="str">
        <f>IF('Council Own'!N148="C","E","")</f>
        <v/>
      </c>
      <c r="W27" s="296"/>
      <c r="X27" s="291" t="str">
        <f>IF('Council Own'!O148="C","E","")</f>
        <v/>
      </c>
      <c r="Y27" s="296"/>
      <c r="Z27" s="291" t="str">
        <f>IF('Council Own'!P148="C","E","")</f>
        <v/>
      </c>
      <c r="AA27" s="296"/>
      <c r="AB27" s="291" t="str">
        <f>IF('Council Own'!Q148="C","E","")</f>
        <v/>
      </c>
      <c r="AC27" s="296"/>
      <c r="AD27" s="291" t="str">
        <f>IF('Council Own'!R148="C","E","")</f>
        <v/>
      </c>
      <c r="AE27" s="297"/>
    </row>
    <row r="28" spans="1:31" x14ac:dyDescent="0.2">
      <c r="A28" s="54" t="s">
        <v>129</v>
      </c>
      <c r="B28" s="298"/>
      <c r="C28" s="289"/>
      <c r="D28" s="298"/>
      <c r="E28" s="289"/>
      <c r="F28" s="298"/>
      <c r="G28" s="289"/>
      <c r="H28" s="298"/>
      <c r="I28" s="289"/>
      <c r="J28" s="298"/>
      <c r="K28" s="289"/>
      <c r="L28" s="298"/>
      <c r="M28" s="289"/>
      <c r="N28" s="298"/>
      <c r="O28" s="289"/>
      <c r="P28" s="298"/>
      <c r="Q28" s="289"/>
      <c r="R28" s="298"/>
      <c r="S28" s="289"/>
      <c r="T28" s="298"/>
      <c r="U28" s="289"/>
      <c r="V28" s="298"/>
      <c r="W28" s="289"/>
      <c r="X28" s="298"/>
      <c r="Y28" s="289"/>
      <c r="Z28" s="298"/>
      <c r="AA28" s="289"/>
      <c r="AB28" s="298"/>
      <c r="AC28" s="289"/>
      <c r="AD28" s="298"/>
      <c r="AE28" s="294"/>
    </row>
    <row r="29" spans="1:31" x14ac:dyDescent="0.2">
      <c r="A29" s="299" t="str">
        <f>'Age-Level'!B5</f>
        <v>Gold Torch Award</v>
      </c>
      <c r="B29" s="291" t="str">
        <f>IF('Age-Level'!D8="C","E","")</f>
        <v/>
      </c>
      <c r="C29" s="300"/>
      <c r="D29" s="291" t="str">
        <f>IF('Age-Level'!E8="C","E","")</f>
        <v/>
      </c>
      <c r="E29" s="300"/>
      <c r="F29" s="291" t="str">
        <f>IF('Age-Level'!F8="C","E","")</f>
        <v/>
      </c>
      <c r="G29" s="300"/>
      <c r="H29" s="291" t="str">
        <f>IF('Age-Level'!G8="C","E","")</f>
        <v/>
      </c>
      <c r="I29" s="300"/>
      <c r="J29" s="291" t="str">
        <f>IF('Age-Level'!H8="C","E","")</f>
        <v/>
      </c>
      <c r="K29" s="300"/>
      <c r="L29" s="291" t="str">
        <f>IF('Age-Level'!I8="C","E","")</f>
        <v/>
      </c>
      <c r="M29" s="300"/>
      <c r="N29" s="291" t="str">
        <f>IF('Age-Level'!J8="C","E","")</f>
        <v/>
      </c>
      <c r="O29" s="300"/>
      <c r="P29" s="291" t="str">
        <f>IF('Age-Level'!K8="C","E","")</f>
        <v/>
      </c>
      <c r="Q29" s="300"/>
      <c r="R29" s="291" t="str">
        <f>IF('Age-Level'!L8="C","E","")</f>
        <v/>
      </c>
      <c r="S29" s="300"/>
      <c r="T29" s="291" t="str">
        <f>IF('Age-Level'!M8="C","E","")</f>
        <v/>
      </c>
      <c r="U29" s="300"/>
      <c r="V29" s="291" t="str">
        <f>IF('Age-Level'!N8="C","E","")</f>
        <v/>
      </c>
      <c r="W29" s="300"/>
      <c r="X29" s="291" t="str">
        <f>IF('Age-Level'!O8="C","E","")</f>
        <v/>
      </c>
      <c r="Y29" s="300"/>
      <c r="Z29" s="291" t="str">
        <f>IF('Age-Level'!P8="C","E","")</f>
        <v/>
      </c>
      <c r="AA29" s="300"/>
      <c r="AB29" s="291" t="str">
        <f>IF('Age-Level'!Q8="C","E","")</f>
        <v/>
      </c>
      <c r="AC29" s="300"/>
      <c r="AD29" s="291" t="str">
        <f>IF('Age-Level'!R8="C","E","")</f>
        <v/>
      </c>
      <c r="AE29" s="301"/>
    </row>
    <row r="30" spans="1:31" x14ac:dyDescent="0.2">
      <c r="A30" s="295" t="str">
        <f>'Age-Level'!$B$9</f>
        <v>Ambassador Community Service bar</v>
      </c>
      <c r="B30" s="291" t="str">
        <f>IF('Age-Level'!D11="C","E","")</f>
        <v/>
      </c>
      <c r="C30" s="292"/>
      <c r="D30" s="291" t="str">
        <f>IF('Age-Level'!E11="C","E","")</f>
        <v/>
      </c>
      <c r="E30" s="292"/>
      <c r="F30" s="291" t="str">
        <f>IF('Age-Level'!F11="C","E","")</f>
        <v/>
      </c>
      <c r="G30" s="292"/>
      <c r="H30" s="291" t="str">
        <f>IF('Age-Level'!G11="C","E","")</f>
        <v/>
      </c>
      <c r="I30" s="292"/>
      <c r="J30" s="291" t="str">
        <f>IF('Age-Level'!H11="C","E","")</f>
        <v/>
      </c>
      <c r="K30" s="292"/>
      <c r="L30" s="291" t="str">
        <f>IF('Age-Level'!I23="20","E","")</f>
        <v/>
      </c>
      <c r="M30" s="292"/>
      <c r="N30" s="291" t="str">
        <f>IF('Age-Level'!J23="20","E","")</f>
        <v/>
      </c>
      <c r="O30" s="292"/>
      <c r="P30" s="291" t="str">
        <f>IF('Age-Level'!K23="20","E","")</f>
        <v/>
      </c>
      <c r="Q30" s="292"/>
      <c r="R30" s="291" t="str">
        <f>IF('Age-Level'!L23="20","E","")</f>
        <v/>
      </c>
      <c r="S30" s="292"/>
      <c r="T30" s="291" t="str">
        <f>IF('Age-Level'!M23="20","E","")</f>
        <v/>
      </c>
      <c r="U30" s="292"/>
      <c r="V30" s="291" t="str">
        <f>IF('Age-Level'!N23="20","E","")</f>
        <v/>
      </c>
      <c r="W30" s="292"/>
      <c r="X30" s="291" t="str">
        <f>IF('Age-Level'!O23="20","E","")</f>
        <v/>
      </c>
      <c r="Y30" s="292"/>
      <c r="Z30" s="291" t="str">
        <f>IF('Age-Level'!P23="20","E","")</f>
        <v/>
      </c>
      <c r="AA30" s="292"/>
      <c r="AB30" s="291" t="str">
        <f>IF('Age-Level'!Q23="20","E","")</f>
        <v/>
      </c>
      <c r="AC30" s="292"/>
      <c r="AD30" s="291" t="str">
        <f>IF('Age-Level'!R23="20","E","")</f>
        <v/>
      </c>
      <c r="AE30" s="293"/>
    </row>
    <row r="31" spans="1:31" x14ac:dyDescent="0.2">
      <c r="A31" s="295" t="str">
        <f>'Age-Level'!$B$12</f>
        <v>Ambassador Service to Girl Scouting bar</v>
      </c>
      <c r="B31" s="291" t="str">
        <f>IF('Age-Level'!D14="C","E","")</f>
        <v/>
      </c>
      <c r="C31" s="292"/>
      <c r="D31" s="291" t="str">
        <f>IF('Age-Level'!E14="C","E","")</f>
        <v/>
      </c>
      <c r="E31" s="292"/>
      <c r="F31" s="291" t="str">
        <f>IF('Age-Level'!F14="C","E","")</f>
        <v/>
      </c>
      <c r="G31" s="292"/>
      <c r="H31" s="291" t="str">
        <f>IF('Age-Level'!G14="C","E","")</f>
        <v/>
      </c>
      <c r="I31" s="292"/>
      <c r="J31" s="291" t="str">
        <f>IF('Age-Level'!H14="C","E","")</f>
        <v/>
      </c>
      <c r="K31" s="292"/>
      <c r="L31" s="291" t="str">
        <f>IF('Age-Level'!I24="A","E","")</f>
        <v/>
      </c>
      <c r="M31" s="292"/>
      <c r="N31" s="291" t="str">
        <f>IF('Age-Level'!J24="A","E","")</f>
        <v/>
      </c>
      <c r="O31" s="292"/>
      <c r="P31" s="291" t="str">
        <f>IF('Age-Level'!K24="A","E","")</f>
        <v/>
      </c>
      <c r="Q31" s="292"/>
      <c r="R31" s="291" t="str">
        <f>IF('Age-Level'!L24="A","E","")</f>
        <v/>
      </c>
      <c r="S31" s="292"/>
      <c r="T31" s="291" t="str">
        <f>IF('Age-Level'!M24="A","E","")</f>
        <v/>
      </c>
      <c r="U31" s="292"/>
      <c r="V31" s="291" t="str">
        <f>IF('Age-Level'!N24="A","E","")</f>
        <v/>
      </c>
      <c r="W31" s="292"/>
      <c r="X31" s="291" t="str">
        <f>IF('Age-Level'!O24="A","E","")</f>
        <v/>
      </c>
      <c r="Y31" s="292"/>
      <c r="Z31" s="291" t="str">
        <f>IF('Age-Level'!P24="A","E","")</f>
        <v/>
      </c>
      <c r="AA31" s="292"/>
      <c r="AB31" s="291" t="str">
        <f>IF('Age-Level'!Q24="A","E","")</f>
        <v/>
      </c>
      <c r="AC31" s="292"/>
      <c r="AD31" s="291" t="str">
        <f>IF('Age-Level'!R24="A","E","")</f>
        <v/>
      </c>
      <c r="AE31" s="293"/>
    </row>
    <row r="32" spans="1:31" x14ac:dyDescent="0.2">
      <c r="A32" s="295" t="str">
        <f>'Age-Level'!$B$15</f>
        <v>Ambassador Volunteer in Training</v>
      </c>
      <c r="B32" s="291" t="str">
        <f>IF('Age-Level'!D19="A","E","")</f>
        <v/>
      </c>
      <c r="C32" s="292"/>
      <c r="D32" s="291" t="str">
        <f>IF('Age-Level'!E19="A","E","")</f>
        <v/>
      </c>
      <c r="E32" s="292"/>
      <c r="F32" s="291" t="str">
        <f>IF('Age-Level'!F19="A","E","")</f>
        <v/>
      </c>
      <c r="G32" s="292"/>
      <c r="H32" s="291" t="str">
        <f>IF('Age-Level'!G19="A","E","")</f>
        <v/>
      </c>
      <c r="I32" s="292"/>
      <c r="J32" s="291" t="str">
        <f>IF('Age-Level'!H19="A","E","")</f>
        <v/>
      </c>
      <c r="K32" s="292"/>
      <c r="L32" s="291" t="str">
        <f>IF('Age-Level'!I19="A","E","")</f>
        <v/>
      </c>
      <c r="M32" s="292"/>
      <c r="N32" s="291" t="str">
        <f>IF('Age-Level'!J19="A","E","")</f>
        <v/>
      </c>
      <c r="O32" s="292"/>
      <c r="P32" s="291" t="str">
        <f>IF('Age-Level'!K19="A","E","")</f>
        <v/>
      </c>
      <c r="Q32" s="292"/>
      <c r="R32" s="291" t="str">
        <f>IF('Age-Level'!L19="A","E","")</f>
        <v/>
      </c>
      <c r="S32" s="292"/>
      <c r="T32" s="291" t="str">
        <f>IF('Age-Level'!M19="A","E","")</f>
        <v/>
      </c>
      <c r="U32" s="292"/>
      <c r="V32" s="291" t="str">
        <f>IF('Age-Level'!N19="A","E","")</f>
        <v/>
      </c>
      <c r="W32" s="292"/>
      <c r="X32" s="291" t="str">
        <f>IF('Age-Level'!O19="A","E","")</f>
        <v/>
      </c>
      <c r="Y32" s="292"/>
      <c r="Z32" s="291" t="str">
        <f>IF('Age-Level'!P19="A","E","")</f>
        <v/>
      </c>
      <c r="AA32" s="292"/>
      <c r="AB32" s="291" t="str">
        <f>IF('Age-Level'!Q19="A","E","")</f>
        <v/>
      </c>
      <c r="AC32" s="292"/>
      <c r="AD32" s="291" t="str">
        <f>IF('Age-Level'!R19="A","E","")</f>
        <v/>
      </c>
      <c r="AE32" s="293"/>
    </row>
    <row r="33" spans="1:31" x14ac:dyDescent="0.2">
      <c r="A33" s="295" t="str">
        <f>'Age-Level'!$B$20</f>
        <v>Journey Summit Pin</v>
      </c>
      <c r="B33" s="291" t="str">
        <f>IF('Age-Level'!D21="C","E","")</f>
        <v/>
      </c>
      <c r="C33" s="292"/>
      <c r="D33" s="291" t="str">
        <f>IF('Age-Level'!E21="C","E","")</f>
        <v/>
      </c>
      <c r="E33" s="292"/>
      <c r="F33" s="291" t="str">
        <f>IF('Age-Level'!F21="C","E","")</f>
        <v/>
      </c>
      <c r="G33" s="292"/>
      <c r="H33" s="291" t="str">
        <f>IF('Age-Level'!G21="C","E","")</f>
        <v/>
      </c>
      <c r="I33" s="292"/>
      <c r="J33" s="291" t="str">
        <f>IF('Age-Level'!H21="C","E","")</f>
        <v/>
      </c>
      <c r="K33" s="292"/>
      <c r="L33" s="291" t="str">
        <f>IF('Age-Level'!I21="C","E","")</f>
        <v/>
      </c>
      <c r="M33" s="292"/>
      <c r="N33" s="291" t="str">
        <f>IF('Age-Level'!J21="C","E","")</f>
        <v/>
      </c>
      <c r="O33" s="292"/>
      <c r="P33" s="291" t="str">
        <f>IF('Age-Level'!K21="C","E","")</f>
        <v/>
      </c>
      <c r="Q33" s="292"/>
      <c r="R33" s="291" t="str">
        <f>IF('Age-Level'!L21="C","E","")</f>
        <v/>
      </c>
      <c r="S33" s="292"/>
      <c r="T33" s="291" t="str">
        <f>IF('Age-Level'!M21="C","E","")</f>
        <v/>
      </c>
      <c r="U33" s="292"/>
      <c r="V33" s="291" t="str">
        <f>IF('Age-Level'!N21="C","E","")</f>
        <v/>
      </c>
      <c r="W33" s="292"/>
      <c r="X33" s="291" t="str">
        <f>IF('Age-Level'!O21="C","E","")</f>
        <v/>
      </c>
      <c r="Y33" s="292"/>
      <c r="Z33" s="291" t="str">
        <f>IF('Age-Level'!P21="C","E","")</f>
        <v/>
      </c>
      <c r="AA33" s="292"/>
      <c r="AB33" s="291" t="str">
        <f>IF('Age-Level'!Q21="C","E","")</f>
        <v/>
      </c>
      <c r="AC33" s="292"/>
      <c r="AD33" s="291" t="str">
        <f>IF('Age-Level'!R21="C","E","")</f>
        <v/>
      </c>
      <c r="AE33" s="293"/>
    </row>
    <row r="34" spans="1:31" x14ac:dyDescent="0.2">
      <c r="A34" s="295" t="str">
        <f>'Age-Level'!C23</f>
        <v>Cookie Rally (Year 1)</v>
      </c>
      <c r="B34" s="291" t="str">
        <f>IF('Age-Level'!D23="A","E","")</f>
        <v/>
      </c>
      <c r="C34" s="292"/>
      <c r="D34" s="291" t="str">
        <f>IF('Age-Level'!E23="A","E","")</f>
        <v/>
      </c>
      <c r="E34" s="292"/>
      <c r="F34" s="291" t="str">
        <f>IF('Age-Level'!F23="A","E","")</f>
        <v/>
      </c>
      <c r="G34" s="292"/>
      <c r="H34" s="291" t="str">
        <f>IF('Age-Level'!G23="A","E","")</f>
        <v/>
      </c>
      <c r="I34" s="292"/>
      <c r="J34" s="291" t="str">
        <f>IF('Age-Level'!H23="A","E","")</f>
        <v/>
      </c>
      <c r="K34" s="292"/>
      <c r="L34" s="291" t="str">
        <f>IF('Age-Level'!I23="A","E","")</f>
        <v/>
      </c>
      <c r="M34" s="292"/>
      <c r="N34" s="291" t="str">
        <f>IF('Age-Level'!J23="A","E","")</f>
        <v/>
      </c>
      <c r="O34" s="292"/>
      <c r="P34" s="291" t="str">
        <f>IF('Age-Level'!K23="A","E","")</f>
        <v/>
      </c>
      <c r="Q34" s="292"/>
      <c r="R34" s="291" t="str">
        <f>IF('Age-Level'!L23="A","E","")</f>
        <v/>
      </c>
      <c r="S34" s="292"/>
      <c r="T34" s="291" t="str">
        <f>IF('Age-Level'!M23="A","E","")</f>
        <v/>
      </c>
      <c r="U34" s="292"/>
      <c r="V34" s="291" t="str">
        <f>IF('Age-Level'!N23="A","E","")</f>
        <v/>
      </c>
      <c r="W34" s="292"/>
      <c r="X34" s="291" t="str">
        <f>IF('Age-Level'!O23="A","E","")</f>
        <v/>
      </c>
      <c r="Y34" s="292"/>
      <c r="Z34" s="291" t="str">
        <f>IF('Age-Level'!P23="A","E","")</f>
        <v/>
      </c>
      <c r="AA34" s="292"/>
      <c r="AB34" s="291" t="str">
        <f>IF('Age-Level'!Q23="A","E","")</f>
        <v/>
      </c>
      <c r="AC34" s="292"/>
      <c r="AD34" s="291" t="str">
        <f>IF('Age-Level'!R23="A","E","")</f>
        <v/>
      </c>
      <c r="AE34" s="293"/>
    </row>
    <row r="35" spans="1:31" x14ac:dyDescent="0.2">
      <c r="A35" s="295" t="str">
        <f>'Age-Level'!C24</f>
        <v>Cookie Sales (Year 1)</v>
      </c>
      <c r="B35" s="291" t="str">
        <f>IF('Age-Level'!D24="A","E","")</f>
        <v/>
      </c>
      <c r="C35" s="292"/>
      <c r="D35" s="291" t="str">
        <f>IF('Age-Level'!E24="A","E","")</f>
        <v/>
      </c>
      <c r="E35" s="292"/>
      <c r="F35" s="291" t="str">
        <f>IF('Age-Level'!F24="A","E","")</f>
        <v/>
      </c>
      <c r="G35" s="292"/>
      <c r="H35" s="291" t="str">
        <f>IF('Age-Level'!G24="A","E","")</f>
        <v/>
      </c>
      <c r="I35" s="292"/>
      <c r="J35" s="291" t="str">
        <f>IF('Age-Level'!H24="A","E","")</f>
        <v/>
      </c>
      <c r="K35" s="292"/>
      <c r="L35" s="291" t="str">
        <f>IF('Age-Level'!I24="A","E","")</f>
        <v/>
      </c>
      <c r="M35" s="292"/>
      <c r="N35" s="291" t="str">
        <f>IF('Age-Level'!J24="A","E","")</f>
        <v/>
      </c>
      <c r="O35" s="292"/>
      <c r="P35" s="291" t="str">
        <f>IF('Age-Level'!K24="A","E","")</f>
        <v/>
      </c>
      <c r="Q35" s="292"/>
      <c r="R35" s="291" t="str">
        <f>IF('Age-Level'!L24="A","E","")</f>
        <v/>
      </c>
      <c r="S35" s="292"/>
      <c r="T35" s="291" t="str">
        <f>IF('Age-Level'!M24="A","E","")</f>
        <v/>
      </c>
      <c r="U35" s="292"/>
      <c r="V35" s="291" t="str">
        <f>IF('Age-Level'!N24="A","E","")</f>
        <v/>
      </c>
      <c r="W35" s="292"/>
      <c r="X35" s="291" t="str">
        <f>IF('Age-Level'!O24="A","E","")</f>
        <v/>
      </c>
      <c r="Y35" s="292"/>
      <c r="Z35" s="291" t="str">
        <f>IF('Age-Level'!P24="A","E","")</f>
        <v/>
      </c>
      <c r="AA35" s="292"/>
      <c r="AB35" s="291" t="str">
        <f>IF('Age-Level'!Q24="A","E","")</f>
        <v/>
      </c>
      <c r="AC35" s="292"/>
      <c r="AD35" s="291" t="str">
        <f>IF('Age-Level'!R24="A","E","")</f>
        <v/>
      </c>
      <c r="AE35" s="293"/>
    </row>
    <row r="36" spans="1:31" x14ac:dyDescent="0.2">
      <c r="A36" s="295" t="str">
        <f>'Age-Level'!C25</f>
        <v>Cookie Pin (Year 1)</v>
      </c>
      <c r="B36" s="291" t="str">
        <f>IF('Age-Level'!D25="A","E","")</f>
        <v/>
      </c>
      <c r="C36" s="292"/>
      <c r="D36" s="291" t="str">
        <f>IF('Age-Level'!E25="A","E","")</f>
        <v/>
      </c>
      <c r="E36" s="292"/>
      <c r="F36" s="291" t="str">
        <f>IF('Age-Level'!F25="A","E","")</f>
        <v/>
      </c>
      <c r="G36" s="292"/>
      <c r="H36" s="291" t="str">
        <f>IF('Age-Level'!G25="A","E","")</f>
        <v/>
      </c>
      <c r="I36" s="292"/>
      <c r="J36" s="291" t="str">
        <f>IF('Age-Level'!H25="A","E","")</f>
        <v/>
      </c>
      <c r="K36" s="292"/>
      <c r="L36" s="291" t="str">
        <f>IF('Age-Level'!I25="A","E","")</f>
        <v/>
      </c>
      <c r="M36" s="292"/>
      <c r="N36" s="291" t="str">
        <f>IF('Age-Level'!J25="A","E","")</f>
        <v/>
      </c>
      <c r="O36" s="292"/>
      <c r="P36" s="291" t="str">
        <f>IF('Age-Level'!K25="A","E","")</f>
        <v/>
      </c>
      <c r="Q36" s="292"/>
      <c r="R36" s="291" t="str">
        <f>IF('Age-Level'!L25="A","E","")</f>
        <v/>
      </c>
      <c r="S36" s="292"/>
      <c r="T36" s="291" t="str">
        <f>IF('Age-Level'!M25="A","E","")</f>
        <v/>
      </c>
      <c r="U36" s="292"/>
      <c r="V36" s="291" t="str">
        <f>IF('Age-Level'!N25="A","E","")</f>
        <v/>
      </c>
      <c r="W36" s="292"/>
      <c r="X36" s="291" t="str">
        <f>IF('Age-Level'!O25="A","E","")</f>
        <v/>
      </c>
      <c r="Y36" s="292"/>
      <c r="Z36" s="291" t="str">
        <f>IF('Age-Level'!P25="A","E","")</f>
        <v/>
      </c>
      <c r="AA36" s="292"/>
      <c r="AB36" s="291" t="str">
        <f>IF('Age-Level'!Q25="A","E","")</f>
        <v/>
      </c>
      <c r="AC36" s="292"/>
      <c r="AD36" s="291" t="str">
        <f>IF('Age-Level'!R25="A","E","")</f>
        <v/>
      </c>
      <c r="AE36" s="293"/>
    </row>
    <row r="37" spans="1:31" x14ac:dyDescent="0.2">
      <c r="A37" s="295" t="str">
        <f>'Age-Level'!C26</f>
        <v>Cookie Rally (Year 2)</v>
      </c>
      <c r="B37" s="291" t="str">
        <f>IF('Age-Level'!D26="A","E","")</f>
        <v/>
      </c>
      <c r="C37" s="292"/>
      <c r="D37" s="291" t="str">
        <f>IF('Age-Level'!E26="A","E","")</f>
        <v/>
      </c>
      <c r="E37" s="292"/>
      <c r="F37" s="291" t="str">
        <f>IF('Age-Level'!F26="A","E","")</f>
        <v/>
      </c>
      <c r="G37" s="292"/>
      <c r="H37" s="291" t="str">
        <f>IF('Age-Level'!G26="A","E","")</f>
        <v/>
      </c>
      <c r="I37" s="292"/>
      <c r="J37" s="291" t="str">
        <f>IF('Age-Level'!H26="A","E","")</f>
        <v/>
      </c>
      <c r="K37" s="292"/>
      <c r="L37" s="291" t="str">
        <f>IF('Age-Level'!I26="A","E","")</f>
        <v/>
      </c>
      <c r="M37" s="292"/>
      <c r="N37" s="291" t="str">
        <f>IF('Age-Level'!J26="A","E","")</f>
        <v/>
      </c>
      <c r="O37" s="292"/>
      <c r="P37" s="291" t="str">
        <f>IF('Age-Level'!K26="A","E","")</f>
        <v/>
      </c>
      <c r="Q37" s="292"/>
      <c r="R37" s="291" t="str">
        <f>IF('Age-Level'!L26="A","E","")</f>
        <v/>
      </c>
      <c r="S37" s="292"/>
      <c r="T37" s="291" t="str">
        <f>IF('Age-Level'!M26="A","E","")</f>
        <v/>
      </c>
      <c r="U37" s="292"/>
      <c r="V37" s="291" t="str">
        <f>IF('Age-Level'!N26="A","E","")</f>
        <v/>
      </c>
      <c r="W37" s="292"/>
      <c r="X37" s="291" t="str">
        <f>IF('Age-Level'!O26="A","E","")</f>
        <v/>
      </c>
      <c r="Y37" s="292"/>
      <c r="Z37" s="291" t="str">
        <f>IF('Age-Level'!P26="A","E","")</f>
        <v/>
      </c>
      <c r="AA37" s="292"/>
      <c r="AB37" s="291" t="str">
        <f>IF('Age-Level'!Q26="A","E","")</f>
        <v/>
      </c>
      <c r="AC37" s="292"/>
      <c r="AD37" s="291" t="str">
        <f>IF('Age-Level'!R26="A","E","")</f>
        <v/>
      </c>
      <c r="AE37" s="293"/>
    </row>
    <row r="38" spans="1:31" x14ac:dyDescent="0.2">
      <c r="A38" s="295" t="str">
        <f>'Age-Level'!C27</f>
        <v>Cookie Sales (Year 2)</v>
      </c>
      <c r="B38" s="291" t="str">
        <f>IF('Age-Level'!D27="A","E","")</f>
        <v/>
      </c>
      <c r="C38" s="292"/>
      <c r="D38" s="291" t="str">
        <f>IF('Age-Level'!E27="A","E","")</f>
        <v/>
      </c>
      <c r="E38" s="292"/>
      <c r="F38" s="291" t="str">
        <f>IF('Age-Level'!F27="A","E","")</f>
        <v/>
      </c>
      <c r="G38" s="292"/>
      <c r="H38" s="291" t="str">
        <f>IF('Age-Level'!G27="A","E","")</f>
        <v/>
      </c>
      <c r="I38" s="292"/>
      <c r="J38" s="291" t="str">
        <f>IF('Age-Level'!H27="A","E","")</f>
        <v/>
      </c>
      <c r="K38" s="292"/>
      <c r="L38" s="291" t="str">
        <f>IF('Age-Level'!I27="A","E","")</f>
        <v/>
      </c>
      <c r="M38" s="292"/>
      <c r="N38" s="291" t="str">
        <f>IF('Age-Level'!J27="A","E","")</f>
        <v/>
      </c>
      <c r="O38" s="292"/>
      <c r="P38" s="291" t="str">
        <f>IF('Age-Level'!K27="A","E","")</f>
        <v/>
      </c>
      <c r="Q38" s="292"/>
      <c r="R38" s="291" t="str">
        <f>IF('Age-Level'!L27="A","E","")</f>
        <v/>
      </c>
      <c r="S38" s="292"/>
      <c r="T38" s="291" t="str">
        <f>IF('Age-Level'!M27="A","E","")</f>
        <v/>
      </c>
      <c r="U38" s="292"/>
      <c r="V38" s="291" t="str">
        <f>IF('Age-Level'!N27="A","E","")</f>
        <v/>
      </c>
      <c r="W38" s="292"/>
      <c r="X38" s="291" t="str">
        <f>IF('Age-Level'!O27="A","E","")</f>
        <v/>
      </c>
      <c r="Y38" s="292"/>
      <c r="Z38" s="291" t="str">
        <f>IF('Age-Level'!P27="A","E","")</f>
        <v/>
      </c>
      <c r="AA38" s="292"/>
      <c r="AB38" s="291" t="str">
        <f>IF('Age-Level'!Q27="A","E","")</f>
        <v/>
      </c>
      <c r="AC38" s="292"/>
      <c r="AD38" s="291" t="str">
        <f>IF('Age-Level'!R27="A","E","")</f>
        <v/>
      </c>
      <c r="AE38" s="293"/>
    </row>
    <row r="39" spans="1:31" x14ac:dyDescent="0.2">
      <c r="A39" s="295" t="str">
        <f>'Age-Level'!C28</f>
        <v>Cookie Pin (Year 2)</v>
      </c>
      <c r="B39" s="291" t="str">
        <f>IF('Age-Level'!D28="A","E","")</f>
        <v/>
      </c>
      <c r="C39" s="292"/>
      <c r="D39" s="291" t="str">
        <f>IF('Age-Level'!E28="A","E","")</f>
        <v/>
      </c>
      <c r="E39" s="292"/>
      <c r="F39" s="291" t="str">
        <f>IF('Age-Level'!F28="A","E","")</f>
        <v/>
      </c>
      <c r="G39" s="292"/>
      <c r="H39" s="291" t="str">
        <f>IF('Age-Level'!G28="A","E","")</f>
        <v/>
      </c>
      <c r="I39" s="292"/>
      <c r="J39" s="291" t="str">
        <f>IF('Age-Level'!H28="A","E","")</f>
        <v/>
      </c>
      <c r="K39" s="292"/>
      <c r="L39" s="291" t="str">
        <f>IF('Age-Level'!I28="A","E","")</f>
        <v/>
      </c>
      <c r="M39" s="292"/>
      <c r="N39" s="291" t="str">
        <f>IF('Age-Level'!J28="A","E","")</f>
        <v/>
      </c>
      <c r="O39" s="292"/>
      <c r="P39" s="291" t="str">
        <f>IF('Age-Level'!K28="A","E","")</f>
        <v/>
      </c>
      <c r="Q39" s="292"/>
      <c r="R39" s="291" t="str">
        <f>IF('Age-Level'!L28="A","E","")</f>
        <v/>
      </c>
      <c r="S39" s="292"/>
      <c r="T39" s="291" t="str">
        <f>IF('Age-Level'!M28="A","E","")</f>
        <v/>
      </c>
      <c r="U39" s="292"/>
      <c r="V39" s="291" t="str">
        <f>IF('Age-Level'!N28="A","E","")</f>
        <v/>
      </c>
      <c r="W39" s="292"/>
      <c r="X39" s="291" t="str">
        <f>IF('Age-Level'!O28="A","E","")</f>
        <v/>
      </c>
      <c r="Y39" s="292"/>
      <c r="Z39" s="291" t="str">
        <f>IF('Age-Level'!P28="A","E","")</f>
        <v/>
      </c>
      <c r="AA39" s="292"/>
      <c r="AB39" s="291" t="str">
        <f>IF('Age-Level'!Q28="A","E","")</f>
        <v/>
      </c>
      <c r="AC39" s="292"/>
      <c r="AD39" s="291" t="str">
        <f>IF('Age-Level'!R28="A","E","")</f>
        <v/>
      </c>
      <c r="AE39" s="293"/>
    </row>
    <row r="40" spans="1:31" x14ac:dyDescent="0.2">
      <c r="A40" s="295" t="str">
        <f>'Age-Level'!C30</f>
        <v>Fall Sales (Year 1)</v>
      </c>
      <c r="B40" s="291" t="str">
        <f>IF('Age-Level'!D30="A","E","")</f>
        <v/>
      </c>
      <c r="C40" s="292"/>
      <c r="D40" s="291" t="str">
        <f>IF('Age-Level'!E30="A","E","")</f>
        <v/>
      </c>
      <c r="E40" s="292"/>
      <c r="F40" s="291" t="str">
        <f>IF('Age-Level'!F30="A","E","")</f>
        <v/>
      </c>
      <c r="G40" s="292"/>
      <c r="H40" s="291" t="str">
        <f>IF('Age-Level'!G30="A","E","")</f>
        <v/>
      </c>
      <c r="I40" s="292"/>
      <c r="J40" s="291" t="str">
        <f>IF('Age-Level'!H30="A","E","")</f>
        <v/>
      </c>
      <c r="K40" s="292"/>
      <c r="L40" s="291" t="str">
        <f>IF('Age-Level'!I30="A","E","")</f>
        <v/>
      </c>
      <c r="M40" s="292"/>
      <c r="N40" s="291" t="str">
        <f>IF('Age-Level'!J30="A","E","")</f>
        <v/>
      </c>
      <c r="O40" s="292"/>
      <c r="P40" s="291" t="str">
        <f>IF('Age-Level'!K30="A","E","")</f>
        <v/>
      </c>
      <c r="Q40" s="292"/>
      <c r="R40" s="291" t="str">
        <f>IF('Age-Level'!L30="A","E","")</f>
        <v/>
      </c>
      <c r="S40" s="292"/>
      <c r="T40" s="291" t="str">
        <f>IF('Age-Level'!M30="A","E","")</f>
        <v/>
      </c>
      <c r="U40" s="292"/>
      <c r="V40" s="291" t="str">
        <f>IF('Age-Level'!N30="A","E","")</f>
        <v/>
      </c>
      <c r="W40" s="292"/>
      <c r="X40" s="291" t="str">
        <f>IF('Age-Level'!O30="A","E","")</f>
        <v/>
      </c>
      <c r="Y40" s="292"/>
      <c r="Z40" s="291" t="str">
        <f>IF('Age-Level'!P30="A","E","")</f>
        <v/>
      </c>
      <c r="AA40" s="292"/>
      <c r="AB40" s="291" t="str">
        <f>IF('Age-Level'!Q30="A","E","")</f>
        <v/>
      </c>
      <c r="AC40" s="292"/>
      <c r="AD40" s="291" t="str">
        <f>IF('Age-Level'!R30="A","E","")</f>
        <v/>
      </c>
      <c r="AE40" s="293"/>
    </row>
    <row r="41" spans="1:31" x14ac:dyDescent="0.2">
      <c r="A41" s="295" t="str">
        <f>'Age-Level'!C31</f>
        <v>Fall Sales (Year 2)</v>
      </c>
      <c r="B41" s="291" t="str">
        <f>IF('Age-Level'!D31="A","E","")</f>
        <v/>
      </c>
      <c r="C41" s="292"/>
      <c r="D41" s="291" t="str">
        <f>IF('Age-Level'!E31="A","E","")</f>
        <v/>
      </c>
      <c r="E41" s="292"/>
      <c r="F41" s="291" t="str">
        <f>IF('Age-Level'!F31="A","E","")</f>
        <v/>
      </c>
      <c r="G41" s="292"/>
      <c r="H41" s="291" t="str">
        <f>IF('Age-Level'!G31="A","E","")</f>
        <v/>
      </c>
      <c r="I41" s="292"/>
      <c r="J41" s="291" t="str">
        <f>IF('Age-Level'!H31="A","E","")</f>
        <v/>
      </c>
      <c r="K41" s="292"/>
      <c r="L41" s="291" t="str">
        <f>IF('Age-Level'!I31="A","E","")</f>
        <v/>
      </c>
      <c r="M41" s="292"/>
      <c r="N41" s="291" t="str">
        <f>IF('Age-Level'!J31="A","E","")</f>
        <v/>
      </c>
      <c r="O41" s="292"/>
      <c r="P41" s="291" t="str">
        <f>IF('Age-Level'!K31="A","E","")</f>
        <v/>
      </c>
      <c r="Q41" s="292"/>
      <c r="R41" s="291" t="str">
        <f>IF('Age-Level'!L31="A","E","")</f>
        <v/>
      </c>
      <c r="S41" s="292"/>
      <c r="T41" s="291" t="str">
        <f>IF('Age-Level'!M31="A","E","")</f>
        <v/>
      </c>
      <c r="U41" s="292"/>
      <c r="V41" s="291" t="str">
        <f>IF('Age-Level'!N31="A","E","")</f>
        <v/>
      </c>
      <c r="W41" s="292"/>
      <c r="X41" s="291" t="str">
        <f>IF('Age-Level'!O31="A","E","")</f>
        <v/>
      </c>
      <c r="Y41" s="292"/>
      <c r="Z41" s="291" t="str">
        <f>IF('Age-Level'!P31="A","E","")</f>
        <v/>
      </c>
      <c r="AA41" s="292"/>
      <c r="AB41" s="291" t="str">
        <f>IF('Age-Level'!Q31="A","E","")</f>
        <v/>
      </c>
      <c r="AC41" s="292"/>
      <c r="AD41" s="291" t="str">
        <f>IF('Age-Level'!R31="A","E","")</f>
        <v/>
      </c>
      <c r="AE41" s="293"/>
    </row>
    <row r="42" spans="1:31" x14ac:dyDescent="0.2">
      <c r="A42" s="295" t="str">
        <f>'Age-Level'!C33</f>
        <v>Thinking Day (Year 1)</v>
      </c>
      <c r="B42" s="291" t="str">
        <f>IF('Age-Level'!D33="A","E","")</f>
        <v/>
      </c>
      <c r="C42" s="292"/>
      <c r="D42" s="291" t="str">
        <f>IF('Age-Level'!E33="A","E","")</f>
        <v/>
      </c>
      <c r="E42" s="292"/>
      <c r="F42" s="291" t="str">
        <f>IF('Age-Level'!F33="A","E","")</f>
        <v/>
      </c>
      <c r="G42" s="292"/>
      <c r="H42" s="291" t="str">
        <f>IF('Age-Level'!G33="A","E","")</f>
        <v/>
      </c>
      <c r="I42" s="292"/>
      <c r="J42" s="291" t="str">
        <f>IF('Age-Level'!H33="A","E","")</f>
        <v/>
      </c>
      <c r="K42" s="292"/>
      <c r="L42" s="291" t="str">
        <f>IF('Age-Level'!I33="A","E","")</f>
        <v/>
      </c>
      <c r="M42" s="292"/>
      <c r="N42" s="291" t="str">
        <f>IF('Age-Level'!J33="A","E","")</f>
        <v/>
      </c>
      <c r="O42" s="292"/>
      <c r="P42" s="291" t="str">
        <f>IF('Age-Level'!K33="A","E","")</f>
        <v/>
      </c>
      <c r="Q42" s="292"/>
      <c r="R42" s="291" t="str">
        <f>IF('Age-Level'!L33="A","E","")</f>
        <v/>
      </c>
      <c r="S42" s="292"/>
      <c r="T42" s="291" t="str">
        <f>IF('Age-Level'!M33="A","E","")</f>
        <v/>
      </c>
      <c r="U42" s="292"/>
      <c r="V42" s="291" t="str">
        <f>IF('Age-Level'!N33="A","E","")</f>
        <v/>
      </c>
      <c r="W42" s="292"/>
      <c r="X42" s="291" t="str">
        <f>IF('Age-Level'!O33="A","E","")</f>
        <v/>
      </c>
      <c r="Y42" s="292"/>
      <c r="Z42" s="291" t="str">
        <f>IF('Age-Level'!P33="A","E","")</f>
        <v/>
      </c>
      <c r="AA42" s="292"/>
      <c r="AB42" s="291" t="str">
        <f>IF('Age-Level'!Q33="A","E","")</f>
        <v/>
      </c>
      <c r="AC42" s="292"/>
      <c r="AD42" s="291" t="str">
        <f>IF('Age-Level'!R33="A","E","")</f>
        <v/>
      </c>
      <c r="AE42" s="293"/>
    </row>
    <row r="43" spans="1:31" x14ac:dyDescent="0.2">
      <c r="A43" s="295" t="str">
        <f>'Age-Level'!C34</f>
        <v>Thinking Day (Year 2)</v>
      </c>
      <c r="B43" s="291" t="str">
        <f>IF('Age-Level'!D34="A","E","")</f>
        <v/>
      </c>
      <c r="C43" s="292"/>
      <c r="D43" s="291" t="str">
        <f>IF('Age-Level'!E34="A","E","")</f>
        <v/>
      </c>
      <c r="E43" s="292"/>
      <c r="F43" s="291" t="str">
        <f>IF('Age-Level'!F34="A","E","")</f>
        <v/>
      </c>
      <c r="G43" s="292"/>
      <c r="H43" s="291" t="str">
        <f>IF('Age-Level'!G34="A","E","")</f>
        <v/>
      </c>
      <c r="I43" s="292"/>
      <c r="J43" s="291" t="str">
        <f>IF('Age-Level'!H34="A","E","")</f>
        <v/>
      </c>
      <c r="K43" s="292"/>
      <c r="L43" s="291" t="str">
        <f>IF('Age-Level'!I34="A","E","")</f>
        <v/>
      </c>
      <c r="M43" s="292"/>
      <c r="N43" s="291" t="str">
        <f>IF('Age-Level'!J34="A","E","")</f>
        <v/>
      </c>
      <c r="O43" s="292"/>
      <c r="P43" s="291" t="str">
        <f>IF('Age-Level'!K34="A","E","")</f>
        <v/>
      </c>
      <c r="Q43" s="292"/>
      <c r="R43" s="291" t="str">
        <f>IF('Age-Level'!L34="A","E","")</f>
        <v/>
      </c>
      <c r="S43" s="292"/>
      <c r="T43" s="291" t="str">
        <f>IF('Age-Level'!M34="A","E","")</f>
        <v/>
      </c>
      <c r="U43" s="292"/>
      <c r="V43" s="291" t="str">
        <f>IF('Age-Level'!N34="A","E","")</f>
        <v/>
      </c>
      <c r="W43" s="292"/>
      <c r="X43" s="291" t="str">
        <f>IF('Age-Level'!O34="A","E","")</f>
        <v/>
      </c>
      <c r="Y43" s="292"/>
      <c r="Z43" s="291" t="str">
        <f>IF('Age-Level'!P34="A","E","")</f>
        <v/>
      </c>
      <c r="AA43" s="292"/>
      <c r="AB43" s="291" t="str">
        <f>IF('Age-Level'!Q34="A","E","")</f>
        <v/>
      </c>
      <c r="AC43" s="292"/>
      <c r="AD43" s="291" t="str">
        <f>IF('Age-Level'!R34="A","E","")</f>
        <v/>
      </c>
      <c r="AE43" s="293"/>
    </row>
    <row r="44" spans="1:31" x14ac:dyDescent="0.2">
      <c r="A44" s="295" t="str">
        <f>'Age-Level'!C36</f>
        <v>Global Action Award</v>
      </c>
      <c r="B44" s="291" t="str">
        <f>IF('Age-Level'!D36="A","E","")</f>
        <v/>
      </c>
      <c r="C44" s="296"/>
      <c r="D44" s="291" t="str">
        <f>IF('Age-Level'!E36="A","E","")</f>
        <v/>
      </c>
      <c r="E44" s="296"/>
      <c r="F44" s="291" t="str">
        <f>IF('Age-Level'!F36="A","E","")</f>
        <v/>
      </c>
      <c r="G44" s="296"/>
      <c r="H44" s="291" t="str">
        <f>IF('Age-Level'!G36="A","E","")</f>
        <v/>
      </c>
      <c r="I44" s="296"/>
      <c r="J44" s="291" t="str">
        <f>IF('Age-Level'!H36="A","E","")</f>
        <v/>
      </c>
      <c r="K44" s="296"/>
      <c r="L44" s="291" t="str">
        <f>IF('Age-Level'!I36="A","E","")</f>
        <v/>
      </c>
      <c r="M44" s="296"/>
      <c r="N44" s="291" t="str">
        <f>IF('Age-Level'!J36="A","E","")</f>
        <v/>
      </c>
      <c r="O44" s="296"/>
      <c r="P44" s="291" t="str">
        <f>IF('Age-Level'!K36="A","E","")</f>
        <v/>
      </c>
      <c r="Q44" s="296"/>
      <c r="R44" s="291" t="str">
        <f>IF('Age-Level'!L36="A","E","")</f>
        <v/>
      </c>
      <c r="S44" s="296"/>
      <c r="T44" s="291" t="str">
        <f>IF('Age-Level'!M36="A","E","")</f>
        <v/>
      </c>
      <c r="U44" s="296"/>
      <c r="V44" s="291" t="str">
        <f>IF('Age-Level'!N36="A","E","")</f>
        <v/>
      </c>
      <c r="W44" s="296"/>
      <c r="X44" s="291" t="str">
        <f>IF('Age-Level'!O36="A","E","")</f>
        <v/>
      </c>
      <c r="Y44" s="296"/>
      <c r="Z44" s="291" t="str">
        <f>IF('Age-Level'!P36="A","E","")</f>
        <v/>
      </c>
      <c r="AA44" s="296"/>
      <c r="AB44" s="291" t="str">
        <f>IF('Age-Level'!Q36="A","E","")</f>
        <v/>
      </c>
      <c r="AC44" s="296"/>
      <c r="AD44" s="291" t="str">
        <f>IF('Age-Level'!R36="A","E","")</f>
        <v/>
      </c>
      <c r="AE44" s="297"/>
    </row>
    <row r="45" spans="1:31" x14ac:dyDescent="0.2">
      <c r="A45" s="295" t="str">
        <f>'Age-Level'!C38</f>
        <v>International Friendship Recognition</v>
      </c>
      <c r="B45" s="291" t="str">
        <f>IF('Age-Level'!D38="A","E","")</f>
        <v/>
      </c>
      <c r="C45" s="296"/>
      <c r="D45" s="291" t="str">
        <f>IF('Age-Level'!E38="A","E","")</f>
        <v/>
      </c>
      <c r="E45" s="296"/>
      <c r="F45" s="291" t="str">
        <f>IF('Age-Level'!F38="A","E","")</f>
        <v/>
      </c>
      <c r="G45" s="296"/>
      <c r="H45" s="291" t="str">
        <f>IF('Age-Level'!G38="A","E","")</f>
        <v/>
      </c>
      <c r="I45" s="296"/>
      <c r="J45" s="291" t="str">
        <f>IF('Age-Level'!H38="A","E","")</f>
        <v/>
      </c>
      <c r="K45" s="296"/>
      <c r="L45" s="291" t="str">
        <f>IF('Age-Level'!I38="A","E","")</f>
        <v/>
      </c>
      <c r="M45" s="296"/>
      <c r="N45" s="291" t="str">
        <f>IF('Age-Level'!J38="A","E","")</f>
        <v/>
      </c>
      <c r="O45" s="296"/>
      <c r="P45" s="291" t="str">
        <f>IF('Age-Level'!K38="A","E","")</f>
        <v/>
      </c>
      <c r="Q45" s="296"/>
      <c r="R45" s="291" t="str">
        <f>IF('Age-Level'!L38="A","E","")</f>
        <v/>
      </c>
      <c r="S45" s="296"/>
      <c r="T45" s="291" t="str">
        <f>IF('Age-Level'!M38="A","E","")</f>
        <v/>
      </c>
      <c r="U45" s="296"/>
      <c r="V45" s="291" t="str">
        <f>IF('Age-Level'!N38="A","E","")</f>
        <v/>
      </c>
      <c r="W45" s="296"/>
      <c r="X45" s="291" t="str">
        <f>IF('Age-Level'!O38="A","E","")</f>
        <v/>
      </c>
      <c r="Y45" s="296"/>
      <c r="Z45" s="291" t="str">
        <f>IF('Age-Level'!P38="A","E","")</f>
        <v/>
      </c>
      <c r="AA45" s="296"/>
      <c r="AB45" s="291" t="str">
        <f>IF('Age-Level'!Q38="A","E","")</f>
        <v/>
      </c>
      <c r="AC45" s="296"/>
      <c r="AD45" s="291" t="str">
        <f>IF('Age-Level'!R38="A","E","")</f>
        <v/>
      </c>
      <c r="AE45" s="297"/>
    </row>
    <row r="46" spans="1:31" x14ac:dyDescent="0.2">
      <c r="A46" s="295" t="str">
        <f>'Age-Level'!C40</f>
        <v>Investiture</v>
      </c>
      <c r="B46" s="291" t="str">
        <f>IF('Age-Level'!D40="A","E","")</f>
        <v/>
      </c>
      <c r="C46" s="296"/>
      <c r="D46" s="291" t="str">
        <f>IF('Age-Level'!E40="A","E","")</f>
        <v/>
      </c>
      <c r="E46" s="296"/>
      <c r="F46" s="291" t="str">
        <f>IF('Age-Level'!F40="A","E","")</f>
        <v/>
      </c>
      <c r="G46" s="296"/>
      <c r="H46" s="291" t="str">
        <f>IF('Age-Level'!G40="A","E","")</f>
        <v/>
      </c>
      <c r="I46" s="296"/>
      <c r="J46" s="291" t="str">
        <f>IF('Age-Level'!H40="A","E","")</f>
        <v/>
      </c>
      <c r="K46" s="296"/>
      <c r="L46" s="291" t="str">
        <f>IF('Age-Level'!I40="A","E","")</f>
        <v/>
      </c>
      <c r="M46" s="296"/>
      <c r="N46" s="291" t="str">
        <f>IF('Age-Level'!J40="A","E","")</f>
        <v/>
      </c>
      <c r="O46" s="296"/>
      <c r="P46" s="291" t="str">
        <f>IF('Age-Level'!K40="A","E","")</f>
        <v/>
      </c>
      <c r="Q46" s="296"/>
      <c r="R46" s="291" t="str">
        <f>IF('Age-Level'!L40="A","E","")</f>
        <v/>
      </c>
      <c r="S46" s="296"/>
      <c r="T46" s="291" t="str">
        <f>IF('Age-Level'!M40="A","E","")</f>
        <v/>
      </c>
      <c r="U46" s="296"/>
      <c r="V46" s="291" t="str">
        <f>IF('Age-Level'!N40="A","E","")</f>
        <v/>
      </c>
      <c r="W46" s="296"/>
      <c r="X46" s="291" t="str">
        <f>IF('Age-Level'!O40="A","E","")</f>
        <v/>
      </c>
      <c r="Y46" s="296"/>
      <c r="Z46" s="291" t="str">
        <f>IF('Age-Level'!P40="A","E","")</f>
        <v/>
      </c>
      <c r="AA46" s="296"/>
      <c r="AB46" s="291" t="str">
        <f>IF('Age-Level'!Q40="A","E","")</f>
        <v/>
      </c>
      <c r="AC46" s="296"/>
      <c r="AD46" s="291" t="str">
        <f>IF('Age-Level'!R40="A","E","")</f>
        <v/>
      </c>
      <c r="AE46" s="297"/>
    </row>
    <row r="47" spans="1:31" x14ac:dyDescent="0.2">
      <c r="A47" s="295" t="str">
        <f>'Age-Level'!C41</f>
        <v>Rededication (1st year)</v>
      </c>
      <c r="B47" s="291" t="str">
        <f>IF('Age-Level'!D41="A","E","")</f>
        <v/>
      </c>
      <c r="C47" s="296"/>
      <c r="D47" s="291" t="str">
        <f>IF('Age-Level'!E41="A","E","")</f>
        <v/>
      </c>
      <c r="E47" s="296"/>
      <c r="F47" s="291" t="str">
        <f>IF('Age-Level'!F41="A","E","")</f>
        <v/>
      </c>
      <c r="G47" s="296"/>
      <c r="H47" s="291" t="str">
        <f>IF('Age-Level'!G41="A","E","")</f>
        <v/>
      </c>
      <c r="I47" s="296"/>
      <c r="J47" s="291" t="str">
        <f>IF('Age-Level'!H41="A","E","")</f>
        <v/>
      </c>
      <c r="K47" s="296"/>
      <c r="L47" s="291" t="str">
        <f>IF('Age-Level'!I41="A","E","")</f>
        <v/>
      </c>
      <c r="M47" s="296"/>
      <c r="N47" s="291" t="str">
        <f>IF('Age-Level'!J41="A","E","")</f>
        <v/>
      </c>
      <c r="O47" s="296"/>
      <c r="P47" s="291" t="str">
        <f>IF('Age-Level'!K41="A","E","")</f>
        <v/>
      </c>
      <c r="Q47" s="296"/>
      <c r="R47" s="291" t="str">
        <f>IF('Age-Level'!L41="A","E","")</f>
        <v/>
      </c>
      <c r="S47" s="296"/>
      <c r="T47" s="291" t="str">
        <f>IF('Age-Level'!M41="A","E","")</f>
        <v/>
      </c>
      <c r="U47" s="296"/>
      <c r="V47" s="291" t="str">
        <f>IF('Age-Level'!N41="A","E","")</f>
        <v/>
      </c>
      <c r="W47" s="296"/>
      <c r="X47" s="291" t="str">
        <f>IF('Age-Level'!O41="A","E","")</f>
        <v/>
      </c>
      <c r="Y47" s="296"/>
      <c r="Z47" s="291" t="str">
        <f>IF('Age-Level'!P41="A","E","")</f>
        <v/>
      </c>
      <c r="AA47" s="296"/>
      <c r="AB47" s="291" t="str">
        <f>IF('Age-Level'!Q41="A","E","")</f>
        <v/>
      </c>
      <c r="AC47" s="296"/>
      <c r="AD47" s="291" t="str">
        <f>IF('Age-Level'!R41="A","E","")</f>
        <v/>
      </c>
      <c r="AE47" s="297"/>
    </row>
    <row r="48" spans="1:31" x14ac:dyDescent="0.2">
      <c r="A48" s="295" t="str">
        <f>'Age-Level'!C42</f>
        <v>Rededication (2nd year)</v>
      </c>
      <c r="B48" s="291" t="str">
        <f>IF('Age-Level'!D42="A","E","")</f>
        <v/>
      </c>
      <c r="C48" s="296"/>
      <c r="D48" s="291" t="str">
        <f>IF('Age-Level'!E42="A","E","")</f>
        <v/>
      </c>
      <c r="E48" s="296"/>
      <c r="F48" s="291" t="str">
        <f>IF('Age-Level'!F42="A","E","")</f>
        <v/>
      </c>
      <c r="G48" s="296"/>
      <c r="H48" s="291" t="str">
        <f>IF('Age-Level'!G42="A","E","")</f>
        <v/>
      </c>
      <c r="I48" s="296"/>
      <c r="J48" s="291" t="str">
        <f>IF('Age-Level'!H42="A","E","")</f>
        <v/>
      </c>
      <c r="K48" s="296"/>
      <c r="L48" s="291" t="str">
        <f>IF('Age-Level'!I42="A","E","")</f>
        <v/>
      </c>
      <c r="M48" s="296"/>
      <c r="N48" s="291" t="str">
        <f>IF('Age-Level'!J42="A","E","")</f>
        <v/>
      </c>
      <c r="O48" s="296"/>
      <c r="P48" s="291" t="str">
        <f>IF('Age-Level'!K42="A","E","")</f>
        <v/>
      </c>
      <c r="Q48" s="296"/>
      <c r="R48" s="291" t="str">
        <f>IF('Age-Level'!L42="A","E","")</f>
        <v/>
      </c>
      <c r="S48" s="296"/>
      <c r="T48" s="291" t="str">
        <f>IF('Age-Level'!M42="A","E","")</f>
        <v/>
      </c>
      <c r="U48" s="296"/>
      <c r="V48" s="291" t="str">
        <f>IF('Age-Level'!N42="A","E","")</f>
        <v/>
      </c>
      <c r="W48" s="296"/>
      <c r="X48" s="291" t="str">
        <f>IF('Age-Level'!O42="A","E","")</f>
        <v/>
      </c>
      <c r="Y48" s="296"/>
      <c r="Z48" s="291" t="str">
        <f>IF('Age-Level'!P42="A","E","")</f>
        <v/>
      </c>
      <c r="AA48" s="296"/>
      <c r="AB48" s="291" t="str">
        <f>IF('Age-Level'!Q42="A","E","")</f>
        <v/>
      </c>
      <c r="AC48" s="296"/>
      <c r="AD48" s="291" t="str">
        <f>IF('Age-Level'!R42="A","E","")</f>
        <v/>
      </c>
      <c r="AE48" s="297"/>
    </row>
    <row r="49" spans="1:31" x14ac:dyDescent="0.2">
      <c r="A49" s="295" t="str">
        <f>'Age-Level'!B43</f>
        <v>My Promise, My Faith (Year 1)</v>
      </c>
      <c r="B49" s="291" t="str">
        <f>IF('Age-Level'!D49="A","E","")</f>
        <v/>
      </c>
      <c r="C49" s="296"/>
      <c r="D49" s="291" t="str">
        <f>IF('Age-Level'!E49="A","E","")</f>
        <v/>
      </c>
      <c r="E49" s="296"/>
      <c r="F49" s="291" t="str">
        <f>IF('Age-Level'!F49="A","E","")</f>
        <v/>
      </c>
      <c r="G49" s="296"/>
      <c r="H49" s="291" t="str">
        <f>IF('Age-Level'!G49="A","E","")</f>
        <v/>
      </c>
      <c r="I49" s="296"/>
      <c r="J49" s="291" t="str">
        <f>IF('Age-Level'!H49="A","E","")</f>
        <v/>
      </c>
      <c r="K49" s="296"/>
      <c r="L49" s="291" t="str">
        <f>IF('Age-Level'!I49="A","E","")</f>
        <v/>
      </c>
      <c r="M49" s="296"/>
      <c r="N49" s="291" t="str">
        <f>IF('Age-Level'!J49="A","E","")</f>
        <v/>
      </c>
      <c r="O49" s="296"/>
      <c r="P49" s="291" t="str">
        <f>IF('Age-Level'!K49="A","E","")</f>
        <v/>
      </c>
      <c r="Q49" s="296"/>
      <c r="R49" s="291" t="str">
        <f>IF('Age-Level'!L49="A","E","")</f>
        <v/>
      </c>
      <c r="S49" s="296"/>
      <c r="T49" s="291" t="str">
        <f>IF('Age-Level'!M49="A","E","")</f>
        <v/>
      </c>
      <c r="U49" s="296"/>
      <c r="V49" s="291" t="str">
        <f>IF('Age-Level'!N49="A","E","")</f>
        <v/>
      </c>
      <c r="W49" s="296"/>
      <c r="X49" s="291" t="str">
        <f>IF('Age-Level'!O49="A","E","")</f>
        <v/>
      </c>
      <c r="Y49" s="296"/>
      <c r="Z49" s="291" t="str">
        <f>IF('Age-Level'!P49="A","E","")</f>
        <v/>
      </c>
      <c r="AA49" s="296"/>
      <c r="AB49" s="291" t="str">
        <f>IF('Age-Level'!Q49="A","E","")</f>
        <v/>
      </c>
      <c r="AC49" s="296"/>
      <c r="AD49" s="291" t="str">
        <f>IF('Age-Level'!R49="A","E","")</f>
        <v/>
      </c>
      <c r="AE49" s="297"/>
    </row>
    <row r="50" spans="1:31" x14ac:dyDescent="0.2">
      <c r="A50" s="295" t="str">
        <f>'Age-Level'!B50</f>
        <v>My Promise, My Faith (Year 2)</v>
      </c>
      <c r="B50" s="291" t="str">
        <f>IF('Age-Level'!D56="A","E","")</f>
        <v/>
      </c>
      <c r="C50" s="296"/>
      <c r="D50" s="291" t="str">
        <f>IF('Age-Level'!E56="A","E","")</f>
        <v/>
      </c>
      <c r="E50" s="296"/>
      <c r="F50" s="291" t="str">
        <f>IF('Age-Level'!F56="A","E","")</f>
        <v/>
      </c>
      <c r="G50" s="296"/>
      <c r="H50" s="291" t="str">
        <f>IF('Age-Level'!G56="A","E","")</f>
        <v/>
      </c>
      <c r="I50" s="296"/>
      <c r="J50" s="291" t="str">
        <f>IF('Age-Level'!H56="A","E","")</f>
        <v/>
      </c>
      <c r="K50" s="296"/>
      <c r="L50" s="291" t="str">
        <f>IF('Age-Level'!I56="A","E","")</f>
        <v/>
      </c>
      <c r="M50" s="296"/>
      <c r="N50" s="291" t="str">
        <f>IF('Age-Level'!J56="A","E","")</f>
        <v/>
      </c>
      <c r="O50" s="296"/>
      <c r="P50" s="291" t="str">
        <f>IF('Age-Level'!K56="A","E","")</f>
        <v/>
      </c>
      <c r="Q50" s="296"/>
      <c r="R50" s="291" t="str">
        <f>IF('Age-Level'!L56="A","E","")</f>
        <v/>
      </c>
      <c r="S50" s="296"/>
      <c r="T50" s="291" t="str">
        <f>IF('Age-Level'!M56="A","E","")</f>
        <v/>
      </c>
      <c r="U50" s="296"/>
      <c r="V50" s="291" t="str">
        <f>IF('Age-Level'!N56="A","E","")</f>
        <v/>
      </c>
      <c r="W50" s="296"/>
      <c r="X50" s="291" t="str">
        <f>IF('Age-Level'!O56="A","E","")</f>
        <v/>
      </c>
      <c r="Y50" s="296"/>
      <c r="Z50" s="291" t="str">
        <f>IF('Age-Level'!P56="A","E","")</f>
        <v/>
      </c>
      <c r="AA50" s="296"/>
      <c r="AB50" s="291" t="str">
        <f>IF('Age-Level'!Q56="A","E","")</f>
        <v/>
      </c>
      <c r="AC50" s="296"/>
      <c r="AD50" s="291" t="str">
        <f>IF('Age-Level'!R56="A","E","")</f>
        <v/>
      </c>
      <c r="AE50" s="297"/>
    </row>
    <row r="51" spans="1:31" x14ac:dyDescent="0.2">
      <c r="A51" s="290" t="str">
        <f>'Age-Level'!B57</f>
        <v>Safety Award</v>
      </c>
      <c r="B51" s="291" t="str">
        <f>IF('Age-Level'!D63="A","E","")</f>
        <v/>
      </c>
      <c r="C51" s="296"/>
      <c r="D51" s="291" t="str">
        <f>IF('Age-Level'!E63="A","E","")</f>
        <v/>
      </c>
      <c r="E51" s="296"/>
      <c r="F51" s="291" t="str">
        <f>IF('Age-Level'!F63="A","E","")</f>
        <v/>
      </c>
      <c r="G51" s="296"/>
      <c r="H51" s="291" t="str">
        <f>IF('Age-Level'!G63="A","E","")</f>
        <v/>
      </c>
      <c r="I51" s="296"/>
      <c r="J51" s="291" t="str">
        <f>IF('Age-Level'!H63="A","E","")</f>
        <v/>
      </c>
      <c r="K51" s="296"/>
      <c r="L51" s="291" t="str">
        <f>IF('Age-Level'!I63="A","E","")</f>
        <v/>
      </c>
      <c r="M51" s="296"/>
      <c r="N51" s="291" t="str">
        <f>IF('Age-Level'!J63="A","E","")</f>
        <v/>
      </c>
      <c r="O51" s="296"/>
      <c r="P51" s="291" t="str">
        <f>IF('Age-Level'!K63="A","E","")</f>
        <v/>
      </c>
      <c r="Q51" s="296"/>
      <c r="R51" s="291" t="str">
        <f>IF('Age-Level'!L63="A","E","")</f>
        <v/>
      </c>
      <c r="S51" s="296"/>
      <c r="T51" s="291" t="str">
        <f>IF('Age-Level'!M63="A","E","")</f>
        <v/>
      </c>
      <c r="U51" s="296"/>
      <c r="V51" s="291" t="str">
        <f>IF('Age-Level'!N63="A","E","")</f>
        <v/>
      </c>
      <c r="W51" s="296"/>
      <c r="X51" s="291" t="str">
        <f>IF('Age-Level'!O63="A","E","")</f>
        <v/>
      </c>
      <c r="Y51" s="296"/>
      <c r="Z51" s="291" t="str">
        <f>IF('Age-Level'!P63="A","E","")</f>
        <v/>
      </c>
      <c r="AA51" s="296"/>
      <c r="AB51" s="291" t="str">
        <f>IF('Age-Level'!Q63="A","E","")</f>
        <v/>
      </c>
      <c r="AC51" s="296"/>
      <c r="AD51" s="291" t="str">
        <f>IF('Age-Level'!R63="A","E","")</f>
        <v/>
      </c>
      <c r="AE51" s="297"/>
    </row>
    <row r="52" spans="1:31" x14ac:dyDescent="0.2">
      <c r="A52" s="54" t="s">
        <v>240</v>
      </c>
      <c r="B52" s="291" t="str">
        <f>IF(Bridging!D18="C","E","")</f>
        <v/>
      </c>
      <c r="C52" s="292"/>
      <c r="D52" s="291" t="str">
        <f>IF(Bridging!E18="C","E","")</f>
        <v/>
      </c>
      <c r="E52" s="292"/>
      <c r="F52" s="291" t="str">
        <f>IF(Bridging!F18="C","E","")</f>
        <v/>
      </c>
      <c r="G52" s="292"/>
      <c r="H52" s="291" t="str">
        <f>IF(Bridging!J18="C","E","")</f>
        <v/>
      </c>
      <c r="I52" s="292"/>
      <c r="J52" s="291" t="str">
        <f>IF(Bridging!H18="C","E","")</f>
        <v/>
      </c>
      <c r="K52" s="292"/>
      <c r="L52" s="291" t="str">
        <f>IF(Bridging!I18="C","E","")</f>
        <v/>
      </c>
      <c r="M52" s="292"/>
      <c r="N52" s="291" t="str">
        <f>IF(Bridging!J18="C","E","")</f>
        <v/>
      </c>
      <c r="O52" s="292"/>
      <c r="P52" s="291" t="str">
        <f>IF(Bridging!K18="C","E","")</f>
        <v/>
      </c>
      <c r="Q52" s="292"/>
      <c r="R52" s="291" t="str">
        <f>IF(Bridging!L18="C","E","")</f>
        <v/>
      </c>
      <c r="S52" s="292"/>
      <c r="T52" s="291" t="str">
        <f>IF(Bridging!M18="C","E","")</f>
        <v/>
      </c>
      <c r="U52" s="292"/>
      <c r="V52" s="291" t="str">
        <f>IF(Bridging!N18="C","E","")</f>
        <v/>
      </c>
      <c r="W52" s="292"/>
      <c r="X52" s="291" t="str">
        <f>IF(Bridging!O18="C","E","")</f>
        <v/>
      </c>
      <c r="Y52" s="292"/>
      <c r="Z52" s="291" t="str">
        <f>IF(Bridging!P18="C","E","")</f>
        <v/>
      </c>
      <c r="AA52" s="292"/>
      <c r="AB52" s="291" t="str">
        <f>IF(Bridging!Q18="C","E","")</f>
        <v/>
      </c>
      <c r="AC52" s="292"/>
      <c r="AD52" s="291" t="str">
        <f>IF(Bridging!R18="C","E","")</f>
        <v/>
      </c>
      <c r="AE52" s="293"/>
    </row>
    <row r="53" spans="1:31" x14ac:dyDescent="0.2">
      <c r="A53" s="54" t="s">
        <v>56</v>
      </c>
      <c r="B53" s="298"/>
      <c r="C53" s="289"/>
      <c r="D53" s="298"/>
      <c r="E53" s="289"/>
      <c r="F53" s="298"/>
      <c r="G53" s="289"/>
      <c r="H53" s="298"/>
      <c r="I53" s="289"/>
      <c r="J53" s="298"/>
      <c r="K53" s="289"/>
      <c r="L53" s="298"/>
      <c r="M53" s="289"/>
      <c r="N53" s="298"/>
      <c r="O53" s="289"/>
      <c r="P53" s="298"/>
      <c r="Q53" s="289"/>
      <c r="R53" s="298"/>
      <c r="S53" s="289"/>
      <c r="T53" s="298"/>
      <c r="U53" s="289"/>
      <c r="V53" s="298"/>
      <c r="W53" s="289"/>
      <c r="X53" s="298"/>
      <c r="Y53" s="289"/>
      <c r="Z53" s="298"/>
      <c r="AA53" s="289"/>
      <c r="AB53" s="298"/>
      <c r="AC53" s="289"/>
      <c r="AD53" s="298"/>
      <c r="AE53" s="294"/>
    </row>
    <row r="54" spans="1:31" x14ac:dyDescent="0.2">
      <c r="A54" s="290" t="str">
        <f>'Fun Patches'!C5</f>
        <v>&lt;LIST PATCH HERE&gt;</v>
      </c>
      <c r="B54" s="291" t="str">
        <f>IF('Fun Patches'!D5="A","E","")</f>
        <v/>
      </c>
      <c r="C54" s="292"/>
      <c r="D54" s="291" t="str">
        <f>IF('Fun Patches'!E5="A","E","")</f>
        <v/>
      </c>
      <c r="E54" s="292"/>
      <c r="F54" s="291" t="str">
        <f>IF('Fun Patches'!F5="A","E","")</f>
        <v/>
      </c>
      <c r="G54" s="292"/>
      <c r="H54" s="291" t="str">
        <f>IF('Fun Patches'!G5="A","E","")</f>
        <v/>
      </c>
      <c r="I54" s="292"/>
      <c r="J54" s="291" t="str">
        <f>IF('Fun Patches'!H5="A","E","")</f>
        <v/>
      </c>
      <c r="K54" s="292"/>
      <c r="L54" s="291" t="str">
        <f>IF('Fun Patches'!I5="A","E","")</f>
        <v/>
      </c>
      <c r="M54" s="292"/>
      <c r="N54" s="291" t="str">
        <f>IF('Fun Patches'!J5="A","E","")</f>
        <v/>
      </c>
      <c r="O54" s="292"/>
      <c r="P54" s="291" t="str">
        <f>IF('Fun Patches'!K5="A","E","")</f>
        <v/>
      </c>
      <c r="Q54" s="292"/>
      <c r="R54" s="291" t="str">
        <f>IF('Fun Patches'!L5="A","E","")</f>
        <v/>
      </c>
      <c r="S54" s="292"/>
      <c r="T54" s="291" t="str">
        <f>IF('Fun Patches'!M5="A","E","")</f>
        <v/>
      </c>
      <c r="U54" s="292"/>
      <c r="V54" s="291" t="str">
        <f>IF('Fun Patches'!N5="A","E","")</f>
        <v/>
      </c>
      <c r="W54" s="292"/>
      <c r="X54" s="291" t="str">
        <f>IF('Fun Patches'!O5="A","E","")</f>
        <v/>
      </c>
      <c r="Y54" s="292"/>
      <c r="Z54" s="291" t="str">
        <f>IF('Fun Patches'!P5="A","E","")</f>
        <v/>
      </c>
      <c r="AA54" s="292"/>
      <c r="AB54" s="291" t="str">
        <f>IF('Fun Patches'!Q5="A","E","")</f>
        <v/>
      </c>
      <c r="AC54" s="292"/>
      <c r="AD54" s="302" t="str">
        <f>IF('Fun Patches'!R5="A","E","")</f>
        <v/>
      </c>
      <c r="AE54" s="293"/>
    </row>
    <row r="55" spans="1:31" x14ac:dyDescent="0.2">
      <c r="A55" s="290" t="str">
        <f>'Fun Patches'!C6</f>
        <v>&lt;LIST PATCH HERE&gt;</v>
      </c>
      <c r="B55" s="291" t="str">
        <f>IF('Fun Patches'!D6="A","E","")</f>
        <v/>
      </c>
      <c r="C55" s="292"/>
      <c r="D55" s="291" t="str">
        <f>IF('Fun Patches'!E6="A","E","")</f>
        <v/>
      </c>
      <c r="E55" s="292"/>
      <c r="F55" s="291" t="str">
        <f>IF('Fun Patches'!F6="A","E","")</f>
        <v/>
      </c>
      <c r="G55" s="292"/>
      <c r="H55" s="291" t="str">
        <f>IF('Fun Patches'!G6="A","E","")</f>
        <v/>
      </c>
      <c r="I55" s="292"/>
      <c r="J55" s="291" t="str">
        <f>IF('Fun Patches'!H6="A","E","")</f>
        <v/>
      </c>
      <c r="K55" s="292"/>
      <c r="L55" s="291" t="str">
        <f>IF('Fun Patches'!I6="A","E","")</f>
        <v/>
      </c>
      <c r="M55" s="292"/>
      <c r="N55" s="291" t="str">
        <f>IF('Fun Patches'!J6="A","E","")</f>
        <v/>
      </c>
      <c r="O55" s="292"/>
      <c r="P55" s="291" t="str">
        <f>IF('Fun Patches'!K6="A","E","")</f>
        <v/>
      </c>
      <c r="Q55" s="292"/>
      <c r="R55" s="291" t="str">
        <f>IF('Fun Patches'!L6="A","E","")</f>
        <v/>
      </c>
      <c r="S55" s="292"/>
      <c r="T55" s="291" t="str">
        <f>IF('Fun Patches'!M6="A","E","")</f>
        <v/>
      </c>
      <c r="U55" s="292"/>
      <c r="V55" s="291" t="str">
        <f>IF('Fun Patches'!N6="A","E","")</f>
        <v/>
      </c>
      <c r="W55" s="292"/>
      <c r="X55" s="291" t="str">
        <f>IF('Fun Patches'!O6="A","E","")</f>
        <v/>
      </c>
      <c r="Y55" s="292"/>
      <c r="Z55" s="291" t="str">
        <f>IF('Fun Patches'!P6="A","E","")</f>
        <v/>
      </c>
      <c r="AA55" s="292"/>
      <c r="AB55" s="291" t="str">
        <f>IF('Fun Patches'!Q6="A","E","")</f>
        <v/>
      </c>
      <c r="AC55" s="292"/>
      <c r="AD55" s="291" t="str">
        <f>IF('Fun Patches'!R6="A","E","")</f>
        <v/>
      </c>
      <c r="AE55" s="293"/>
    </row>
    <row r="56" spans="1:31" x14ac:dyDescent="0.2">
      <c r="A56" s="290" t="str">
        <f>'Fun Patches'!C7</f>
        <v>&lt;LIST PATCH HERE&gt;</v>
      </c>
      <c r="B56" s="291" t="str">
        <f>IF('Fun Patches'!D7="A","E","")</f>
        <v/>
      </c>
      <c r="C56" s="292"/>
      <c r="D56" s="291" t="str">
        <f>IF('Fun Patches'!E7="A","E","")</f>
        <v/>
      </c>
      <c r="E56" s="292"/>
      <c r="F56" s="291" t="str">
        <f>IF('Fun Patches'!F7="A","E","")</f>
        <v/>
      </c>
      <c r="G56" s="292"/>
      <c r="H56" s="291" t="str">
        <f>IF('Fun Patches'!G7="A","E","")</f>
        <v/>
      </c>
      <c r="I56" s="292"/>
      <c r="J56" s="291" t="str">
        <f>IF('Fun Patches'!H7="A","E","")</f>
        <v/>
      </c>
      <c r="K56" s="292"/>
      <c r="L56" s="291" t="str">
        <f>IF('Fun Patches'!I7="A","E","")</f>
        <v/>
      </c>
      <c r="M56" s="292"/>
      <c r="N56" s="291" t="str">
        <f>IF('Fun Patches'!J7="A","E","")</f>
        <v/>
      </c>
      <c r="O56" s="292"/>
      <c r="P56" s="291" t="str">
        <f>IF('Fun Patches'!K7="A","E","")</f>
        <v/>
      </c>
      <c r="Q56" s="292"/>
      <c r="R56" s="291" t="str">
        <f>IF('Fun Patches'!L7="A","E","")</f>
        <v/>
      </c>
      <c r="S56" s="292"/>
      <c r="T56" s="291" t="str">
        <f>IF('Fun Patches'!M7="A","E","")</f>
        <v/>
      </c>
      <c r="U56" s="292"/>
      <c r="V56" s="291" t="str">
        <f>IF('Fun Patches'!N7="A","E","")</f>
        <v/>
      </c>
      <c r="W56" s="292"/>
      <c r="X56" s="291" t="str">
        <f>IF('Fun Patches'!O7="A","E","")</f>
        <v/>
      </c>
      <c r="Y56" s="292"/>
      <c r="Z56" s="291" t="str">
        <f>IF('Fun Patches'!P7="A","E","")</f>
        <v/>
      </c>
      <c r="AA56" s="292"/>
      <c r="AB56" s="291" t="str">
        <f>IF('Fun Patches'!Q7="A","E","")</f>
        <v/>
      </c>
      <c r="AC56" s="292"/>
      <c r="AD56" s="291" t="str">
        <f>IF('Fun Patches'!R7="A","E","")</f>
        <v/>
      </c>
      <c r="AE56" s="293"/>
    </row>
    <row r="57" spans="1:31" x14ac:dyDescent="0.2">
      <c r="A57" s="290" t="str">
        <f>'Fun Patches'!C8</f>
        <v>&lt;LIST PATCH HERE&gt;</v>
      </c>
      <c r="B57" s="291" t="str">
        <f>IF('Fun Patches'!D8="A","E","")</f>
        <v/>
      </c>
      <c r="C57" s="292"/>
      <c r="D57" s="291" t="str">
        <f>IF('Fun Patches'!E8="A","E","")</f>
        <v/>
      </c>
      <c r="E57" s="292"/>
      <c r="F57" s="291" t="str">
        <f>IF('Fun Patches'!F8="A","E","")</f>
        <v/>
      </c>
      <c r="G57" s="292"/>
      <c r="H57" s="291" t="str">
        <f>IF('Fun Patches'!G8="A","E","")</f>
        <v/>
      </c>
      <c r="I57" s="292"/>
      <c r="J57" s="291" t="str">
        <f>IF('Fun Patches'!H8="A","E","")</f>
        <v/>
      </c>
      <c r="K57" s="292"/>
      <c r="L57" s="291" t="str">
        <f>IF('Fun Patches'!I8="A","E","")</f>
        <v/>
      </c>
      <c r="M57" s="292"/>
      <c r="N57" s="291" t="str">
        <f>IF('Fun Patches'!J8="A","E","")</f>
        <v/>
      </c>
      <c r="O57" s="292"/>
      <c r="P57" s="291" t="str">
        <f>IF('Fun Patches'!K8="A","E","")</f>
        <v/>
      </c>
      <c r="Q57" s="292"/>
      <c r="R57" s="291" t="str">
        <f>IF('Fun Patches'!L8="A","E","")</f>
        <v/>
      </c>
      <c r="S57" s="292"/>
      <c r="T57" s="291" t="str">
        <f>IF('Fun Patches'!M8="A","E","")</f>
        <v/>
      </c>
      <c r="U57" s="292"/>
      <c r="V57" s="291" t="str">
        <f>IF('Fun Patches'!N8="A","E","")</f>
        <v/>
      </c>
      <c r="W57" s="292"/>
      <c r="X57" s="291" t="str">
        <f>IF('Fun Patches'!O8="A","E","")</f>
        <v/>
      </c>
      <c r="Y57" s="292"/>
      <c r="Z57" s="291" t="str">
        <f>IF('Fun Patches'!P8="A","E","")</f>
        <v/>
      </c>
      <c r="AA57" s="292"/>
      <c r="AB57" s="291" t="str">
        <f>IF('Fun Patches'!Q8="A","E","")</f>
        <v/>
      </c>
      <c r="AC57" s="292"/>
      <c r="AD57" s="291" t="str">
        <f>IF('Fun Patches'!R8="A","E","")</f>
        <v/>
      </c>
      <c r="AE57" s="293"/>
    </row>
    <row r="58" spans="1:31" x14ac:dyDescent="0.2">
      <c r="A58" s="290" t="str">
        <f>'Fun Patches'!C9</f>
        <v>&lt;LIST PATCH HERE&gt;</v>
      </c>
      <c r="B58" s="291" t="str">
        <f>IF('Fun Patches'!D9="A","E","")</f>
        <v/>
      </c>
      <c r="C58" s="292"/>
      <c r="D58" s="291" t="str">
        <f>IF('Fun Patches'!E9="A","E","")</f>
        <v/>
      </c>
      <c r="E58" s="292"/>
      <c r="F58" s="291" t="str">
        <f>IF('Fun Patches'!F9="A","E","")</f>
        <v/>
      </c>
      <c r="G58" s="292"/>
      <c r="H58" s="291" t="str">
        <f>IF('Fun Patches'!G9="A","E","")</f>
        <v/>
      </c>
      <c r="I58" s="292"/>
      <c r="J58" s="291" t="str">
        <f>IF('Fun Patches'!H9="A","E","")</f>
        <v/>
      </c>
      <c r="K58" s="292"/>
      <c r="L58" s="291" t="str">
        <f>IF('Fun Patches'!I9="A","E","")</f>
        <v/>
      </c>
      <c r="M58" s="292"/>
      <c r="N58" s="291" t="str">
        <f>IF('Fun Patches'!J9="A","E","")</f>
        <v/>
      </c>
      <c r="O58" s="292"/>
      <c r="P58" s="291" t="str">
        <f>IF('Fun Patches'!K9="A","E","")</f>
        <v/>
      </c>
      <c r="Q58" s="292"/>
      <c r="R58" s="291" t="str">
        <f>IF('Fun Patches'!L9="A","E","")</f>
        <v/>
      </c>
      <c r="S58" s="292"/>
      <c r="T58" s="291" t="str">
        <f>IF('Fun Patches'!M9="A","E","")</f>
        <v/>
      </c>
      <c r="U58" s="292"/>
      <c r="V58" s="291" t="str">
        <f>IF('Fun Patches'!N9="A","E","")</f>
        <v/>
      </c>
      <c r="W58" s="292"/>
      <c r="X58" s="291" t="str">
        <f>IF('Fun Patches'!O9="A","E","")</f>
        <v/>
      </c>
      <c r="Y58" s="292"/>
      <c r="Z58" s="291" t="str">
        <f>IF('Fun Patches'!P9="A","E","")</f>
        <v/>
      </c>
      <c r="AA58" s="292"/>
      <c r="AB58" s="291" t="str">
        <f>IF('Fun Patches'!Q9="A","E","")</f>
        <v/>
      </c>
      <c r="AC58" s="292"/>
      <c r="AD58" s="291" t="str">
        <f>IF('Fun Patches'!R9="A","E","")</f>
        <v/>
      </c>
      <c r="AE58" s="293"/>
    </row>
    <row r="59" spans="1:31" x14ac:dyDescent="0.2">
      <c r="A59" s="290" t="str">
        <f>'Fun Patches'!C10</f>
        <v>&lt;LIST PATCH HERE&gt;</v>
      </c>
      <c r="B59" s="291" t="str">
        <f>IF('Fun Patches'!D10="A","E","")</f>
        <v/>
      </c>
      <c r="C59" s="292"/>
      <c r="D59" s="291" t="str">
        <f>IF('Fun Patches'!E10="A","E","")</f>
        <v/>
      </c>
      <c r="E59" s="292"/>
      <c r="F59" s="291" t="str">
        <f>IF('Fun Patches'!F10="A","E","")</f>
        <v/>
      </c>
      <c r="G59" s="292"/>
      <c r="H59" s="291" t="str">
        <f>IF('Fun Patches'!G10="A","E","")</f>
        <v/>
      </c>
      <c r="I59" s="292"/>
      <c r="J59" s="291" t="str">
        <f>IF('Fun Patches'!H10="A","E","")</f>
        <v/>
      </c>
      <c r="K59" s="292"/>
      <c r="L59" s="291" t="str">
        <f>IF('Fun Patches'!I10="A","E","")</f>
        <v/>
      </c>
      <c r="M59" s="292"/>
      <c r="N59" s="291" t="str">
        <f>IF('Fun Patches'!J10="A","E","")</f>
        <v/>
      </c>
      <c r="O59" s="292"/>
      <c r="P59" s="291" t="str">
        <f>IF('Fun Patches'!K10="A","E","")</f>
        <v/>
      </c>
      <c r="Q59" s="292"/>
      <c r="R59" s="291" t="str">
        <f>IF('Fun Patches'!L10="A","E","")</f>
        <v/>
      </c>
      <c r="S59" s="292"/>
      <c r="T59" s="291" t="str">
        <f>IF('Fun Patches'!M10="A","E","")</f>
        <v/>
      </c>
      <c r="U59" s="292"/>
      <c r="V59" s="291" t="str">
        <f>IF('Fun Patches'!N10="A","E","")</f>
        <v/>
      </c>
      <c r="W59" s="292"/>
      <c r="X59" s="291" t="str">
        <f>IF('Fun Patches'!O10="A","E","")</f>
        <v/>
      </c>
      <c r="Y59" s="292"/>
      <c r="Z59" s="291" t="str">
        <f>IF('Fun Patches'!P10="A","E","")</f>
        <v/>
      </c>
      <c r="AA59" s="292"/>
      <c r="AB59" s="291" t="str">
        <f>IF('Fun Patches'!Q10="A","E","")</f>
        <v/>
      </c>
      <c r="AC59" s="292"/>
      <c r="AD59" s="291" t="str">
        <f>IF('Fun Patches'!R10="A","E","")</f>
        <v/>
      </c>
      <c r="AE59" s="293"/>
    </row>
    <row r="60" spans="1:31" x14ac:dyDescent="0.2">
      <c r="A60" s="290" t="str">
        <f>'Fun Patches'!C11</f>
        <v>&lt;LIST PATCH HERE&gt;</v>
      </c>
      <c r="B60" s="291" t="str">
        <f>IF('Fun Patches'!D11="A","E","")</f>
        <v/>
      </c>
      <c r="C60" s="292"/>
      <c r="D60" s="291" t="str">
        <f>IF('Fun Patches'!E11="A","E","")</f>
        <v/>
      </c>
      <c r="E60" s="292"/>
      <c r="F60" s="291" t="str">
        <f>IF('Fun Patches'!F11="A","E","")</f>
        <v/>
      </c>
      <c r="G60" s="292"/>
      <c r="H60" s="291" t="str">
        <f>IF('Fun Patches'!G11="A","E","")</f>
        <v/>
      </c>
      <c r="I60" s="292"/>
      <c r="J60" s="291" t="str">
        <f>IF('Fun Patches'!H11="A","E","")</f>
        <v/>
      </c>
      <c r="K60" s="292"/>
      <c r="L60" s="291" t="str">
        <f>IF('Fun Patches'!I11="A","E","")</f>
        <v/>
      </c>
      <c r="M60" s="292"/>
      <c r="N60" s="291" t="str">
        <f>IF('Fun Patches'!J11="A","E","")</f>
        <v/>
      </c>
      <c r="O60" s="292"/>
      <c r="P60" s="291" t="str">
        <f>IF('Fun Patches'!K11="A","E","")</f>
        <v/>
      </c>
      <c r="Q60" s="292"/>
      <c r="R60" s="291" t="str">
        <f>IF('Fun Patches'!L11="A","E","")</f>
        <v/>
      </c>
      <c r="S60" s="292"/>
      <c r="T60" s="291" t="str">
        <f>IF('Fun Patches'!M11="A","E","")</f>
        <v/>
      </c>
      <c r="U60" s="292"/>
      <c r="V60" s="291" t="str">
        <f>IF('Fun Patches'!N11="A","E","")</f>
        <v/>
      </c>
      <c r="W60" s="292"/>
      <c r="X60" s="291" t="str">
        <f>IF('Fun Patches'!O11="A","E","")</f>
        <v/>
      </c>
      <c r="Y60" s="292"/>
      <c r="Z60" s="291" t="str">
        <f>IF('Fun Patches'!P11="A","E","")</f>
        <v/>
      </c>
      <c r="AA60" s="292"/>
      <c r="AB60" s="291" t="str">
        <f>IF('Fun Patches'!Q11="A","E","")</f>
        <v/>
      </c>
      <c r="AC60" s="292"/>
      <c r="AD60" s="291" t="str">
        <f>IF('Fun Patches'!R11="A","E","")</f>
        <v/>
      </c>
      <c r="AE60" s="293"/>
    </row>
    <row r="61" spans="1:31" x14ac:dyDescent="0.2">
      <c r="A61" s="290" t="str">
        <f>'Fun Patches'!C12</f>
        <v>&lt;LIST PATCH HERE&gt;</v>
      </c>
      <c r="B61" s="291" t="str">
        <f>IF('Fun Patches'!D12="A","E","")</f>
        <v/>
      </c>
      <c r="C61" s="292"/>
      <c r="D61" s="291" t="str">
        <f>IF('Fun Patches'!E12="A","E","")</f>
        <v/>
      </c>
      <c r="E61" s="292"/>
      <c r="F61" s="291" t="str">
        <f>IF('Fun Patches'!F12="A","E","")</f>
        <v/>
      </c>
      <c r="G61" s="292"/>
      <c r="H61" s="291" t="str">
        <f>IF('Fun Patches'!G12="A","E","")</f>
        <v/>
      </c>
      <c r="I61" s="292"/>
      <c r="J61" s="291" t="str">
        <f>IF('Fun Patches'!H12="A","E","")</f>
        <v/>
      </c>
      <c r="K61" s="292"/>
      <c r="L61" s="291" t="str">
        <f>IF('Fun Patches'!I12="A","E","")</f>
        <v/>
      </c>
      <c r="M61" s="292"/>
      <c r="N61" s="291" t="str">
        <f>IF('Fun Patches'!J12="A","E","")</f>
        <v/>
      </c>
      <c r="O61" s="292"/>
      <c r="P61" s="291" t="str">
        <f>IF('Fun Patches'!K12="A","E","")</f>
        <v/>
      </c>
      <c r="Q61" s="292"/>
      <c r="R61" s="291" t="str">
        <f>IF('Fun Patches'!L12="A","E","")</f>
        <v/>
      </c>
      <c r="S61" s="292"/>
      <c r="T61" s="291" t="str">
        <f>IF('Fun Patches'!M12="A","E","")</f>
        <v/>
      </c>
      <c r="U61" s="292"/>
      <c r="V61" s="291" t="str">
        <f>IF('Fun Patches'!N12="A","E","")</f>
        <v/>
      </c>
      <c r="W61" s="292"/>
      <c r="X61" s="291" t="str">
        <f>IF('Fun Patches'!O12="A","E","")</f>
        <v/>
      </c>
      <c r="Y61" s="292"/>
      <c r="Z61" s="291" t="str">
        <f>IF('Fun Patches'!P12="A","E","")</f>
        <v/>
      </c>
      <c r="AA61" s="292"/>
      <c r="AB61" s="291" t="str">
        <f>IF('Fun Patches'!Q12="A","E","")</f>
        <v/>
      </c>
      <c r="AC61" s="292"/>
      <c r="AD61" s="291" t="str">
        <f>IF('Fun Patches'!R12="A","E","")</f>
        <v/>
      </c>
      <c r="AE61" s="293"/>
    </row>
    <row r="62" spans="1:31" x14ac:dyDescent="0.2">
      <c r="A62" s="290" t="str">
        <f>'Fun Patches'!C13</f>
        <v>&lt;LIST PATCH HERE&gt;</v>
      </c>
      <c r="B62" s="291" t="str">
        <f>IF('Fun Patches'!D13="A","E","")</f>
        <v/>
      </c>
      <c r="C62" s="292"/>
      <c r="D62" s="291" t="str">
        <f>IF('Fun Patches'!E13="A","E","")</f>
        <v/>
      </c>
      <c r="E62" s="292"/>
      <c r="F62" s="291" t="str">
        <f>IF('Fun Patches'!F13="A","E","")</f>
        <v/>
      </c>
      <c r="G62" s="292"/>
      <c r="H62" s="291" t="str">
        <f>IF('Fun Patches'!G13="A","E","")</f>
        <v/>
      </c>
      <c r="I62" s="292"/>
      <c r="J62" s="291" t="str">
        <f>IF('Fun Patches'!H13="A","E","")</f>
        <v/>
      </c>
      <c r="K62" s="292"/>
      <c r="L62" s="291" t="str">
        <f>IF('Fun Patches'!I13="A","E","")</f>
        <v/>
      </c>
      <c r="M62" s="292"/>
      <c r="N62" s="291" t="str">
        <f>IF('Fun Patches'!J13="A","E","")</f>
        <v/>
      </c>
      <c r="O62" s="292"/>
      <c r="P62" s="291" t="str">
        <f>IF('Fun Patches'!K13="A","E","")</f>
        <v/>
      </c>
      <c r="Q62" s="292"/>
      <c r="R62" s="291" t="str">
        <f>IF('Fun Patches'!L13="A","E","")</f>
        <v/>
      </c>
      <c r="S62" s="292"/>
      <c r="T62" s="291" t="str">
        <f>IF('Fun Patches'!M13="A","E","")</f>
        <v/>
      </c>
      <c r="U62" s="292"/>
      <c r="V62" s="291" t="str">
        <f>IF('Fun Patches'!N13="A","E","")</f>
        <v/>
      </c>
      <c r="W62" s="292"/>
      <c r="X62" s="291" t="str">
        <f>IF('Fun Patches'!O13="A","E","")</f>
        <v/>
      </c>
      <c r="Y62" s="292"/>
      <c r="Z62" s="291" t="str">
        <f>IF('Fun Patches'!P13="A","E","")</f>
        <v/>
      </c>
      <c r="AA62" s="292"/>
      <c r="AB62" s="291" t="str">
        <f>IF('Fun Patches'!Q13="A","E","")</f>
        <v/>
      </c>
      <c r="AC62" s="292"/>
      <c r="AD62" s="302" t="str">
        <f>IF('Fun Patches'!R13="A","E","")</f>
        <v/>
      </c>
      <c r="AE62" s="293"/>
    </row>
    <row r="63" spans="1:31" x14ac:dyDescent="0.2">
      <c r="A63" s="290" t="str">
        <f>'Fun Patches'!C14</f>
        <v>&lt;LIST PATCH HERE&gt;</v>
      </c>
      <c r="B63" s="291" t="str">
        <f>IF('Fun Patches'!D14="A","E","")</f>
        <v/>
      </c>
      <c r="C63" s="292"/>
      <c r="D63" s="291" t="str">
        <f>IF('Fun Patches'!E14="A","E","")</f>
        <v/>
      </c>
      <c r="E63" s="292"/>
      <c r="F63" s="291" t="str">
        <f>IF('Fun Patches'!F14="A","E","")</f>
        <v/>
      </c>
      <c r="G63" s="292"/>
      <c r="H63" s="291" t="str">
        <f>IF('Fun Patches'!G14="A","E","")</f>
        <v/>
      </c>
      <c r="I63" s="292"/>
      <c r="J63" s="291" t="str">
        <f>IF('Fun Patches'!H14="A","E","")</f>
        <v/>
      </c>
      <c r="K63" s="292"/>
      <c r="L63" s="291" t="str">
        <f>IF('Fun Patches'!I14="A","E","")</f>
        <v/>
      </c>
      <c r="M63" s="292"/>
      <c r="N63" s="291" t="str">
        <f>IF('Fun Patches'!J14="A","E","")</f>
        <v/>
      </c>
      <c r="O63" s="292"/>
      <c r="P63" s="291" t="str">
        <f>IF('Fun Patches'!K14="A","E","")</f>
        <v/>
      </c>
      <c r="Q63" s="292"/>
      <c r="R63" s="291" t="str">
        <f>IF('Fun Patches'!L14="A","E","")</f>
        <v/>
      </c>
      <c r="S63" s="292"/>
      <c r="T63" s="291" t="str">
        <f>IF('Fun Patches'!M14="A","E","")</f>
        <v/>
      </c>
      <c r="U63" s="292"/>
      <c r="V63" s="291" t="str">
        <f>IF('Fun Patches'!N14="A","E","")</f>
        <v/>
      </c>
      <c r="W63" s="292"/>
      <c r="X63" s="291" t="str">
        <f>IF('Fun Patches'!O14="A","E","")</f>
        <v/>
      </c>
      <c r="Y63" s="292"/>
      <c r="Z63" s="291" t="str">
        <f>IF('Fun Patches'!P14="A","E","")</f>
        <v/>
      </c>
      <c r="AA63" s="292"/>
      <c r="AB63" s="291" t="str">
        <f>IF('Fun Patches'!Q14="A","E","")</f>
        <v/>
      </c>
      <c r="AC63" s="292"/>
      <c r="AD63" s="291" t="str">
        <f>IF('Fun Patches'!R14="A","E","")</f>
        <v/>
      </c>
      <c r="AE63" s="293"/>
    </row>
    <row r="64" spans="1:31" x14ac:dyDescent="0.2">
      <c r="A64" s="290" t="str">
        <f>'Fun Patches'!C15</f>
        <v>&lt;LIST PATCH HERE&gt;</v>
      </c>
      <c r="B64" s="291" t="str">
        <f>IF('Fun Patches'!D15="A","E","")</f>
        <v/>
      </c>
      <c r="C64" s="292"/>
      <c r="D64" s="291" t="str">
        <f>IF('Fun Patches'!E15="A","E","")</f>
        <v/>
      </c>
      <c r="E64" s="292"/>
      <c r="F64" s="291" t="str">
        <f>IF('Fun Patches'!F15="A","E","")</f>
        <v/>
      </c>
      <c r="G64" s="292"/>
      <c r="H64" s="291" t="str">
        <f>IF('Fun Patches'!G15="A","E","")</f>
        <v/>
      </c>
      <c r="I64" s="292"/>
      <c r="J64" s="291" t="str">
        <f>IF('Fun Patches'!H15="A","E","")</f>
        <v/>
      </c>
      <c r="K64" s="292"/>
      <c r="L64" s="291" t="str">
        <f>IF('Fun Patches'!I15="A","E","")</f>
        <v/>
      </c>
      <c r="M64" s="292"/>
      <c r="N64" s="291" t="str">
        <f>IF('Fun Patches'!J15="A","E","")</f>
        <v/>
      </c>
      <c r="O64" s="292"/>
      <c r="P64" s="291" t="str">
        <f>IF('Fun Patches'!K15="A","E","")</f>
        <v/>
      </c>
      <c r="Q64" s="292"/>
      <c r="R64" s="291" t="str">
        <f>IF('Fun Patches'!L15="A","E","")</f>
        <v/>
      </c>
      <c r="S64" s="292"/>
      <c r="T64" s="291" t="str">
        <f>IF('Fun Patches'!M15="A","E","")</f>
        <v/>
      </c>
      <c r="U64" s="292"/>
      <c r="V64" s="291" t="str">
        <f>IF('Fun Patches'!N15="A","E","")</f>
        <v/>
      </c>
      <c r="W64" s="292"/>
      <c r="X64" s="291" t="str">
        <f>IF('Fun Patches'!O15="A","E","")</f>
        <v/>
      </c>
      <c r="Y64" s="292"/>
      <c r="Z64" s="291" t="str">
        <f>IF('Fun Patches'!P15="A","E","")</f>
        <v/>
      </c>
      <c r="AA64" s="292"/>
      <c r="AB64" s="291" t="str">
        <f>IF('Fun Patches'!Q15="A","E","")</f>
        <v/>
      </c>
      <c r="AC64" s="292"/>
      <c r="AD64" s="291" t="str">
        <f>IF('Fun Patches'!R15="A","E","")</f>
        <v/>
      </c>
      <c r="AE64" s="293"/>
    </row>
    <row r="65" spans="1:31" x14ac:dyDescent="0.2">
      <c r="A65" s="290" t="str">
        <f>'Fun Patches'!C16</f>
        <v>&lt;LIST PATCH HERE&gt;</v>
      </c>
      <c r="B65" s="291" t="str">
        <f>IF('Fun Patches'!D16="A","E","")</f>
        <v/>
      </c>
      <c r="C65" s="292"/>
      <c r="D65" s="291" t="str">
        <f>IF('Fun Patches'!E16="A","E","")</f>
        <v/>
      </c>
      <c r="E65" s="292"/>
      <c r="F65" s="291" t="str">
        <f>IF('Fun Patches'!F16="A","E","")</f>
        <v/>
      </c>
      <c r="G65" s="292"/>
      <c r="H65" s="291" t="str">
        <f>IF('Fun Patches'!G16="A","E","")</f>
        <v/>
      </c>
      <c r="I65" s="292"/>
      <c r="J65" s="291" t="str">
        <f>IF('Fun Patches'!H16="A","E","")</f>
        <v/>
      </c>
      <c r="K65" s="292"/>
      <c r="L65" s="291" t="str">
        <f>IF('Fun Patches'!I16="A","E","")</f>
        <v/>
      </c>
      <c r="M65" s="292"/>
      <c r="N65" s="291" t="str">
        <f>IF('Fun Patches'!J16="A","E","")</f>
        <v/>
      </c>
      <c r="O65" s="292"/>
      <c r="P65" s="291" t="str">
        <f>IF('Fun Patches'!K16="A","E","")</f>
        <v/>
      </c>
      <c r="Q65" s="292"/>
      <c r="R65" s="291" t="str">
        <f>IF('Fun Patches'!L16="A","E","")</f>
        <v/>
      </c>
      <c r="S65" s="292"/>
      <c r="T65" s="291" t="str">
        <f>IF('Fun Patches'!M16="A","E","")</f>
        <v/>
      </c>
      <c r="U65" s="292"/>
      <c r="V65" s="291" t="str">
        <f>IF('Fun Patches'!N16="A","E","")</f>
        <v/>
      </c>
      <c r="W65" s="292"/>
      <c r="X65" s="291" t="str">
        <f>IF('Fun Patches'!O16="A","E","")</f>
        <v/>
      </c>
      <c r="Y65" s="292"/>
      <c r="Z65" s="291" t="str">
        <f>IF('Fun Patches'!P16="A","E","")</f>
        <v/>
      </c>
      <c r="AA65" s="292"/>
      <c r="AB65" s="291" t="str">
        <f>IF('Fun Patches'!Q16="A","E","")</f>
        <v/>
      </c>
      <c r="AC65" s="292"/>
      <c r="AD65" s="291" t="str">
        <f>IF('Fun Patches'!R16="A","E","")</f>
        <v/>
      </c>
      <c r="AE65" s="293"/>
    </row>
    <row r="66" spans="1:31" x14ac:dyDescent="0.2">
      <c r="A66" s="290" t="str">
        <f>'Fun Patches'!C17</f>
        <v>&lt;LIST PATCH HERE&gt;</v>
      </c>
      <c r="B66" s="291" t="str">
        <f>IF('Fun Patches'!D17="A","E","")</f>
        <v/>
      </c>
      <c r="C66" s="292"/>
      <c r="D66" s="291" t="str">
        <f>IF('Fun Patches'!E17="A","E","")</f>
        <v/>
      </c>
      <c r="E66" s="292"/>
      <c r="F66" s="291" t="str">
        <f>IF('Fun Patches'!F17="A","E","")</f>
        <v/>
      </c>
      <c r="G66" s="292"/>
      <c r="H66" s="291" t="str">
        <f>IF('Fun Patches'!G17="A","E","")</f>
        <v/>
      </c>
      <c r="I66" s="292"/>
      <c r="J66" s="291" t="str">
        <f>IF('Fun Patches'!H17="A","E","")</f>
        <v/>
      </c>
      <c r="K66" s="292"/>
      <c r="L66" s="291" t="str">
        <f>IF('Fun Patches'!I17="A","E","")</f>
        <v/>
      </c>
      <c r="M66" s="292"/>
      <c r="N66" s="291" t="str">
        <f>IF('Fun Patches'!J17="A","E","")</f>
        <v/>
      </c>
      <c r="O66" s="292"/>
      <c r="P66" s="291" t="str">
        <f>IF('Fun Patches'!K17="A","E","")</f>
        <v/>
      </c>
      <c r="Q66" s="292"/>
      <c r="R66" s="291" t="str">
        <f>IF('Fun Patches'!L17="A","E","")</f>
        <v/>
      </c>
      <c r="S66" s="292"/>
      <c r="T66" s="291" t="str">
        <f>IF('Fun Patches'!M17="A","E","")</f>
        <v/>
      </c>
      <c r="U66" s="292"/>
      <c r="V66" s="291" t="str">
        <f>IF('Fun Patches'!N17="A","E","")</f>
        <v/>
      </c>
      <c r="W66" s="292"/>
      <c r="X66" s="291" t="str">
        <f>IF('Fun Patches'!O17="A","E","")</f>
        <v/>
      </c>
      <c r="Y66" s="292"/>
      <c r="Z66" s="291" t="str">
        <f>IF('Fun Patches'!P17="A","E","")</f>
        <v/>
      </c>
      <c r="AA66" s="292"/>
      <c r="AB66" s="291" t="str">
        <f>IF('Fun Patches'!Q17="A","E","")</f>
        <v/>
      </c>
      <c r="AC66" s="292"/>
      <c r="AD66" s="291" t="str">
        <f>IF('Fun Patches'!R17="A","E","")</f>
        <v/>
      </c>
      <c r="AE66" s="293"/>
    </row>
    <row r="67" spans="1:31" x14ac:dyDescent="0.2">
      <c r="A67" s="290" t="str">
        <f>'Fun Patches'!C18</f>
        <v>&lt;LIST PATCH HERE&gt;</v>
      </c>
      <c r="B67" s="291" t="str">
        <f>IF('Fun Patches'!D18="A","E","")</f>
        <v/>
      </c>
      <c r="C67" s="292"/>
      <c r="D67" s="291" t="str">
        <f>IF('Fun Patches'!E18="A","E","")</f>
        <v/>
      </c>
      <c r="E67" s="292"/>
      <c r="F67" s="291" t="str">
        <f>IF('Fun Patches'!F18="A","E","")</f>
        <v/>
      </c>
      <c r="G67" s="292"/>
      <c r="H67" s="291" t="str">
        <f>IF('Fun Patches'!G18="A","E","")</f>
        <v/>
      </c>
      <c r="I67" s="292"/>
      <c r="J67" s="291" t="str">
        <f>IF('Fun Patches'!H18="A","E","")</f>
        <v/>
      </c>
      <c r="K67" s="292"/>
      <c r="L67" s="291" t="str">
        <f>IF('Fun Patches'!I18="A","E","")</f>
        <v/>
      </c>
      <c r="M67" s="292"/>
      <c r="N67" s="291" t="str">
        <f>IF('Fun Patches'!J18="A","E","")</f>
        <v/>
      </c>
      <c r="O67" s="292"/>
      <c r="P67" s="291" t="str">
        <f>IF('Fun Patches'!K18="A","E","")</f>
        <v/>
      </c>
      <c r="Q67" s="292"/>
      <c r="R67" s="291" t="str">
        <f>IF('Fun Patches'!L18="A","E","")</f>
        <v/>
      </c>
      <c r="S67" s="292"/>
      <c r="T67" s="291" t="str">
        <f>IF('Fun Patches'!M18="A","E","")</f>
        <v/>
      </c>
      <c r="U67" s="292"/>
      <c r="V67" s="291" t="str">
        <f>IF('Fun Patches'!N18="A","E","")</f>
        <v/>
      </c>
      <c r="W67" s="292"/>
      <c r="X67" s="291" t="str">
        <f>IF('Fun Patches'!O18="A","E","")</f>
        <v/>
      </c>
      <c r="Y67" s="292"/>
      <c r="Z67" s="291" t="str">
        <f>IF('Fun Patches'!P18="A","E","")</f>
        <v/>
      </c>
      <c r="AA67" s="292"/>
      <c r="AB67" s="291" t="str">
        <f>IF('Fun Patches'!Q18="A","E","")</f>
        <v/>
      </c>
      <c r="AC67" s="292"/>
      <c r="AD67" s="291" t="str">
        <f>IF('Fun Patches'!R18="A","E","")</f>
        <v/>
      </c>
      <c r="AE67" s="293"/>
    </row>
    <row r="68" spans="1:31" x14ac:dyDescent="0.2">
      <c r="A68" s="290" t="str">
        <f>'Fun Patches'!C19</f>
        <v>&lt;LIST PATCH HERE&gt;</v>
      </c>
      <c r="B68" s="291" t="str">
        <f>IF('Fun Patches'!D19="A","E","")</f>
        <v/>
      </c>
      <c r="C68" s="292"/>
      <c r="D68" s="291" t="str">
        <f>IF('Fun Patches'!E19="A","E","")</f>
        <v/>
      </c>
      <c r="E68" s="292"/>
      <c r="F68" s="291" t="str">
        <f>IF('Fun Patches'!F19="A","E","")</f>
        <v/>
      </c>
      <c r="G68" s="292"/>
      <c r="H68" s="291" t="str">
        <f>IF('Fun Patches'!G19="A","E","")</f>
        <v/>
      </c>
      <c r="I68" s="292"/>
      <c r="J68" s="291" t="str">
        <f>IF('Fun Patches'!H19="A","E","")</f>
        <v/>
      </c>
      <c r="K68" s="292"/>
      <c r="L68" s="291" t="str">
        <f>IF('Fun Patches'!I19="A","E","")</f>
        <v/>
      </c>
      <c r="M68" s="292"/>
      <c r="N68" s="291" t="str">
        <f>IF('Fun Patches'!J19="A","E","")</f>
        <v/>
      </c>
      <c r="O68" s="292"/>
      <c r="P68" s="291" t="str">
        <f>IF('Fun Patches'!K19="A","E","")</f>
        <v/>
      </c>
      <c r="Q68" s="292"/>
      <c r="R68" s="291" t="str">
        <f>IF('Fun Patches'!L19="A","E","")</f>
        <v/>
      </c>
      <c r="S68" s="292"/>
      <c r="T68" s="291" t="str">
        <f>IF('Fun Patches'!M19="A","E","")</f>
        <v/>
      </c>
      <c r="U68" s="292"/>
      <c r="V68" s="291" t="str">
        <f>IF('Fun Patches'!N19="A","E","")</f>
        <v/>
      </c>
      <c r="W68" s="292"/>
      <c r="X68" s="291" t="str">
        <f>IF('Fun Patches'!O19="A","E","")</f>
        <v/>
      </c>
      <c r="Y68" s="292"/>
      <c r="Z68" s="291" t="str">
        <f>IF('Fun Patches'!P19="A","E","")</f>
        <v/>
      </c>
      <c r="AA68" s="292"/>
      <c r="AB68" s="291" t="str">
        <f>IF('Fun Patches'!Q19="A","E","")</f>
        <v/>
      </c>
      <c r="AC68" s="292"/>
      <c r="AD68" s="291" t="str">
        <f>IF('Fun Patches'!R19="A","E","")</f>
        <v/>
      </c>
      <c r="AE68" s="293"/>
    </row>
    <row r="69" spans="1:31" x14ac:dyDescent="0.2">
      <c r="A69" s="290" t="str">
        <f>'Fun Patches'!C20</f>
        <v>&lt;LIST PATCH HERE&gt;</v>
      </c>
      <c r="B69" s="291" t="str">
        <f>IF('Fun Patches'!D20="A","E","")</f>
        <v/>
      </c>
      <c r="C69" s="292"/>
      <c r="D69" s="291" t="str">
        <f>IF('Fun Patches'!E20="A","E","")</f>
        <v/>
      </c>
      <c r="E69" s="292"/>
      <c r="F69" s="291" t="str">
        <f>IF('Fun Patches'!F20="A","E","")</f>
        <v/>
      </c>
      <c r="G69" s="292"/>
      <c r="H69" s="291" t="str">
        <f>IF('Fun Patches'!G20="A","E","")</f>
        <v/>
      </c>
      <c r="I69" s="292"/>
      <c r="J69" s="291" t="str">
        <f>IF('Fun Patches'!H20="A","E","")</f>
        <v/>
      </c>
      <c r="K69" s="292"/>
      <c r="L69" s="291" t="str">
        <f>IF('Fun Patches'!I20="A","E","")</f>
        <v/>
      </c>
      <c r="M69" s="292"/>
      <c r="N69" s="291" t="str">
        <f>IF('Fun Patches'!J20="A","E","")</f>
        <v/>
      </c>
      <c r="O69" s="292"/>
      <c r="P69" s="291" t="str">
        <f>IF('Fun Patches'!K20="A","E","")</f>
        <v/>
      </c>
      <c r="Q69" s="292"/>
      <c r="R69" s="291" t="str">
        <f>IF('Fun Patches'!L20="A","E","")</f>
        <v/>
      </c>
      <c r="S69" s="292"/>
      <c r="T69" s="291" t="str">
        <f>IF('Fun Patches'!M20="A","E","")</f>
        <v/>
      </c>
      <c r="U69" s="292"/>
      <c r="V69" s="291" t="str">
        <f>IF('Fun Patches'!N20="A","E","")</f>
        <v/>
      </c>
      <c r="W69" s="292"/>
      <c r="X69" s="291" t="str">
        <f>IF('Fun Patches'!O20="A","E","")</f>
        <v/>
      </c>
      <c r="Y69" s="292"/>
      <c r="Z69" s="291" t="str">
        <f>IF('Fun Patches'!P20="A","E","")</f>
        <v/>
      </c>
      <c r="AA69" s="292"/>
      <c r="AB69" s="291" t="str">
        <f>IF('Fun Patches'!Q20="A","E","")</f>
        <v/>
      </c>
      <c r="AC69" s="292"/>
      <c r="AD69" s="291" t="str">
        <f>IF('Fun Patches'!R20="A","E","")</f>
        <v/>
      </c>
      <c r="AE69" s="293"/>
    </row>
    <row r="70" spans="1:31" x14ac:dyDescent="0.2">
      <c r="A70" s="290" t="str">
        <f>'Fun Patches'!C21</f>
        <v>&lt;LIST PATCH HERE&gt;</v>
      </c>
      <c r="B70" s="291" t="str">
        <f>IF('Fun Patches'!D21="A","E","")</f>
        <v/>
      </c>
      <c r="C70" s="292"/>
      <c r="D70" s="291" t="str">
        <f>IF('Fun Patches'!E21="A","E","")</f>
        <v/>
      </c>
      <c r="E70" s="292"/>
      <c r="F70" s="291" t="str">
        <f>IF('Fun Patches'!F21="A","E","")</f>
        <v/>
      </c>
      <c r="G70" s="292"/>
      <c r="H70" s="291" t="str">
        <f>IF('Fun Patches'!G21="A","E","")</f>
        <v/>
      </c>
      <c r="I70" s="292"/>
      <c r="J70" s="291" t="str">
        <f>IF('Fun Patches'!H21="A","E","")</f>
        <v/>
      </c>
      <c r="K70" s="292"/>
      <c r="L70" s="291" t="str">
        <f>IF('Fun Patches'!I21="A","E","")</f>
        <v/>
      </c>
      <c r="M70" s="292"/>
      <c r="N70" s="291" t="str">
        <f>IF('Fun Patches'!J21="A","E","")</f>
        <v/>
      </c>
      <c r="O70" s="292"/>
      <c r="P70" s="291" t="str">
        <f>IF('Fun Patches'!K21="A","E","")</f>
        <v/>
      </c>
      <c r="Q70" s="292"/>
      <c r="R70" s="291" t="str">
        <f>IF('Fun Patches'!L21="A","E","")</f>
        <v/>
      </c>
      <c r="S70" s="292"/>
      <c r="T70" s="291" t="str">
        <f>IF('Fun Patches'!M21="A","E","")</f>
        <v/>
      </c>
      <c r="U70" s="292"/>
      <c r="V70" s="291" t="str">
        <f>IF('Fun Patches'!N21="A","E","")</f>
        <v/>
      </c>
      <c r="W70" s="292"/>
      <c r="X70" s="291" t="str">
        <f>IF('Fun Patches'!O21="A","E","")</f>
        <v/>
      </c>
      <c r="Y70" s="292"/>
      <c r="Z70" s="291" t="str">
        <f>IF('Fun Patches'!P21="A","E","")</f>
        <v/>
      </c>
      <c r="AA70" s="292"/>
      <c r="AB70" s="291" t="str">
        <f>IF('Fun Patches'!Q21="A","E","")</f>
        <v/>
      </c>
      <c r="AC70" s="292"/>
      <c r="AD70" s="291" t="str">
        <f>IF('Fun Patches'!R21="A","E","")</f>
        <v/>
      </c>
      <c r="AE70" s="293"/>
    </row>
    <row r="71" spans="1:31" x14ac:dyDescent="0.2">
      <c r="A71" s="290" t="str">
        <f>'Fun Patches'!C22</f>
        <v>&lt;LIST PATCH HERE&gt;</v>
      </c>
      <c r="B71" s="291" t="str">
        <f>IF('Fun Patches'!D22="A","E","")</f>
        <v/>
      </c>
      <c r="C71" s="292"/>
      <c r="D71" s="291" t="str">
        <f>IF('Fun Patches'!E22="A","E","")</f>
        <v/>
      </c>
      <c r="E71" s="292"/>
      <c r="F71" s="291" t="str">
        <f>IF('Fun Patches'!F22="A","E","")</f>
        <v/>
      </c>
      <c r="G71" s="292"/>
      <c r="H71" s="291" t="str">
        <f>IF('Fun Patches'!G22="A","E","")</f>
        <v/>
      </c>
      <c r="I71" s="292"/>
      <c r="J71" s="291" t="str">
        <f>IF('Fun Patches'!H22="A","E","")</f>
        <v/>
      </c>
      <c r="K71" s="292"/>
      <c r="L71" s="291" t="str">
        <f>IF('Fun Patches'!I22="A","E","")</f>
        <v/>
      </c>
      <c r="M71" s="292"/>
      <c r="N71" s="291" t="str">
        <f>IF('Fun Patches'!J22="A","E","")</f>
        <v/>
      </c>
      <c r="O71" s="292"/>
      <c r="P71" s="291" t="str">
        <f>IF('Fun Patches'!K22="A","E","")</f>
        <v/>
      </c>
      <c r="Q71" s="292"/>
      <c r="R71" s="291" t="str">
        <f>IF('Fun Patches'!L22="A","E","")</f>
        <v/>
      </c>
      <c r="S71" s="292"/>
      <c r="T71" s="291" t="str">
        <f>IF('Fun Patches'!M22="A","E","")</f>
        <v/>
      </c>
      <c r="U71" s="292"/>
      <c r="V71" s="291" t="str">
        <f>IF('Fun Patches'!N22="A","E","")</f>
        <v/>
      </c>
      <c r="W71" s="292"/>
      <c r="X71" s="291" t="str">
        <f>IF('Fun Patches'!O22="A","E","")</f>
        <v/>
      </c>
      <c r="Y71" s="292"/>
      <c r="Z71" s="291" t="str">
        <f>IF('Fun Patches'!P22="A","E","")</f>
        <v/>
      </c>
      <c r="AA71" s="292"/>
      <c r="AB71" s="291" t="str">
        <f>IF('Fun Patches'!Q22="A","E","")</f>
        <v/>
      </c>
      <c r="AC71" s="292"/>
      <c r="AD71" s="291" t="str">
        <f>IF('Fun Patches'!R22="A","E","")</f>
        <v/>
      </c>
      <c r="AE71" s="293"/>
    </row>
    <row r="72" spans="1:31" x14ac:dyDescent="0.2">
      <c r="A72" s="290" t="str">
        <f>'Fun Patches'!C23</f>
        <v>&lt;LIST PATCH HERE&gt;</v>
      </c>
      <c r="B72" s="291" t="str">
        <f>IF('Fun Patches'!D23="A","E","")</f>
        <v/>
      </c>
      <c r="C72" s="292"/>
      <c r="D72" s="291" t="str">
        <f>IF('Fun Patches'!E23="A","E","")</f>
        <v/>
      </c>
      <c r="E72" s="292"/>
      <c r="F72" s="291" t="str">
        <f>IF('Fun Patches'!F23="A","E","")</f>
        <v/>
      </c>
      <c r="G72" s="292"/>
      <c r="H72" s="291" t="str">
        <f>IF('Fun Patches'!G23="A","E","")</f>
        <v/>
      </c>
      <c r="I72" s="292"/>
      <c r="J72" s="291" t="str">
        <f>IF('Fun Patches'!H23="A","E","")</f>
        <v/>
      </c>
      <c r="K72" s="292"/>
      <c r="L72" s="291" t="str">
        <f>IF('Fun Patches'!I23="A","E","")</f>
        <v/>
      </c>
      <c r="M72" s="292"/>
      <c r="N72" s="291" t="str">
        <f>IF('Fun Patches'!J23="A","E","")</f>
        <v/>
      </c>
      <c r="O72" s="292"/>
      <c r="P72" s="291" t="str">
        <f>IF('Fun Patches'!K23="A","E","")</f>
        <v/>
      </c>
      <c r="Q72" s="292"/>
      <c r="R72" s="291" t="str">
        <f>IF('Fun Patches'!L23="A","E","")</f>
        <v/>
      </c>
      <c r="S72" s="292"/>
      <c r="T72" s="291" t="str">
        <f>IF('Fun Patches'!M23="A","E","")</f>
        <v/>
      </c>
      <c r="U72" s="292"/>
      <c r="V72" s="291" t="str">
        <f>IF('Fun Patches'!N23="A","E","")</f>
        <v/>
      </c>
      <c r="W72" s="292"/>
      <c r="X72" s="291" t="str">
        <f>IF('Fun Patches'!O23="A","E","")</f>
        <v/>
      </c>
      <c r="Y72" s="292"/>
      <c r="Z72" s="291" t="str">
        <f>IF('Fun Patches'!P23="A","E","")</f>
        <v/>
      </c>
      <c r="AA72" s="292"/>
      <c r="AB72" s="291" t="str">
        <f>IF('Fun Patches'!Q23="A","E","")</f>
        <v/>
      </c>
      <c r="AC72" s="292"/>
      <c r="AD72" s="291" t="str">
        <f>IF('Fun Patches'!R23="A","E","")</f>
        <v/>
      </c>
      <c r="AE72" s="293"/>
    </row>
    <row r="73" spans="1:31" x14ac:dyDescent="0.2">
      <c r="A73" s="290" t="str">
        <f>'Fun Patches'!C24</f>
        <v>&lt;LIST PATCH HERE&gt;</v>
      </c>
      <c r="B73" s="291" t="str">
        <f>IF('Fun Patches'!D24="A","E","")</f>
        <v/>
      </c>
      <c r="C73" s="292"/>
      <c r="D73" s="291" t="str">
        <f>IF('Fun Patches'!E24="A","E","")</f>
        <v/>
      </c>
      <c r="E73" s="292"/>
      <c r="F73" s="291" t="str">
        <f>IF('Fun Patches'!F24="A","E","")</f>
        <v/>
      </c>
      <c r="G73" s="292"/>
      <c r="H73" s="291" t="str">
        <f>IF('Fun Patches'!G24="A","E","")</f>
        <v/>
      </c>
      <c r="I73" s="292"/>
      <c r="J73" s="291" t="str">
        <f>IF('Fun Patches'!H24="A","E","")</f>
        <v/>
      </c>
      <c r="K73" s="292"/>
      <c r="L73" s="291" t="str">
        <f>IF('Fun Patches'!I24="A","E","")</f>
        <v/>
      </c>
      <c r="M73" s="292"/>
      <c r="N73" s="291" t="str">
        <f>IF('Fun Patches'!J24="A","E","")</f>
        <v/>
      </c>
      <c r="O73" s="292"/>
      <c r="P73" s="291" t="str">
        <f>IF('Fun Patches'!K24="A","E","")</f>
        <v/>
      </c>
      <c r="Q73" s="292"/>
      <c r="R73" s="291" t="str">
        <f>IF('Fun Patches'!L24="A","E","")</f>
        <v/>
      </c>
      <c r="S73" s="292"/>
      <c r="T73" s="291" t="str">
        <f>IF('Fun Patches'!M24="A","E","")</f>
        <v/>
      </c>
      <c r="U73" s="292"/>
      <c r="V73" s="291" t="str">
        <f>IF('Fun Patches'!N24="A","E","")</f>
        <v/>
      </c>
      <c r="W73" s="292"/>
      <c r="X73" s="291" t="str">
        <f>IF('Fun Patches'!O24="A","E","")</f>
        <v/>
      </c>
      <c r="Y73" s="292"/>
      <c r="Z73" s="291" t="str">
        <f>IF('Fun Patches'!P24="A","E","")</f>
        <v/>
      </c>
      <c r="AA73" s="292"/>
      <c r="AB73" s="291" t="str">
        <f>IF('Fun Patches'!Q24="A","E","")</f>
        <v/>
      </c>
      <c r="AC73" s="292"/>
      <c r="AD73" s="291" t="str">
        <f>IF('Fun Patches'!R24="A","E","")</f>
        <v/>
      </c>
      <c r="AE73" s="293"/>
    </row>
    <row r="74" spans="1:31" x14ac:dyDescent="0.2">
      <c r="A74" s="290" t="str">
        <f>'Fun Patches'!C25</f>
        <v>&lt;LIST PATCH HERE&gt;</v>
      </c>
      <c r="B74" s="291" t="str">
        <f>IF('Fun Patches'!D25="A","E","")</f>
        <v/>
      </c>
      <c r="C74" s="292"/>
      <c r="D74" s="291" t="str">
        <f>IF('Fun Patches'!E25="A","E","")</f>
        <v/>
      </c>
      <c r="E74" s="292"/>
      <c r="F74" s="291" t="str">
        <f>IF('Fun Patches'!F25="A","E","")</f>
        <v/>
      </c>
      <c r="G74" s="292"/>
      <c r="H74" s="291" t="str">
        <f>IF('Fun Patches'!G25="A","E","")</f>
        <v/>
      </c>
      <c r="I74" s="292"/>
      <c r="J74" s="291" t="str">
        <f>IF('Fun Patches'!H25="A","E","")</f>
        <v/>
      </c>
      <c r="K74" s="292"/>
      <c r="L74" s="291" t="str">
        <f>IF('Fun Patches'!I25="A","E","")</f>
        <v/>
      </c>
      <c r="M74" s="292"/>
      <c r="N74" s="291" t="str">
        <f>IF('Fun Patches'!J25="A","E","")</f>
        <v/>
      </c>
      <c r="O74" s="292"/>
      <c r="P74" s="291" t="str">
        <f>IF('Fun Patches'!K25="A","E","")</f>
        <v/>
      </c>
      <c r="Q74" s="292"/>
      <c r="R74" s="291" t="str">
        <f>IF('Fun Patches'!L25="A","E","")</f>
        <v/>
      </c>
      <c r="S74" s="292"/>
      <c r="T74" s="291" t="str">
        <f>IF('Fun Patches'!M25="A","E","")</f>
        <v/>
      </c>
      <c r="U74" s="292"/>
      <c r="V74" s="291" t="str">
        <f>IF('Fun Patches'!N25="A","E","")</f>
        <v/>
      </c>
      <c r="W74" s="292"/>
      <c r="X74" s="291" t="str">
        <f>IF('Fun Patches'!O25="A","E","")</f>
        <v/>
      </c>
      <c r="Y74" s="292"/>
      <c r="Z74" s="291" t="str">
        <f>IF('Fun Patches'!P25="A","E","")</f>
        <v/>
      </c>
      <c r="AA74" s="292"/>
      <c r="AB74" s="291" t="str">
        <f>IF('Fun Patches'!Q25="A","E","")</f>
        <v/>
      </c>
      <c r="AC74" s="292"/>
      <c r="AD74" s="291" t="str">
        <f>IF('Fun Patches'!R25="A","E","")</f>
        <v/>
      </c>
      <c r="AE74" s="293"/>
    </row>
    <row r="75" spans="1:31" x14ac:dyDescent="0.2">
      <c r="A75" s="290" t="str">
        <f>'Fun Patches'!C26</f>
        <v>&lt;LIST PATCH HERE&gt;</v>
      </c>
      <c r="B75" s="291" t="str">
        <f>IF('Fun Patches'!D26="A","E","")</f>
        <v/>
      </c>
      <c r="C75" s="292"/>
      <c r="D75" s="291" t="str">
        <f>IF('Fun Patches'!E26="A","E","")</f>
        <v/>
      </c>
      <c r="E75" s="292"/>
      <c r="F75" s="291" t="str">
        <f>IF('Fun Patches'!F26="A","E","")</f>
        <v/>
      </c>
      <c r="G75" s="292"/>
      <c r="H75" s="291" t="str">
        <f>IF('Fun Patches'!G26="A","E","")</f>
        <v/>
      </c>
      <c r="I75" s="292"/>
      <c r="J75" s="291" t="str">
        <f>IF('Fun Patches'!H26="A","E","")</f>
        <v/>
      </c>
      <c r="K75" s="292"/>
      <c r="L75" s="291" t="str">
        <f>IF('Fun Patches'!I26="A","E","")</f>
        <v/>
      </c>
      <c r="M75" s="292"/>
      <c r="N75" s="291" t="str">
        <f>IF('Fun Patches'!J26="A","E","")</f>
        <v/>
      </c>
      <c r="O75" s="292"/>
      <c r="P75" s="291" t="str">
        <f>IF('Fun Patches'!K26="A","E","")</f>
        <v/>
      </c>
      <c r="Q75" s="292"/>
      <c r="R75" s="291" t="str">
        <f>IF('Fun Patches'!L26="A","E","")</f>
        <v/>
      </c>
      <c r="S75" s="292"/>
      <c r="T75" s="291" t="str">
        <f>IF('Fun Patches'!M26="A","E","")</f>
        <v/>
      </c>
      <c r="U75" s="292"/>
      <c r="V75" s="291" t="str">
        <f>IF('Fun Patches'!N26="A","E","")</f>
        <v/>
      </c>
      <c r="W75" s="292"/>
      <c r="X75" s="291" t="str">
        <f>IF('Fun Patches'!O26="A","E","")</f>
        <v/>
      </c>
      <c r="Y75" s="292"/>
      <c r="Z75" s="291" t="str">
        <f>IF('Fun Patches'!P26="A","E","")</f>
        <v/>
      </c>
      <c r="AA75" s="292"/>
      <c r="AB75" s="291" t="str">
        <f>IF('Fun Patches'!Q26="A","E","")</f>
        <v/>
      </c>
      <c r="AC75" s="292"/>
      <c r="AD75" s="291" t="str">
        <f>IF('Fun Patches'!R26="A","E","")</f>
        <v/>
      </c>
      <c r="AE75" s="293"/>
    </row>
    <row r="76" spans="1:31" x14ac:dyDescent="0.2">
      <c r="A76" s="290" t="str">
        <f>'Fun Patches'!C27</f>
        <v>&lt;LIST PATCH HERE&gt;</v>
      </c>
      <c r="B76" s="291" t="str">
        <f>IF('Fun Patches'!D27="A","E","")</f>
        <v/>
      </c>
      <c r="C76" s="292"/>
      <c r="D76" s="291" t="str">
        <f>IF('Fun Patches'!E27="A","E","")</f>
        <v/>
      </c>
      <c r="E76" s="292"/>
      <c r="F76" s="291" t="str">
        <f>IF('Fun Patches'!F27="A","E","")</f>
        <v/>
      </c>
      <c r="G76" s="292"/>
      <c r="H76" s="291" t="str">
        <f>IF('Fun Patches'!G27="A","E","")</f>
        <v/>
      </c>
      <c r="I76" s="292"/>
      <c r="J76" s="291" t="str">
        <f>IF('Fun Patches'!H27="A","E","")</f>
        <v/>
      </c>
      <c r="K76" s="292"/>
      <c r="L76" s="291" t="str">
        <f>IF('Fun Patches'!I27="A","E","")</f>
        <v/>
      </c>
      <c r="M76" s="292"/>
      <c r="N76" s="291" t="str">
        <f>IF('Fun Patches'!J27="A","E","")</f>
        <v/>
      </c>
      <c r="O76" s="292"/>
      <c r="P76" s="291" t="str">
        <f>IF('Fun Patches'!K27="A","E","")</f>
        <v/>
      </c>
      <c r="Q76" s="292"/>
      <c r="R76" s="291" t="str">
        <f>IF('Fun Patches'!L27="A","E","")</f>
        <v/>
      </c>
      <c r="S76" s="292"/>
      <c r="T76" s="291" t="str">
        <f>IF('Fun Patches'!M27="A","E","")</f>
        <v/>
      </c>
      <c r="U76" s="292"/>
      <c r="V76" s="291" t="str">
        <f>IF('Fun Patches'!N27="A","E","")</f>
        <v/>
      </c>
      <c r="W76" s="292"/>
      <c r="X76" s="291" t="str">
        <f>IF('Fun Patches'!O27="A","E","")</f>
        <v/>
      </c>
      <c r="Y76" s="292"/>
      <c r="Z76" s="291" t="str">
        <f>IF('Fun Patches'!P27="A","E","")</f>
        <v/>
      </c>
      <c r="AA76" s="292"/>
      <c r="AB76" s="291" t="str">
        <f>IF('Fun Patches'!Q27="A","E","")</f>
        <v/>
      </c>
      <c r="AC76" s="292"/>
      <c r="AD76" s="291" t="str">
        <f>IF('Fun Patches'!R27="A","E","")</f>
        <v/>
      </c>
      <c r="AE76" s="293"/>
    </row>
    <row r="77" spans="1:31" x14ac:dyDescent="0.2">
      <c r="A77" s="290" t="str">
        <f>'Fun Patches'!C28</f>
        <v>&lt;LIST PATCH HERE&gt;</v>
      </c>
      <c r="B77" s="291" t="str">
        <f>IF('Fun Patches'!D28="A","E","")</f>
        <v/>
      </c>
      <c r="C77" s="292"/>
      <c r="D77" s="291" t="str">
        <f>IF('Fun Patches'!E28="A","E","")</f>
        <v/>
      </c>
      <c r="E77" s="292"/>
      <c r="F77" s="291" t="str">
        <f>IF('Fun Patches'!F28="A","E","")</f>
        <v/>
      </c>
      <c r="G77" s="292"/>
      <c r="H77" s="291" t="str">
        <f>IF('Fun Patches'!G28="A","E","")</f>
        <v/>
      </c>
      <c r="I77" s="292"/>
      <c r="J77" s="291" t="str">
        <f>IF('Fun Patches'!H28="A","E","")</f>
        <v/>
      </c>
      <c r="K77" s="292"/>
      <c r="L77" s="291" t="str">
        <f>IF('Fun Patches'!I28="A","E","")</f>
        <v/>
      </c>
      <c r="M77" s="292"/>
      <c r="N77" s="291" t="str">
        <f>IF('Fun Patches'!J28="A","E","")</f>
        <v/>
      </c>
      <c r="O77" s="292"/>
      <c r="P77" s="291" t="str">
        <f>IF('Fun Patches'!K28="A","E","")</f>
        <v/>
      </c>
      <c r="Q77" s="292"/>
      <c r="R77" s="291" t="str">
        <f>IF('Fun Patches'!L28="A","E","")</f>
        <v/>
      </c>
      <c r="S77" s="292"/>
      <c r="T77" s="291" t="str">
        <f>IF('Fun Patches'!M28="A","E","")</f>
        <v/>
      </c>
      <c r="U77" s="292"/>
      <c r="V77" s="291" t="str">
        <f>IF('Fun Patches'!N28="A","E","")</f>
        <v/>
      </c>
      <c r="W77" s="292"/>
      <c r="X77" s="291" t="str">
        <f>IF('Fun Patches'!O28="A","E","")</f>
        <v/>
      </c>
      <c r="Y77" s="292"/>
      <c r="Z77" s="291" t="str">
        <f>IF('Fun Patches'!P28="A","E","")</f>
        <v/>
      </c>
      <c r="AA77" s="292"/>
      <c r="AB77" s="291" t="str">
        <f>IF('Fun Patches'!Q28="A","E","")</f>
        <v/>
      </c>
      <c r="AC77" s="292"/>
      <c r="AD77" s="291" t="str">
        <f>IF('Fun Patches'!R28="A","E","")</f>
        <v/>
      </c>
      <c r="AE77" s="293"/>
    </row>
    <row r="78" spans="1:31" x14ac:dyDescent="0.2">
      <c r="A78" s="290" t="str">
        <f>'Fun Patches'!C29</f>
        <v>&lt;LIST PATCH HERE&gt;</v>
      </c>
      <c r="B78" s="291" t="str">
        <f>IF('Fun Patches'!D29="A","E","")</f>
        <v/>
      </c>
      <c r="C78" s="292"/>
      <c r="D78" s="291" t="str">
        <f>IF('Fun Patches'!E29="A","E","")</f>
        <v/>
      </c>
      <c r="E78" s="292"/>
      <c r="F78" s="291" t="str">
        <f>IF('Fun Patches'!F29="A","E","")</f>
        <v/>
      </c>
      <c r="G78" s="292"/>
      <c r="H78" s="291" t="str">
        <f>IF('Fun Patches'!G29="A","E","")</f>
        <v/>
      </c>
      <c r="I78" s="292"/>
      <c r="J78" s="291" t="str">
        <f>IF('Fun Patches'!H29="A","E","")</f>
        <v/>
      </c>
      <c r="K78" s="292"/>
      <c r="L78" s="291" t="str">
        <f>IF('Fun Patches'!I29="A","E","")</f>
        <v/>
      </c>
      <c r="M78" s="292"/>
      <c r="N78" s="291" t="str">
        <f>IF('Fun Patches'!J29="A","E","")</f>
        <v/>
      </c>
      <c r="O78" s="292"/>
      <c r="P78" s="291" t="str">
        <f>IF('Fun Patches'!K29="A","E","")</f>
        <v/>
      </c>
      <c r="Q78" s="292"/>
      <c r="R78" s="291" t="str">
        <f>IF('Fun Patches'!L29="A","E","")</f>
        <v/>
      </c>
      <c r="S78" s="292"/>
      <c r="T78" s="291" t="str">
        <f>IF('Fun Patches'!M29="A","E","")</f>
        <v/>
      </c>
      <c r="U78" s="292"/>
      <c r="V78" s="291" t="str">
        <f>IF('Fun Patches'!N29="A","E","")</f>
        <v/>
      </c>
      <c r="W78" s="292"/>
      <c r="X78" s="291" t="str">
        <f>IF('Fun Patches'!O29="A","E","")</f>
        <v/>
      </c>
      <c r="Y78" s="292"/>
      <c r="Z78" s="291" t="str">
        <f>IF('Fun Patches'!P29="A","E","")</f>
        <v/>
      </c>
      <c r="AA78" s="292"/>
      <c r="AB78" s="291" t="str">
        <f>IF('Fun Patches'!Q29="A","E","")</f>
        <v/>
      </c>
      <c r="AC78" s="292"/>
      <c r="AD78" s="291" t="str">
        <f>IF('Fun Patches'!R29="A","E","")</f>
        <v/>
      </c>
      <c r="AE78" s="293"/>
    </row>
    <row r="79" spans="1:31" x14ac:dyDescent="0.2">
      <c r="A79" s="290" t="str">
        <f>'Fun Patches'!C30</f>
        <v>&lt;LIST PATCH HERE&gt;</v>
      </c>
      <c r="B79" s="291" t="str">
        <f>IF('Fun Patches'!D30="A","E","")</f>
        <v/>
      </c>
      <c r="C79" s="292"/>
      <c r="D79" s="291" t="str">
        <f>IF('Fun Patches'!E30="A","E","")</f>
        <v/>
      </c>
      <c r="E79" s="292"/>
      <c r="F79" s="291" t="str">
        <f>IF('Fun Patches'!F30="A","E","")</f>
        <v/>
      </c>
      <c r="G79" s="292"/>
      <c r="H79" s="291" t="str">
        <f>IF('Fun Patches'!G30="A","E","")</f>
        <v/>
      </c>
      <c r="I79" s="292"/>
      <c r="J79" s="291" t="str">
        <f>IF('Fun Patches'!H30="A","E","")</f>
        <v/>
      </c>
      <c r="K79" s="292"/>
      <c r="L79" s="291" t="str">
        <f>IF('Fun Patches'!I30="A","E","")</f>
        <v/>
      </c>
      <c r="M79" s="292"/>
      <c r="N79" s="291" t="str">
        <f>IF('Fun Patches'!J30="A","E","")</f>
        <v/>
      </c>
      <c r="O79" s="292"/>
      <c r="P79" s="291" t="str">
        <f>IF('Fun Patches'!K30="A","E","")</f>
        <v/>
      </c>
      <c r="Q79" s="292"/>
      <c r="R79" s="291" t="str">
        <f>IF('Fun Patches'!L30="A","E","")</f>
        <v/>
      </c>
      <c r="S79" s="292"/>
      <c r="T79" s="291" t="str">
        <f>IF('Fun Patches'!M30="A","E","")</f>
        <v/>
      </c>
      <c r="U79" s="292"/>
      <c r="V79" s="291" t="str">
        <f>IF('Fun Patches'!N30="A","E","")</f>
        <v/>
      </c>
      <c r="W79" s="292"/>
      <c r="X79" s="291" t="str">
        <f>IF('Fun Patches'!O30="A","E","")</f>
        <v/>
      </c>
      <c r="Y79" s="292"/>
      <c r="Z79" s="291" t="str">
        <f>IF('Fun Patches'!P30="A","E","")</f>
        <v/>
      </c>
      <c r="AA79" s="292"/>
      <c r="AB79" s="291" t="str">
        <f>IF('Fun Patches'!Q30="A","E","")</f>
        <v/>
      </c>
      <c r="AC79" s="292"/>
      <c r="AD79" s="291" t="str">
        <f>IF('Fun Patches'!R30="A","E","")</f>
        <v/>
      </c>
      <c r="AE79" s="293"/>
    </row>
    <row r="80" spans="1:31" x14ac:dyDescent="0.2">
      <c r="A80" s="290" t="str">
        <f>'Fun Patches'!C31</f>
        <v>&lt;LIST PATCH HERE&gt;</v>
      </c>
      <c r="B80" s="291" t="str">
        <f>IF('Fun Patches'!D31="A","E","")</f>
        <v/>
      </c>
      <c r="C80" s="292"/>
      <c r="D80" s="291" t="str">
        <f>IF('Fun Patches'!E31="A","E","")</f>
        <v/>
      </c>
      <c r="E80" s="292"/>
      <c r="F80" s="291" t="str">
        <f>IF('Fun Patches'!F31="A","E","")</f>
        <v/>
      </c>
      <c r="G80" s="292"/>
      <c r="H80" s="291" t="str">
        <f>IF('Fun Patches'!G31="A","E","")</f>
        <v/>
      </c>
      <c r="I80" s="292"/>
      <c r="J80" s="291" t="str">
        <f>IF('Fun Patches'!H31="A","E","")</f>
        <v/>
      </c>
      <c r="K80" s="292"/>
      <c r="L80" s="291" t="str">
        <f>IF('Fun Patches'!I31="A","E","")</f>
        <v/>
      </c>
      <c r="M80" s="292"/>
      <c r="N80" s="291" t="str">
        <f>IF('Fun Patches'!J31="A","E","")</f>
        <v/>
      </c>
      <c r="O80" s="292"/>
      <c r="P80" s="291" t="str">
        <f>IF('Fun Patches'!K31="A","E","")</f>
        <v/>
      </c>
      <c r="Q80" s="292"/>
      <c r="R80" s="291" t="str">
        <f>IF('Fun Patches'!L31="A","E","")</f>
        <v/>
      </c>
      <c r="S80" s="292"/>
      <c r="T80" s="291" t="str">
        <f>IF('Fun Patches'!M31="A","E","")</f>
        <v/>
      </c>
      <c r="U80" s="292"/>
      <c r="V80" s="291" t="str">
        <f>IF('Fun Patches'!N31="A","E","")</f>
        <v/>
      </c>
      <c r="W80" s="292"/>
      <c r="X80" s="291" t="str">
        <f>IF('Fun Patches'!O31="A","E","")</f>
        <v/>
      </c>
      <c r="Y80" s="292"/>
      <c r="Z80" s="291" t="str">
        <f>IF('Fun Patches'!P31="A","E","")</f>
        <v/>
      </c>
      <c r="AA80" s="292"/>
      <c r="AB80" s="291" t="str">
        <f>IF('Fun Patches'!Q31="A","E","")</f>
        <v/>
      </c>
      <c r="AC80" s="292"/>
      <c r="AD80" s="291" t="str">
        <f>IF('Fun Patches'!R31="A","E","")</f>
        <v/>
      </c>
      <c r="AE80" s="293"/>
    </row>
    <row r="81" spans="1:31" x14ac:dyDescent="0.2">
      <c r="A81" s="290" t="str">
        <f>'Fun Patches'!C32</f>
        <v>&lt;LIST PATCH HERE&gt;</v>
      </c>
      <c r="B81" s="291" t="str">
        <f>IF('Fun Patches'!D32="A","E","")</f>
        <v/>
      </c>
      <c r="C81" s="292"/>
      <c r="D81" s="291" t="str">
        <f>IF('Fun Patches'!E32="A","E","")</f>
        <v/>
      </c>
      <c r="E81" s="292"/>
      <c r="F81" s="291" t="str">
        <f>IF('Fun Patches'!F32="A","E","")</f>
        <v/>
      </c>
      <c r="G81" s="292"/>
      <c r="H81" s="291" t="str">
        <f>IF('Fun Patches'!G32="A","E","")</f>
        <v/>
      </c>
      <c r="I81" s="292"/>
      <c r="J81" s="291" t="str">
        <f>IF('Fun Patches'!H32="A","E","")</f>
        <v/>
      </c>
      <c r="K81" s="292"/>
      <c r="L81" s="291" t="str">
        <f>IF('Fun Patches'!I32="A","E","")</f>
        <v/>
      </c>
      <c r="M81" s="292"/>
      <c r="N81" s="291" t="str">
        <f>IF('Fun Patches'!J32="A","E","")</f>
        <v/>
      </c>
      <c r="O81" s="292"/>
      <c r="P81" s="291" t="str">
        <f>IF('Fun Patches'!K32="A","E","")</f>
        <v/>
      </c>
      <c r="Q81" s="292"/>
      <c r="R81" s="291" t="str">
        <f>IF('Fun Patches'!L32="A","E","")</f>
        <v/>
      </c>
      <c r="S81" s="292"/>
      <c r="T81" s="291" t="str">
        <f>IF('Fun Patches'!M32="A","E","")</f>
        <v/>
      </c>
      <c r="U81" s="292"/>
      <c r="V81" s="291" t="str">
        <f>IF('Fun Patches'!N32="A","E","")</f>
        <v/>
      </c>
      <c r="W81" s="292"/>
      <c r="X81" s="291" t="str">
        <f>IF('Fun Patches'!O32="A","E","")</f>
        <v/>
      </c>
      <c r="Y81" s="292"/>
      <c r="Z81" s="291" t="str">
        <f>IF('Fun Patches'!P32="A","E","")</f>
        <v/>
      </c>
      <c r="AA81" s="292"/>
      <c r="AB81" s="291" t="str">
        <f>IF('Fun Patches'!Q32="A","E","")</f>
        <v/>
      </c>
      <c r="AC81" s="292"/>
      <c r="AD81" s="291" t="str">
        <f>IF('Fun Patches'!R32="A","E","")</f>
        <v/>
      </c>
      <c r="AE81" s="293"/>
    </row>
    <row r="82" spans="1:31" x14ac:dyDescent="0.2">
      <c r="A82" s="290" t="str">
        <f>'Fun Patches'!C33</f>
        <v>&lt;LIST PATCH HERE&gt;</v>
      </c>
      <c r="B82" s="291" t="str">
        <f>IF('Fun Patches'!D33="A","E","")</f>
        <v/>
      </c>
      <c r="C82" s="292"/>
      <c r="D82" s="291" t="str">
        <f>IF('Fun Patches'!E33="A","E","")</f>
        <v/>
      </c>
      <c r="E82" s="292"/>
      <c r="F82" s="291" t="str">
        <f>IF('Fun Patches'!F33="A","E","")</f>
        <v/>
      </c>
      <c r="G82" s="292"/>
      <c r="H82" s="291" t="str">
        <f>IF('Fun Patches'!G33="A","E","")</f>
        <v/>
      </c>
      <c r="I82" s="292"/>
      <c r="J82" s="291" t="str">
        <f>IF('Fun Patches'!H33="A","E","")</f>
        <v/>
      </c>
      <c r="K82" s="292"/>
      <c r="L82" s="291" t="str">
        <f>IF('Fun Patches'!I33="A","E","")</f>
        <v/>
      </c>
      <c r="M82" s="292"/>
      <c r="N82" s="291" t="str">
        <f>IF('Fun Patches'!J33="A","E","")</f>
        <v/>
      </c>
      <c r="O82" s="292"/>
      <c r="P82" s="291" t="str">
        <f>IF('Fun Patches'!K33="A","E","")</f>
        <v/>
      </c>
      <c r="Q82" s="292"/>
      <c r="R82" s="291" t="str">
        <f>IF('Fun Patches'!L33="A","E","")</f>
        <v/>
      </c>
      <c r="S82" s="292"/>
      <c r="T82" s="291" t="str">
        <f>IF('Fun Patches'!M33="A","E","")</f>
        <v/>
      </c>
      <c r="U82" s="292"/>
      <c r="V82" s="291" t="str">
        <f>IF('Fun Patches'!N33="A","E","")</f>
        <v/>
      </c>
      <c r="W82" s="292"/>
      <c r="X82" s="291" t="str">
        <f>IF('Fun Patches'!O33="A","E","")</f>
        <v/>
      </c>
      <c r="Y82" s="292"/>
      <c r="Z82" s="291" t="str">
        <f>IF('Fun Patches'!P33="A","E","")</f>
        <v/>
      </c>
      <c r="AA82" s="292"/>
      <c r="AB82" s="291" t="str">
        <f>IF('Fun Patches'!Q33="A","E","")</f>
        <v/>
      </c>
      <c r="AC82" s="292"/>
      <c r="AD82" s="291" t="str">
        <f>IF('Fun Patches'!R33="A","E","")</f>
        <v/>
      </c>
      <c r="AE82" s="293"/>
    </row>
    <row r="83" spans="1:31" x14ac:dyDescent="0.2">
      <c r="A83" s="290" t="str">
        <f>'Fun Patches'!C34</f>
        <v>&lt;LIST PATCH HERE&gt;</v>
      </c>
      <c r="B83" s="291" t="str">
        <f>IF('Fun Patches'!D34="A","E","")</f>
        <v/>
      </c>
      <c r="C83" s="292"/>
      <c r="D83" s="291" t="str">
        <f>IF('Fun Patches'!E34="A","E","")</f>
        <v/>
      </c>
      <c r="E83" s="292"/>
      <c r="F83" s="291" t="str">
        <f>IF('Fun Patches'!F34="A","E","")</f>
        <v/>
      </c>
      <c r="G83" s="292"/>
      <c r="H83" s="291" t="str">
        <f>IF('Fun Patches'!G34="A","E","")</f>
        <v/>
      </c>
      <c r="I83" s="292"/>
      <c r="J83" s="291" t="str">
        <f>IF('Fun Patches'!H34="A","E","")</f>
        <v/>
      </c>
      <c r="K83" s="292"/>
      <c r="L83" s="291" t="str">
        <f>IF('Fun Patches'!I34="A","E","")</f>
        <v/>
      </c>
      <c r="M83" s="292"/>
      <c r="N83" s="291" t="str">
        <f>IF('Fun Patches'!J34="A","E","")</f>
        <v/>
      </c>
      <c r="O83" s="292"/>
      <c r="P83" s="291" t="str">
        <f>IF('Fun Patches'!K34="A","E","")</f>
        <v/>
      </c>
      <c r="Q83" s="292"/>
      <c r="R83" s="291" t="str">
        <f>IF('Fun Patches'!L34="A","E","")</f>
        <v/>
      </c>
      <c r="S83" s="292"/>
      <c r="T83" s="291" t="str">
        <f>IF('Fun Patches'!M34="A","E","")</f>
        <v/>
      </c>
      <c r="U83" s="292"/>
      <c r="V83" s="291" t="str">
        <f>IF('Fun Patches'!N34="A","E","")</f>
        <v/>
      </c>
      <c r="W83" s="292"/>
      <c r="X83" s="291" t="str">
        <f>IF('Fun Patches'!O34="A","E","")</f>
        <v/>
      </c>
      <c r="Y83" s="292"/>
      <c r="Z83" s="291" t="str">
        <f>IF('Fun Patches'!P34="A","E","")</f>
        <v/>
      </c>
      <c r="AA83" s="292"/>
      <c r="AB83" s="291" t="str">
        <f>IF('Fun Patches'!Q34="A","E","")</f>
        <v/>
      </c>
      <c r="AC83" s="292"/>
      <c r="AD83" s="291" t="str">
        <f>IF('Fun Patches'!R34="A","E","")</f>
        <v/>
      </c>
      <c r="AE83" s="293"/>
    </row>
    <row r="84" spans="1:31" x14ac:dyDescent="0.2">
      <c r="A84" s="290" t="str">
        <f>'Fun Patches'!C35</f>
        <v>&lt;LIST PATCH HERE&gt;</v>
      </c>
      <c r="B84" s="291" t="str">
        <f>IF('Fun Patches'!D35="A","E","")</f>
        <v/>
      </c>
      <c r="C84" s="292"/>
      <c r="D84" s="291" t="str">
        <f>IF('Fun Patches'!E35="A","E","")</f>
        <v/>
      </c>
      <c r="E84" s="292"/>
      <c r="F84" s="291" t="str">
        <f>IF('Fun Patches'!F35="A","E","")</f>
        <v/>
      </c>
      <c r="G84" s="292"/>
      <c r="H84" s="291" t="str">
        <f>IF('Fun Patches'!G35="A","E","")</f>
        <v/>
      </c>
      <c r="I84" s="292"/>
      <c r="J84" s="291" t="str">
        <f>IF('Fun Patches'!H35="A","E","")</f>
        <v/>
      </c>
      <c r="K84" s="292"/>
      <c r="L84" s="291" t="str">
        <f>IF('Fun Patches'!I35="A","E","")</f>
        <v/>
      </c>
      <c r="M84" s="292"/>
      <c r="N84" s="291" t="str">
        <f>IF('Fun Patches'!J35="A","E","")</f>
        <v/>
      </c>
      <c r="O84" s="292"/>
      <c r="P84" s="291" t="str">
        <f>IF('Fun Patches'!K35="A","E","")</f>
        <v/>
      </c>
      <c r="Q84" s="292"/>
      <c r="R84" s="291" t="str">
        <f>IF('Fun Patches'!L35="A","E","")</f>
        <v/>
      </c>
      <c r="S84" s="292"/>
      <c r="T84" s="291" t="str">
        <f>IF('Fun Patches'!M35="A","E","")</f>
        <v/>
      </c>
      <c r="U84" s="292"/>
      <c r="V84" s="291" t="str">
        <f>IF('Fun Patches'!N35="A","E","")</f>
        <v/>
      </c>
      <c r="W84" s="292"/>
      <c r="X84" s="291" t="str">
        <f>IF('Fun Patches'!O35="A","E","")</f>
        <v/>
      </c>
      <c r="Y84" s="292"/>
      <c r="Z84" s="291" t="str">
        <f>IF('Fun Patches'!P35="A","E","")</f>
        <v/>
      </c>
      <c r="AA84" s="292"/>
      <c r="AB84" s="291" t="str">
        <f>IF('Fun Patches'!Q35="A","E","")</f>
        <v/>
      </c>
      <c r="AC84" s="292"/>
      <c r="AD84" s="291" t="str">
        <f>IF('Fun Patches'!R35="A","E","")</f>
        <v/>
      </c>
      <c r="AE84" s="293"/>
    </row>
    <row r="85" spans="1:31" x14ac:dyDescent="0.2">
      <c r="A85" s="290" t="str">
        <f>'Fun Patches'!C36</f>
        <v>&lt;LIST PATCH HERE&gt;</v>
      </c>
      <c r="B85" s="291" t="str">
        <f>IF('Fun Patches'!D36="A","E","")</f>
        <v/>
      </c>
      <c r="C85" s="292"/>
      <c r="D85" s="291" t="str">
        <f>IF('Fun Patches'!E36="A","E","")</f>
        <v/>
      </c>
      <c r="E85" s="292"/>
      <c r="F85" s="291" t="str">
        <f>IF('Fun Patches'!F36="A","E","")</f>
        <v/>
      </c>
      <c r="G85" s="292"/>
      <c r="H85" s="291" t="str">
        <f>IF('Fun Patches'!G36="A","E","")</f>
        <v/>
      </c>
      <c r="I85" s="292"/>
      <c r="J85" s="291" t="str">
        <f>IF('Fun Patches'!H36="A","E","")</f>
        <v/>
      </c>
      <c r="K85" s="292"/>
      <c r="L85" s="291" t="str">
        <f>IF('Fun Patches'!I36="A","E","")</f>
        <v/>
      </c>
      <c r="M85" s="292"/>
      <c r="N85" s="291" t="str">
        <f>IF('Fun Patches'!J36="A","E","")</f>
        <v/>
      </c>
      <c r="O85" s="292"/>
      <c r="P85" s="291" t="str">
        <f>IF('Fun Patches'!K36="A","E","")</f>
        <v/>
      </c>
      <c r="Q85" s="292"/>
      <c r="R85" s="291" t="str">
        <f>IF('Fun Patches'!L36="A","E","")</f>
        <v/>
      </c>
      <c r="S85" s="292"/>
      <c r="T85" s="291" t="str">
        <f>IF('Fun Patches'!M36="A","E","")</f>
        <v/>
      </c>
      <c r="U85" s="292"/>
      <c r="V85" s="291" t="str">
        <f>IF('Fun Patches'!N36="A","E","")</f>
        <v/>
      </c>
      <c r="W85" s="292"/>
      <c r="X85" s="291" t="str">
        <f>IF('Fun Patches'!O36="A","E","")</f>
        <v/>
      </c>
      <c r="Y85" s="292"/>
      <c r="Z85" s="291" t="str">
        <f>IF('Fun Patches'!P36="A","E","")</f>
        <v/>
      </c>
      <c r="AA85" s="292"/>
      <c r="AB85" s="291" t="str">
        <f>IF('Fun Patches'!Q36="A","E","")</f>
        <v/>
      </c>
      <c r="AC85" s="292"/>
      <c r="AD85" s="291" t="str">
        <f>IF('Fun Patches'!R36="A","E","")</f>
        <v/>
      </c>
      <c r="AE85" s="293"/>
    </row>
    <row r="86" spans="1:31" x14ac:dyDescent="0.2">
      <c r="A86" s="290" t="str">
        <f>'Fun Patches'!C37</f>
        <v>&lt;LIST PATCH HERE&gt;</v>
      </c>
      <c r="B86" s="291" t="str">
        <f>IF('Fun Patches'!D37="A","E","")</f>
        <v/>
      </c>
      <c r="C86" s="292"/>
      <c r="D86" s="291" t="str">
        <f>IF('Fun Patches'!E37="A","E","")</f>
        <v/>
      </c>
      <c r="E86" s="292"/>
      <c r="F86" s="291" t="str">
        <f>IF('Fun Patches'!F37="A","E","")</f>
        <v/>
      </c>
      <c r="G86" s="292"/>
      <c r="H86" s="291" t="str">
        <f>IF('Fun Patches'!G37="A","E","")</f>
        <v/>
      </c>
      <c r="I86" s="292"/>
      <c r="J86" s="291" t="str">
        <f>IF('Fun Patches'!H37="A","E","")</f>
        <v/>
      </c>
      <c r="K86" s="292"/>
      <c r="L86" s="291" t="str">
        <f>IF('Fun Patches'!I37="A","E","")</f>
        <v/>
      </c>
      <c r="M86" s="292"/>
      <c r="N86" s="291" t="str">
        <f>IF('Fun Patches'!J37="A","E","")</f>
        <v/>
      </c>
      <c r="O86" s="292"/>
      <c r="P86" s="291" t="str">
        <f>IF('Fun Patches'!K37="A","E","")</f>
        <v/>
      </c>
      <c r="Q86" s="292"/>
      <c r="R86" s="291" t="str">
        <f>IF('Fun Patches'!L37="A","E","")</f>
        <v/>
      </c>
      <c r="S86" s="292"/>
      <c r="T86" s="291" t="str">
        <f>IF('Fun Patches'!M37="A","E","")</f>
        <v/>
      </c>
      <c r="U86" s="292"/>
      <c r="V86" s="291" t="str">
        <f>IF('Fun Patches'!N37="A","E","")</f>
        <v/>
      </c>
      <c r="W86" s="292"/>
      <c r="X86" s="291" t="str">
        <f>IF('Fun Patches'!O37="A","E","")</f>
        <v/>
      </c>
      <c r="Y86" s="292"/>
      <c r="Z86" s="291" t="str">
        <f>IF('Fun Patches'!P37="A","E","")</f>
        <v/>
      </c>
      <c r="AA86" s="292"/>
      <c r="AB86" s="291" t="str">
        <f>IF('Fun Patches'!Q37="A","E","")</f>
        <v/>
      </c>
      <c r="AC86" s="292"/>
      <c r="AD86" s="291" t="str">
        <f>IF('Fun Patches'!R37="A","E","")</f>
        <v/>
      </c>
      <c r="AE86" s="293"/>
    </row>
    <row r="87" spans="1:31" x14ac:dyDescent="0.2">
      <c r="A87" s="290" t="str">
        <f>'Fun Patches'!C38</f>
        <v>&lt;LIST PATCH HERE&gt;</v>
      </c>
      <c r="B87" s="291" t="str">
        <f>IF('Fun Patches'!D38="A","E","")</f>
        <v/>
      </c>
      <c r="C87" s="292"/>
      <c r="D87" s="291" t="str">
        <f>IF('Fun Patches'!E38="A","E","")</f>
        <v/>
      </c>
      <c r="E87" s="292"/>
      <c r="F87" s="291" t="str">
        <f>IF('Fun Patches'!F38="A","E","")</f>
        <v/>
      </c>
      <c r="G87" s="292"/>
      <c r="H87" s="291" t="str">
        <f>IF('Fun Patches'!G38="A","E","")</f>
        <v/>
      </c>
      <c r="I87" s="292"/>
      <c r="J87" s="291" t="str">
        <f>IF('Fun Patches'!H38="A","E","")</f>
        <v/>
      </c>
      <c r="K87" s="292"/>
      <c r="L87" s="291" t="str">
        <f>IF('Fun Patches'!I38="A","E","")</f>
        <v/>
      </c>
      <c r="M87" s="292"/>
      <c r="N87" s="291" t="str">
        <f>IF('Fun Patches'!J38="A","E","")</f>
        <v/>
      </c>
      <c r="O87" s="292"/>
      <c r="P87" s="291" t="str">
        <f>IF('Fun Patches'!K38="A","E","")</f>
        <v/>
      </c>
      <c r="Q87" s="292"/>
      <c r="R87" s="291" t="str">
        <f>IF('Fun Patches'!L38="A","E","")</f>
        <v/>
      </c>
      <c r="S87" s="292"/>
      <c r="T87" s="291" t="str">
        <f>IF('Fun Patches'!M38="A","E","")</f>
        <v/>
      </c>
      <c r="U87" s="292"/>
      <c r="V87" s="291" t="str">
        <f>IF('Fun Patches'!N38="A","E","")</f>
        <v/>
      </c>
      <c r="W87" s="292"/>
      <c r="X87" s="291" t="str">
        <f>IF('Fun Patches'!O38="A","E","")</f>
        <v/>
      </c>
      <c r="Y87" s="292"/>
      <c r="Z87" s="291" t="str">
        <f>IF('Fun Patches'!P38="A","E","")</f>
        <v/>
      </c>
      <c r="AA87" s="292"/>
      <c r="AB87" s="291" t="str">
        <f>IF('Fun Patches'!Q38="A","E","")</f>
        <v/>
      </c>
      <c r="AC87" s="292"/>
      <c r="AD87" s="291" t="str">
        <f>IF('Fun Patches'!R38="A","E","")</f>
        <v/>
      </c>
      <c r="AE87" s="293"/>
    </row>
  </sheetData>
  <sheetProtection password="9A15" sheet="1" objects="1" scenarios="1" selectLockedCells="1"/>
  <protectedRanges>
    <protectedRange sqref="E21 G21 I21 K21 M21 O21 Q21 S21 U21 W21 Y21 AC21 AE21 AE28 K28 Y28 G28 M28 O28 E28 S28 U28 W28 AC28 Q28 I28 E3:E15 G3:G15 C3:C16 K3:K15 Q3:Q16 W3:W15 AC3:AC16 M3:M16 S3:S15 Y3:Y16 AE3:AE16 I3:I16 O3:O15 U3:U15 AA3:AA16" name="Range1"/>
  </protectedRanges>
  <mergeCells count="15">
    <mergeCell ref="Z1:AA1"/>
    <mergeCell ref="AB1:AC1"/>
    <mergeCell ref="AD1:AE1"/>
    <mergeCell ref="N1:O1"/>
    <mergeCell ref="P1:Q1"/>
    <mergeCell ref="R1:S1"/>
    <mergeCell ref="T1:U1"/>
    <mergeCell ref="V1:W1"/>
    <mergeCell ref="X1:Y1"/>
    <mergeCell ref="L1:M1"/>
    <mergeCell ref="B1:C1"/>
    <mergeCell ref="D1:E1"/>
    <mergeCell ref="F1:G1"/>
    <mergeCell ref="H1:I1"/>
    <mergeCell ref="J1:K1"/>
  </mergeCells>
  <conditionalFormatting sqref="B4:B10 H4:H10 J4:J10 L4:L10 N4:N10 P4:P10 R4:R10 T4:T10 V4:V10 X4:X10 Z4:Z10 AB4:AB10 AD4:AD10 D12 F12 J12 L12 P12 R12 V12 X12 AB12 AD12 B15 D15 F15 H15 J15 L15 N15 P15 R15 T15 V15 X15 Z15 AB15 AD15 B22:B26 D22:D26 F22:F26 H22:H26 J22:J26 L22:L26 N22:N26 P22:P26 R22:R26 T22:T26 V22:V26 X22:X26 Z22:Z26 AB22:AB26 AD22:AD26 D4:D10 F4:F10 B12:B13 H12:H13 N12:N13 T12:T13 Z12:Z13 AD28:AD87 AB28:AB87 Z28:Z87 X28:X87 V28:V87 T28:T87 R28:R87 P28:P87 N28:N87 L28:L87 B28:B87 D28:D87 F28:F87 J28:J87 H28:H87">
    <cfRule type="expression" dxfId="44" priority="8" stopIfTrue="1">
      <formula>IF(B4="E",IF(C4="",1,0),0)</formula>
    </cfRule>
  </conditionalFormatting>
  <conditionalFormatting sqref="B16">
    <cfRule type="expression" dxfId="43" priority="6" stopIfTrue="1">
      <formula>IF(B16="E",IF(C16="",1,0),0)</formula>
    </cfRule>
  </conditionalFormatting>
  <conditionalFormatting sqref="B27 D27 F27 H27 J27 L27 N27 P27 R27 T27 V27 X27 Z27 AB27 AD27">
    <cfRule type="expression" dxfId="42" priority="5" stopIfTrue="1">
      <formula>IF(B27="E",IF(C27="",1,0),0)</formula>
    </cfRule>
  </conditionalFormatting>
  <conditionalFormatting sqref="D13 J13 P13 V13 AB13">
    <cfRule type="expression" dxfId="41" priority="4" stopIfTrue="1">
      <formula>IF(D13="E",IF(E13="",1,0),0)</formula>
    </cfRule>
  </conditionalFormatting>
  <conditionalFormatting sqref="F13 L13 R13 X13 AD13">
    <cfRule type="expression" dxfId="40" priority="3" stopIfTrue="1">
      <formula>IF(F13="E",IF(G13="",1,0),0)</formula>
    </cfRule>
  </conditionalFormatting>
  <conditionalFormatting sqref="N16">
    <cfRule type="expression" dxfId="39" priority="9" stopIfTrue="1">
      <formula>IF(N16="E",IF(I16="",1,0),0)</formula>
    </cfRule>
  </conditionalFormatting>
  <conditionalFormatting sqref="H16 L16">
    <cfRule type="expression" dxfId="38" priority="10" stopIfTrue="1">
      <formula>IF(H16="E",IF(E16="",1,0),0)</formula>
    </cfRule>
  </conditionalFormatting>
  <conditionalFormatting sqref="D16">
    <cfRule type="expression" dxfId="37" priority="2" stopIfTrue="1">
      <formula>IF(D16="E",IF(#REF!="",1,0),0)</formula>
    </cfRule>
  </conditionalFormatting>
  <conditionalFormatting sqref="F16 J16">
    <cfRule type="expression" dxfId="36" priority="13" stopIfTrue="1">
      <formula>IF(F16="E",IF(D16="",1,0),0)</formula>
    </cfRule>
  </conditionalFormatting>
  <conditionalFormatting sqref="P16 R16">
    <cfRule type="expression" dxfId="35" priority="14" stopIfTrue="1">
      <formula>IF(P16="E",IF(J16="",1,0),0)</formula>
    </cfRule>
  </conditionalFormatting>
  <conditionalFormatting sqref="AD16">
    <cfRule type="expression" dxfId="34" priority="16" stopIfTrue="1">
      <formula>IF(AD16="E",IF(R16="",1,0),0)</formula>
    </cfRule>
  </conditionalFormatting>
  <conditionalFormatting sqref="AB16">
    <cfRule type="expression" dxfId="33" priority="18" stopIfTrue="1">
      <formula>IF(AB16="E",IF(Q16="",1,0),0)</formula>
    </cfRule>
  </conditionalFormatting>
  <conditionalFormatting sqref="Z16">
    <cfRule type="expression" dxfId="32" priority="20" stopIfTrue="1">
      <formula>IF(Z16="E",IF(P16="",1,0),0)</formula>
    </cfRule>
  </conditionalFormatting>
  <conditionalFormatting sqref="X16">
    <cfRule type="expression" dxfId="31" priority="22" stopIfTrue="1">
      <formula>IF(X16="E",IF(O16="",1,0),0)</formula>
    </cfRule>
  </conditionalFormatting>
  <conditionalFormatting sqref="V16">
    <cfRule type="expression" dxfId="30" priority="24" stopIfTrue="1">
      <formula>IF(V16="E",IF(N16="",1,0),0)</formula>
    </cfRule>
  </conditionalFormatting>
  <conditionalFormatting sqref="T16">
    <cfRule type="expression" dxfId="29" priority="26" stopIfTrue="1">
      <formula>IF(T16="E",IF(M16="",1,0),0)</formula>
    </cfRule>
  </conditionalFormatting>
  <conditionalFormatting sqref="X17 Z17 AB17 D17 F17 H17 J17 L17 N17 R17 T17 V17 AD17 P17 B17">
    <cfRule type="expression" dxfId="28" priority="1" stopIfTrue="1">
      <formula>IF(B17="E",IF(C17="",1,0),0)</formula>
    </cfRule>
  </conditionalFormatting>
  <conditionalFormatting sqref="AD18 B18">
    <cfRule type="expression" dxfId="27" priority="29" stopIfTrue="1">
      <formula>IF(B18="E",IF(D18="",1,0),0)</formula>
    </cfRule>
  </conditionalFormatting>
  <conditionalFormatting sqref="X18">
    <cfRule type="expression" dxfId="26" priority="31" stopIfTrue="1">
      <formula>IF(X18="E",IF(Z18="",1,0),0)</formula>
    </cfRule>
  </conditionalFormatting>
  <conditionalFormatting sqref="V18">
    <cfRule type="expression" dxfId="25" priority="33" stopIfTrue="1">
      <formula>IF(V18="E",IF(X18="",1,0),0)</formula>
    </cfRule>
  </conditionalFormatting>
  <conditionalFormatting sqref="T18">
    <cfRule type="expression" dxfId="24" priority="35" stopIfTrue="1">
      <formula>IF(T18="E",IF(V18="",1,0),0)</formula>
    </cfRule>
  </conditionalFormatting>
  <conditionalFormatting sqref="R18">
    <cfRule type="expression" dxfId="23" priority="37" stopIfTrue="1">
      <formula>IF(R18="E",IF(T18="",1,0),0)</formula>
    </cfRule>
  </conditionalFormatting>
  <conditionalFormatting sqref="P18">
    <cfRule type="expression" dxfId="22" priority="40" stopIfTrue="1">
      <formula>IF(P18="E",IF(R18="",1,0),0)</formula>
    </cfRule>
  </conditionalFormatting>
  <conditionalFormatting sqref="N18">
    <cfRule type="expression" dxfId="21" priority="42" stopIfTrue="1">
      <formula>IF(N18="E",IF(P18="",1,0),0)</formula>
    </cfRule>
  </conditionalFormatting>
  <conditionalFormatting sqref="L18">
    <cfRule type="expression" dxfId="20" priority="46" stopIfTrue="1">
      <formula>IF(L18="E",IF(N18="",1,0),0)</formula>
    </cfRule>
  </conditionalFormatting>
  <conditionalFormatting sqref="J18">
    <cfRule type="expression" dxfId="19" priority="48" stopIfTrue="1">
      <formula>IF(J18="E",IF(L18="",1,0),0)</formula>
    </cfRule>
  </conditionalFormatting>
  <conditionalFormatting sqref="H18">
    <cfRule type="expression" dxfId="18" priority="50" stopIfTrue="1">
      <formula>IF(H18="E",IF(J18="",1,0),0)</formula>
    </cfRule>
  </conditionalFormatting>
  <conditionalFormatting sqref="F18">
    <cfRule type="expression" dxfId="17" priority="52" stopIfTrue="1">
      <formula>IF(F18="E",IF(H18="",1,0),0)</formula>
    </cfRule>
  </conditionalFormatting>
  <conditionalFormatting sqref="D18">
    <cfRule type="expression" dxfId="16" priority="53" stopIfTrue="1">
      <formula>IF(D18="E",IF(F18="",1,0),0)</formula>
    </cfRule>
  </conditionalFormatting>
  <conditionalFormatting sqref="AB18">
    <cfRule type="expression" dxfId="15" priority="54" stopIfTrue="1">
      <formula>IF(AB18="E",IF(AE18="",1,0),0)</formula>
    </cfRule>
  </conditionalFormatting>
  <conditionalFormatting sqref="Z18">
    <cfRule type="expression" dxfId="14" priority="57" stopIfTrue="1">
      <formula>IF(Z18="E",IF(#REF!="",1,0),0)</formula>
    </cfRule>
  </conditionalFormatting>
  <conditionalFormatting sqref="Z19:Z20 B19:B20">
    <cfRule type="expression" dxfId="13" priority="60" stopIfTrue="1">
      <formula>IF(B19="E",IF(F19="",1,0),0)</formula>
    </cfRule>
  </conditionalFormatting>
  <conditionalFormatting sqref="X19:X20">
    <cfRule type="expression" dxfId="12" priority="62" stopIfTrue="1">
      <formula>IF(X19="E",IF(AB19="",1,0),0)</formula>
    </cfRule>
  </conditionalFormatting>
  <conditionalFormatting sqref="AB19:AB20">
    <cfRule type="expression" dxfId="11" priority="63" stopIfTrue="1">
      <formula>IF(AB19="E",IF(Q19="",1,0),0)</formula>
    </cfRule>
  </conditionalFormatting>
  <conditionalFormatting sqref="V19:V20">
    <cfRule type="expression" dxfId="10" priority="65" stopIfTrue="1">
      <formula>IF(V19="E",IF(Z19="",1,0),0)</formula>
    </cfRule>
  </conditionalFormatting>
  <conditionalFormatting sqref="T19:T20">
    <cfRule type="expression" dxfId="9" priority="67" stopIfTrue="1">
      <formula>IF(T19="E",IF(X19="",1,0),0)</formula>
    </cfRule>
  </conditionalFormatting>
  <conditionalFormatting sqref="R19:R20">
    <cfRule type="expression" dxfId="8" priority="69" stopIfTrue="1">
      <formula>IF(R19="E",IF(V19="",1,0),0)</formula>
    </cfRule>
  </conditionalFormatting>
  <conditionalFormatting sqref="P19:P20">
    <cfRule type="expression" dxfId="7" priority="71" stopIfTrue="1">
      <formula>IF(P19="E",IF(T19="",1,0),0)</formula>
    </cfRule>
  </conditionalFormatting>
  <conditionalFormatting sqref="N19:N20">
    <cfRule type="expression" dxfId="6" priority="73" stopIfTrue="1">
      <formula>IF(N19="E",IF(R19="",1,0),0)</formula>
    </cfRule>
  </conditionalFormatting>
  <conditionalFormatting sqref="AD19:AD20">
    <cfRule type="expression" dxfId="5" priority="74" stopIfTrue="1">
      <formula>IF(AD19="E",IF(#REF!="",1,0),0)</formula>
    </cfRule>
  </conditionalFormatting>
  <conditionalFormatting sqref="L19:L20">
    <cfRule type="expression" dxfId="4" priority="76" stopIfTrue="1">
      <formula>IF(L19="E",IF(P19="",1,0),0)</formula>
    </cfRule>
  </conditionalFormatting>
  <conditionalFormatting sqref="J19:J20">
    <cfRule type="expression" dxfId="3" priority="78" stopIfTrue="1">
      <formula>IF(J19="E",IF(N19="",1,0),0)</formula>
    </cfRule>
  </conditionalFormatting>
  <conditionalFormatting sqref="H19:H20">
    <cfRule type="expression" dxfId="2" priority="80" stopIfTrue="1">
      <formula>IF(H19="E",IF(L19="",1,0),0)</formula>
    </cfRule>
  </conditionalFormatting>
  <conditionalFormatting sqref="F19:F20">
    <cfRule type="expression" dxfId="1" priority="82" stopIfTrue="1">
      <formula>IF(F19="E",IF(J19="",1,0),0)</formula>
    </cfRule>
  </conditionalFormatting>
  <conditionalFormatting sqref="D19:D20">
    <cfRule type="expression" dxfId="0" priority="83" stopIfTrue="1">
      <formula>IF(D19="E",IF(H19="",1,0),0)</formula>
    </cfRule>
  </conditionalFormatting>
  <pageMargins left="0.7" right="0.7" top="0.75" bottom="0.75" header="0.25" footer="0.25"/>
  <pageSetup scale="72" orientation="portrait" horizontalDpi="300" verticalDpi="300" r:id="rId1"/>
  <headerFooter>
    <oddHeader>&amp;C&amp;"Arial,Bold"&amp;14CadetteTrax&amp;12
Summary Page - &amp;D</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pageSetUpPr fitToPage="1"/>
  </sheetPr>
  <dimension ref="A1:E50"/>
  <sheetViews>
    <sheetView showGridLines="0" zoomScaleNormal="100" workbookViewId="0">
      <selection activeCell="B18" sqref="B18"/>
    </sheetView>
  </sheetViews>
  <sheetFormatPr defaultRowHeight="12.75" x14ac:dyDescent="0.2"/>
  <cols>
    <col min="1" max="1" width="32.85546875" bestFit="1" customWidth="1"/>
    <col min="3" max="3" width="2.7109375" customWidth="1"/>
    <col min="4" max="4" width="32.85546875" bestFit="1" customWidth="1"/>
  </cols>
  <sheetData>
    <row r="1" spans="1:5" ht="15.75" x14ac:dyDescent="0.25">
      <c r="A1" s="219" t="s">
        <v>94</v>
      </c>
      <c r="B1" s="220" t="s">
        <v>95</v>
      </c>
      <c r="C1" s="221"/>
      <c r="D1" s="219" t="s">
        <v>94</v>
      </c>
      <c r="E1" s="220" t="s">
        <v>95</v>
      </c>
    </row>
    <row r="2" spans="1:5" x14ac:dyDescent="0.2">
      <c r="A2" s="178" t="str">
        <f>Summary!A3</f>
        <v>Legacy</v>
      </c>
      <c r="B2" s="185"/>
      <c r="C2" s="176"/>
      <c r="D2" s="178" t="s">
        <v>141</v>
      </c>
      <c r="E2" s="185"/>
    </row>
    <row r="3" spans="1:5" x14ac:dyDescent="0.2">
      <c r="A3" s="187" t="str">
        <f>Summary!A4</f>
        <v>Photography</v>
      </c>
      <c r="B3" s="186" t="str">
        <f>IF((COUNTIF(Summary!B4:AE4,"E")-COUNTIF(Summary!B4:AE4,"Y")&gt;0),(COUNTIF(Summary!B4:AE4,"E")-COUNTIF(Summary!B4:AE4,"Y")),"")</f>
        <v/>
      </c>
      <c r="C3" s="176"/>
      <c r="D3" s="187" t="str">
        <f>Summary!A44</f>
        <v>Global Action Award</v>
      </c>
      <c r="E3" s="91" t="str">
        <f>IF((COUNTIF(Summary!B44:AE44,"E")-COUNTIF(Summary!B44:AE44,"Y")&gt;0),(COUNTIF(Summary!B44:AE44,"E")-COUNTIF(Summary!B44:AE44,"Y")),"")</f>
        <v/>
      </c>
    </row>
    <row r="4" spans="1:5" x14ac:dyDescent="0.2">
      <c r="A4" s="187" t="str">
        <f>Summary!A5</f>
        <v>Coaching</v>
      </c>
      <c r="B4" s="186" t="str">
        <f>IF((COUNTIF(Summary!B5:AE5,"E")-COUNTIF(Summary!B5:AE5,"Y")&gt;0),(COUNTIF(Summary!B5:AE5,"E")-COUNTIF(Summary!B5:AE5,"Y")),"")</f>
        <v/>
      </c>
      <c r="C4" s="176"/>
      <c r="D4" s="187" t="str">
        <f>Summary!A45</f>
        <v>International Friendship Recognition</v>
      </c>
      <c r="E4" s="91" t="str">
        <f>IF((COUNTIF(Summary!B45:AE45,"E")-COUNTIF(Summary!B45:AE45,"Y")&gt;0),(COUNTIF(Summary!B45:AE45,"E")-COUNTIF(Summary!B45:AE45,"Y")),"")</f>
        <v/>
      </c>
    </row>
    <row r="5" spans="1:5" x14ac:dyDescent="0.2">
      <c r="A5" s="187" t="str">
        <f>Summary!A6</f>
        <v>Public Policy</v>
      </c>
      <c r="B5" s="186" t="str">
        <f>IF((COUNTIF(Summary!B6:AE6,"E")-COUNTIF(Summary!B6:AE6,"Y")&gt;0),(COUNTIF(Summary!B6:AE6,"E")-COUNTIF(Summary!B6:AE6,"Y")),"")</f>
        <v/>
      </c>
      <c r="C5" s="176"/>
      <c r="D5" s="187" t="str">
        <f>Summary!A46</f>
        <v>Investiture</v>
      </c>
      <c r="E5" s="91" t="str">
        <f>IF((COUNTIF(Summary!B46:AE46,"E")-COUNTIF(Summary!B46:AE46,"Y")&gt;0),(COUNTIF(Summary!B46:AE46,"E")-COUNTIF(Summary!B46:AE46,"Y")),"")</f>
        <v/>
      </c>
    </row>
    <row r="6" spans="1:5" x14ac:dyDescent="0.2">
      <c r="A6" s="187" t="str">
        <f>Summary!A7</f>
        <v>Dinner Party</v>
      </c>
      <c r="B6" s="186" t="str">
        <f>IF((COUNTIF(Summary!B7:AE7,"E")-COUNTIF(Summary!B7:AE7,"Y")&gt;0),(COUNTIF(Summary!B7:AE7,"E")-COUNTIF(Summary!B7:AE7,"Y")),"")</f>
        <v/>
      </c>
      <c r="C6" s="176"/>
      <c r="D6" s="187" t="str">
        <f>Summary!A47</f>
        <v>Rededication (1st year)</v>
      </c>
      <c r="E6" s="91" t="str">
        <f>IF((COUNTIF(Summary!B47:AE47,"E")-COUNTIF(Summary!B47:AE47,"Y")&gt;0),(COUNTIF(Summary!B47:AE47,"E")-COUNTIF(Summary!B47:AE47,"Y")),"")</f>
        <v/>
      </c>
    </row>
    <row r="7" spans="1:5" x14ac:dyDescent="0.2">
      <c r="A7" s="187" t="str">
        <f>Summary!A8</f>
        <v>Ambassador First Aid</v>
      </c>
      <c r="B7" s="186" t="str">
        <f>IF((COUNTIF(Summary!B8:AE8,"E")-COUNTIF(Summary!B8:AE8,"Y")&gt;0),(COUNTIF(Summary!B8:AE8,"E")-COUNTIF(Summary!B8:AE8,"Y")),"")</f>
        <v/>
      </c>
      <c r="C7" s="176"/>
      <c r="D7" s="187" t="str">
        <f>Summary!A48</f>
        <v>Rededication (2nd year)</v>
      </c>
      <c r="E7" s="91" t="str">
        <f>IF((COUNTIF(Summary!B48:AE48,"E")-COUNTIF(Summary!B48:AE48,"Y")&gt;0),(COUNTIF(Summary!B48:AE48,"E")-COUNTIF(Summary!B48:AE48,"Y")),"")</f>
        <v/>
      </c>
    </row>
    <row r="8" spans="1:5" x14ac:dyDescent="0.2">
      <c r="A8" s="187" t="str">
        <f>Summary!A9</f>
        <v>Ambassador Girl Scout Way</v>
      </c>
      <c r="B8" s="186" t="str">
        <f>IF((COUNTIF(Summary!B9:AE9,"E")-COUNTIF(Summary!B9:AE9,"Y")&gt;0),(COUNTIF(Summary!B9:AE9,"E")-COUNTIF(Summary!B9:AE9,"Y")),"")</f>
        <v/>
      </c>
      <c r="C8" s="176"/>
      <c r="D8" s="187" t="str">
        <f>Summary!A49</f>
        <v>My Promise, My Faith (Year 1)</v>
      </c>
      <c r="E8" s="91" t="str">
        <f>IF((COUNTIF(Summary!B49:AE49,"E")-COUNTIF(Summary!B49:AE49,"Y")&gt;0),(COUNTIF(Summary!B49:AE49,"E")-COUNTIF(Summary!B49:AE49,"Y")),"")</f>
        <v/>
      </c>
    </row>
    <row r="9" spans="1:5" x14ac:dyDescent="0.2">
      <c r="A9" s="187" t="str">
        <f>Summary!A10</f>
        <v>Water</v>
      </c>
      <c r="B9" s="186" t="str">
        <f>IF((COUNTIF(Summary!B10:AE10,"E")-COUNTIF(Summary!B10:AE10,"Y")&gt;0),(COUNTIF(Summary!B10:AE10,"E")-COUNTIF(Summary!B10:AE10,"Y")),"")</f>
        <v/>
      </c>
      <c r="C9" s="176"/>
      <c r="D9" s="187" t="str">
        <f>Summary!A50</f>
        <v>My Promise, My Faith (Year 2)</v>
      </c>
      <c r="E9" s="91" t="str">
        <f>IF((COUNTIF(Summary!B50:AE50,"E")-COUNTIF(Summary!B50:AE50,"Y")&gt;0),(COUNTIF(Summary!B50:AE50,"E")-COUNTIF(Summary!B50:AE50,"Y")),"")</f>
        <v/>
      </c>
    </row>
    <row r="10" spans="1:5" x14ac:dyDescent="0.2">
      <c r="A10" s="178" t="str">
        <f>Summary!A11</f>
        <v>Financial Literacy</v>
      </c>
      <c r="B10" s="188"/>
      <c r="C10" s="176"/>
      <c r="D10" s="187" t="str">
        <f>Summary!A51</f>
        <v>Safety Award</v>
      </c>
      <c r="E10" s="91" t="str">
        <f>IF((COUNTIF(Summary!B51:AE51,"E")-COUNTIF(Summary!B51:AE51,"Y")&gt;0),(COUNTIF(Summary!B51:AE51,"E")-COUNTIF(Summary!B51:AE51,"Y")),"")</f>
        <v/>
      </c>
    </row>
    <row r="11" spans="1:5" x14ac:dyDescent="0.2">
      <c r="A11" s="187" t="str">
        <f>Summary!A12</f>
        <v>On My Own</v>
      </c>
      <c r="B11" s="186" t="str">
        <f>IF((COUNTIF(Summary!B12:AE12,"E")-COUNTIF(Summary!B12:AE12,"Y")&gt;0),(COUNTIF(Summary!B12:AE12,"E")-COUNTIF(Summary!B12:AE12,"Y")),"")</f>
        <v/>
      </c>
      <c r="C11" s="176"/>
      <c r="D11" s="183" t="str">
        <f>Summary!A52</f>
        <v>Bridging to Adults</v>
      </c>
      <c r="E11" s="91" t="str">
        <f>IF((COUNTIF(Summary!B52:AE52,"E")-COUNTIF(Summary!B52:AE52,"Y")&gt;0),(COUNTIF(Summary!B52:AE52,"E")-COUNTIF(Summary!B52:AE52,"Y")),"")</f>
        <v/>
      </c>
    </row>
    <row r="12" spans="1:5" x14ac:dyDescent="0.2">
      <c r="A12" s="187" t="str">
        <f>Summary!A13</f>
        <v>Good Credit</v>
      </c>
      <c r="B12" s="186" t="str">
        <f>IF((COUNTIF(Summary!B13:AE13,"E")-COUNTIF(Summary!B13:AE13,"Y")&gt;0),(COUNTIF(Summary!B13:AE13,"E")-COUNTIF(Summary!B13:AE13,"Y")),"")</f>
        <v/>
      </c>
      <c r="C12" s="176"/>
      <c r="D12" s="182" t="s">
        <v>56</v>
      </c>
      <c r="E12" s="185"/>
    </row>
    <row r="13" spans="1:5" x14ac:dyDescent="0.2">
      <c r="A13" s="178" t="str">
        <f>Summary!A14</f>
        <v>Cookie Business</v>
      </c>
      <c r="B13" s="188"/>
      <c r="C13" s="176"/>
      <c r="D13" s="181" t="str">
        <f>Summary!A54</f>
        <v>&lt;LIST PATCH HERE&gt;</v>
      </c>
      <c r="E13" s="91" t="str">
        <f>IF((COUNTIF(Summary!B54:AE54,"E")-COUNTIF(Summary!B54:AE54,"Y")&gt;0),(COUNTIF(Summary!B54:AE54,"E")-COUNTIF(Summary!B54:AE54,"Y")),"")</f>
        <v/>
      </c>
    </row>
    <row r="14" spans="1:5" s="224" customFormat="1" x14ac:dyDescent="0.2">
      <c r="A14" s="187" t="str">
        <f>Summary!A15</f>
        <v>Research and Development</v>
      </c>
      <c r="B14" s="186" t="str">
        <f>IF((COUNTIF(Summary!B15:AE15,"E")-COUNTIF(Summary!B15:AE15,"Y")&gt;0),(COUNTIF(Summary!B15:AE15,"E")-COUNTIF(Summary!B15:AE15,"Y")),"")</f>
        <v/>
      </c>
      <c r="C14" s="222"/>
      <c r="D14" s="181" t="str">
        <f>Summary!A55</f>
        <v>&lt;LIST PATCH HERE&gt;</v>
      </c>
      <c r="E14" s="91" t="str">
        <f>IF((COUNTIF(Summary!B55:AE55,"E")-COUNTIF(Summary!B55:AE55,"Y")&gt;0),(COUNTIF(Summary!B55:AE55,"E")-COUNTIF(Summary!B55:AE55,"Y")),"")</f>
        <v/>
      </c>
    </row>
    <row r="15" spans="1:5" x14ac:dyDescent="0.2">
      <c r="A15" s="187" t="str">
        <f>Summary!A16</f>
        <v>P &amp; L</v>
      </c>
      <c r="B15" s="186" t="str">
        <f>IF((COUNTIF(Summary!B16:AE16,"E")-COUNTIF(Summary!B16:AE16,"Y")&gt;0),(COUNTIF(Summary!B16:AE16,"E")-COUNTIF(Summary!B16:AE16,"Y")),"")</f>
        <v/>
      </c>
      <c r="C15" s="176"/>
      <c r="D15" s="181" t="str">
        <f>Summary!A56</f>
        <v>&lt;LIST PATCH HERE&gt;</v>
      </c>
      <c r="E15" s="91" t="str">
        <f>IF((COUNTIF(Summary!B56:AE56,"E")-COUNTIF(Summary!B56:AE56,"Y")&gt;0),(COUNTIF(Summary!B56:AE56,"E")-COUNTIF(Summary!B56:AE56,"Y")),"")</f>
        <v/>
      </c>
    </row>
    <row r="16" spans="1:5" x14ac:dyDescent="0.2">
      <c r="A16" s="184" t="s">
        <v>84</v>
      </c>
      <c r="B16" s="185"/>
      <c r="C16" s="176"/>
      <c r="D16" s="223" t="str">
        <f>Summary!A57</f>
        <v>&lt;LIST PATCH HERE&gt;</v>
      </c>
      <c r="E16" s="91" t="str">
        <f>IF((COUNTIF(Summary!B57:AE57,"E")-COUNTIF(Summary!B57:AE57,"Y")&gt;0),(COUNTIF(Summary!B57:AE57,"E")-COUNTIF(Summary!B57:AE57,"Y")),"")</f>
        <v/>
      </c>
    </row>
    <row r="17" spans="1:5" x14ac:dyDescent="0.2">
      <c r="A17" s="179" t="str">
        <f>Summary!A19</f>
        <v>JUSTICE</v>
      </c>
      <c r="B17" s="91" t="str">
        <f>IF((COUNTIF(Summary!B18:AE18,"E")-COUNTIF(Summary!B18:AE18,"Y")&gt;0),(COUNTIF(Summary!B18:AE18,"E")-COUNTIF(Summary!B18:AE18,"Y")),"")</f>
        <v/>
      </c>
      <c r="C17" s="176"/>
      <c r="D17" s="181" t="str">
        <f>Summary!A58</f>
        <v>&lt;LIST PATCH HERE&gt;</v>
      </c>
      <c r="E17" s="91" t="str">
        <f>IF((COUNTIF(Summary!B58:AE58,"E")-COUNTIF(Summary!B58:AE58,"Y")&gt;0),(COUNTIF(Summary!B58:AE58,"E")-COUNTIF(Summary!B58:AE58,"Y")),"")</f>
        <v/>
      </c>
    </row>
    <row r="18" spans="1:5" x14ac:dyDescent="0.2">
      <c r="A18" s="179" t="str">
        <f>Summary!A20</f>
        <v>BLISS: Live it! Give It!</v>
      </c>
      <c r="B18" s="91" t="str">
        <f>IF((COUNTIF(Summary!B19:AE19,"E")-COUNTIF(Summary!B19:AE19,"Y")&gt;0),(COUNTIF(Summary!B19:AE19,"E")-COUNTIF(Summary!B19:AE19,"Y")),"")</f>
        <v/>
      </c>
      <c r="C18" s="176"/>
      <c r="D18" s="181" t="str">
        <f>Summary!A59</f>
        <v>&lt;LIST PATCH HERE&gt;</v>
      </c>
      <c r="E18" s="91" t="str">
        <f>IF((COUNTIF(Summary!B59:AE59,"E")-COUNTIF(Summary!B59:AE59,"Y")&gt;0),(COUNTIF(Summary!B59:AE59,"E")-COUNTIF(Summary!B59:AE59,"Y")),"")</f>
        <v/>
      </c>
    </row>
    <row r="19" spans="1:5" x14ac:dyDescent="0.2">
      <c r="A19" s="179" t="str">
        <f>Summary!A21</f>
        <v>Council's Own</v>
      </c>
      <c r="B19" s="91" t="str">
        <f>IF((COUNTIF(Summary!B20:AE20,"E")-COUNTIF(Summary!B20:AE20,"Y")&gt;0),(COUNTIF(Summary!B20:AE20,"E")-COUNTIF(Summary!B20:AE20,"Y")),"")</f>
        <v/>
      </c>
      <c r="C19" s="176"/>
      <c r="D19" s="181" t="str">
        <f>Summary!A60</f>
        <v>&lt;LIST PATCH HERE&gt;</v>
      </c>
      <c r="E19" s="91" t="str">
        <f>IF((COUNTIF(Summary!B60:AE60,"E")-COUNTIF(Summary!B60:AE60,"Y")&gt;0),(COUNTIF(Summary!B60:AE60,"E")-COUNTIF(Summary!B60:AE60,"Y")),"")</f>
        <v/>
      </c>
    </row>
    <row r="20" spans="1:5" x14ac:dyDescent="0.2">
      <c r="A20" s="178" t="str">
        <f>Summary!A21</f>
        <v>Council's Own</v>
      </c>
      <c r="B20" s="185"/>
      <c r="C20" s="176"/>
      <c r="D20" s="181" t="str">
        <f>Summary!A61</f>
        <v>&lt;LIST PATCH HERE&gt;</v>
      </c>
      <c r="E20" s="91" t="str">
        <f>IF((COUNTIF(Summary!B61:AE61,"E")-COUNTIF(Summary!B61:AE61,"Y")&gt;0),(COUNTIF(Summary!B61:AE61,"E")-COUNTIF(Summary!B61:AE61,"Y")),"")</f>
        <v/>
      </c>
    </row>
    <row r="21" spans="1:5" x14ac:dyDescent="0.2">
      <c r="A21" s="180" t="str">
        <f>Summary!A22</f>
        <v>&lt;&lt;List Badge Here&gt;&gt;</v>
      </c>
      <c r="B21" s="91" t="str">
        <f>IF((COUNTIF(Summary!B22:AE22,"E")-COUNTIF(Summary!B22:AE22,"Y")&gt;0),(COUNTIF(Summary!B22:AE22,"E")-COUNTIF(Summary!B22:AE22,"Y")),"")</f>
        <v/>
      </c>
      <c r="C21" s="176"/>
      <c r="D21" s="181" t="str">
        <f>Summary!A62</f>
        <v>&lt;LIST PATCH HERE&gt;</v>
      </c>
      <c r="E21" s="91" t="str">
        <f>IF((COUNTIF(Summary!B62:AE62,"E")-COUNTIF(Summary!B62:AE62,"Y")&gt;0),(COUNTIF(Summary!B62:AE62,"E")-COUNTIF(Summary!B62:AE62,"Y")),"")</f>
        <v/>
      </c>
    </row>
    <row r="22" spans="1:5" x14ac:dyDescent="0.2">
      <c r="A22" s="180" t="str">
        <f>Summary!A23</f>
        <v>&lt;&lt;List Badge Here&gt;&gt;</v>
      </c>
      <c r="B22" s="91" t="str">
        <f>IF((COUNTIF(Summary!B23:AE23,"E")-COUNTIF(Summary!B23:AE23,"Y")&gt;0),(COUNTIF(Summary!B23:AE23,"E")-COUNTIF(Summary!B23:AE23,"Y")),"")</f>
        <v/>
      </c>
      <c r="C22" s="176"/>
      <c r="D22" s="181" t="str">
        <f>Summary!A63</f>
        <v>&lt;LIST PATCH HERE&gt;</v>
      </c>
      <c r="E22" s="91" t="str">
        <f>IF((COUNTIF(Summary!B63:AE63,"E")-COUNTIF(Summary!B63:AE63,"Y")&gt;0),(COUNTIF(Summary!B63:AE63,"E")-COUNTIF(Summary!B63:AE63,"Y")),"")</f>
        <v/>
      </c>
    </row>
    <row r="23" spans="1:5" x14ac:dyDescent="0.2">
      <c r="A23" s="180" t="str">
        <f>Summary!A24</f>
        <v>&lt;&lt;List Badge Here&gt;&gt;</v>
      </c>
      <c r="B23" s="91" t="str">
        <f>IF((COUNTIF(Summary!B24:AE24,"E")-COUNTIF(Summary!B24:AE24,"Y")&gt;0),(COUNTIF(Summary!B24:AE24,"E")-COUNTIF(Summary!B24:AE24,"Y")),"")</f>
        <v/>
      </c>
      <c r="C23" s="176"/>
      <c r="D23" s="181" t="str">
        <f>Summary!A64</f>
        <v>&lt;LIST PATCH HERE&gt;</v>
      </c>
      <c r="E23" s="91" t="str">
        <f>IF((COUNTIF(Summary!B64:AE64,"E")-COUNTIF(Summary!B64:AE64,"Y")&gt;0),(COUNTIF(Summary!B64:AE64,"E")-COUNTIF(Summary!B64:AE64,"Y")),"")</f>
        <v/>
      </c>
    </row>
    <row r="24" spans="1:5" x14ac:dyDescent="0.2">
      <c r="A24" s="180" t="str">
        <f>Summary!A25</f>
        <v>&lt;&lt;List Badge Here&gt;&gt;</v>
      </c>
      <c r="B24" s="91" t="str">
        <f>IF((COUNTIF(Summary!B25:AE25,"E")-COUNTIF(Summary!B25:AE25,"Y")&gt;0),(COUNTIF(Summary!B25:AE25,"E")-COUNTIF(Summary!B25:AE25,"Y")),"")</f>
        <v/>
      </c>
      <c r="C24" s="176"/>
      <c r="D24" s="181" t="str">
        <f>Summary!A65</f>
        <v>&lt;LIST PATCH HERE&gt;</v>
      </c>
      <c r="E24" s="91" t="str">
        <f>IF((COUNTIF(Summary!B65:AE65,"E")-COUNTIF(Summary!B65:AE65,"Y")&gt;0),(COUNTIF(Summary!B65:AE65,"E")-COUNTIF(Summary!B65:AE65,"Y")),"")</f>
        <v/>
      </c>
    </row>
    <row r="25" spans="1:5" x14ac:dyDescent="0.2">
      <c r="A25" s="180" t="str">
        <f>Summary!A26</f>
        <v>&lt;&lt;List Badge Here&gt;&gt;</v>
      </c>
      <c r="B25" s="91" t="str">
        <f>IF((COUNTIF(Summary!B26:AE26,"E")-COUNTIF(Summary!B26:AE26,"Y")&gt;0),(COUNTIF(Summary!B26:AE26,"E")-COUNTIF(Summary!B26:AE26,"Y")),"")</f>
        <v/>
      </c>
      <c r="C25" s="176"/>
      <c r="D25" s="181" t="str">
        <f>Summary!A66</f>
        <v>&lt;LIST PATCH HERE&gt;</v>
      </c>
      <c r="E25" s="91" t="str">
        <f>IF((COUNTIF(Summary!B66:AE66,"E")-COUNTIF(Summary!B66:AE66,"Y")&gt;0),(COUNTIF(Summary!B66:AE66,"E")-COUNTIF(Summary!B66:AE66,"Y")),"")</f>
        <v/>
      </c>
    </row>
    <row r="26" spans="1:5" x14ac:dyDescent="0.2">
      <c r="A26" s="180" t="str">
        <f>Summary!A27</f>
        <v>&lt;&lt;List Badge Here&gt;&gt;</v>
      </c>
      <c r="B26" s="91" t="str">
        <f>IF((COUNTIF(Summary!B27:AE27,"E")-COUNTIF(Summary!B27:AE27,"Y")&gt;0),(COUNTIF(Summary!B27:AE27,"E")-COUNTIF(Summary!B27:AE27,"Y")),"")</f>
        <v/>
      </c>
      <c r="C26" s="176"/>
      <c r="D26" s="181" t="str">
        <f>Summary!A67</f>
        <v>&lt;LIST PATCH HERE&gt;</v>
      </c>
      <c r="E26" s="91" t="str">
        <f>IF((COUNTIF(Summary!B67:AE67,"E")-COUNTIF(Summary!B67:AE67,"Y")&gt;0),(COUNTIF(Summary!B67:AE67,"E")-COUNTIF(Summary!B67:AE67,"Y")),"")</f>
        <v/>
      </c>
    </row>
    <row r="27" spans="1:5" x14ac:dyDescent="0.2">
      <c r="A27" s="183" t="str">
        <f>Summary!A28</f>
        <v>Age-Level Awards</v>
      </c>
      <c r="B27" s="185"/>
      <c r="C27" s="176"/>
      <c r="D27" s="181" t="str">
        <f>Summary!A68</f>
        <v>&lt;LIST PATCH HERE&gt;</v>
      </c>
      <c r="E27" s="91" t="str">
        <f>IF((COUNTIF(Summary!B68:AE68,"E")-COUNTIF(Summary!B68:AE68,"Y")&gt;0),(COUNTIF(Summary!B68:AE68,"E")-COUNTIF(Summary!B68:AE68,"Y")),"")</f>
        <v/>
      </c>
    </row>
    <row r="28" spans="1:5" x14ac:dyDescent="0.2">
      <c r="A28" s="187" t="str">
        <f>Summary!A29</f>
        <v>Gold Torch Award</v>
      </c>
      <c r="B28" s="91" t="str">
        <f>IF((COUNTIF(Summary!B29:AE29,"E")-COUNTIF(Summary!B29:AE29,"Y")&gt;0),(COUNTIF(Summary!B29:AE29,"E")-COUNTIF(Summary!B29:AE29,"Y")),"")</f>
        <v/>
      </c>
      <c r="C28" s="176"/>
      <c r="D28" s="181" t="str">
        <f>Summary!A69</f>
        <v>&lt;LIST PATCH HERE&gt;</v>
      </c>
      <c r="E28" s="91" t="str">
        <f>IF((COUNTIF(Summary!B69:AE69,"E")-COUNTIF(Summary!B69:AE69,"Y")&gt;0),(COUNTIF(Summary!B69:AE69,"E")-COUNTIF(Summary!B69:AE69,"Y")),"")</f>
        <v/>
      </c>
    </row>
    <row r="29" spans="1:5" x14ac:dyDescent="0.2">
      <c r="A29" s="187" t="str">
        <f>Summary!A30</f>
        <v>Ambassador Community Service bar</v>
      </c>
      <c r="B29" s="91" t="str">
        <f>IF((COUNTIF(Summary!B30:AE30,"E")-COUNTIF(Summary!B30:AE30,"Y")&gt;0),(COUNTIF(Summary!B30:AE30,"E")-COUNTIF(Summary!B30:AE30,"Y")),"")</f>
        <v/>
      </c>
      <c r="C29" s="176"/>
      <c r="D29" s="181" t="str">
        <f>Summary!A70</f>
        <v>&lt;LIST PATCH HERE&gt;</v>
      </c>
      <c r="E29" s="91" t="str">
        <f>IF((COUNTIF(Summary!B70:AE70,"E")-COUNTIF(Summary!B70:AE70,"Y")&gt;0),(COUNTIF(Summary!B70:AE70,"E")-COUNTIF(Summary!B70:AE70,"Y")),"")</f>
        <v/>
      </c>
    </row>
    <row r="30" spans="1:5" x14ac:dyDescent="0.2">
      <c r="A30" s="187" t="str">
        <f>Summary!A31</f>
        <v>Ambassador Service to Girl Scouting bar</v>
      </c>
      <c r="B30" s="91" t="str">
        <f>IF((COUNTIF(Summary!B31:AE31,"E")-COUNTIF(Summary!B31:AE31,"Y")&gt;0),(COUNTIF(Summary!B31:AE31,"E")-COUNTIF(Summary!B31:AE31,"Y")),"")</f>
        <v/>
      </c>
      <c r="C30" s="176"/>
      <c r="D30" s="181" t="str">
        <f>Summary!A71</f>
        <v>&lt;LIST PATCH HERE&gt;</v>
      </c>
      <c r="E30" s="91" t="str">
        <f>IF((COUNTIF(Summary!B71:AE71,"E")-COUNTIF(Summary!B71:AE71,"Y")&gt;0),(COUNTIF(Summary!B71:AE71,"E")-COUNTIF(Summary!B71:AE71,"Y")),"")</f>
        <v/>
      </c>
    </row>
    <row r="31" spans="1:5" x14ac:dyDescent="0.2">
      <c r="A31" s="187" t="str">
        <f>Summary!A32</f>
        <v>Ambassador Volunteer in Training</v>
      </c>
      <c r="B31" s="91" t="str">
        <f>IF((COUNTIF(Summary!B32:AE32,"E")-COUNTIF(Summary!B32:AE32,"Y")&gt;0),(COUNTIF(Summary!B32:AE32,"E")-COUNTIF(Summary!B32:AE32,"Y")),"")</f>
        <v/>
      </c>
      <c r="C31" s="176"/>
      <c r="D31" s="181" t="str">
        <f>Summary!A72</f>
        <v>&lt;LIST PATCH HERE&gt;</v>
      </c>
      <c r="E31" s="91" t="str">
        <f>IF((COUNTIF(Summary!B72:AE72,"E")-COUNTIF(Summary!B72:AE72,"Y")&gt;0),(COUNTIF(Summary!B72:AE72,"E")-COUNTIF(Summary!B72:AE72,"Y")),"")</f>
        <v/>
      </c>
    </row>
    <row r="32" spans="1:5" x14ac:dyDescent="0.2">
      <c r="A32" s="187" t="str">
        <f>Summary!A33</f>
        <v>Journey Summit Pin</v>
      </c>
      <c r="B32" s="91" t="str">
        <f>IF((COUNTIF(Summary!B33:AE33,"E")-COUNTIF(Summary!B33:AE33,"Y")&gt;0),(COUNTIF(Summary!B33:AE33,"E")-COUNTIF(Summary!B33:AE33,"Y")),"")</f>
        <v/>
      </c>
      <c r="C32" s="176"/>
      <c r="D32" s="181" t="str">
        <f>Summary!A73</f>
        <v>&lt;LIST PATCH HERE&gt;</v>
      </c>
      <c r="E32" s="91" t="str">
        <f>IF((COUNTIF(Summary!B73:AE73,"E")-COUNTIF(Summary!B73:AE73,"Y")&gt;0),(COUNTIF(Summary!B73:AE73,"E")-COUNTIF(Summary!B73:AE73,"Y")),"")</f>
        <v/>
      </c>
    </row>
    <row r="33" spans="1:5" x14ac:dyDescent="0.2">
      <c r="A33" s="187" t="str">
        <f>Summary!A34</f>
        <v>Cookie Rally (Year 1)</v>
      </c>
      <c r="B33" s="91" t="str">
        <f>IF((COUNTIF(Summary!B34:AE34,"E")-COUNTIF(Summary!B34:AE34,"Y")&gt;0),(COUNTIF(Summary!B34:AE34,"E")-COUNTIF(Summary!B34:AE34,"Y")),"")</f>
        <v/>
      </c>
      <c r="C33" s="176"/>
      <c r="D33" s="181" t="str">
        <f>Summary!A74</f>
        <v>&lt;LIST PATCH HERE&gt;</v>
      </c>
      <c r="E33" s="91" t="str">
        <f>IF((COUNTIF(Summary!B74:AE74,"E")-COUNTIF(Summary!B74:AE74,"Y")&gt;0),(COUNTIF(Summary!B74:AE74,"E")-COUNTIF(Summary!B74:AE74,"Y")),"")</f>
        <v/>
      </c>
    </row>
    <row r="34" spans="1:5" x14ac:dyDescent="0.2">
      <c r="A34" s="187" t="str">
        <f>Summary!A35</f>
        <v>Cookie Sales (Year 1)</v>
      </c>
      <c r="B34" s="91" t="str">
        <f>IF((COUNTIF(Summary!B35:AE35,"E")-COUNTIF(Summary!B35:AE35,"Y")&gt;0),(COUNTIF(Summary!B35:AE35,"E")-COUNTIF(Summary!B35:AE35,"Y")),"")</f>
        <v/>
      </c>
      <c r="C34" s="176"/>
      <c r="D34" s="181" t="str">
        <f>Summary!A75</f>
        <v>&lt;LIST PATCH HERE&gt;</v>
      </c>
      <c r="E34" s="91" t="str">
        <f>IF((COUNTIF(Summary!B75:AE75,"E")-COUNTIF(Summary!B75:AE75,"Y")&gt;0),(COUNTIF(Summary!B75:AE75,"E")-COUNTIF(Summary!B75:AE75,"Y")),"")</f>
        <v/>
      </c>
    </row>
    <row r="35" spans="1:5" x14ac:dyDescent="0.2">
      <c r="A35" s="187" t="str">
        <f>Summary!A36</f>
        <v>Cookie Pin (Year 1)</v>
      </c>
      <c r="B35" s="91" t="str">
        <f>IF((COUNTIF(Summary!B36:AE36,"E")-COUNTIF(Summary!B36:AE36,"Y")&gt;0),(COUNTIF(Summary!B36:AE36,"E")-COUNTIF(Summary!B36:AE36,"Y")),"")</f>
        <v/>
      </c>
      <c r="C35" s="176"/>
      <c r="D35" s="181" t="str">
        <f>Summary!A76</f>
        <v>&lt;LIST PATCH HERE&gt;</v>
      </c>
      <c r="E35" s="91" t="str">
        <f>IF((COUNTIF(Summary!B76:AE76,"E")-COUNTIF(Summary!B76:AE76,"Y")&gt;0),(COUNTIF(Summary!B76:AE76,"E")-COUNTIF(Summary!B76:AE76,"Y")),"")</f>
        <v/>
      </c>
    </row>
    <row r="36" spans="1:5" x14ac:dyDescent="0.2">
      <c r="A36" s="187" t="str">
        <f>Summary!A37</f>
        <v>Cookie Rally (Year 2)</v>
      </c>
      <c r="B36" s="91" t="str">
        <f>IF((COUNTIF(Summary!B37:AE37,"E")-COUNTIF(Summary!B37:AE37,"Y")&gt;0),(COUNTIF(Summary!B37:AE37,"E")-COUNTIF(Summary!B37:AE37,"Y")),"")</f>
        <v/>
      </c>
      <c r="C36" s="176"/>
      <c r="D36" s="181" t="str">
        <f>Summary!A77</f>
        <v>&lt;LIST PATCH HERE&gt;</v>
      </c>
      <c r="E36" s="91" t="str">
        <f>IF((COUNTIF(Summary!B77:AE77,"E")-COUNTIF(Summary!B77:AE77,"Y")&gt;0),(COUNTIF(Summary!B77:AE77,"E")-COUNTIF(Summary!B77:AE77,"Y")),"")</f>
        <v/>
      </c>
    </row>
    <row r="37" spans="1:5" x14ac:dyDescent="0.2">
      <c r="A37" s="187" t="str">
        <f>Summary!A38</f>
        <v>Cookie Sales (Year 2)</v>
      </c>
      <c r="B37" s="91" t="str">
        <f>IF((COUNTIF(Summary!B38:AE38,"E")-COUNTIF(Summary!B38:AE38,"Y")&gt;0),(COUNTIF(Summary!B38:AE38,"E")-COUNTIF(Summary!B38:AE38,"Y")),"")</f>
        <v/>
      </c>
      <c r="C37" s="176"/>
      <c r="D37" s="181" t="str">
        <f>Summary!A78</f>
        <v>&lt;LIST PATCH HERE&gt;</v>
      </c>
      <c r="E37" s="91" t="str">
        <f>IF((COUNTIF(Summary!B78:AE78,"E")-COUNTIF(Summary!B78:AE78,"Y")&gt;0),(COUNTIF(Summary!B78:AE78,"E")-COUNTIF(Summary!B78:AE78,"Y")),"")</f>
        <v/>
      </c>
    </row>
    <row r="38" spans="1:5" x14ac:dyDescent="0.2">
      <c r="A38" s="187" t="str">
        <f>Summary!A39</f>
        <v>Cookie Pin (Year 2)</v>
      </c>
      <c r="B38" s="91" t="str">
        <f>IF((COUNTIF(Summary!B39:AE39,"E")-COUNTIF(Summary!B39:AE39,"Y")&gt;0),(COUNTIF(Summary!B39:AE39,"E")-COUNTIF(Summary!B39:AE39,"Y")),"")</f>
        <v/>
      </c>
      <c r="C38" s="176"/>
      <c r="D38" s="181" t="str">
        <f>Summary!A79</f>
        <v>&lt;LIST PATCH HERE&gt;</v>
      </c>
      <c r="E38" s="91" t="str">
        <f>IF((COUNTIF(Summary!B79:AE79,"E")-COUNTIF(Summary!B79:AE79,"Y")&gt;0),(COUNTIF(Summary!B79:AE79,"E")-COUNTIF(Summary!B79:AE79,"Y")),"")</f>
        <v/>
      </c>
    </row>
    <row r="39" spans="1:5" x14ac:dyDescent="0.2">
      <c r="A39" s="187" t="str">
        <f>Summary!A40</f>
        <v>Fall Sales (Year 1)</v>
      </c>
      <c r="B39" s="91" t="str">
        <f>IF((COUNTIF(Summary!B40:AE40,"E")-COUNTIF(Summary!B40:AE40,"Y")&gt;0),(COUNTIF(Summary!B40:AE40,"E")-COUNTIF(Summary!B40:AE40,"Y")),"")</f>
        <v/>
      </c>
      <c r="C39" s="176"/>
      <c r="D39" s="181" t="str">
        <f>Summary!A83</f>
        <v>&lt;LIST PATCH HERE&gt;</v>
      </c>
      <c r="E39" s="91" t="str">
        <f>IF((COUNTIF(Summary!B83:AE83,"E")-COUNTIF(Summary!B83:AE83,"Y")&gt;0),(COUNTIF(Summary!B83:AE83,"E")-COUNTIF(Summary!B83:AE83,"Y")),"")</f>
        <v/>
      </c>
    </row>
    <row r="40" spans="1:5" x14ac:dyDescent="0.2">
      <c r="A40" s="187" t="str">
        <f>Summary!A41</f>
        <v>Fall Sales (Year 2)</v>
      </c>
      <c r="B40" s="91" t="str">
        <f>IF((COUNTIF(Summary!B41:AE41,"E")-COUNTIF(Summary!B41:AE41,"Y")&gt;0),(COUNTIF(Summary!B41:AE41,"E")-COUNTIF(Summary!B41:AE41,"Y")),"")</f>
        <v/>
      </c>
      <c r="C40" s="176"/>
      <c r="D40" s="181" t="str">
        <f>Summary!A84</f>
        <v>&lt;LIST PATCH HERE&gt;</v>
      </c>
      <c r="E40" s="91" t="str">
        <f>IF((COUNTIF(Summary!B84:AE84,"E")-COUNTIF(Summary!B84:AE84,"Y")&gt;0),(COUNTIF(Summary!B84:AE84,"E")-COUNTIF(Summary!B84:AE84,"Y")),"")</f>
        <v/>
      </c>
    </row>
    <row r="41" spans="1:5" x14ac:dyDescent="0.2">
      <c r="A41" s="187" t="str">
        <f>Summary!A42</f>
        <v>Thinking Day (Year 1)</v>
      </c>
      <c r="B41" s="91" t="str">
        <f>IF((COUNTIF(Summary!B42:AE42,"E")-COUNTIF(Summary!B42:AE42,"Y")&gt;0),(COUNTIF(Summary!B42:AE42,"E")-COUNTIF(Summary!B42:AE42,"Y")),"")</f>
        <v/>
      </c>
      <c r="C41" s="176"/>
      <c r="D41" s="181" t="str">
        <f>Summary!A86</f>
        <v>&lt;LIST PATCH HERE&gt;</v>
      </c>
      <c r="E41" s="91" t="str">
        <f>IF((COUNTIF(Summary!B86:AE86,"E")-COUNTIF(Summary!B86:AE86,"Y")&gt;0),(COUNTIF(Summary!B86:AE86,"E")-COUNTIF(Summary!B86:AE86,"Y")),"")</f>
        <v/>
      </c>
    </row>
    <row r="42" spans="1:5" x14ac:dyDescent="0.2">
      <c r="A42" s="187" t="str">
        <f>Summary!A43</f>
        <v>Thinking Day (Year 2)</v>
      </c>
      <c r="B42" s="91" t="str">
        <f>IF((COUNTIF(Summary!B43:AE43,"E")-COUNTIF(Summary!B43:AE43,"Y")&gt;0),(COUNTIF(Summary!B43:AE43,"E")-COUNTIF(Summary!B43:AE43,"Y")),"")</f>
        <v/>
      </c>
      <c r="C42" s="176"/>
      <c r="D42" s="181" t="str">
        <f>Summary!A87</f>
        <v>&lt;LIST PATCH HERE&gt;</v>
      </c>
      <c r="E42" s="91" t="str">
        <f>IF((COUNTIF(Summary!B87:AE87,"E")-COUNTIF(Summary!B87:AE87,"Y")&gt;0),(COUNTIF(Summary!B87:AE87,"E")-COUNTIF(Summary!B87:AE87,"Y")),"")</f>
        <v/>
      </c>
    </row>
    <row r="43" spans="1:5" s="224" customFormat="1" x14ac:dyDescent="0.2">
      <c r="A43"/>
      <c r="B43"/>
      <c r="C43" s="222"/>
      <c r="D43" s="225"/>
      <c r="E43" s="225"/>
    </row>
    <row r="44" spans="1:5" s="224" customFormat="1" x14ac:dyDescent="0.2">
      <c r="A44"/>
      <c r="B44"/>
      <c r="C44" s="222"/>
      <c r="D44" s="225"/>
      <c r="E44" s="225"/>
    </row>
    <row r="45" spans="1:5" s="224" customFormat="1" x14ac:dyDescent="0.2">
      <c r="A45"/>
      <c r="B45"/>
      <c r="C45" s="222"/>
      <c r="D45" s="225"/>
      <c r="E45" s="225"/>
    </row>
    <row r="46" spans="1:5" s="224" customFormat="1" x14ac:dyDescent="0.2">
      <c r="A46"/>
      <c r="B46"/>
      <c r="C46" s="222"/>
      <c r="D46" s="225"/>
      <c r="E46" s="225"/>
    </row>
    <row r="47" spans="1:5" s="224" customFormat="1" x14ac:dyDescent="0.2">
      <c r="A47"/>
      <c r="B47"/>
      <c r="C47" s="222"/>
      <c r="D47" s="225"/>
      <c r="E47" s="225"/>
    </row>
    <row r="48" spans="1:5" s="224" customFormat="1" x14ac:dyDescent="0.2">
      <c r="A48"/>
      <c r="B48"/>
      <c r="C48" s="222"/>
      <c r="D48" s="225"/>
      <c r="E48" s="225"/>
    </row>
    <row r="49" spans="4:5" x14ac:dyDescent="0.2">
      <c r="D49" s="225"/>
      <c r="E49" s="225"/>
    </row>
    <row r="50" spans="4:5" x14ac:dyDescent="0.2">
      <c r="D50" s="225"/>
      <c r="E50" s="225"/>
    </row>
  </sheetData>
  <sheetProtection selectLockedCells="1" selectUnlockedCells="1"/>
  <pageMargins left="0.7" right="0.7" top="0.75" bottom="0.5" header="0.25" footer="0.25"/>
  <pageSetup scale="83" fitToWidth="0" orientation="portrait" horizontalDpi="300" verticalDpi="300" r:id="rId1"/>
  <headerFooter>
    <oddHeader>&amp;C&amp;"Arial,Bold"&amp;14CadetteTrax
&amp;12Order Page - &amp;D</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W121"/>
  <sheetViews>
    <sheetView showGridLines="0" zoomScale="90" zoomScaleNormal="90" workbookViewId="0">
      <selection activeCell="N10" sqref="N10"/>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1" customHeight="1" x14ac:dyDescent="0.35">
      <c r="A1" s="512" t="str">
        <f ca="1">MID(CELL("filename",A1),FIND(IF(ISERROR(FIND("]",CELL("filename",A1))),"$","]"),CELL("filename",A1))+1,256)</f>
        <v>Ambassador 1</v>
      </c>
      <c r="B1" s="512"/>
      <c r="C1" s="512"/>
      <c r="D1" s="265"/>
      <c r="E1" s="506" t="s">
        <v>15</v>
      </c>
      <c r="F1" s="506"/>
      <c r="G1" s="506"/>
      <c r="I1" s="506" t="s">
        <v>15</v>
      </c>
      <c r="J1" s="506"/>
      <c r="K1" s="506"/>
      <c r="M1" s="506" t="s">
        <v>15</v>
      </c>
      <c r="N1" s="506"/>
      <c r="O1" s="506"/>
      <c r="Q1" s="506" t="s">
        <v>135</v>
      </c>
      <c r="R1" s="506"/>
      <c r="S1" s="506"/>
      <c r="T1" s="239"/>
      <c r="U1" s="239"/>
    </row>
    <row r="2" spans="1:21" s="245" customFormat="1" ht="13.5" thickBot="1" x14ac:dyDescent="0.25">
      <c r="A2" s="242"/>
      <c r="B2" s="243"/>
      <c r="C2" s="244" t="s">
        <v>16</v>
      </c>
      <c r="D2" s="243"/>
      <c r="E2" s="492" t="str">
        <f>Badges!B6</f>
        <v>Photography</v>
      </c>
      <c r="F2" s="492"/>
      <c r="G2" s="492"/>
      <c r="H2" s="241"/>
      <c r="I2" s="247">
        <v>3</v>
      </c>
      <c r="J2" s="248" t="str">
        <f>Badges!C61</f>
        <v>Dig into national or state public policy</v>
      </c>
      <c r="K2" s="249"/>
      <c r="L2" s="241"/>
      <c r="M2" s="247">
        <v>3</v>
      </c>
      <c r="N2" s="248" t="str">
        <f>Badges!C130</f>
        <v>Share sisterhood around the world</v>
      </c>
      <c r="O2" s="249"/>
      <c r="P2" s="241"/>
      <c r="Q2" s="493" t="str">
        <f>'Age-Level'!B5</f>
        <v>Gold Torch Award</v>
      </c>
      <c r="R2" s="494"/>
      <c r="S2" s="251" t="str">
        <f>IF('Age-Level'!D8="C","C",IF('Age-Level'!D8="P","P",""))</f>
        <v/>
      </c>
      <c r="T2" s="239"/>
      <c r="U2" s="239"/>
    </row>
    <row r="3" spans="1:21" x14ac:dyDescent="0.2">
      <c r="A3" s="510" t="s">
        <v>132</v>
      </c>
      <c r="B3" s="511"/>
      <c r="C3" s="246">
        <f>INT(COUNTIF(C5:C12,"C"))+INT(COUNTIF(C14:C26,"C"))</f>
        <v>0</v>
      </c>
      <c r="E3" s="247">
        <v>1</v>
      </c>
      <c r="F3" s="248" t="str">
        <f>Badges!C7</f>
        <v>Expore the power of photography</v>
      </c>
      <c r="G3" s="249"/>
      <c r="I3" s="247"/>
      <c r="J3" s="248" t="str">
        <f>Badges!C62</f>
        <v>Track your issue</v>
      </c>
      <c r="K3" s="250" t="str">
        <f>IF(Badges!D62="A","A"," ")</f>
        <v xml:space="preserve"> </v>
      </c>
      <c r="M3" s="247"/>
      <c r="N3" s="248" t="str">
        <f>Badges!C131</f>
        <v>Explore an issue affecting girls and</v>
      </c>
      <c r="O3" s="250" t="str">
        <f>IF(Badges!D131="A","A"," ")</f>
        <v xml:space="preserve"> </v>
      </c>
      <c r="Q3" s="471" t="str">
        <f>'Age-Level'!B9</f>
        <v>Ambassador Community Service bar</v>
      </c>
      <c r="R3" s="472"/>
      <c r="S3" s="251" t="str">
        <f>IF('Age-Level'!D9="C","C",IF('Age-Level'!D9="P","P",""))</f>
        <v/>
      </c>
      <c r="T3" s="239"/>
      <c r="U3" s="239"/>
    </row>
    <row r="4" spans="1:21" x14ac:dyDescent="0.2">
      <c r="A4" s="500" t="str">
        <f>Summary!A3</f>
        <v>Legacy</v>
      </c>
      <c r="B4" s="500"/>
      <c r="C4" s="500"/>
      <c r="E4" s="247"/>
      <c r="F4" s="248" t="str">
        <f>Badges!C8</f>
        <v>Go to a photography exhibit</v>
      </c>
      <c r="G4" s="250" t="str">
        <f>IF(Badges!D8="A","A"," ")</f>
        <v xml:space="preserve"> </v>
      </c>
      <c r="I4" s="247"/>
      <c r="J4" s="248" t="str">
        <f>Badges!C63</f>
        <v>Talk to an interest gorup that promotes</v>
      </c>
      <c r="K4" s="250" t="str">
        <f>IF(Badges!D63="A","A"," ")</f>
        <v xml:space="preserve"> </v>
      </c>
      <c r="M4" s="247"/>
      <c r="N4" s="248" t="str">
        <f>Badges!C132</f>
        <v>Organize an event on women and STEM</v>
      </c>
      <c r="O4" s="250" t="str">
        <f>IF(Badges!D132="A","A"," ")</f>
        <v xml:space="preserve"> </v>
      </c>
      <c r="Q4" s="471" t="str">
        <f>'Age-Level'!B12</f>
        <v>Ambassador Service to Girl Scouting bar</v>
      </c>
      <c r="R4" s="472"/>
      <c r="S4" s="251" t="str">
        <f>IF('Age-Level'!D10="C","C",IF('Age-Level'!D10="P","P",""))</f>
        <v/>
      </c>
      <c r="T4" s="239"/>
      <c r="U4" s="239"/>
    </row>
    <row r="5" spans="1:21" ht="12.75" customHeight="1" x14ac:dyDescent="0.2">
      <c r="A5" s="501" t="str">
        <f>Summary!A4</f>
        <v>Photography</v>
      </c>
      <c r="B5" s="502"/>
      <c r="C5" s="252" t="str">
        <f>IF(Badges!D28="C","C",IF(Badges!D28="P","P",""))</f>
        <v/>
      </c>
      <c r="E5" s="247"/>
      <c r="F5" s="248" t="str">
        <f>Badges!C9</f>
        <v>Create a photography timeline.</v>
      </c>
      <c r="G5" s="250" t="str">
        <f>IF(Badges!D9="A","A"," ")</f>
        <v xml:space="preserve"> </v>
      </c>
      <c r="I5" s="247"/>
      <c r="J5" s="248" t="str">
        <f>Badges!C64</f>
        <v>Compare three different states' positions</v>
      </c>
      <c r="K5" s="250" t="str">
        <f>IF(Badges!D64="A","A"," ")</f>
        <v xml:space="preserve"> </v>
      </c>
      <c r="M5" s="247"/>
      <c r="N5" s="248" t="str">
        <f>Badges!C133</f>
        <v>Interview a global citizen</v>
      </c>
      <c r="O5" s="250" t="str">
        <f>IF(Badges!D133="A","A"," ")</f>
        <v xml:space="preserve"> </v>
      </c>
      <c r="Q5" s="471" t="str">
        <f>'Age-Level'!B15</f>
        <v>Ambassador Volunteer in Training</v>
      </c>
      <c r="R5" s="472"/>
      <c r="S5" s="251" t="str">
        <f>IF('Age-Level'!D19="C","C",IF('Age-Level'!D19="P","P",""))</f>
        <v/>
      </c>
      <c r="T5" s="239"/>
      <c r="U5" s="239"/>
    </row>
    <row r="6" spans="1:21" ht="12.75" customHeight="1" x14ac:dyDescent="0.2">
      <c r="A6" s="490" t="str">
        <f>Summary!A5</f>
        <v>Coaching</v>
      </c>
      <c r="B6" s="491"/>
      <c r="C6" s="252" t="str">
        <f>IF(Badges!D51="C","C",IF(Badges!D51="P","P",""))</f>
        <v/>
      </c>
      <c r="E6" s="247"/>
      <c r="F6" s="248" t="str">
        <f>Badges!C10</f>
        <v>Make sticky-note comics</v>
      </c>
      <c r="G6" s="250" t="str">
        <f>IF(Badges!D10="A","A"," ")</f>
        <v xml:space="preserve"> </v>
      </c>
      <c r="I6" s="247">
        <v>4</v>
      </c>
      <c r="J6" s="248" t="str">
        <f>Badges!C65</f>
        <v>Explore local or community policy</v>
      </c>
      <c r="K6" s="249"/>
      <c r="M6" s="247">
        <v>4</v>
      </c>
      <c r="N6" s="248" t="str">
        <f>Badges!C134</f>
        <v>Leave your wolrd better than you found it</v>
      </c>
      <c r="O6" s="249"/>
      <c r="Q6" s="471" t="str">
        <f>'Age-Level'!B20</f>
        <v>Journey Summit Pin</v>
      </c>
      <c r="R6" s="472"/>
      <c r="S6" s="251" t="str">
        <f>IF('Age-Level'!D21="C","C",IF('Age-Level'!D21="P","P",""))</f>
        <v/>
      </c>
      <c r="T6" s="239"/>
      <c r="U6" s="239"/>
    </row>
    <row r="7" spans="1:21" x14ac:dyDescent="0.2">
      <c r="A7" s="490" t="str">
        <f>Summary!A6</f>
        <v>Public Policy</v>
      </c>
      <c r="B7" s="491"/>
      <c r="C7" s="252" t="str">
        <f>IF(Badges!D74="C","C",IF(Badges!D74="P","P",""))</f>
        <v/>
      </c>
      <c r="E7" s="247">
        <v>2</v>
      </c>
      <c r="F7" s="248" t="str">
        <f>Badges!C11</f>
        <v>Focus on composition</v>
      </c>
      <c r="G7" s="249"/>
      <c r="I7" s="247"/>
      <c r="J7" s="248" t="str">
        <f>Badges!C66</f>
        <v>Attend a meeting</v>
      </c>
      <c r="K7" s="250" t="str">
        <f>IF(Badges!D66="A","A"," ")</f>
        <v xml:space="preserve"> </v>
      </c>
      <c r="M7" s="247"/>
      <c r="N7" s="248" t="str">
        <f>Badges!C135</f>
        <v xml:space="preserve">Find ideas to use your leaderhship </v>
      </c>
      <c r="O7" s="250" t="str">
        <f>IF(Badges!D135="A","A"," ")</f>
        <v xml:space="preserve"> </v>
      </c>
      <c r="Q7" s="471" t="str">
        <f>'Age-Level'!C23</f>
        <v>Cookie Rally (Year 1)</v>
      </c>
      <c r="R7" s="472"/>
      <c r="S7" s="257" t="str">
        <f>IF('Age-Level'!D23="A","A"," ")</f>
        <v xml:space="preserve"> </v>
      </c>
    </row>
    <row r="8" spans="1:21" x14ac:dyDescent="0.2">
      <c r="A8" s="490" t="str">
        <f>Summary!A7</f>
        <v>Dinner Party</v>
      </c>
      <c r="B8" s="491"/>
      <c r="C8" s="252" t="str">
        <f>IF(Badges!D97="C","C",IF(Badges!D97="P","P",""))</f>
        <v/>
      </c>
      <c r="E8" s="247"/>
      <c r="F8" s="248" t="str">
        <f>Badges!C12</f>
        <v>Capture a day in the life</v>
      </c>
      <c r="G8" s="250" t="str">
        <f>IF(Badges!D12="A","A"," ")</f>
        <v xml:space="preserve"> </v>
      </c>
      <c r="I8" s="247"/>
      <c r="J8" s="248" t="str">
        <f>Badges!C67</f>
        <v>Compare different local positions</v>
      </c>
      <c r="K8" s="250" t="str">
        <f>IF(Badges!D67="A","A"," ")</f>
        <v xml:space="preserve"> </v>
      </c>
      <c r="M8" s="247"/>
      <c r="N8" s="248" t="str">
        <f>Badges!C136</f>
        <v>Gather ideas to work for a healthy</v>
      </c>
      <c r="O8" s="250" t="str">
        <f>IF(Badges!D136="A","A"," ")</f>
        <v xml:space="preserve"> </v>
      </c>
      <c r="Q8" s="471" t="str">
        <f>'Age-Level'!C24</f>
        <v>Cookie Sales (Year 1)</v>
      </c>
      <c r="R8" s="472"/>
      <c r="S8" s="257" t="str">
        <f>IF('Age-Level'!D24="A","A"," ")</f>
        <v xml:space="preserve"> </v>
      </c>
    </row>
    <row r="9" spans="1:21" x14ac:dyDescent="0.2">
      <c r="A9" s="490" t="str">
        <f>Summary!A8</f>
        <v>Ambassador First Aid</v>
      </c>
      <c r="B9" s="491"/>
      <c r="C9" s="252" t="str">
        <f>IF(Badges!D120="C","C",IF(Badges!D120="P","P",""))</f>
        <v/>
      </c>
      <c r="E9" s="247"/>
      <c r="F9" s="248" t="str">
        <f>Badges!C13</f>
        <v>Photograph weather patterns</v>
      </c>
      <c r="G9" s="250" t="str">
        <f>IF(Badges!D13="A","A"," ")</f>
        <v xml:space="preserve"> </v>
      </c>
      <c r="I9" s="247"/>
      <c r="J9" s="248" t="str">
        <f>Badges!C68</f>
        <v>Visit your local legislator's office</v>
      </c>
      <c r="K9" s="250" t="str">
        <f>IF(Badges!D68="A","A"," ")</f>
        <v xml:space="preserve"> </v>
      </c>
      <c r="M9" s="247"/>
      <c r="N9" s="248" t="str">
        <f>Badges!C137</f>
        <v>Brainstorm idea for social change</v>
      </c>
      <c r="O9" s="250" t="str">
        <f>IF(Badges!D137="A","A"," ")</f>
        <v xml:space="preserve"> </v>
      </c>
      <c r="Q9" s="471" t="str">
        <f>'Age-Level'!C25</f>
        <v>Cookie Pin (Year 1)</v>
      </c>
      <c r="R9" s="472"/>
      <c r="S9" s="257" t="str">
        <f>IF('Age-Level'!D25="A","A"," ")</f>
        <v xml:space="preserve"> </v>
      </c>
    </row>
    <row r="10" spans="1:21" x14ac:dyDescent="0.2">
      <c r="A10" s="490" t="str">
        <f>Summary!A9</f>
        <v>Ambassador Girl Scout Way</v>
      </c>
      <c r="B10" s="491"/>
      <c r="C10" s="253" t="str">
        <f>IF(Badges!D143="C","C",IF(Badges!D143="P","P",""))</f>
        <v/>
      </c>
      <c r="E10" s="247"/>
      <c r="F10" s="248" t="str">
        <f>Badges!C14</f>
        <v>Take 5 photos form a different</v>
      </c>
      <c r="G10" s="250" t="str">
        <f>IF(Badges!D14="A","A"," ")</f>
        <v xml:space="preserve"> </v>
      </c>
      <c r="I10" s="247">
        <v>5</v>
      </c>
      <c r="J10" s="248" t="str">
        <f>Badges!C69</f>
        <v>See public policy creation in action</v>
      </c>
      <c r="K10" s="249"/>
      <c r="M10" s="247">
        <v>5</v>
      </c>
      <c r="N10" s="248" t="str">
        <f>Badges!C138</f>
        <v>Enjoy Girl Scout traditions!</v>
      </c>
      <c r="O10" s="249"/>
      <c r="Q10" s="471" t="str">
        <f>'Age-Level'!C26</f>
        <v>Cookie Rally (Year 2)</v>
      </c>
      <c r="R10" s="472"/>
      <c r="S10" s="257" t="str">
        <f>IF('Age-Level'!D26="A","A"," ")</f>
        <v xml:space="preserve"> </v>
      </c>
    </row>
    <row r="11" spans="1:21" x14ac:dyDescent="0.2">
      <c r="A11" s="509" t="str">
        <f>Summary!A10</f>
        <v>Water</v>
      </c>
      <c r="B11" s="491"/>
      <c r="C11" s="252" t="str">
        <f>IF(Badges!D166="C","C",IF(Badges!D166="P","P",""))</f>
        <v/>
      </c>
      <c r="E11" s="247">
        <v>3</v>
      </c>
      <c r="F11" s="248" t="str">
        <f>Badges!C15</f>
        <v>Focus on light</v>
      </c>
      <c r="G11" s="249"/>
      <c r="I11" s="247"/>
      <c r="J11" s="248" t="str">
        <f>Badges!C70</f>
        <v>Shadow a policy-maker</v>
      </c>
      <c r="K11" s="250" t="str">
        <f>IF(Badges!D70="A","A"," ")</f>
        <v xml:space="preserve"> </v>
      </c>
      <c r="M11" s="247"/>
      <c r="N11" s="248" t="str">
        <f>Badges!C139</f>
        <v>Pass down a tradition</v>
      </c>
      <c r="O11" s="250" t="str">
        <f>IF(Badges!D139="A","A"," ")</f>
        <v xml:space="preserve"> </v>
      </c>
      <c r="Q11" s="471" t="str">
        <f>'Age-Level'!C27</f>
        <v>Cookie Sales (Year 2)</v>
      </c>
      <c r="R11" s="472"/>
      <c r="S11" s="257" t="str">
        <f>IF('Age-Level'!D27="A","A"," ")</f>
        <v xml:space="preserve"> </v>
      </c>
    </row>
    <row r="12" spans="1:21" x14ac:dyDescent="0.2">
      <c r="A12" s="507"/>
      <c r="B12" s="507"/>
      <c r="C12" s="336"/>
      <c r="E12" s="247"/>
      <c r="F12" s="248" t="str">
        <f>Badges!C16</f>
        <v>Invite friends to a shoot day</v>
      </c>
      <c r="G12" s="250" t="str">
        <f>IF(Badges!D16="A","A"," ")</f>
        <v xml:space="preserve"> </v>
      </c>
      <c r="I12" s="247"/>
      <c r="J12" s="248" t="str">
        <f>Badges!C71</f>
        <v>Volunteer at an office</v>
      </c>
      <c r="K12" s="250" t="str">
        <f>IF(Badges!D71="A","A"," ")</f>
        <v xml:space="preserve"> </v>
      </c>
      <c r="M12" s="247"/>
      <c r="N12" s="248" t="str">
        <f>Badges!C140</f>
        <v>Start a Girl Scout tradition of your own</v>
      </c>
      <c r="O12" s="250" t="str">
        <f>IF(Badges!D140="A","A"," ")</f>
        <v xml:space="preserve"> </v>
      </c>
      <c r="Q12" s="471" t="str">
        <f>'Age-Level'!C28</f>
        <v>Cookie Pin (Year 2)</v>
      </c>
      <c r="R12" s="472"/>
      <c r="S12" s="257" t="str">
        <f>IF('Age-Level'!D28="A","A"," ")</f>
        <v xml:space="preserve"> </v>
      </c>
    </row>
    <row r="13" spans="1:21" x14ac:dyDescent="0.2">
      <c r="A13" s="500" t="str">
        <f>Summary!A3</f>
        <v>Legacy</v>
      </c>
      <c r="B13" s="500"/>
      <c r="C13" s="500"/>
      <c r="E13" s="247"/>
      <c r="F13" s="248" t="str">
        <f>Badges!C17</f>
        <v>Capture the same person or object</v>
      </c>
      <c r="G13" s="250" t="str">
        <f>IF(Badges!D17="A","A"," ")</f>
        <v xml:space="preserve"> </v>
      </c>
      <c r="I13" s="247"/>
      <c r="J13" s="248" t="str">
        <f>Badges!C72</f>
        <v>Interview a policy-maker</v>
      </c>
      <c r="K13" s="250" t="str">
        <f>IF(Badges!D72="A","A"," ")</f>
        <v xml:space="preserve"> </v>
      </c>
      <c r="M13" s="247"/>
      <c r="N13" s="248" t="str">
        <f>Badges!C141</f>
        <v>Share the Girl Scout way by example</v>
      </c>
      <c r="O13" s="250" t="str">
        <f>IF(Badges!D141="A","A"," ")</f>
        <v xml:space="preserve"> </v>
      </c>
      <c r="Q13" s="471" t="str">
        <f>'Age-Level'!C30</f>
        <v>Fall Sales (Year 1)</v>
      </c>
      <c r="R13" s="472"/>
      <c r="S13" s="252" t="str">
        <f>IF('Age-Level'!D30="A","A","")</f>
        <v/>
      </c>
    </row>
    <row r="14" spans="1:21" x14ac:dyDescent="0.2">
      <c r="A14" s="501" t="str">
        <f>Summary!A4</f>
        <v>Photography</v>
      </c>
      <c r="B14" s="502"/>
      <c r="C14" s="251" t="str">
        <f>IF(Badges!D28="C","C",IF(Badges!D28="P","P",""))</f>
        <v/>
      </c>
      <c r="E14" s="247"/>
      <c r="F14" s="248" t="str">
        <f>Badges!C18</f>
        <v>Grow your image</v>
      </c>
      <c r="G14" s="250" t="str">
        <f>IF(Badges!D18="A","A"," ")</f>
        <v xml:space="preserve"> </v>
      </c>
      <c r="I14" s="339" t="str">
        <f>Badges!B75</f>
        <v>Dinner Party</v>
      </c>
      <c r="J14" s="340"/>
      <c r="K14" s="340"/>
      <c r="M14" s="339" t="str">
        <f>Badges!B144</f>
        <v>Water</v>
      </c>
      <c r="N14" s="340"/>
      <c r="O14" s="340"/>
      <c r="Q14" s="471" t="str">
        <f>'Age-Level'!C31</f>
        <v>Fall Sales (Year 2)</v>
      </c>
      <c r="R14" s="472"/>
      <c r="S14" s="252" t="str">
        <f>IF('Age-Level'!D31="A","A","")</f>
        <v/>
      </c>
    </row>
    <row r="15" spans="1:21" x14ac:dyDescent="0.2">
      <c r="A15" s="490" t="str">
        <f>Summary!A5</f>
        <v>Coaching</v>
      </c>
      <c r="B15" s="491"/>
      <c r="C15" s="252" t="str">
        <f>IF(Badges!D51="C","C",IF(Badges!D51="P","P",""))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471" t="str">
        <f>'Age-Level'!C33</f>
        <v>Thinking Day (Year 1)</v>
      </c>
      <c r="R15" s="472"/>
      <c r="S15" s="252" t="str">
        <f>IF('Age-Level'!D33="A","A","")</f>
        <v/>
      </c>
    </row>
    <row r="16" spans="1:21" x14ac:dyDescent="0.2">
      <c r="A16" s="490" t="str">
        <f>Summary!A6</f>
        <v>Public Policy</v>
      </c>
      <c r="B16" s="491"/>
      <c r="C16" s="252" t="str">
        <f>IF(Badges!D74="C","C",IF(Badges!D74="P","P",""))</f>
        <v/>
      </c>
      <c r="E16" s="247"/>
      <c r="F16" s="248" t="str">
        <f>Badges!C20</f>
        <v xml:space="preserve">Take photos of a group </v>
      </c>
      <c r="G16" s="250" t="str">
        <f>IF(Badges!D20="A","A"," ")</f>
        <v xml:space="preserve"> </v>
      </c>
      <c r="I16" s="247"/>
      <c r="J16" s="248" t="str">
        <f>Badges!C77</f>
        <v>Interview a caterer, event planner, chef</v>
      </c>
      <c r="K16" s="250" t="str">
        <f>IF(Badges!D77="A","A"," ")</f>
        <v xml:space="preserve"> </v>
      </c>
      <c r="M16" s="247"/>
      <c r="N16" s="248" t="str">
        <f>Badges!C146</f>
        <v>Visit water in its natural state</v>
      </c>
      <c r="O16" s="250" t="str">
        <f>IF(Badges!D146="A","A"," ")</f>
        <v xml:space="preserve"> </v>
      </c>
      <c r="Q16" s="471" t="str">
        <f>'Age-Level'!C34</f>
        <v>Thinking Day (Year 2)</v>
      </c>
      <c r="R16" s="472"/>
      <c r="S16" s="252" t="str">
        <f>IF('Age-Level'!D34="A","A","")</f>
        <v/>
      </c>
    </row>
    <row r="17" spans="1:19" x14ac:dyDescent="0.2">
      <c r="A17" s="490" t="str">
        <f>Summary!A7</f>
        <v>Dinner Party</v>
      </c>
      <c r="B17" s="491"/>
      <c r="C17" s="252" t="str">
        <f>IF(Badges!D97="C","C",IF(Badges!D97="P","P",""))</f>
        <v/>
      </c>
      <c r="E17" s="247"/>
      <c r="F17" s="248" t="str">
        <f>Badges!C21</f>
        <v>Take photos of faces in motion</v>
      </c>
      <c r="G17" s="250" t="str">
        <f>IF(Badges!D21="A","A"," ")</f>
        <v xml:space="preserve"> </v>
      </c>
      <c r="I17" s="247"/>
      <c r="J17" s="248" t="str">
        <f>Badges!C78</f>
        <v>Collect recipes from cooking shows</v>
      </c>
      <c r="K17" s="250" t="str">
        <f>IF(Badges!D78="A","A"," ")</f>
        <v xml:space="preserve"> </v>
      </c>
      <c r="M17" s="247"/>
      <c r="N17" s="248" t="str">
        <f>Badges!C147</f>
        <v>Try a new water skill</v>
      </c>
      <c r="O17" s="250" t="str">
        <f>IF(Badges!D147="A","A"," ")</f>
        <v xml:space="preserve"> </v>
      </c>
      <c r="Q17" s="471" t="str">
        <f>'Age-Level'!C36</f>
        <v>Global Action Award</v>
      </c>
      <c r="R17" s="472"/>
      <c r="S17" s="252" t="str">
        <f>IF('Age-Level'!D36="A","A","")</f>
        <v/>
      </c>
    </row>
    <row r="18" spans="1:19" x14ac:dyDescent="0.2">
      <c r="A18" s="490" t="str">
        <f>Summary!A8</f>
        <v>Ambassador First Aid</v>
      </c>
      <c r="B18" s="491"/>
      <c r="C18" s="252" t="str">
        <f>IF(Badges!D120="C","C",IF(Badges!D120="P","P",""))</f>
        <v/>
      </c>
      <c r="E18" s="247"/>
      <c r="F18" s="248" t="str">
        <f>Badges!C22</f>
        <v>Take photos of objects in motion</v>
      </c>
      <c r="G18" s="250" t="str">
        <f>IF(Badges!D22="A","A"," ")</f>
        <v xml:space="preserve"> </v>
      </c>
      <c r="I18" s="247"/>
      <c r="J18" s="248" t="str">
        <f>Badges!C79</f>
        <v>Build a men around your favorite</v>
      </c>
      <c r="K18" s="250" t="str">
        <f>IF(Badges!D79="A","A"," ")</f>
        <v xml:space="preserve"> </v>
      </c>
      <c r="M18" s="247"/>
      <c r="N18" s="248" t="str">
        <f>Badges!C148</f>
        <v>Enjoy a water activity you already know</v>
      </c>
      <c r="O18" s="250" t="str">
        <f>IF(Badges!D148="A","A"," ")</f>
        <v xml:space="preserve"> </v>
      </c>
      <c r="Q18" s="471" t="str">
        <f>'Age-Level'!C38</f>
        <v>International Friendship Recognition</v>
      </c>
      <c r="R18" s="472"/>
      <c r="S18" s="252" t="str">
        <f>IF('Age-Level'!D38="A","A","")</f>
        <v/>
      </c>
    </row>
    <row r="19" spans="1:19" x14ac:dyDescent="0.2">
      <c r="A19" s="490" t="str">
        <f>Summary!A9</f>
        <v>Ambassador Girl Scout Way</v>
      </c>
      <c r="B19" s="491"/>
      <c r="C19" s="252" t="str">
        <f>IF(Badges!D143="C","C",IF(Badges!D143="P","P",""))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471" t="str">
        <f>'Age-Level'!C40</f>
        <v>Investiture</v>
      </c>
      <c r="R19" s="472"/>
      <c r="S19" s="252" t="str">
        <f>IF('Age-Level'!D40="A","A","")</f>
        <v/>
      </c>
    </row>
    <row r="20" spans="1:19" x14ac:dyDescent="0.2">
      <c r="A20" s="507" t="str">
        <f>Summary!A10</f>
        <v>Water</v>
      </c>
      <c r="B20" s="508"/>
      <c r="C20" s="253" t="str">
        <f>IF(Badges!D166="C","C",IF(Badges!D166="P","P",""))</f>
        <v/>
      </c>
      <c r="E20" s="247"/>
      <c r="F20" s="248" t="str">
        <f>Badges!C24</f>
        <v>Stage a photo exhibit</v>
      </c>
      <c r="G20" s="250" t="str">
        <f>IF(Badges!D24="A","A"," ")</f>
        <v xml:space="preserve"> </v>
      </c>
      <c r="I20" s="247"/>
      <c r="J20" s="248" t="str">
        <f>Badges!C81</f>
        <v>Camparison shop</v>
      </c>
      <c r="K20" s="250" t="str">
        <f>IF(Badges!D81="A","A"," ")</f>
        <v xml:space="preserve"> </v>
      </c>
      <c r="M20" s="247"/>
      <c r="N20" s="248" t="str">
        <f>Badges!C150</f>
        <v>Delve into water literature</v>
      </c>
      <c r="O20" s="250" t="str">
        <f>IF(Badges!D150="A","A"," ")</f>
        <v xml:space="preserve"> </v>
      </c>
      <c r="Q20" s="471" t="str">
        <f>'Age-Level'!C41</f>
        <v>Rededication (1st year)</v>
      </c>
      <c r="R20" s="472"/>
      <c r="S20" s="262" t="str">
        <f>IF('Age-Level'!D41="C","C","")</f>
        <v/>
      </c>
    </row>
    <row r="21" spans="1:19" x14ac:dyDescent="0.2">
      <c r="A21" s="500" t="str">
        <f>Summary!A11</f>
        <v>Financial Literacy</v>
      </c>
      <c r="B21" s="500"/>
      <c r="C21" s="500"/>
      <c r="E21" s="247"/>
      <c r="F21" s="248" t="str">
        <f>Badges!C25</f>
        <v>Make a digital slide show</v>
      </c>
      <c r="G21" s="250" t="str">
        <f>IF(Badges!D25="A","A"," ")</f>
        <v xml:space="preserve"> </v>
      </c>
      <c r="I21" s="247"/>
      <c r="J21" s="248" t="str">
        <f>Badges!C82</f>
        <v>Consult with a professional chef</v>
      </c>
      <c r="K21" s="250" t="str">
        <f>IF(Badges!D82="A","A"," ")</f>
        <v xml:space="preserve"> </v>
      </c>
      <c r="M21" s="247"/>
      <c r="N21" s="248" t="str">
        <f>Badges!C151</f>
        <v xml:space="preserve">Enjoy an exhibit or event that features </v>
      </c>
      <c r="O21" s="250" t="str">
        <f>IF(Badges!D151="A","A"," ")</f>
        <v xml:space="preserve"> </v>
      </c>
      <c r="Q21" s="471" t="str">
        <f>'Age-Level'!C42</f>
        <v>Rededication (2nd year)</v>
      </c>
      <c r="R21" s="472"/>
      <c r="S21" s="262" t="str">
        <f>IF('Age-Level'!D42="C","C","")</f>
        <v/>
      </c>
    </row>
    <row r="22" spans="1:19" x14ac:dyDescent="0.2">
      <c r="A22" s="501" t="str">
        <f>Summary!A12</f>
        <v>On My Own</v>
      </c>
      <c r="B22" s="502"/>
      <c r="C22" s="251" t="str">
        <f>IF(Badges!D190="C","C",IF(Badges!D190="P","P",""))</f>
        <v/>
      </c>
      <c r="E22" s="247"/>
      <c r="F22" s="248" t="str">
        <f>Badges!C26</f>
        <v>Create a photo album or scrapbook</v>
      </c>
      <c r="G22" s="250" t="str">
        <f>IF(Badges!D26="A","A"," ")</f>
        <v xml:space="preserve"> </v>
      </c>
      <c r="I22" s="247"/>
      <c r="J22" s="248" t="str">
        <f>Badges!C83</f>
        <v>Learn about alternative ways to shop</v>
      </c>
      <c r="K22" s="250" t="str">
        <f>IF(Badges!D83="A","A"," ")</f>
        <v xml:space="preserve"> </v>
      </c>
      <c r="M22" s="247"/>
      <c r="N22" s="248" t="str">
        <f>Badges!C152</f>
        <v>Create your own water composition</v>
      </c>
      <c r="O22" s="250" t="str">
        <f>IF(Badges!D152="A","A"," ")</f>
        <v xml:space="preserve"> </v>
      </c>
      <c r="Q22" s="342" t="str">
        <f>'Age-Level'!B43</f>
        <v>My Promise, My Faith (Year 1)</v>
      </c>
      <c r="R22" s="343"/>
      <c r="S22" s="262"/>
    </row>
    <row r="23" spans="1:19" x14ac:dyDescent="0.2">
      <c r="A23" s="490" t="str">
        <f>Summary!A13</f>
        <v>Good Credit</v>
      </c>
      <c r="B23" s="491"/>
      <c r="C23" s="251" t="str">
        <f>IF(Badges!D213="C","C",IF(Badges!D213="P","P",""))</f>
        <v/>
      </c>
      <c r="E23" s="492" t="str">
        <f>Badges!B29</f>
        <v>Coaching</v>
      </c>
      <c r="F23" s="492"/>
      <c r="G23" s="492"/>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IF('Age-Level'!D44="A","A","")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IF(Badges!D85="A","A"," ")</f>
        <v xml:space="preserve"> </v>
      </c>
      <c r="M24" s="247"/>
      <c r="N24" s="248" t="str">
        <f>Badges!C154</f>
        <v>Visit a water facility and explore its</v>
      </c>
      <c r="O24" s="250" t="str">
        <f>IF(Badges!D154="A","A"," ")</f>
        <v xml:space="preserve"> </v>
      </c>
      <c r="Q24" s="267">
        <v>2</v>
      </c>
      <c r="R24" s="344" t="str">
        <f>'Age-Level'!C45</f>
        <v>Find a woman in your community</v>
      </c>
      <c r="S24" s="262" t="str">
        <f>IF('Age-Level'!D45="A","A","")</f>
        <v/>
      </c>
    </row>
    <row r="25" spans="1:19" x14ac:dyDescent="0.2">
      <c r="A25" s="490" t="str">
        <f>Summary!A15</f>
        <v>Research and Development</v>
      </c>
      <c r="B25" s="491"/>
      <c r="C25" s="252" t="str">
        <f>IF(Badges!D227="C","C",IF(Badges!D227="P","P",""))</f>
        <v/>
      </c>
      <c r="E25" s="247"/>
      <c r="F25" s="248" t="str">
        <f>Badges!C31</f>
        <v>Talk to a great coach</v>
      </c>
      <c r="G25" s="250" t="str">
        <f>IF(Badges!D31="A","A"," ")</f>
        <v xml:space="preserve"> </v>
      </c>
      <c r="I25" s="247"/>
      <c r="J25" s="248" t="str">
        <f>Badges!C86</f>
        <v>Make a menu timeline</v>
      </c>
      <c r="K25" s="250" t="str">
        <f>IF(Badges!D86="A","A"," ")</f>
        <v xml:space="preserve"> </v>
      </c>
      <c r="M25" s="247"/>
      <c r="N25" s="248" t="str">
        <f>Badges!C155</f>
        <v>Investigate endangered marine life</v>
      </c>
      <c r="O25" s="250" t="str">
        <f>IF(Badges!D155="A","A"," ")</f>
        <v xml:space="preserve"> </v>
      </c>
      <c r="Q25" s="267">
        <v>3</v>
      </c>
      <c r="R25" s="344" t="str">
        <f>'Age-Level'!C46</f>
        <v>Gather three inspirational quotes</v>
      </c>
      <c r="S25" s="262" t="str">
        <f>IF('Age-Level'!D46="A","A","")</f>
        <v/>
      </c>
    </row>
    <row r="26" spans="1:19" x14ac:dyDescent="0.2">
      <c r="A26" s="490" t="str">
        <f>Summary!A16</f>
        <v>P &amp; L</v>
      </c>
      <c r="B26" s="491"/>
      <c r="C26" s="252" t="str">
        <f>IF(Badges!D240="C","C",IF(Badges!D240="P","P",""))</f>
        <v/>
      </c>
      <c r="E26" s="247"/>
      <c r="F26" s="248" t="str">
        <f>Badges!C32</f>
        <v>Watch three sports documentaries</v>
      </c>
      <c r="G26" s="250" t="str">
        <f>IF(Badges!D32="A","A"," ")</f>
        <v xml:space="preserve"> </v>
      </c>
      <c r="I26" s="247"/>
      <c r="J26" s="248" t="str">
        <f>Badges!C87</f>
        <v>Prepare a test meal for family or friends</v>
      </c>
      <c r="K26" s="250" t="str">
        <f>IF(Badges!D87="A","A"," ")</f>
        <v xml:space="preserve"> </v>
      </c>
      <c r="M26" s="247"/>
      <c r="N26" s="248" t="str">
        <f>Badges!C156</f>
        <v>Investigate water as a hazard</v>
      </c>
      <c r="O26" s="250" t="str">
        <f>IF(Badges!D156="A","A"," ")</f>
        <v xml:space="preserve"> </v>
      </c>
      <c r="Q26" s="267">
        <v>4</v>
      </c>
      <c r="R26" s="344" t="str">
        <f>'Age-Level'!C47</f>
        <v>Make something to remind you</v>
      </c>
      <c r="S26" s="262" t="str">
        <f>IF('Age-Level'!D47="A","A","")</f>
        <v/>
      </c>
    </row>
    <row r="27" spans="1:19" x14ac:dyDescent="0.2">
      <c r="A27" s="346"/>
      <c r="B27" s="346"/>
      <c r="C27" s="266"/>
      <c r="E27" s="247"/>
      <c r="F27" s="248" t="str">
        <f>Badges!C33</f>
        <v>Attend a coaching clinic or seminar</v>
      </c>
      <c r="G27" s="250" t="str">
        <f>IF(Badges!D33="A","A","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IF('Age-Level'!D48="A","A","")</f>
        <v/>
      </c>
    </row>
    <row r="28" spans="1:19" x14ac:dyDescent="0.2">
      <c r="A28" s="484" t="s">
        <v>84</v>
      </c>
      <c r="B28" s="484"/>
      <c r="C28" s="484"/>
      <c r="E28" s="247">
        <v>2</v>
      </c>
      <c r="F28" s="248" t="str">
        <f>Badges!C34</f>
        <v>Conduct a first assessment</v>
      </c>
      <c r="G28" s="249"/>
      <c r="I28" s="247"/>
      <c r="J28" s="248" t="str">
        <f>Badges!C89</f>
        <v>Expreiment with garnishes</v>
      </c>
      <c r="K28" s="250" t="str">
        <f>IF(Badges!D89="A","A"," ")</f>
        <v xml:space="preserve"> </v>
      </c>
      <c r="M28" s="247"/>
      <c r="N28" s="248" t="str">
        <f>Badges!C158</f>
        <v>Interview a water scientist</v>
      </c>
      <c r="O28" s="250" t="str">
        <f>IF(Badges!D158="A","A","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IF(Badges!D35="A","A"," ")</f>
        <v xml:space="preserve"> </v>
      </c>
      <c r="I29" s="247"/>
      <c r="J29" s="248" t="str">
        <f>Badges!C90</f>
        <v>Present food in interesting shapes</v>
      </c>
      <c r="K29" s="250" t="str">
        <f>IF(Badges!D90="A","A"," ")</f>
        <v xml:space="preserve"> </v>
      </c>
      <c r="M29" s="247"/>
      <c r="N29" s="248" t="str">
        <f>Badges!C159</f>
        <v>Explore the world of hydroelectricity</v>
      </c>
      <c r="O29" s="250" t="str">
        <f>IF(Badges!D159="A","A"," ")</f>
        <v xml:space="preserve"> </v>
      </c>
      <c r="Q29" s="268">
        <v>1</v>
      </c>
      <c r="R29" s="344" t="str">
        <f>'Age-Level'!C51</f>
        <v>Choose one line from the Law</v>
      </c>
      <c r="S29" s="262" t="str">
        <f>IF('Age-Level'!D51="A","A","")</f>
        <v/>
      </c>
    </row>
    <row r="30" spans="1:19" x14ac:dyDescent="0.2">
      <c r="B30" s="477" t="str">
        <f>Journey!B7</f>
        <v>The Girl Scout Advocate Award</v>
      </c>
      <c r="C30" s="478"/>
      <c r="E30" s="247"/>
      <c r="F30" s="248" t="str">
        <f>Badges!C36</f>
        <v>Host an initial session</v>
      </c>
      <c r="G30" s="250" t="str">
        <f>IF(Badges!D36="A","A"," ")</f>
        <v xml:space="preserve"> </v>
      </c>
      <c r="I30" s="247"/>
      <c r="J30" s="248" t="str">
        <f>Badges!C91</f>
        <v>Use serving ware in unusual ways</v>
      </c>
      <c r="K30" s="250" t="str">
        <f>IF(Badges!D91="A","A"," ")</f>
        <v xml:space="preserve"> </v>
      </c>
      <c r="M30" s="247"/>
      <c r="N30" s="248" t="str">
        <f>Badges!C160</f>
        <v>Design your own water innovation</v>
      </c>
      <c r="O30" s="250" t="str">
        <f>IF(Badges!D160="A","A"," ")</f>
        <v xml:space="preserve"> </v>
      </c>
      <c r="Q30" s="267">
        <v>2</v>
      </c>
      <c r="R30" s="344" t="str">
        <f>'Age-Level'!C52</f>
        <v>Find a woman in your community</v>
      </c>
      <c r="S30" s="262" t="str">
        <f>IF('Age-Level'!D52="A","A","")</f>
        <v/>
      </c>
    </row>
    <row r="31" spans="1:19" x14ac:dyDescent="0.2">
      <c r="B31" s="256" t="str">
        <f>Journey!C8</f>
        <v>Eight steps to advocacy</v>
      </c>
      <c r="C31" s="252" t="str">
        <f>IF(Journey!D8="C","C",IF(Journey!D8="P","P",""))</f>
        <v/>
      </c>
      <c r="E31" s="247"/>
      <c r="F31" s="248" t="str">
        <f>Badges!C37</f>
        <v>Prepare a goal chart together</v>
      </c>
      <c r="G31" s="250" t="str">
        <f>IF(Badges!D37="A","A","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IF('Age-Level'!D53="A","A","")</f>
        <v/>
      </c>
    </row>
    <row r="32" spans="1:19" x14ac:dyDescent="0.2">
      <c r="B32" s="256" t="str">
        <f>Journey!C9</f>
        <v>Explore</v>
      </c>
      <c r="C32" s="252" t="str">
        <f>IF(Journey!D9="C","C",IF(Journey!D9="P","P",""))</f>
        <v/>
      </c>
      <c r="E32" s="339" t="str">
        <f>Badges!B29</f>
        <v>Coaching</v>
      </c>
      <c r="F32" s="340"/>
      <c r="G32" s="340"/>
      <c r="I32" s="247"/>
      <c r="J32" s="248" t="str">
        <f>Badges!C93</f>
        <v>Decorate according to your menu theme</v>
      </c>
      <c r="K32" s="250" t="str">
        <f>IF(Badges!D93="A","A"," ")</f>
        <v xml:space="preserve"> </v>
      </c>
      <c r="M32" s="247"/>
      <c r="N32" s="248" t="str">
        <f>Badges!C162</f>
        <v>Celebrate water with younger Girl Scouts</v>
      </c>
      <c r="O32" s="250" t="str">
        <f>IF(Badges!D162="A","A"," ")</f>
        <v xml:space="preserve"> </v>
      </c>
      <c r="Q32" s="267">
        <v>4</v>
      </c>
      <c r="R32" s="344" t="str">
        <f>'Age-Level'!C54</f>
        <v>Make something to remind you</v>
      </c>
      <c r="S32" s="262" t="str">
        <f>IF('Age-Level'!D54="A","A","")</f>
        <v/>
      </c>
    </row>
    <row r="33" spans="1:19" x14ac:dyDescent="0.2">
      <c r="B33" s="256" t="str">
        <f>Journey!C10</f>
        <v>Engage</v>
      </c>
      <c r="C33" s="252" t="str">
        <f>IF(Journey!D10="C","C",IF(Journey!D10="P","P",""))</f>
        <v/>
      </c>
      <c r="E33" s="247">
        <v>3</v>
      </c>
      <c r="F33" s="248" t="str">
        <f>Badges!C38</f>
        <v>Design your coaching plan</v>
      </c>
      <c r="G33" s="249"/>
      <c r="I33" s="247"/>
      <c r="J33" s="248" t="str">
        <f>Badges!C94</f>
        <v>Celebrate a special occasion</v>
      </c>
      <c r="K33" s="250" t="str">
        <f>IF(Badges!D94="A","A"," ")</f>
        <v xml:space="preserve"> </v>
      </c>
      <c r="M33" s="247"/>
      <c r="N33" s="248" t="str">
        <f>Badges!C163</f>
        <v>Share a water issue that matters to you</v>
      </c>
      <c r="O33" s="250" t="str">
        <f>IF(Badges!D163="A","A"," ")</f>
        <v xml:space="preserve"> </v>
      </c>
      <c r="Q33" s="267">
        <v>5</v>
      </c>
      <c r="R33" s="344" t="str">
        <f>'Age-Level'!C55</f>
        <v xml:space="preserve">Make a commitment to live what </v>
      </c>
      <c r="S33" s="364" t="str">
        <f>IF('Age-Level'!D55="A","A","")</f>
        <v/>
      </c>
    </row>
    <row r="34" spans="1:19" x14ac:dyDescent="0.2">
      <c r="A34" s="284"/>
      <c r="B34" s="473" t="str">
        <f>Journey!A14</f>
        <v>JUSTICE</v>
      </c>
      <c r="C34" s="474"/>
      <c r="E34" s="247"/>
      <c r="F34" s="248" t="str">
        <f>Badges!C39</f>
        <v xml:space="preserve">Design a special warm-up </v>
      </c>
      <c r="G34" s="250" t="str">
        <f>IF(Badges!D39="A","A"," ")</f>
        <v xml:space="preserve"> </v>
      </c>
      <c r="I34" s="247"/>
      <c r="J34" s="248" t="str">
        <f>Badges!C95</f>
        <v>Use food and fun to forge new friendships</v>
      </c>
      <c r="K34" s="250" t="str">
        <f>IF(Badges!D95="A","A"," ")</f>
        <v xml:space="preserve"> </v>
      </c>
      <c r="M34" s="247"/>
      <c r="N34" s="248" t="str">
        <f>Badges!C164</f>
        <v>Guide a group to a water place</v>
      </c>
      <c r="O34" s="250" t="str">
        <f>IF(Badges!D164="A","A"," ")</f>
        <v xml:space="preserve"> </v>
      </c>
      <c r="Q34" s="471" t="str">
        <f>'Age-Level'!B57</f>
        <v>Safety Award</v>
      </c>
      <c r="R34" s="472"/>
      <c r="S34" s="364"/>
    </row>
    <row r="35" spans="1:19" x14ac:dyDescent="0.2">
      <c r="A35" s="284"/>
      <c r="B35" s="479" t="str">
        <f>Journey!B15</f>
        <v>Sage Award</v>
      </c>
      <c r="C35" s="480"/>
      <c r="E35" s="247"/>
      <c r="F35" s="248" t="str">
        <f>Badges!C40</f>
        <v>Research and choose</v>
      </c>
      <c r="G35" s="250" t="str">
        <f>IF(Badges!D40="A","A","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IF('Age-Level'!D58="A","A","")</f>
        <v/>
      </c>
    </row>
    <row r="36" spans="1:19" ht="12.75" customHeight="1" x14ac:dyDescent="0.2">
      <c r="A36" s="284"/>
      <c r="B36" s="256" t="str">
        <f>Journey!C16</f>
        <v>LOOK HIGH, LOOK WIDE</v>
      </c>
      <c r="C36" s="252" t="str">
        <f>IF(Journey!D16="C","C",IF(Journey!D16="P","P",""))</f>
        <v/>
      </c>
      <c r="E36" s="247"/>
      <c r="F36" s="248" t="str">
        <f>Badges!C41</f>
        <v>Open and close each session</v>
      </c>
      <c r="G36" s="250" t="str">
        <f>IF(Badges!D41="A","A","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IF('Age-Level'!D59="A","A","")</f>
        <v/>
      </c>
    </row>
    <row r="37" spans="1:19" ht="12.75" customHeight="1" x14ac:dyDescent="0.2">
      <c r="A37" s="284"/>
      <c r="B37" s="256" t="str">
        <f>Journey!C17</f>
        <v>DO the MATH</v>
      </c>
      <c r="C37" s="252" t="str">
        <f>IF(Journey!D17="C","C",IF(Journey!D17="P","P",""))</f>
        <v/>
      </c>
      <c r="E37" s="247">
        <v>4</v>
      </c>
      <c r="F37" s="248" t="str">
        <f>Badges!C42</f>
        <v>Put your plan in action</v>
      </c>
      <c r="G37" s="249"/>
      <c r="I37" s="247"/>
      <c r="J37" s="248" t="str">
        <f>Badges!C100</f>
        <v>Backcountry</v>
      </c>
      <c r="K37" s="250" t="str">
        <f>IF(Badges!D100="A","A"," ")</f>
        <v xml:space="preserve"> </v>
      </c>
      <c r="M37" s="247"/>
      <c r="N37" s="248" t="str">
        <f>Badges!C170</f>
        <v>Take a tour</v>
      </c>
      <c r="O37" s="250" t="str">
        <f>IF(Badges!D170="A","A"," ")</f>
        <v xml:space="preserve"> </v>
      </c>
      <c r="Q37" s="267">
        <v>3</v>
      </c>
      <c r="R37" s="344" t="str">
        <f>'Age-Level'!C60</f>
        <v>Teach a Daisy or Brownie what to do if</v>
      </c>
      <c r="S37" s="262" t="str">
        <f>IF('Age-Level'!D60="A","A","")</f>
        <v/>
      </c>
    </row>
    <row r="38" spans="1:19" x14ac:dyDescent="0.2">
      <c r="A38" s="284"/>
      <c r="B38" s="256" t="str">
        <f>Journey!C18</f>
        <v>Be HAWK-EYED</v>
      </c>
      <c r="C38" s="252" t="str">
        <f>IF(Journey!D18="C","C",IF(Journey!D18="P","P",""))</f>
        <v/>
      </c>
      <c r="E38" s="247"/>
      <c r="F38" s="248" t="str">
        <f>Badges!C43</f>
        <v>Add a morale-boosting time-out</v>
      </c>
      <c r="G38" s="250" t="str">
        <f>IF(Badges!D43="A","A"," ")</f>
        <v xml:space="preserve"> </v>
      </c>
      <c r="I38" s="247"/>
      <c r="J38" s="248" t="str">
        <f>Badges!C101</f>
        <v>Open water</v>
      </c>
      <c r="K38" s="250" t="str">
        <f>IF(Badges!D101="A","A"," ")</f>
        <v xml:space="preserve"> </v>
      </c>
      <c r="M38" s="247"/>
      <c r="N38" s="248" t="str">
        <f>Badges!C171</f>
        <v>Interview a new tenant or homeowner</v>
      </c>
      <c r="O38" s="250" t="str">
        <f>IF(Badges!D171="A","A"," ")</f>
        <v xml:space="preserve"> </v>
      </c>
      <c r="Q38" s="267">
        <v>4</v>
      </c>
      <c r="R38" s="344" t="str">
        <f>'Age-Level'!C61</f>
        <v>With your family, make sure you have</v>
      </c>
      <c r="S38" s="262" t="str">
        <f>IF('Age-Level'!D61="A","A","")</f>
        <v/>
      </c>
    </row>
    <row r="39" spans="1:19" x14ac:dyDescent="0.2">
      <c r="A39" s="284"/>
      <c r="B39" s="256" t="str">
        <f>Journey!C19</f>
        <v>Take the SCIENTIFIC View</v>
      </c>
      <c r="C39" s="252" t="str">
        <f>IF(Journey!D19="C","C",IF(Journey!D19="P","P",""))</f>
        <v/>
      </c>
      <c r="E39" s="247"/>
      <c r="F39" s="248" t="str">
        <f>Badges!C44</f>
        <v>Ask your players to coach you!</v>
      </c>
      <c r="G39" s="250" t="str">
        <f>IF(Badges!D44="A","A"," ")</f>
        <v xml:space="preserve"> </v>
      </c>
      <c r="I39" s="247"/>
      <c r="J39" s="248" t="str">
        <f>Badges!C102</f>
        <v>Mountains</v>
      </c>
      <c r="K39" s="250" t="str">
        <f>IF(Badges!D102="A","A"," ")</f>
        <v xml:space="preserve"> </v>
      </c>
      <c r="M39" s="247"/>
      <c r="N39" s="248" t="str">
        <f>Badges!C172</f>
        <v>Be chart smart</v>
      </c>
      <c r="O39" s="250" t="str">
        <f>IF(Badges!D172="A","A"," ")</f>
        <v xml:space="preserve"> </v>
      </c>
      <c r="Q39" s="267">
        <v>5</v>
      </c>
      <c r="R39" s="344" t="str">
        <f>'Age-Level'!C62</f>
        <v>Discuss bullying with your Girl Scout</v>
      </c>
      <c r="S39" s="262" t="str">
        <f>IF('Age-Level'!D62="A","A","")</f>
        <v/>
      </c>
    </row>
    <row r="40" spans="1:19" x14ac:dyDescent="0.2">
      <c r="A40" s="284"/>
      <c r="B40" s="256" t="str">
        <f>Journey!C20</f>
        <v>DECIPHER Decisions</v>
      </c>
      <c r="C40" s="252" t="str">
        <f>IF(Journey!D20="C","C",IF(Journey!D20="P","P",""))</f>
        <v/>
      </c>
      <c r="E40" s="247"/>
      <c r="F40" s="248" t="str">
        <f>Badges!C45</f>
        <v xml:space="preserve">Bring in another coah to watch </v>
      </c>
      <c r="G40" s="250" t="str">
        <f>IF(Badges!D45="A","A","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t="str">
        <f>Journey!C21</f>
        <v>Write Your Equation &amp; PRESENT It</v>
      </c>
      <c r="C41" s="252" t="str">
        <f>IF(Journey!D21="C","C",IF(Journey!D21="P","P",""))</f>
        <v/>
      </c>
      <c r="E41" s="247">
        <v>5</v>
      </c>
      <c r="F41" s="248" t="str">
        <f>Badges!C46</f>
        <v>Attend the big event</v>
      </c>
      <c r="G41" s="249"/>
      <c r="I41" s="247"/>
      <c r="J41" s="248" t="str">
        <f>Badges!C104</f>
        <v>Wilderness rescue</v>
      </c>
      <c r="K41" s="250" t="str">
        <f>IF(Badges!D104="A","A"," ")</f>
        <v xml:space="preserve"> </v>
      </c>
      <c r="M41" s="247"/>
      <c r="N41" s="248" t="str">
        <f>Badges!C174</f>
        <v>Focus on your finances</v>
      </c>
      <c r="O41" s="250" t="str">
        <f>IF(Badges!D174="A","A"," ")</f>
        <v xml:space="preserve"> </v>
      </c>
    </row>
    <row r="42" spans="1:19" ht="12.75" customHeight="1" x14ac:dyDescent="0.2">
      <c r="A42" s="254"/>
      <c r="B42" s="475" t="str">
        <f>Journey!A25</f>
        <v>BLISS: Live it! Give It!</v>
      </c>
      <c r="C42" s="476"/>
      <c r="E42" s="247"/>
      <c r="F42" s="248" t="str">
        <f>Badges!C47</f>
        <v>Meet with your players for a relaxing</v>
      </c>
      <c r="G42" s="250" t="str">
        <f>IF(Badges!D47="A","A"," ")</f>
        <v xml:space="preserve"> </v>
      </c>
      <c r="I42" s="247"/>
      <c r="J42" s="248" t="str">
        <f>Badges!C105</f>
        <v>Disaster preparedness</v>
      </c>
      <c r="K42" s="250" t="str">
        <f>IF(Badges!D105="A","A"," ")</f>
        <v xml:space="preserve"> </v>
      </c>
      <c r="M42" s="247"/>
      <c r="N42" s="248" t="str">
        <f>Badges!C175</f>
        <v>Shop talk</v>
      </c>
      <c r="O42" s="250" t="str">
        <f>IF(Badges!D175="A","A"," ")</f>
        <v xml:space="preserve"> </v>
      </c>
      <c r="Q42" s="505"/>
      <c r="R42" s="505"/>
      <c r="S42" s="240"/>
    </row>
    <row r="43" spans="1:19" ht="12.75" customHeight="1" x14ac:dyDescent="0.2">
      <c r="B43" s="477" t="str">
        <f>Journey!B26</f>
        <v>Dream Maker Award</v>
      </c>
      <c r="C43" s="478"/>
      <c r="E43" s="247"/>
      <c r="F43" s="248" t="str">
        <f>Badges!C48</f>
        <v>Host a celebration</v>
      </c>
      <c r="G43" s="250" t="str">
        <f>IF(Badges!D48="A","A"," ")</f>
        <v xml:space="preserve"> </v>
      </c>
      <c r="I43" s="247"/>
      <c r="J43" s="248" t="str">
        <f>Badges!C106</f>
        <v>Military medicine</v>
      </c>
      <c r="K43" s="250" t="str">
        <f>IF(Badges!D106="A","A"," ")</f>
        <v xml:space="preserve"> </v>
      </c>
      <c r="M43" s="247"/>
      <c r="N43" s="248" t="str">
        <f>Badges!C176</f>
        <v>Audit request</v>
      </c>
      <c r="O43" s="250" t="str">
        <f>IF(Badges!D176="A","A"," ")</f>
        <v xml:space="preserve"> </v>
      </c>
      <c r="Q43" s="267"/>
      <c r="R43" s="267"/>
      <c r="S43" s="240"/>
    </row>
    <row r="44" spans="1:19" x14ac:dyDescent="0.2">
      <c r="B44" s="256" t="str">
        <f>Journey!C27</f>
        <v>Meet Successful Dreamers</v>
      </c>
      <c r="C44" s="252" t="str">
        <f>IF(Journey!D27="C","C",IF(Journey!D27="P","P",""))</f>
        <v/>
      </c>
      <c r="E44" s="247"/>
      <c r="F44" s="248" t="str">
        <f>Badges!C49</f>
        <v>Make a "trading card" for each athlete</v>
      </c>
      <c r="G44" s="250" t="str">
        <f>IF(Badges!D49="A","A","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t="str">
        <f>Journey!C28</f>
        <v>Seek and Select a Dreamer(s)</v>
      </c>
      <c r="C45" s="252" t="str">
        <f>IF(Journey!D28="C","C",IF(Journey!D28="P","P",""))</f>
        <v/>
      </c>
      <c r="E45" s="492" t="str">
        <f>Badges!B52</f>
        <v>Public Policy</v>
      </c>
      <c r="F45" s="492"/>
      <c r="G45" s="492"/>
      <c r="I45" s="247"/>
      <c r="J45" s="248" t="str">
        <f>Badges!C108</f>
        <v>Take a wilderness first aid course</v>
      </c>
      <c r="K45" s="250" t="str">
        <f>IF(Badges!D108="A","A"," ")</f>
        <v xml:space="preserve"> </v>
      </c>
      <c r="M45" s="247"/>
      <c r="N45" s="248" t="str">
        <f>Badges!C178</f>
        <v>Hooray for hobbies!</v>
      </c>
      <c r="O45" s="250" t="str">
        <f>IF(Badges!D178="A","A"," ")</f>
        <v xml:space="preserve"> </v>
      </c>
      <c r="Q45" s="267"/>
      <c r="R45" s="267"/>
      <c r="S45" s="240"/>
    </row>
    <row r="46" spans="1:19" x14ac:dyDescent="0.2">
      <c r="B46" s="256" t="str">
        <f>Journey!C29</f>
        <v>Define the Dream</v>
      </c>
      <c r="C46" s="252" t="str">
        <f>IF(Journey!D29="C","C",IF(Journey!D29="P","P",""))</f>
        <v/>
      </c>
      <c r="E46" s="247">
        <v>1</v>
      </c>
      <c r="F46" s="248" t="str">
        <f>Badges!C53</f>
        <v>Find out how activitists advocate for change</v>
      </c>
      <c r="G46" s="249" t="s">
        <v>26</v>
      </c>
      <c r="I46" s="247"/>
      <c r="J46" s="248" t="str">
        <f>Badges!C109</f>
        <v>Interview a doctor, nurse, EMT, or first</v>
      </c>
      <c r="K46" s="250" t="str">
        <f>IF(Badges!D109="A","A"," ")</f>
        <v xml:space="preserve"> </v>
      </c>
      <c r="M46" s="247"/>
      <c r="N46" s="248" t="str">
        <f>Badges!C179</f>
        <v>Treat yourself</v>
      </c>
      <c r="O46" s="250" t="str">
        <f>IF(Badges!D179="A","A"," ")</f>
        <v xml:space="preserve"> </v>
      </c>
      <c r="Q46" s="267"/>
      <c r="R46" s="267"/>
      <c r="S46" s="240"/>
    </row>
    <row r="47" spans="1:19" x14ac:dyDescent="0.2">
      <c r="B47" s="256" t="str">
        <f>Journey!C30</f>
        <v>Give It! Gift It!</v>
      </c>
      <c r="C47" s="252" t="str">
        <f>IF(Journey!D30="C","C",IF(Journey!D30="P","P",""))</f>
        <v/>
      </c>
      <c r="E47" s="247"/>
      <c r="F47" s="248" t="str">
        <f>Badges!C54</f>
        <v>Interview an activist</v>
      </c>
      <c r="G47" s="250" t="str">
        <f>IF(Badges!D54="A","A"," ")</f>
        <v xml:space="preserve"> </v>
      </c>
      <c r="I47" s="247"/>
      <c r="J47" s="248" t="str">
        <f>Badges!C110</f>
        <v xml:space="preserve">Discover how to use what's on hand in </v>
      </c>
      <c r="K47" s="250" t="str">
        <f>IF(Badges!D110="A","A"," ")</f>
        <v xml:space="preserve"> </v>
      </c>
      <c r="M47" s="247"/>
      <c r="N47" s="248" t="str">
        <f>Badges!C180</f>
        <v>Class act</v>
      </c>
      <c r="O47" s="250" t="str">
        <f>IF(Badges!D180="A","A"," ")</f>
        <v xml:space="preserve"> </v>
      </c>
      <c r="Q47" s="267"/>
      <c r="R47" s="267"/>
      <c r="S47" s="240"/>
    </row>
    <row r="48" spans="1:19" x14ac:dyDescent="0.2">
      <c r="B48" s="264"/>
      <c r="C48" s="264"/>
      <c r="E48" s="247"/>
      <c r="F48" s="248" t="str">
        <f>Badges!C55</f>
        <v>Watch a documentary or movie</v>
      </c>
      <c r="G48" s="250" t="str">
        <f>IF(Badges!D55="A","A"," ")</f>
        <v xml:space="preserve"> </v>
      </c>
      <c r="I48" s="339" t="str">
        <f>Badges!B98</f>
        <v>Ambassador First Aid</v>
      </c>
      <c r="J48" s="340"/>
      <c r="K48" s="340"/>
      <c r="M48" s="247">
        <v>4</v>
      </c>
      <c r="N48" s="248" t="str">
        <f>Badges!C181</f>
        <v>Plan for the unexpected</v>
      </c>
      <c r="O48" s="249"/>
    </row>
    <row r="49" spans="1:19" x14ac:dyDescent="0.2">
      <c r="A49" s="484" t="s">
        <v>316</v>
      </c>
      <c r="B49" s="484"/>
      <c r="C49" s="484"/>
      <c r="E49" s="247"/>
      <c r="F49" s="248" t="str">
        <f>Badges!C56</f>
        <v xml:space="preserve">Read about women who change the </v>
      </c>
      <c r="G49" s="250" t="str">
        <f>IF(Badges!D56="A","A"," ")</f>
        <v xml:space="preserve"> </v>
      </c>
      <c r="I49" s="247">
        <v>4</v>
      </c>
      <c r="J49" s="248" t="str">
        <f>Badges!C111</f>
        <v>Know how to move an injured person</v>
      </c>
      <c r="K49" s="249"/>
      <c r="M49" s="247"/>
      <c r="N49" s="248" t="str">
        <f>Badges!C182</f>
        <v>Interview your network</v>
      </c>
      <c r="O49" s="250" t="str">
        <f>IF(Badges!D182="A","A"," ")</f>
        <v xml:space="preserve"> </v>
      </c>
    </row>
    <row r="50" spans="1:19" x14ac:dyDescent="0.2">
      <c r="A50" s="259"/>
      <c r="B50" s="345" t="str">
        <f>Bridging!B6</f>
        <v>Pass It On!</v>
      </c>
      <c r="C50" s="251" t="str">
        <f>IF(Bridging!D10="C","C",IF(Bridging!D10="P","P",""))</f>
        <v/>
      </c>
      <c r="E50" s="247">
        <v>2</v>
      </c>
      <c r="F50" s="248" t="str">
        <f>Badges!C57</f>
        <v>Engage as a global citizen</v>
      </c>
      <c r="G50" s="249"/>
      <c r="I50" s="247"/>
      <c r="J50" s="248" t="str">
        <f>Badges!C112</f>
        <v>Visit a medical school</v>
      </c>
      <c r="K50" s="250" t="str">
        <f>IF(Badges!D112="A","A"," ")</f>
        <v xml:space="preserve"> </v>
      </c>
      <c r="M50" s="247"/>
      <c r="N50" s="248" t="str">
        <f>Badges!C183</f>
        <v>Interview a Financial guru</v>
      </c>
      <c r="O50" s="250" t="str">
        <f>IF(Badges!D183="A","A"," ")</f>
        <v xml:space="preserve"> </v>
      </c>
    </row>
    <row r="51" spans="1:19" x14ac:dyDescent="0.2">
      <c r="A51" s="259"/>
      <c r="B51" s="260" t="str">
        <f>Bridging!B11</f>
        <v>Look Ahead!</v>
      </c>
      <c r="C51" s="251" t="str">
        <f>IF(Bridging!D15="C","C",IF(Bridging!D15="P","P",""))</f>
        <v/>
      </c>
      <c r="E51" s="247"/>
      <c r="F51" s="248" t="str">
        <f>Badges!C58</f>
        <v>Compare laws</v>
      </c>
      <c r="G51" s="250" t="str">
        <f>IF(Badges!D58="A","A"," ")</f>
        <v xml:space="preserve"> </v>
      </c>
      <c r="I51" s="247"/>
      <c r="J51" s="248" t="str">
        <f>Badges!C113</f>
        <v>Take a wilderness first aid course</v>
      </c>
      <c r="K51" s="250" t="str">
        <f>IF(Badges!D113="A","A"," ")</f>
        <v xml:space="preserve"> </v>
      </c>
      <c r="M51" s="247"/>
      <c r="N51" s="248" t="str">
        <f>Badges!C184</f>
        <v>Interview an insurance expert</v>
      </c>
      <c r="O51" s="250" t="str">
        <f>IF(Badges!D184="A","A"," ")</f>
        <v xml:space="preserve"> </v>
      </c>
    </row>
    <row r="52" spans="1:19" x14ac:dyDescent="0.2">
      <c r="A52" s="259"/>
      <c r="B52" s="344" t="str">
        <f>Bridging!C16</f>
        <v>Plan a Ceremony</v>
      </c>
      <c r="C52" s="251" t="str">
        <f>IF(Bridging!D17="C","C",IF(Bridging!D17="P","P",""))</f>
        <v/>
      </c>
      <c r="E52" s="247"/>
      <c r="F52" s="248" t="str">
        <f>Badges!C59</f>
        <v xml:space="preserve">Track a public-policy issue being </v>
      </c>
      <c r="G52" s="250" t="str">
        <f>IF(Badges!D59="A","A"," ")</f>
        <v xml:space="preserve"> </v>
      </c>
      <c r="I52" s="247"/>
      <c r="J52" s="248" t="str">
        <f>Badges!C114</f>
        <v>Organize a mock emergency drill</v>
      </c>
      <c r="K52" s="250" t="str">
        <f>IF(Badges!D114="A","A"," ")</f>
        <v xml:space="preserve"> </v>
      </c>
      <c r="M52" s="339" t="str">
        <f>Badges!B168</f>
        <v>On My Own</v>
      </c>
      <c r="N52" s="340"/>
      <c r="O52" s="340"/>
    </row>
    <row r="53" spans="1:19" x14ac:dyDescent="0.2">
      <c r="B53" s="261" t="s">
        <v>134</v>
      </c>
      <c r="C53" s="251" t="str">
        <f>IF(Bridging!D18="C","C",IF(Bridging!D18="P","P",""))</f>
        <v/>
      </c>
      <c r="E53" s="247"/>
      <c r="F53" s="248" t="str">
        <f>Badges!C60</f>
        <v>Explore an international NGO</v>
      </c>
      <c r="G53" s="250" t="str">
        <f>IF(Badges!D60="A","A","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IF(Badges!D116="A","A"," ")</f>
        <v xml:space="preserve"> </v>
      </c>
      <c r="M54" s="247"/>
      <c r="N54" s="248" t="str">
        <f>Badges!C186</f>
        <v>Plan for presents</v>
      </c>
      <c r="O54" s="250" t="str">
        <f>IF(Badges!D186="A","A"," ")</f>
        <v xml:space="preserve"> </v>
      </c>
      <c r="Q54" s="267"/>
      <c r="R54" s="267"/>
      <c r="S54" s="240"/>
    </row>
    <row r="55" spans="1:19" x14ac:dyDescent="0.2">
      <c r="I55" s="247"/>
      <c r="J55" s="248" t="str">
        <f>Badges!C117</f>
        <v>Investigate extreme first aid</v>
      </c>
      <c r="K55" s="250" t="str">
        <f>IF(Badges!D117="A","A"," ")</f>
        <v xml:space="preserve"> </v>
      </c>
      <c r="M55" s="247"/>
      <c r="N55" s="248" t="str">
        <f>Badges!C187</f>
        <v>Budget for your time</v>
      </c>
      <c r="O55" s="250" t="str">
        <f>IF(Badges!D187="A","A"," ")</f>
        <v xml:space="preserve"> </v>
      </c>
      <c r="Q55" s="496"/>
      <c r="R55" s="496"/>
      <c r="S55" s="496"/>
    </row>
    <row r="56" spans="1:19" x14ac:dyDescent="0.2">
      <c r="I56" s="247"/>
      <c r="J56" s="248" t="str">
        <f>Badges!C118</f>
        <v>Interview an everyday hero</v>
      </c>
      <c r="K56" s="250" t="str">
        <f>IF(Badges!D118="A","A"," ")</f>
        <v xml:space="preserve"> </v>
      </c>
      <c r="M56" s="247"/>
      <c r="N56" s="248" t="str">
        <f>Badges!C188</f>
        <v>Charity starts… with a budget</v>
      </c>
      <c r="O56" s="250" t="str">
        <f>IF(Badges!D188="A","A","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IF(Badges!D123="A","A"," ")</f>
        <v xml:space="preserve"> </v>
      </c>
      <c r="M59" s="247"/>
      <c r="N59" s="248" t="str">
        <f>Badges!C217</f>
        <v>Invest some R&amp;D</v>
      </c>
      <c r="O59" s="250" t="str">
        <f>IF(Badges!D217="A","A"," ")</f>
        <v xml:space="preserve"> </v>
      </c>
    </row>
    <row r="60" spans="1:19" x14ac:dyDescent="0.2">
      <c r="I60" s="247"/>
      <c r="J60" s="248" t="str">
        <f>Badges!C124</f>
        <v xml:space="preserve">Ogranize a songfest for younger </v>
      </c>
      <c r="K60" s="250" t="str">
        <f>IF(Badges!D124="A","A"," ")</f>
        <v xml:space="preserve"> </v>
      </c>
      <c r="M60" s="247">
        <v>2</v>
      </c>
      <c r="N60" s="248" t="str">
        <f>Badges!C218</f>
        <v>Reasearch how other companies innovate</v>
      </c>
      <c r="O60" s="249"/>
    </row>
    <row r="61" spans="1:19" ht="12.75" customHeight="1" x14ac:dyDescent="0.2">
      <c r="I61" s="247"/>
      <c r="J61" s="248" t="str">
        <f>Badges!C125</f>
        <v>Bring generations together in song</v>
      </c>
      <c r="K61" s="250" t="str">
        <f>IF(Badges!D125="A","A"," ")</f>
        <v xml:space="preserve"> </v>
      </c>
      <c r="M61" s="247"/>
      <c r="N61" s="248" t="str">
        <f>Badges!C219</f>
        <v>Find at least three other companies</v>
      </c>
      <c r="O61" s="250" t="str">
        <f>IF(Badges!D219="A","A"," ")</f>
        <v xml:space="preserve"> </v>
      </c>
    </row>
    <row r="62" spans="1:19" ht="12.75" customHeight="1"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IF(Badges!D127="A","A"," ")</f>
        <v xml:space="preserve"> </v>
      </c>
      <c r="M63" s="247"/>
      <c r="N63" s="248" t="str">
        <f>Badges!C221</f>
        <v>Developing a new product</v>
      </c>
      <c r="O63" s="250" t="str">
        <f>IF(Badges!D221="A","A"," ")</f>
        <v xml:space="preserve"> </v>
      </c>
    </row>
    <row r="64" spans="1:19" x14ac:dyDescent="0.2">
      <c r="I64" s="247"/>
      <c r="J64" s="248" t="str">
        <f>Badges!C128</f>
        <v>Make World Thinking Day cards</v>
      </c>
      <c r="K64" s="250" t="str">
        <f>IF(Badges!D128="A","A","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IF(Badges!D129="A","A"," ")</f>
        <v xml:space="preserve"> </v>
      </c>
      <c r="M65" s="247"/>
      <c r="N65" s="248" t="str">
        <f>Badges!C223</f>
        <v>If you're considering serveral</v>
      </c>
      <c r="O65" s="250" t="str">
        <f>IF(Badges!D223="A","A","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IF(Badges!D225="A","A","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484"/>
      <c r="G72" s="484"/>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Own'!D28="C","C",IF('Council Own'!D28="P","P",""))</f>
        <v/>
      </c>
      <c r="E73" s="493" t="str">
        <f>'Fun Patches'!C5</f>
        <v>&lt;LIST PATCH HERE&gt;</v>
      </c>
      <c r="F73" s="494"/>
      <c r="G73" s="250" t="str">
        <f>IF('Fun Patches'!D5="A","A","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Own'!D52="C","C",IF('Council Own'!D52="P","P",""))</f>
        <v/>
      </c>
      <c r="E74" s="471" t="str">
        <f>'Fun Patches'!C6</f>
        <v>&lt;LIST PATCH HERE&gt;</v>
      </c>
      <c r="F74" s="472"/>
      <c r="G74" s="257" t="str">
        <f>IF('Fun Patches'!D6="A","A"," ")</f>
        <v xml:space="preserve"> </v>
      </c>
      <c r="H74" s="254"/>
      <c r="I74" s="247">
        <v>1</v>
      </c>
      <c r="J74" s="344" t="str">
        <f>'Council Own'!C7</f>
        <v>&lt;List Requirement Here&gt;</v>
      </c>
      <c r="K74" s="257" t="str">
        <f>IF('Council Own'!D7="A","A"," ")</f>
        <v xml:space="preserve"> </v>
      </c>
      <c r="L74" s="254"/>
      <c r="M74" s="247">
        <v>1</v>
      </c>
      <c r="N74" s="344" t="str">
        <f>'Council Own'!C55</f>
        <v>&lt;List Requirement Here&gt;</v>
      </c>
      <c r="O74" s="257" t="str">
        <f>IF('Council Own'!D55="A","A"," ")</f>
        <v xml:space="preserve"> </v>
      </c>
      <c r="Q74" s="247">
        <v>1</v>
      </c>
      <c r="R74" s="344" t="str">
        <f>'Council Own'!C103</f>
        <v>&lt;List Requirement Here&gt;</v>
      </c>
      <c r="S74" s="257" t="str">
        <f>IF('Council Own'!D103="A","A"," ")</f>
        <v xml:space="preserve"> </v>
      </c>
    </row>
    <row r="75" spans="1:19" x14ac:dyDescent="0.2">
      <c r="A75" s="485" t="str">
        <f>'Council Own'!B54</f>
        <v>&lt;&lt;List Badge Here&gt;&gt;</v>
      </c>
      <c r="B75" s="486"/>
      <c r="C75" s="252" t="str">
        <f>IF('Council Own'!D76="C","C",IF('Council Own'!D76="P","P",""))</f>
        <v/>
      </c>
      <c r="E75" s="471" t="str">
        <f>'Fun Patches'!C7</f>
        <v>&lt;LIST PATCH HERE&gt;</v>
      </c>
      <c r="F75" s="472"/>
      <c r="G75" s="257" t="str">
        <f>IF('Fun Patches'!D7="A","A"," ")</f>
        <v xml:space="preserve"> </v>
      </c>
      <c r="H75" s="254"/>
      <c r="I75" s="247"/>
      <c r="J75" s="344" t="str">
        <f>'Council Own'!C8</f>
        <v>&lt;List Requirement Here&gt;</v>
      </c>
      <c r="K75" s="257" t="str">
        <f>IF('Council Own'!D8="A","A"," ")</f>
        <v xml:space="preserve"> </v>
      </c>
      <c r="L75" s="254"/>
      <c r="M75" s="247"/>
      <c r="N75" s="344" t="str">
        <f>'Council Own'!C56</f>
        <v>&lt;List Requirement Here&gt;</v>
      </c>
      <c r="O75" s="257" t="str">
        <f>IF('Council Own'!D56="A","A"," ")</f>
        <v xml:space="preserve"> </v>
      </c>
      <c r="Q75" s="247"/>
      <c r="R75" s="344" t="str">
        <f>'Council Own'!C104</f>
        <v>&lt;List Requirement Here&gt;</v>
      </c>
      <c r="S75" s="257" t="str">
        <f>IF('Council Own'!D104="A","A"," ")</f>
        <v xml:space="preserve"> </v>
      </c>
    </row>
    <row r="76" spans="1:19" x14ac:dyDescent="0.2">
      <c r="A76" s="485" t="str">
        <f>'Council Own'!B78</f>
        <v>&lt;&lt;List Badge Here&gt;&gt;</v>
      </c>
      <c r="B76" s="486"/>
      <c r="C76" s="252" t="str">
        <f>IF('Council Own'!D100="C","C",IF('Council Own'!D100="P","P",""))</f>
        <v/>
      </c>
      <c r="E76" s="471" t="str">
        <f>'Fun Patches'!C8</f>
        <v>&lt;LIST PATCH HERE&gt;</v>
      </c>
      <c r="F76" s="472"/>
      <c r="G76" s="257" t="str">
        <f>IF('Fun Patches'!D8="A","A"," ")</f>
        <v xml:space="preserve"> </v>
      </c>
      <c r="H76" s="254"/>
      <c r="I76" s="247"/>
      <c r="J76" s="344" t="str">
        <f>'Council Own'!C9</f>
        <v>&lt;List Requirement Here&gt;</v>
      </c>
      <c r="K76" s="257" t="str">
        <f>IF('Council Own'!D9="A","A"," ")</f>
        <v xml:space="preserve"> </v>
      </c>
      <c r="L76" s="254"/>
      <c r="M76" s="247"/>
      <c r="N76" s="344" t="str">
        <f>'Council Own'!C57</f>
        <v>&lt;List Requirement Here&gt;</v>
      </c>
      <c r="O76" s="257" t="str">
        <f>IF('Council Own'!D57="A","A"," ")</f>
        <v xml:space="preserve"> </v>
      </c>
      <c r="Q76" s="247"/>
      <c r="R76" s="344" t="str">
        <f>'Council Own'!C105</f>
        <v>&lt;List Requirement Here&gt;</v>
      </c>
      <c r="S76" s="257" t="str">
        <f>IF('Council Own'!D105="A","A"," ")</f>
        <v xml:space="preserve"> </v>
      </c>
    </row>
    <row r="77" spans="1:19" x14ac:dyDescent="0.2">
      <c r="A77" s="485" t="str">
        <f>'Council Own'!B102</f>
        <v>&lt;&lt;List Badge Here&gt;&gt;</v>
      </c>
      <c r="B77" s="486"/>
      <c r="C77" s="252" t="str">
        <f>IF('Council Own'!D124="C","C",IF('Council Own'!D124="P","P",""))</f>
        <v/>
      </c>
      <c r="E77" s="471" t="str">
        <f>'Fun Patches'!C9</f>
        <v>&lt;LIST PATCH HERE&gt;</v>
      </c>
      <c r="F77" s="472"/>
      <c r="G77" s="257" t="str">
        <f>IF('Fun Patches'!D9="A","A"," ")</f>
        <v xml:space="preserve"> </v>
      </c>
      <c r="H77" s="254"/>
      <c r="I77" s="247"/>
      <c r="J77" s="344" t="str">
        <f>'Council Own'!C10</f>
        <v>&lt;List Requirement Here&gt;</v>
      </c>
      <c r="K77" s="257" t="str">
        <f>IF('Council Own'!D10="A","A"," ")</f>
        <v xml:space="preserve"> </v>
      </c>
      <c r="L77" s="254"/>
      <c r="M77" s="247"/>
      <c r="N77" s="344" t="str">
        <f>'Council Own'!C58</f>
        <v>&lt;List Requirement Here&gt;</v>
      </c>
      <c r="O77" s="257" t="str">
        <f>IF('Council Own'!D58="A","A"," ")</f>
        <v xml:space="preserve"> </v>
      </c>
      <c r="Q77" s="247"/>
      <c r="R77" s="344" t="str">
        <f>'Council Own'!C106</f>
        <v>&lt;List Requirement Here&gt;</v>
      </c>
      <c r="S77" s="257" t="str">
        <f>IF('Council Own'!D106="A","A"," ")</f>
        <v xml:space="preserve"> </v>
      </c>
    </row>
    <row r="78" spans="1:19" x14ac:dyDescent="0.2">
      <c r="A78" s="485" t="str">
        <f>'Council Own'!B126</f>
        <v>&lt;&lt;List Badge Here&gt;&gt;</v>
      </c>
      <c r="B78" s="486"/>
      <c r="C78" s="252" t="str">
        <f>IF('Council Own'!D148="C","C",IF('Council Own'!D148="P","P",""))</f>
        <v/>
      </c>
      <c r="E78" s="471" t="str">
        <f>'Fun Patches'!C10</f>
        <v>&lt;LIST PATCH HERE&gt;</v>
      </c>
      <c r="F78" s="472"/>
      <c r="G78" s="257" t="str">
        <f>IF('Fun Patches'!D10="A","A"," ")</f>
        <v xml:space="preserve"> </v>
      </c>
      <c r="I78" s="247">
        <v>2</v>
      </c>
      <c r="J78" s="344" t="str">
        <f>'Council Own'!C11</f>
        <v>&lt;List Requirement Here&gt;</v>
      </c>
      <c r="K78" s="257" t="str">
        <f>IF('Council Own'!D11="A","A"," ")</f>
        <v xml:space="preserve"> </v>
      </c>
      <c r="M78" s="247">
        <v>2</v>
      </c>
      <c r="N78" s="344" t="str">
        <f>'Council Own'!C59</f>
        <v>&lt;List Requirement Here&gt;</v>
      </c>
      <c r="O78" s="257" t="str">
        <f>IF('Council Own'!D59="A","A"," ")</f>
        <v xml:space="preserve"> </v>
      </c>
      <c r="Q78" s="247">
        <v>2</v>
      </c>
      <c r="R78" s="344" t="str">
        <f>'Council Own'!C107</f>
        <v>&lt;List Requirement Here&gt;</v>
      </c>
      <c r="S78" s="257" t="str">
        <f>IF('Council Own'!D107="A","A"," ")</f>
        <v xml:space="preserve"> </v>
      </c>
    </row>
    <row r="79" spans="1:19" x14ac:dyDescent="0.2">
      <c r="E79" s="471" t="str">
        <f>'Fun Patches'!C11</f>
        <v>&lt;LIST PATCH HERE&gt;</v>
      </c>
      <c r="F79" s="472"/>
      <c r="G79" s="257" t="str">
        <f>IF('Fun Patches'!D11="A","A"," ")</f>
        <v xml:space="preserve"> </v>
      </c>
      <c r="I79" s="247"/>
      <c r="J79" s="344" t="str">
        <f>'Council Own'!C12</f>
        <v>&lt;List Requirement Here&gt;</v>
      </c>
      <c r="K79" s="257" t="str">
        <f>IF('Council Own'!D12="A","A"," ")</f>
        <v xml:space="preserve"> </v>
      </c>
      <c r="M79" s="247"/>
      <c r="N79" s="344" t="str">
        <f>'Council Own'!C60</f>
        <v>&lt;List Requirement Here&gt;</v>
      </c>
      <c r="O79" s="257" t="str">
        <f>IF('Council Own'!D60="A","A"," ")</f>
        <v xml:space="preserve"> </v>
      </c>
      <c r="Q79" s="247"/>
      <c r="R79" s="344" t="str">
        <f>'Council Own'!C108</f>
        <v>&lt;List Requirement Here&gt;</v>
      </c>
      <c r="S79" s="257" t="str">
        <f>IF('Council Own'!D108="A","A"," ")</f>
        <v xml:space="preserve"> </v>
      </c>
    </row>
    <row r="80" spans="1:19" x14ac:dyDescent="0.2">
      <c r="E80" s="471" t="str">
        <f>'Fun Patches'!C12</f>
        <v>&lt;LIST PATCH HERE&gt;</v>
      </c>
      <c r="F80" s="472"/>
      <c r="G80" s="257" t="str">
        <f>IF('Fun Patches'!D12="A","A"," ")</f>
        <v xml:space="preserve"> </v>
      </c>
      <c r="I80" s="247"/>
      <c r="J80" s="344" t="str">
        <f>'Council Own'!C13</f>
        <v>&lt;List Requirement Here&gt;</v>
      </c>
      <c r="K80" s="257" t="str">
        <f>IF('Council Own'!D13="A","A"," ")</f>
        <v xml:space="preserve"> </v>
      </c>
      <c r="M80" s="247"/>
      <c r="N80" s="344" t="str">
        <f>'Council Own'!C61</f>
        <v>&lt;List Requirement Here&gt;</v>
      </c>
      <c r="O80" s="257" t="str">
        <f>IF('Council Own'!D61="A","A"," ")</f>
        <v xml:space="preserve"> </v>
      </c>
      <c r="Q80" s="247"/>
      <c r="R80" s="344" t="str">
        <f>'Council Own'!C109</f>
        <v>&lt;List Requirement Here&gt;</v>
      </c>
      <c r="S80" s="257" t="str">
        <f>IF('Council Own'!D109="A","A"," ")</f>
        <v xml:space="preserve"> </v>
      </c>
    </row>
    <row r="81" spans="1:22" x14ac:dyDescent="0.2">
      <c r="E81" s="471" t="str">
        <f>'Fun Patches'!C13</f>
        <v>&lt;LIST PATCH HERE&gt;</v>
      </c>
      <c r="F81" s="472"/>
      <c r="G81" s="257" t="str">
        <f>IF('Fun Patches'!D13="A","A"," ")</f>
        <v xml:space="preserve"> </v>
      </c>
      <c r="I81" s="247"/>
      <c r="J81" s="344" t="str">
        <f>'Council Own'!C14</f>
        <v>&lt;List Requirement Here&gt;</v>
      </c>
      <c r="K81" s="257" t="str">
        <f>IF('Council Own'!D14="A","A"," ")</f>
        <v xml:space="preserve"> </v>
      </c>
      <c r="M81" s="247"/>
      <c r="N81" s="344" t="str">
        <f>'Council Own'!C62</f>
        <v>&lt;List Requirement Here&gt;</v>
      </c>
      <c r="O81" s="257" t="str">
        <f>IF('Council Own'!D62="A","A"," ")</f>
        <v xml:space="preserve"> </v>
      </c>
      <c r="Q81" s="247"/>
      <c r="R81" s="344" t="str">
        <f>'Council Own'!C110</f>
        <v>&lt;List Requirement Here&gt;</v>
      </c>
      <c r="S81" s="257" t="str">
        <f>IF('Council Own'!D110="A","A"," ")</f>
        <v xml:space="preserve"> </v>
      </c>
    </row>
    <row r="82" spans="1:22" x14ac:dyDescent="0.2">
      <c r="E82" s="471" t="str">
        <f>'Fun Patches'!C14</f>
        <v>&lt;LIST PATCH HERE&gt;</v>
      </c>
      <c r="F82" s="472"/>
      <c r="G82" s="257" t="str">
        <f>IF('Fun Patches'!D14="A","A"," ")</f>
        <v xml:space="preserve"> </v>
      </c>
      <c r="I82" s="247">
        <v>3</v>
      </c>
      <c r="J82" s="344" t="str">
        <f>'Council Own'!C15</f>
        <v>&lt;List Requirement Here&gt;</v>
      </c>
      <c r="K82" s="257" t="str">
        <f>IF('Council Own'!D15="A","A"," ")</f>
        <v xml:space="preserve"> </v>
      </c>
      <c r="M82" s="247">
        <v>3</v>
      </c>
      <c r="N82" s="344" t="str">
        <f>'Council Own'!C63</f>
        <v>&lt;List Requirement Here&gt;</v>
      </c>
      <c r="O82" s="257" t="str">
        <f>IF('Council Own'!D63="A","A"," ")</f>
        <v xml:space="preserve"> </v>
      </c>
      <c r="Q82" s="247">
        <v>3</v>
      </c>
      <c r="R82" s="344" t="str">
        <f>'Council Own'!C111</f>
        <v>&lt;List Requirement Here&gt;</v>
      </c>
      <c r="S82" s="257" t="str">
        <f>IF('Council Own'!D111="A","A"," ")</f>
        <v xml:space="preserve"> </v>
      </c>
    </row>
    <row r="83" spans="1:22" x14ac:dyDescent="0.2">
      <c r="E83" s="471" t="str">
        <f>'Fun Patches'!C15</f>
        <v>&lt;LIST PATCH HERE&gt;</v>
      </c>
      <c r="F83" s="472"/>
      <c r="G83" s="257" t="str">
        <f>IF('Fun Patches'!D15="A","A"," ")</f>
        <v xml:space="preserve"> </v>
      </c>
      <c r="I83" s="247"/>
      <c r="J83" s="344" t="str">
        <f>'Council Own'!C16</f>
        <v>&lt;List Requirement Here&gt;</v>
      </c>
      <c r="K83" s="257" t="str">
        <f>IF('Council Own'!D16="A","A"," ")</f>
        <v xml:space="preserve"> </v>
      </c>
      <c r="M83" s="247"/>
      <c r="N83" s="344" t="str">
        <f>'Council Own'!C64</f>
        <v>&lt;List Requirement Here&gt;</v>
      </c>
      <c r="O83" s="257" t="str">
        <f>IF('Council Own'!D64="A","A"," ")</f>
        <v xml:space="preserve"> </v>
      </c>
      <c r="Q83" s="247"/>
      <c r="R83" s="344" t="str">
        <f>'Council Own'!C112</f>
        <v>&lt;List Requirement Here&gt;</v>
      </c>
      <c r="S83" s="257" t="str">
        <f>IF('Council Own'!D112="A","A"," ")</f>
        <v xml:space="preserve"> </v>
      </c>
    </row>
    <row r="84" spans="1:22" x14ac:dyDescent="0.2">
      <c r="E84" s="471" t="str">
        <f>'Fun Patches'!C16</f>
        <v>&lt;LIST PATCH HERE&gt;</v>
      </c>
      <c r="F84" s="472"/>
      <c r="G84" s="257" t="str">
        <f>IF('Fun Patches'!D16="A","A"," ")</f>
        <v xml:space="preserve"> </v>
      </c>
      <c r="I84" s="247"/>
      <c r="J84" s="344" t="str">
        <f>'Council Own'!C17</f>
        <v>&lt;List Requirement Here&gt;</v>
      </c>
      <c r="K84" s="257" t="str">
        <f>IF('Council Own'!D17="A","A"," ")</f>
        <v xml:space="preserve"> </v>
      </c>
      <c r="M84" s="247"/>
      <c r="N84" s="344" t="str">
        <f>'Council Own'!C65</f>
        <v>&lt;List Requirement Here&gt;</v>
      </c>
      <c r="O84" s="257" t="str">
        <f>IF('Council Own'!D65="A","A"," ")</f>
        <v xml:space="preserve"> </v>
      </c>
      <c r="Q84" s="247"/>
      <c r="R84" s="344" t="str">
        <f>'Council Own'!C113</f>
        <v>&lt;List Requirement Here&gt;</v>
      </c>
      <c r="S84" s="257" t="str">
        <f>IF('Council Own'!D113="A","A"," ")</f>
        <v xml:space="preserve"> </v>
      </c>
    </row>
    <row r="85" spans="1:22" x14ac:dyDescent="0.2">
      <c r="E85" s="471" t="str">
        <f>'Fun Patches'!C17</f>
        <v>&lt;LIST PATCH HERE&gt;</v>
      </c>
      <c r="F85" s="472"/>
      <c r="G85" s="250" t="str">
        <f>IF('Fun Patches'!D17="A","A"," ")</f>
        <v xml:space="preserve"> </v>
      </c>
      <c r="I85" s="247"/>
      <c r="J85" s="344" t="str">
        <f>'Council Own'!C18</f>
        <v>&lt;List Requirement Here&gt;</v>
      </c>
      <c r="K85" s="257" t="str">
        <f>IF('Council Own'!D18="A","A"," ")</f>
        <v xml:space="preserve"> </v>
      </c>
      <c r="M85" s="247"/>
      <c r="N85" s="344" t="str">
        <f>'Council Own'!C66</f>
        <v>&lt;List Requirement Here&gt;</v>
      </c>
      <c r="O85" s="257" t="str">
        <f>IF('Council Own'!D66="A","A"," ")</f>
        <v xml:space="preserve"> </v>
      </c>
      <c r="Q85" s="247"/>
      <c r="R85" s="344" t="str">
        <f>'Council Own'!C114</f>
        <v>&lt;List Requirement Here&gt;</v>
      </c>
      <c r="S85" s="257" t="str">
        <f>IF('Council Own'!D114="A","A"," ")</f>
        <v xml:space="preserve"> </v>
      </c>
    </row>
    <row r="86" spans="1:22" x14ac:dyDescent="0.2">
      <c r="A86" s="242"/>
      <c r="B86" s="243"/>
      <c r="C86" s="244"/>
      <c r="E86" s="471" t="str">
        <f>'Fun Patches'!C18</f>
        <v>&lt;LIST PATCH HERE&gt;</v>
      </c>
      <c r="F86" s="472"/>
      <c r="G86" s="257" t="str">
        <f>IF('Fun Patches'!D18="A","A"," ")</f>
        <v xml:space="preserve"> </v>
      </c>
      <c r="I86" s="247">
        <v>4</v>
      </c>
      <c r="J86" s="344" t="str">
        <f>'Council Own'!C19</f>
        <v>&lt;List Requirement Here&gt;</v>
      </c>
      <c r="K86" s="257" t="str">
        <f>IF('Council Own'!D19="A","A"," ")</f>
        <v xml:space="preserve"> </v>
      </c>
      <c r="M86" s="247">
        <v>4</v>
      </c>
      <c r="N86" s="344" t="str">
        <f>'Council Own'!C67</f>
        <v>&lt;List Requirement Here&gt;</v>
      </c>
      <c r="O86" s="257" t="str">
        <f>IF('Council Own'!D67="A","A"," ")</f>
        <v xml:space="preserve"> </v>
      </c>
      <c r="Q86" s="247">
        <v>4</v>
      </c>
      <c r="R86" s="344" t="str">
        <f>'Council Own'!C115</f>
        <v>&lt;List Requirement Here&gt;</v>
      </c>
      <c r="S86" s="257" t="str">
        <f>IF('Council Own'!D115="A","A"," ")</f>
        <v xml:space="preserve"> </v>
      </c>
    </row>
    <row r="87" spans="1:22" x14ac:dyDescent="0.2">
      <c r="E87" s="471" t="str">
        <f>'Fun Patches'!C19</f>
        <v>&lt;LIST PATCH HERE&gt;</v>
      </c>
      <c r="F87" s="472"/>
      <c r="G87" s="257" t="str">
        <f>IF('Fun Patches'!D19="A","A"," ")</f>
        <v xml:space="preserve"> </v>
      </c>
      <c r="I87" s="247"/>
      <c r="J87" s="344" t="str">
        <f>'Council Own'!C20</f>
        <v>&lt;List Requirement Here&gt;</v>
      </c>
      <c r="K87" s="257" t="str">
        <f>IF('Council Own'!D20="A","A"," ")</f>
        <v xml:space="preserve"> </v>
      </c>
      <c r="M87" s="247"/>
      <c r="N87" s="344" t="str">
        <f>'Council Own'!C68</f>
        <v>&lt;List Requirement Here&gt;</v>
      </c>
      <c r="O87" s="257" t="str">
        <f>IF('Council Own'!D68="A","A"," ")</f>
        <v xml:space="preserve"> </v>
      </c>
      <c r="Q87" s="247"/>
      <c r="R87" s="344" t="str">
        <f>'Council Own'!C116</f>
        <v>&lt;List Requirement Here&gt;</v>
      </c>
      <c r="S87" s="257" t="str">
        <f>IF('Council Own'!D116="A","A"," ")</f>
        <v xml:space="preserve"> </v>
      </c>
    </row>
    <row r="88" spans="1:22" x14ac:dyDescent="0.2">
      <c r="E88" s="471" t="str">
        <f>'Fun Patches'!C20</f>
        <v>&lt;LIST PATCH HERE&gt;</v>
      </c>
      <c r="F88" s="472"/>
      <c r="G88" s="257" t="str">
        <f>IF('Fun Patches'!D20="A","A"," ")</f>
        <v xml:space="preserve"> </v>
      </c>
      <c r="I88" s="247"/>
      <c r="J88" s="344" t="str">
        <f>'Council Own'!C21</f>
        <v>&lt;List Requirement Here&gt;</v>
      </c>
      <c r="K88" s="257" t="str">
        <f>IF('Council Own'!D21="A","A"," ")</f>
        <v xml:space="preserve"> </v>
      </c>
      <c r="M88" s="247"/>
      <c r="N88" s="344" t="str">
        <f>'Council Own'!C69</f>
        <v>&lt;List Requirement Here&gt;</v>
      </c>
      <c r="O88" s="257" t="str">
        <f>IF('Council Own'!D69="A","A"," ")</f>
        <v xml:space="preserve"> </v>
      </c>
      <c r="Q88" s="247"/>
      <c r="R88" s="344" t="str">
        <f>'Council Own'!C117</f>
        <v>&lt;List Requirement Here&gt;</v>
      </c>
      <c r="S88" s="257" t="str">
        <f>IF('Council Own'!D117="A","A"," ")</f>
        <v xml:space="preserve"> </v>
      </c>
    </row>
    <row r="89" spans="1:22" x14ac:dyDescent="0.2">
      <c r="E89" s="471" t="str">
        <f>'Fun Patches'!C21</f>
        <v>&lt;LIST PATCH HERE&gt;</v>
      </c>
      <c r="F89" s="472"/>
      <c r="G89" s="257" t="str">
        <f>IF('Fun Patches'!D21="A","A"," ")</f>
        <v xml:space="preserve"> </v>
      </c>
      <c r="I89" s="247"/>
      <c r="J89" s="344" t="str">
        <f>'Council Own'!C22</f>
        <v>&lt;List Requirement Here&gt;</v>
      </c>
      <c r="K89" s="257" t="str">
        <f>IF('Council Own'!D22="A","A"," ")</f>
        <v xml:space="preserve"> </v>
      </c>
      <c r="M89" s="247"/>
      <c r="N89" s="344" t="str">
        <f>'Council Own'!C70</f>
        <v>&lt;List Requirement Here&gt;</v>
      </c>
      <c r="O89" s="257" t="str">
        <f>IF('Council Own'!D70="A","A"," ")</f>
        <v xml:space="preserve"> </v>
      </c>
      <c r="Q89" s="247"/>
      <c r="R89" s="344" t="str">
        <f>'Council Own'!C118</f>
        <v>&lt;List Requirement Here&gt;</v>
      </c>
      <c r="S89" s="257" t="str">
        <f>IF('Council Own'!D118="A","A"," ")</f>
        <v xml:space="preserve"> </v>
      </c>
    </row>
    <row r="90" spans="1:22" x14ac:dyDescent="0.2">
      <c r="E90" s="471" t="str">
        <f>'Fun Patches'!C22</f>
        <v>&lt;LIST PATCH HERE&gt;</v>
      </c>
      <c r="F90" s="472"/>
      <c r="G90" s="257" t="str">
        <f>IF('Fun Patches'!D22="A","A"," ")</f>
        <v xml:space="preserve"> </v>
      </c>
      <c r="I90" s="247">
        <v>5</v>
      </c>
      <c r="J90" s="344" t="str">
        <f>'Council Own'!C23</f>
        <v>&lt;List Requirement Here&gt;</v>
      </c>
      <c r="K90" s="257" t="str">
        <f>IF('Council Own'!D23="A","A"," ")</f>
        <v xml:space="preserve"> </v>
      </c>
      <c r="M90" s="247">
        <v>5</v>
      </c>
      <c r="N90" s="344" t="str">
        <f>'Council Own'!C71</f>
        <v>&lt;List Requirement Here&gt;</v>
      </c>
      <c r="O90" s="257" t="str">
        <f>IF('Council Own'!D71="A","A"," ")</f>
        <v xml:space="preserve"> </v>
      </c>
      <c r="Q90" s="247">
        <v>5</v>
      </c>
      <c r="R90" s="344" t="str">
        <f>'Council Own'!C119</f>
        <v>&lt;List Requirement Here&gt;</v>
      </c>
      <c r="S90" s="257" t="str">
        <f>IF('Council Own'!D119="A","A"," ")</f>
        <v xml:space="preserve"> </v>
      </c>
    </row>
    <row r="91" spans="1:22" x14ac:dyDescent="0.2">
      <c r="E91" s="471" t="str">
        <f>'Fun Patches'!C23</f>
        <v>&lt;LIST PATCH HERE&gt;</v>
      </c>
      <c r="F91" s="472"/>
      <c r="G91" s="257" t="str">
        <f>IF('Fun Patches'!D23="A","A"," ")</f>
        <v xml:space="preserve"> </v>
      </c>
      <c r="I91" s="247"/>
      <c r="J91" s="344" t="str">
        <f>'Council Own'!C24</f>
        <v>&lt;List Requirement Here&gt;</v>
      </c>
      <c r="K91" s="257" t="str">
        <f>IF('Council Own'!D24="A","A"," ")</f>
        <v xml:space="preserve"> </v>
      </c>
      <c r="M91" s="247"/>
      <c r="N91" s="344" t="str">
        <f>'Council Own'!C72</f>
        <v>&lt;List Requirement Here&gt;</v>
      </c>
      <c r="O91" s="257" t="str">
        <f>IF('Council Own'!D72="A","A"," ")</f>
        <v xml:space="preserve"> </v>
      </c>
      <c r="Q91" s="247"/>
      <c r="R91" s="344" t="str">
        <f>'Council Own'!C120</f>
        <v>&lt;List Requirement Here&gt;</v>
      </c>
      <c r="S91" s="257" t="str">
        <f>IF('Council Own'!D120="A","A"," ")</f>
        <v xml:space="preserve"> </v>
      </c>
    </row>
    <row r="92" spans="1:22" x14ac:dyDescent="0.2">
      <c r="E92" s="471" t="str">
        <f>'Fun Patches'!C24</f>
        <v>&lt;LIST PATCH HERE&gt;</v>
      </c>
      <c r="F92" s="472"/>
      <c r="G92" s="257" t="str">
        <f>IF('Fun Patches'!D24="A","A"," ")</f>
        <v xml:space="preserve"> </v>
      </c>
      <c r="I92" s="247"/>
      <c r="J92" s="344" t="str">
        <f>'Council Own'!C25</f>
        <v>&lt;List Requirement Here&gt;</v>
      </c>
      <c r="K92" s="257" t="str">
        <f>IF('Council Own'!D25="A","A"," ")</f>
        <v xml:space="preserve"> </v>
      </c>
      <c r="M92" s="247"/>
      <c r="N92" s="344" t="str">
        <f>'Council Own'!C73</f>
        <v>&lt;List Requirement Here&gt;</v>
      </c>
      <c r="O92" s="257" t="str">
        <f>IF('Council Own'!D73="A","A"," ")</f>
        <v xml:space="preserve"> </v>
      </c>
      <c r="Q92" s="247"/>
      <c r="R92" s="344" t="str">
        <f>'Council Own'!C121</f>
        <v>&lt;List Requirement Here&gt;</v>
      </c>
      <c r="S92" s="257" t="str">
        <f>IF('Council Own'!D121="A","A"," ")</f>
        <v xml:space="preserve"> </v>
      </c>
    </row>
    <row r="93" spans="1:22" x14ac:dyDescent="0.2">
      <c r="E93" s="471" t="str">
        <f>'Fun Patches'!C25</f>
        <v>&lt;LIST PATCH HERE&gt;</v>
      </c>
      <c r="F93" s="472"/>
      <c r="G93" s="257" t="str">
        <f>IF('Fun Patches'!D25="A","A"," ")</f>
        <v xml:space="preserve"> </v>
      </c>
      <c r="I93" s="247"/>
      <c r="J93" s="344" t="str">
        <f>'Council Own'!C26</f>
        <v>&lt;List Requirement Here&gt;</v>
      </c>
      <c r="K93" s="257" t="str">
        <f>IF('Council Own'!D26="A","A"," ")</f>
        <v xml:space="preserve"> </v>
      </c>
      <c r="M93" s="247"/>
      <c r="N93" s="344" t="str">
        <f>'Council Own'!C74</f>
        <v>&lt;List Requirement Here&gt;</v>
      </c>
      <c r="O93" s="257" t="str">
        <f>IF('Council Own'!D68="A","A"," ")</f>
        <v xml:space="preserve"> </v>
      </c>
      <c r="Q93" s="247"/>
      <c r="R93" s="344" t="str">
        <f>'Council Own'!C122</f>
        <v>&lt;List Requirement Here&gt;</v>
      </c>
      <c r="S93" s="257" t="str">
        <f>IF('Council Own'!D122="A","A"," ")</f>
        <v xml:space="preserve"> </v>
      </c>
    </row>
    <row r="94" spans="1:22" x14ac:dyDescent="0.2">
      <c r="E94" s="471" t="str">
        <f>'Fun Patches'!C26</f>
        <v>&lt;LIST PATCH HERE&gt;</v>
      </c>
      <c r="F94" s="472"/>
      <c r="G94" s="257" t="str">
        <f>IF('Fun Patches'!D26="A","A","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Patches'!D27="A","A"," ")</f>
        <v xml:space="preserve"> </v>
      </c>
      <c r="I95" s="247">
        <v>1</v>
      </c>
      <c r="J95" s="344" t="str">
        <f>'Council Own'!C31</f>
        <v>&lt;List Requirement Here&gt;</v>
      </c>
      <c r="K95" s="257" t="str">
        <f>IF('Council Own'!D31="A","A"," ")</f>
        <v xml:space="preserve"> </v>
      </c>
      <c r="M95" s="247">
        <v>1</v>
      </c>
      <c r="N95" s="344" t="str">
        <f>'Council Own'!C79</f>
        <v>&lt;List Requirement Here&gt;</v>
      </c>
      <c r="O95" s="257" t="str">
        <f>IF('Council Own'!D79="A","A"," ")</f>
        <v xml:space="preserve"> </v>
      </c>
      <c r="Q95" s="247">
        <v>1</v>
      </c>
      <c r="R95" s="344" t="str">
        <f>'Council Own'!C127</f>
        <v>&lt;List Requirement Here&gt;</v>
      </c>
      <c r="S95" s="257" t="str">
        <f>IF('Council Own'!D127="A","A"," ")</f>
        <v xml:space="preserve"> </v>
      </c>
    </row>
    <row r="96" spans="1:22" x14ac:dyDescent="0.2">
      <c r="E96" s="471" t="str">
        <f>'Fun Patches'!C28</f>
        <v>&lt;LIST PATCH HERE&gt;</v>
      </c>
      <c r="F96" s="472"/>
      <c r="G96" s="257" t="str">
        <f>IF('Fun Patches'!D28="A","A"," ")</f>
        <v xml:space="preserve"> </v>
      </c>
      <c r="I96" s="247"/>
      <c r="J96" s="344" t="str">
        <f>'Council Own'!C32</f>
        <v>&lt;List Requirement Here&gt;</v>
      </c>
      <c r="K96" s="257" t="str">
        <f>IF('Council Own'!D32="A","A"," ")</f>
        <v xml:space="preserve"> </v>
      </c>
      <c r="M96" s="247"/>
      <c r="N96" s="344" t="str">
        <f>'Council Own'!C80</f>
        <v>&lt;List Requirement Here&gt;</v>
      </c>
      <c r="O96" s="257" t="str">
        <f>IF('Council Own'!D80="A","A"," ")</f>
        <v xml:space="preserve"> </v>
      </c>
      <c r="Q96" s="247"/>
      <c r="R96" s="344" t="str">
        <f>'Council Own'!C128</f>
        <v>&lt;List Requirement Here&gt;</v>
      </c>
      <c r="S96" s="257" t="str">
        <f>IF('Council Own'!D128="A","A"," ")</f>
        <v xml:space="preserve"> </v>
      </c>
      <c r="U96" s="245"/>
      <c r="V96" s="245"/>
    </row>
    <row r="97" spans="1:23" x14ac:dyDescent="0.2">
      <c r="E97" s="471" t="str">
        <f>'Fun Patches'!C29</f>
        <v>&lt;LIST PATCH HERE&gt;</v>
      </c>
      <c r="F97" s="472"/>
      <c r="G97" s="257" t="str">
        <f>IF('Fun Patches'!D29="A","A"," ")</f>
        <v xml:space="preserve"> </v>
      </c>
      <c r="I97" s="247"/>
      <c r="J97" s="344" t="str">
        <f>'Council Own'!C33</f>
        <v>&lt;List Requirement Here&gt;</v>
      </c>
      <c r="K97" s="257" t="str">
        <f>IF('Council Own'!D33="A","A"," ")</f>
        <v xml:space="preserve"> </v>
      </c>
      <c r="M97" s="247"/>
      <c r="N97" s="344" t="str">
        <f>'Council Own'!C81</f>
        <v>&lt;List Requirement Here&gt;</v>
      </c>
      <c r="O97" s="257" t="str">
        <f>IF('Council Own'!D81="A","A"," ")</f>
        <v xml:space="preserve"> </v>
      </c>
      <c r="Q97" s="247"/>
      <c r="R97" s="344" t="str">
        <f>'Council Own'!C129</f>
        <v>&lt;List Requirement Here&gt;</v>
      </c>
      <c r="S97" s="257" t="str">
        <f>IF('Council Own'!D129="A","A"," ")</f>
        <v xml:space="preserve"> </v>
      </c>
      <c r="U97" s="245"/>
      <c r="V97" s="245"/>
    </row>
    <row r="98" spans="1:23" x14ac:dyDescent="0.2">
      <c r="A98" s="484" t="s">
        <v>75</v>
      </c>
      <c r="B98" s="484"/>
      <c r="C98" s="484"/>
      <c r="E98" s="471" t="str">
        <f>'Fun Patches'!C30</f>
        <v>&lt;LIST PATCH HERE&gt;</v>
      </c>
      <c r="F98" s="472"/>
      <c r="G98" s="257" t="str">
        <f>IF('Fun Patches'!D30="A","A"," ")</f>
        <v xml:space="preserve"> </v>
      </c>
      <c r="I98" s="247"/>
      <c r="J98" s="344" t="str">
        <f>'Council Own'!C34</f>
        <v>&lt;List Requirement Here&gt;</v>
      </c>
      <c r="K98" s="257" t="str">
        <f>IF('Council Own'!D34="A","A"," ")</f>
        <v xml:space="preserve"> </v>
      </c>
      <c r="M98" s="247"/>
      <c r="N98" s="344" t="str">
        <f>'Council Own'!C82</f>
        <v>&lt;List Requirement Here&gt;</v>
      </c>
      <c r="O98" s="257" t="str">
        <f>IF('Council Own'!D82="A","A"," ")</f>
        <v xml:space="preserve"> </v>
      </c>
      <c r="Q98" s="247"/>
      <c r="R98" s="344" t="str">
        <f>'Council Own'!C130</f>
        <v>&lt;List Requirement Here&gt;</v>
      </c>
      <c r="S98" s="257" t="str">
        <f>IF('Council Own'!D130="A","A"," ")</f>
        <v xml:space="preserve"> </v>
      </c>
      <c r="U98" s="245"/>
      <c r="V98" s="245"/>
    </row>
    <row r="99" spans="1:23" ht="14.25" customHeight="1" x14ac:dyDescent="0.2">
      <c r="A99" s="481" t="s">
        <v>72</v>
      </c>
      <c r="B99" s="482"/>
      <c r="C99" s="483"/>
      <c r="E99" s="471" t="str">
        <f>'Fun Patches'!C31</f>
        <v>&lt;LIST PATCH HERE&gt;</v>
      </c>
      <c r="F99" s="472"/>
      <c r="G99" s="257" t="str">
        <f>IF('Fun Patches'!D31="A","A"," ")</f>
        <v xml:space="preserve"> </v>
      </c>
      <c r="I99" s="247">
        <v>2</v>
      </c>
      <c r="J99" s="344" t="str">
        <f>'Council Own'!C35</f>
        <v>&lt;List Requirement Here&gt;</v>
      </c>
      <c r="K99" s="257" t="str">
        <f>IF('Council Own'!D35="A","A"," ")</f>
        <v xml:space="preserve"> </v>
      </c>
      <c r="M99" s="247">
        <v>2</v>
      </c>
      <c r="N99" s="344" t="str">
        <f>'Council Own'!C83</f>
        <v>&lt;List Requirement Here&gt;</v>
      </c>
      <c r="O99" s="257" t="str">
        <f>IF('Council Own'!D83="A","A"," ")</f>
        <v xml:space="preserve"> </v>
      </c>
      <c r="Q99" s="247">
        <v>2</v>
      </c>
      <c r="R99" s="344" t="str">
        <f>'Council Own'!C131</f>
        <v>&lt;List Requirement Here&gt;</v>
      </c>
      <c r="S99" s="257" t="str">
        <f>IF('Council Own'!D131="A","A"," ")</f>
        <v xml:space="preserve"> </v>
      </c>
      <c r="U99" s="245"/>
      <c r="V99" s="245"/>
    </row>
    <row r="100" spans="1:23" x14ac:dyDescent="0.2">
      <c r="A100" s="481" t="s">
        <v>73</v>
      </c>
      <c r="B100" s="482"/>
      <c r="C100" s="483"/>
      <c r="E100" s="471" t="str">
        <f>'Fun Patches'!C32</f>
        <v>&lt;LIST PATCH HERE&gt;</v>
      </c>
      <c r="F100" s="472"/>
      <c r="G100" s="257" t="str">
        <f>IF('Fun Patches'!D32="A","A"," ")</f>
        <v xml:space="preserve"> </v>
      </c>
      <c r="I100" s="247"/>
      <c r="J100" s="344" t="str">
        <f>'Council Own'!C36</f>
        <v>&lt;List Requirement Here&gt;</v>
      </c>
      <c r="K100" s="257" t="str">
        <f>IF('Council Own'!D36="A","A"," ")</f>
        <v xml:space="preserve"> </v>
      </c>
      <c r="M100" s="247"/>
      <c r="N100" s="344" t="str">
        <f>'Council Own'!C84</f>
        <v>&lt;List Requirement Here&gt;</v>
      </c>
      <c r="O100" s="257" t="str">
        <f>IF('Council Own'!D84="A","A"," ")</f>
        <v xml:space="preserve"> </v>
      </c>
      <c r="Q100" s="247"/>
      <c r="R100" s="344" t="str">
        <f>'Council Own'!C132</f>
        <v>&lt;List Requirement Here&gt;</v>
      </c>
      <c r="S100" s="257" t="str">
        <f>IF('Council Own'!D132="A","A"," ")</f>
        <v xml:space="preserve"> </v>
      </c>
      <c r="U100" s="337"/>
      <c r="V100" s="338"/>
      <c r="W100" s="341"/>
    </row>
    <row r="101" spans="1:23" x14ac:dyDescent="0.2">
      <c r="A101" s="468" t="s">
        <v>74</v>
      </c>
      <c r="B101" s="469"/>
      <c r="C101" s="470"/>
      <c r="E101" s="471" t="str">
        <f>'Fun Patches'!C33</f>
        <v>&lt;LIST PATCH HERE&gt;</v>
      </c>
      <c r="F101" s="472"/>
      <c r="G101" s="257" t="str">
        <f>IF('Fun Patches'!D33="A","A"," ")</f>
        <v xml:space="preserve"> </v>
      </c>
      <c r="I101" s="247"/>
      <c r="J101" s="344" t="str">
        <f>'Council Own'!C37</f>
        <v>&lt;List Requirement Here&gt;</v>
      </c>
      <c r="K101" s="257" t="str">
        <f>IF('Council Own'!D37="A","A"," ")</f>
        <v xml:space="preserve"> </v>
      </c>
      <c r="M101" s="247"/>
      <c r="N101" s="344" t="str">
        <f>'Council Own'!C85</f>
        <v>&lt;List Requirement Here&gt;</v>
      </c>
      <c r="O101" s="257" t="str">
        <f>IF('Council Own'!D85="A","A"," ")</f>
        <v xml:space="preserve"> </v>
      </c>
      <c r="Q101" s="247"/>
      <c r="R101" s="344" t="str">
        <f>'Council Own'!C133</f>
        <v>&lt;List Requirement Here&gt;</v>
      </c>
      <c r="S101" s="257" t="str">
        <f>IF('Council Own'!D133="A","A"," ")</f>
        <v xml:space="preserve"> </v>
      </c>
      <c r="U101" s="245"/>
      <c r="V101" s="245"/>
    </row>
    <row r="102" spans="1:23" x14ac:dyDescent="0.2">
      <c r="E102" s="471" t="str">
        <f>'Fun Patches'!C34</f>
        <v>&lt;LIST PATCH HERE&gt;</v>
      </c>
      <c r="F102" s="472"/>
      <c r="G102" s="257" t="str">
        <f>IF('Fun Patches'!D34="A","A"," ")</f>
        <v xml:space="preserve"> </v>
      </c>
      <c r="I102" s="247"/>
      <c r="J102" s="344" t="str">
        <f>'Council Own'!C38</f>
        <v>&lt;List Requirement Here&gt;</v>
      </c>
      <c r="K102" s="257" t="str">
        <f>IF('Council Own'!D38="A","A"," ")</f>
        <v xml:space="preserve"> </v>
      </c>
      <c r="M102" s="247"/>
      <c r="N102" s="344" t="str">
        <f>'Council Own'!C86</f>
        <v>&lt;List Requirement Here&gt;</v>
      </c>
      <c r="O102" s="257" t="str">
        <f>IF('Council Own'!D86="A","A"," ")</f>
        <v xml:space="preserve"> </v>
      </c>
      <c r="Q102" s="247"/>
      <c r="R102" s="344" t="str">
        <f>'Council Own'!C134</f>
        <v>&lt;List Requirement Here&gt;</v>
      </c>
      <c r="S102" s="257" t="str">
        <f>IF('Council Own'!D134="A","A"," ")</f>
        <v xml:space="preserve"> </v>
      </c>
      <c r="U102" s="245"/>
      <c r="V102" s="245"/>
    </row>
    <row r="103" spans="1:23" x14ac:dyDescent="0.2">
      <c r="E103" s="471" t="str">
        <f>'Fun Patches'!C35</f>
        <v>&lt;LIST PATCH HERE&gt;</v>
      </c>
      <c r="F103" s="472"/>
      <c r="G103" s="257" t="str">
        <f>IF('Fun Patches'!D35="A","A"," ")</f>
        <v xml:space="preserve"> </v>
      </c>
      <c r="I103" s="247">
        <v>3</v>
      </c>
      <c r="J103" s="344" t="str">
        <f>'Council Own'!C39</f>
        <v>&lt;List Requirement Here&gt;</v>
      </c>
      <c r="K103" s="257" t="str">
        <f>IF('Council Own'!D39="A","A"," ")</f>
        <v xml:space="preserve"> </v>
      </c>
      <c r="M103" s="247">
        <v>3</v>
      </c>
      <c r="N103" s="344" t="str">
        <f>'Council Own'!C87</f>
        <v>&lt;List Requirement Here&gt;</v>
      </c>
      <c r="O103" s="257" t="str">
        <f>IF('Council Own'!D87="A","A"," ")</f>
        <v xml:space="preserve"> </v>
      </c>
      <c r="Q103" s="247">
        <v>3</v>
      </c>
      <c r="R103" s="344" t="str">
        <f>'Council Own'!C135</f>
        <v>&lt;List Requirement Here&gt;</v>
      </c>
      <c r="S103" s="257" t="str">
        <f>IF('Council Own'!D135="A","A"," ")</f>
        <v xml:space="preserve"> </v>
      </c>
      <c r="U103" s="245"/>
      <c r="V103" s="245"/>
    </row>
    <row r="104" spans="1:23" x14ac:dyDescent="0.2">
      <c r="E104" s="471" t="str">
        <f>'Fun Patches'!C36</f>
        <v>&lt;LIST PATCH HERE&gt;</v>
      </c>
      <c r="F104" s="472"/>
      <c r="G104" s="257" t="str">
        <f>IF('Fun Patches'!D36="A","A"," ")</f>
        <v xml:space="preserve"> </v>
      </c>
      <c r="I104" s="247"/>
      <c r="J104" s="344" t="str">
        <f>'Council Own'!C40</f>
        <v>&lt;List Requirement Here&gt;</v>
      </c>
      <c r="K104" s="257" t="str">
        <f>IF('Council Own'!D40="A","A"," ")</f>
        <v xml:space="preserve"> </v>
      </c>
      <c r="M104" s="247"/>
      <c r="N104" s="344" t="str">
        <f>'Council Own'!C88</f>
        <v>&lt;List Requirement Here&gt;</v>
      </c>
      <c r="O104" s="257" t="str">
        <f>IF('Council Own'!D88="A","A"," ")</f>
        <v xml:space="preserve"> </v>
      </c>
      <c r="Q104" s="247"/>
      <c r="R104" s="344" t="str">
        <f>'Council Own'!C136</f>
        <v>&lt;List Requirement Here&gt;</v>
      </c>
      <c r="S104" s="257" t="str">
        <f>IF('Council Own'!D136="A","A"," ")</f>
        <v xml:space="preserve"> </v>
      </c>
      <c r="U104" s="245"/>
      <c r="V104" s="245"/>
    </row>
    <row r="105" spans="1:23" x14ac:dyDescent="0.2">
      <c r="E105" s="471" t="str">
        <f>'Fun Patches'!C37</f>
        <v>&lt;LIST PATCH HERE&gt;</v>
      </c>
      <c r="F105" s="472"/>
      <c r="G105" s="257" t="str">
        <f>IF('Fun Patches'!D37="A","A"," ")</f>
        <v xml:space="preserve"> </v>
      </c>
      <c r="I105" s="247"/>
      <c r="J105" s="344" t="str">
        <f>'Council Own'!C41</f>
        <v>&lt;List Requirement Here&gt;</v>
      </c>
      <c r="K105" s="257" t="str">
        <f>IF('Council Own'!D41="A","A"," ")</f>
        <v xml:space="preserve"> </v>
      </c>
      <c r="M105" s="247"/>
      <c r="N105" s="344" t="str">
        <f>'Council Own'!C89</f>
        <v>&lt;List Requirement Here&gt;</v>
      </c>
      <c r="O105" s="257" t="str">
        <f>IF('Council Own'!D89="A","A"," ")</f>
        <v xml:space="preserve"> </v>
      </c>
      <c r="Q105" s="247"/>
      <c r="R105" s="344" t="str">
        <f>'Council Own'!C137</f>
        <v>&lt;List Requirement Here&gt;</v>
      </c>
      <c r="S105" s="257" t="str">
        <f>IF('Council Own'!D137="A","A"," ")</f>
        <v xml:space="preserve"> </v>
      </c>
      <c r="U105" s="245"/>
      <c r="V105" s="245"/>
    </row>
    <row r="106" spans="1:23" x14ac:dyDescent="0.2">
      <c r="E106" s="471" t="str">
        <f>'Fun Patches'!C38</f>
        <v>&lt;LIST PATCH HERE&gt;</v>
      </c>
      <c r="F106" s="472"/>
      <c r="G106" s="257" t="str">
        <f>IF('Fun Patches'!D38="A","A"," ")</f>
        <v xml:space="preserve"> </v>
      </c>
      <c r="I106" s="247"/>
      <c r="J106" s="344" t="str">
        <f>'Council Own'!C42</f>
        <v>&lt;List Requirement Here&gt;</v>
      </c>
      <c r="K106" s="257" t="str">
        <f>IF('Council Own'!D42="A","A"," ")</f>
        <v xml:space="preserve"> </v>
      </c>
      <c r="M106" s="247"/>
      <c r="N106" s="344" t="str">
        <f>'Council Own'!C90</f>
        <v>&lt;List Requirement Here&gt;</v>
      </c>
      <c r="O106" s="257" t="str">
        <f>IF('Council Own'!D90="A","A"," ")</f>
        <v xml:space="preserve"> </v>
      </c>
      <c r="Q106" s="247"/>
      <c r="R106" s="344" t="str">
        <f>'Council Own'!C138</f>
        <v>&lt;List Requirement Here&gt;</v>
      </c>
      <c r="S106" s="257" t="str">
        <f>IF('Council Own'!D138="A","A"," ")</f>
        <v xml:space="preserve"> </v>
      </c>
      <c r="U106" s="245"/>
      <c r="V106" s="245"/>
    </row>
    <row r="107" spans="1:23" x14ac:dyDescent="0.2">
      <c r="E107" s="284"/>
      <c r="F107" s="263"/>
      <c r="G107" s="341"/>
      <c r="I107" s="247">
        <v>4</v>
      </c>
      <c r="J107" s="344" t="str">
        <f>'Council Own'!C43</f>
        <v>&lt;List Requirement Here&gt;</v>
      </c>
      <c r="K107" s="257" t="str">
        <f>IF('Council Own'!D43="A","A"," ")</f>
        <v xml:space="preserve"> </v>
      </c>
      <c r="M107" s="247">
        <v>4</v>
      </c>
      <c r="N107" s="344" t="str">
        <f>'Council Own'!C91</f>
        <v>&lt;List Requirement Here&gt;</v>
      </c>
      <c r="O107" s="257" t="str">
        <f>IF('Council Own'!D91="A","A"," ")</f>
        <v xml:space="preserve"> </v>
      </c>
      <c r="Q107" s="247">
        <v>4</v>
      </c>
      <c r="R107" s="344" t="str">
        <f>'Council Own'!C139</f>
        <v>&lt;List Requirement Here&gt;</v>
      </c>
      <c r="S107" s="257" t="str">
        <f>IF('Council Own'!D139="A","A"," ")</f>
        <v xml:space="preserve"> </v>
      </c>
      <c r="U107" s="245"/>
      <c r="V107" s="245"/>
    </row>
    <row r="108" spans="1:23" x14ac:dyDescent="0.2">
      <c r="I108" s="247"/>
      <c r="J108" s="344" t="str">
        <f>'Council Own'!C44</f>
        <v>&lt;List Requirement Here&gt;</v>
      </c>
      <c r="K108" s="257" t="str">
        <f>IF('Council Own'!D44="A","A"," ")</f>
        <v xml:space="preserve"> </v>
      </c>
      <c r="M108" s="247"/>
      <c r="N108" s="344" t="str">
        <f>'Council Own'!C92</f>
        <v>&lt;List Requirement Here&gt;</v>
      </c>
      <c r="O108" s="257" t="str">
        <f>IF('Council Own'!D92="A","A"," ")</f>
        <v xml:space="preserve"> </v>
      </c>
      <c r="Q108" s="247"/>
      <c r="R108" s="344" t="str">
        <f>'Council Own'!C140</f>
        <v>&lt;List Requirement Here&gt;</v>
      </c>
      <c r="S108" s="257" t="str">
        <f>IF('Council Own'!D140="A","A"," ")</f>
        <v xml:space="preserve"> </v>
      </c>
      <c r="U108" s="245"/>
      <c r="V108" s="245"/>
    </row>
    <row r="109" spans="1:23" x14ac:dyDescent="0.2">
      <c r="I109" s="247"/>
      <c r="J109" s="344" t="str">
        <f>'Council Own'!C45</f>
        <v>&lt;List Requirement Here&gt;</v>
      </c>
      <c r="K109" s="257" t="str">
        <f>IF('Council Own'!D45="A","A"," ")</f>
        <v xml:space="preserve"> </v>
      </c>
      <c r="M109" s="247"/>
      <c r="N109" s="344" t="str">
        <f>'Council Own'!C93</f>
        <v>&lt;List Requirement Here&gt;</v>
      </c>
      <c r="O109" s="257" t="str">
        <f>IF('Council Own'!D93="A","A"," ")</f>
        <v xml:space="preserve"> </v>
      </c>
      <c r="Q109" s="247"/>
      <c r="R109" s="344" t="str">
        <f>'Council Own'!C141</f>
        <v>&lt;List Requirement Here&gt;</v>
      </c>
      <c r="S109" s="257" t="str">
        <f>IF('Council Own'!D141="A","A"," ")</f>
        <v xml:space="preserve"> </v>
      </c>
      <c r="U109" s="245"/>
      <c r="V109" s="245"/>
    </row>
    <row r="110" spans="1:23" x14ac:dyDescent="0.2">
      <c r="I110" s="247"/>
      <c r="J110" s="344" t="str">
        <f>'Council Own'!C46</f>
        <v>&lt;List Requirement Here&gt;</v>
      </c>
      <c r="K110" s="257" t="str">
        <f>IF('Council Own'!D46="A","A"," ")</f>
        <v xml:space="preserve"> </v>
      </c>
      <c r="M110" s="247"/>
      <c r="N110" s="344" t="str">
        <f>'Council Own'!C94</f>
        <v>&lt;List Requirement Here&gt;</v>
      </c>
      <c r="O110" s="257" t="str">
        <f>IF('Council Own'!D94="A","A"," ")</f>
        <v xml:space="preserve"> </v>
      </c>
      <c r="Q110" s="247"/>
      <c r="R110" s="344" t="str">
        <f>'Council Own'!C142</f>
        <v>&lt;List Requirement Here&gt;</v>
      </c>
      <c r="S110" s="257" t="str">
        <f>IF('Council Own'!D142="A","A"," ")</f>
        <v xml:space="preserve"> </v>
      </c>
      <c r="U110" s="245"/>
      <c r="V110" s="245"/>
    </row>
    <row r="111" spans="1:23" x14ac:dyDescent="0.2">
      <c r="I111" s="247">
        <v>5</v>
      </c>
      <c r="J111" s="344" t="str">
        <f>'Council Own'!C47</f>
        <v>&lt;List Requirement Here&gt;</v>
      </c>
      <c r="K111" s="257" t="str">
        <f>IF('Council Own'!D47="A","A"," ")</f>
        <v xml:space="preserve"> </v>
      </c>
      <c r="M111" s="247">
        <v>5</v>
      </c>
      <c r="N111" s="344" t="str">
        <f>'Council Own'!C95</f>
        <v>&lt;List Requirement Here&gt;</v>
      </c>
      <c r="O111" s="257" t="str">
        <f>IF('Council Own'!D95="A","A"," ")</f>
        <v xml:space="preserve"> </v>
      </c>
      <c r="Q111" s="247">
        <v>5</v>
      </c>
      <c r="R111" s="344" t="str">
        <f>'Council Own'!C143</f>
        <v>&lt;List Requirement Here&gt;</v>
      </c>
      <c r="S111" s="257" t="str">
        <f>IF('Council Own'!D143="A","A"," ")</f>
        <v xml:space="preserve"> </v>
      </c>
      <c r="U111" s="338"/>
      <c r="V111" s="338"/>
      <c r="W111" s="341"/>
    </row>
    <row r="112" spans="1:23" x14ac:dyDescent="0.2">
      <c r="I112" s="247"/>
      <c r="J112" s="344" t="str">
        <f>'Council Own'!C48</f>
        <v>&lt;List Requirement Here&gt;</v>
      </c>
      <c r="K112" s="257" t="str">
        <f>IF('Council Own'!D48="A","A"," ")</f>
        <v xml:space="preserve"> </v>
      </c>
      <c r="M112" s="247"/>
      <c r="N112" s="344" t="str">
        <f>'Council Own'!C96</f>
        <v>&lt;List Requirement Here&gt;</v>
      </c>
      <c r="O112" s="257" t="str">
        <f>IF('Council Own'!D96="A","A"," ")</f>
        <v xml:space="preserve"> </v>
      </c>
      <c r="Q112" s="247"/>
      <c r="R112" s="344" t="str">
        <f>'Council Own'!C144</f>
        <v>&lt;List Requirement Here&gt;</v>
      </c>
      <c r="S112" s="257" t="str">
        <f>IF('Council Own'!D144="A","A"," ")</f>
        <v xml:space="preserve"> </v>
      </c>
      <c r="U112" s="245"/>
      <c r="V112" s="245"/>
    </row>
    <row r="113" spans="9:22" x14ac:dyDescent="0.2">
      <c r="I113" s="247"/>
      <c r="J113" s="344" t="str">
        <f>'Council Own'!C49</f>
        <v>&lt;List Requirement Here&gt;</v>
      </c>
      <c r="K113" s="257" t="str">
        <f>IF('Council Own'!D49="A","A"," ")</f>
        <v xml:space="preserve"> </v>
      </c>
      <c r="M113" s="247"/>
      <c r="N113" s="344" t="str">
        <f>'Council Own'!C97</f>
        <v>&lt;List Requirement Here&gt;</v>
      </c>
      <c r="O113" s="257" t="str">
        <f>IF('Council Own'!D97="A","A"," ")</f>
        <v xml:space="preserve"> </v>
      </c>
      <c r="Q113" s="247"/>
      <c r="R113" s="344" t="str">
        <f>'Council Own'!C145</f>
        <v>&lt;List Requirement Here&gt;</v>
      </c>
      <c r="S113" s="257" t="str">
        <f>IF('Council Own'!D145="A","A"," ")</f>
        <v xml:space="preserve"> </v>
      </c>
      <c r="U113" s="245"/>
      <c r="V113" s="245"/>
    </row>
    <row r="114" spans="9:22" x14ac:dyDescent="0.2">
      <c r="I114" s="247"/>
      <c r="J114" s="344" t="str">
        <f>'Council Own'!C50</f>
        <v>&lt;List Requirement Here&gt;</v>
      </c>
      <c r="K114" s="257" t="str">
        <f>IF('Council Own'!D50="A","A"," ")</f>
        <v xml:space="preserve"> </v>
      </c>
      <c r="M114" s="247"/>
      <c r="N114" s="344" t="str">
        <f>'Council Own'!C98</f>
        <v>&lt;List Requirement Here&gt;</v>
      </c>
      <c r="O114" s="257" t="str">
        <f>IF('Council Own'!D98="A","A"," ")</f>
        <v xml:space="preserve"> </v>
      </c>
      <c r="Q114" s="247"/>
      <c r="R114" s="344" t="str">
        <f>'Council Own'!C146</f>
        <v>&lt;List Requirement Here&gt;</v>
      </c>
      <c r="S114" s="257" t="str">
        <f>IF('Council Own'!D146="A","A","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sheetData>
  <sheetProtection password="9A15" sheet="1" objects="1" scenarios="1" selectLockedCells="1" selectUnlockedCells="1"/>
  <mergeCells count="113">
    <mergeCell ref="Q1:S1"/>
    <mergeCell ref="Q2:R2"/>
    <mergeCell ref="A13:C13"/>
    <mergeCell ref="Q7:R7"/>
    <mergeCell ref="Q3:R3"/>
    <mergeCell ref="Q4:R4"/>
    <mergeCell ref="Q5:R5"/>
    <mergeCell ref="Q6:R6"/>
    <mergeCell ref="A20:B20"/>
    <mergeCell ref="E1:G1"/>
    <mergeCell ref="I1:K1"/>
    <mergeCell ref="M1:O1"/>
    <mergeCell ref="A8:B8"/>
    <mergeCell ref="A9:B9"/>
    <mergeCell ref="A11:B11"/>
    <mergeCell ref="A12:B12"/>
    <mergeCell ref="A3:B3"/>
    <mergeCell ref="A4:C4"/>
    <mergeCell ref="A5:B5"/>
    <mergeCell ref="A6:B6"/>
    <mergeCell ref="A7:B7"/>
    <mergeCell ref="A10:B10"/>
    <mergeCell ref="A1:C1"/>
    <mergeCell ref="Q20:R20"/>
    <mergeCell ref="E2:G2"/>
    <mergeCell ref="A49:C49"/>
    <mergeCell ref="A21:C21"/>
    <mergeCell ref="Q15:R15"/>
    <mergeCell ref="A22:B22"/>
    <mergeCell ref="A17:B17"/>
    <mergeCell ref="Q11:R11"/>
    <mergeCell ref="A18:B18"/>
    <mergeCell ref="Q12:R12"/>
    <mergeCell ref="A19:B19"/>
    <mergeCell ref="Q13:R13"/>
    <mergeCell ref="Q14:R14"/>
    <mergeCell ref="Q16:R16"/>
    <mergeCell ref="A26:B26"/>
    <mergeCell ref="A14:B14"/>
    <mergeCell ref="Q8:R8"/>
    <mergeCell ref="A15:B15"/>
    <mergeCell ref="Q9:R9"/>
    <mergeCell ref="A16:B16"/>
    <mergeCell ref="Q10:R10"/>
    <mergeCell ref="A28:C28"/>
    <mergeCell ref="B29:C29"/>
    <mergeCell ref="Q42:R42"/>
    <mergeCell ref="A23:B23"/>
    <mergeCell ref="Q17:R17"/>
    <mergeCell ref="A24:C24"/>
    <mergeCell ref="Q18:R18"/>
    <mergeCell ref="A25:B25"/>
    <mergeCell ref="E83:F83"/>
    <mergeCell ref="E23:G23"/>
    <mergeCell ref="E72:G72"/>
    <mergeCell ref="E73:F73"/>
    <mergeCell ref="A72:C72"/>
    <mergeCell ref="A73:B73"/>
    <mergeCell ref="E79:F79"/>
    <mergeCell ref="E45:G45"/>
    <mergeCell ref="Q19:R19"/>
    <mergeCell ref="Q28:R28"/>
    <mergeCell ref="Q21:R21"/>
    <mergeCell ref="Q34:R34"/>
    <mergeCell ref="Q55:S55"/>
    <mergeCell ref="A74:B74"/>
    <mergeCell ref="A75:B75"/>
    <mergeCell ref="A76:B76"/>
    <mergeCell ref="M72:O72"/>
    <mergeCell ref="Q72:S72"/>
    <mergeCell ref="I72:K72"/>
    <mergeCell ref="E85:F85"/>
    <mergeCell ref="E74:F74"/>
    <mergeCell ref="E106:F106"/>
    <mergeCell ref="E75:F75"/>
    <mergeCell ref="E76:F76"/>
    <mergeCell ref="E101:F101"/>
    <mergeCell ref="E102:F102"/>
    <mergeCell ref="E104:F104"/>
    <mergeCell ref="E105:F105"/>
    <mergeCell ref="E95:F95"/>
    <mergeCell ref="E96:F96"/>
    <mergeCell ref="E97:F97"/>
    <mergeCell ref="E98:F98"/>
    <mergeCell ref="E99:F99"/>
    <mergeCell ref="E100:F100"/>
    <mergeCell ref="E77:F77"/>
    <mergeCell ref="E90:F90"/>
    <mergeCell ref="E78:F78"/>
    <mergeCell ref="A101:C101"/>
    <mergeCell ref="E103:F103"/>
    <mergeCell ref="B34:C34"/>
    <mergeCell ref="B42:C42"/>
    <mergeCell ref="B43:C43"/>
    <mergeCell ref="B35:C35"/>
    <mergeCell ref="B30:C30"/>
    <mergeCell ref="A100:C100"/>
    <mergeCell ref="A98:C98"/>
    <mergeCell ref="A99:C99"/>
    <mergeCell ref="E80:F80"/>
    <mergeCell ref="E81:F81"/>
    <mergeCell ref="E82:F82"/>
    <mergeCell ref="E92:F92"/>
    <mergeCell ref="E93:F93"/>
    <mergeCell ref="E94:F94"/>
    <mergeCell ref="A77:B77"/>
    <mergeCell ref="E89:F89"/>
    <mergeCell ref="A78:B78"/>
    <mergeCell ref="E87:F87"/>
    <mergeCell ref="E88:F88"/>
    <mergeCell ref="E91:F91"/>
    <mergeCell ref="E86:F86"/>
    <mergeCell ref="E84:F84"/>
  </mergeCells>
  <pageMargins left="0.75" right="0.75" top="0.4" bottom="0.2" header="0.2" footer="0.2"/>
  <pageSetup scale="64" fitToHeight="0" orientation="landscape" horizontalDpi="300" verticalDpi="300" r:id="rId1"/>
  <headerFooter alignWithMargins="0">
    <oddHeader>&amp;C&amp;"Arial,Bold"&amp;12CadetteTrax - &amp;10&amp;D</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173"/>
  <sheetViews>
    <sheetView showGridLines="0" topLeftCell="A7" zoomScale="90" zoomScaleNormal="90" workbookViewId="0">
      <selection activeCell="C8" sqref="C8"/>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1" customHeight="1" x14ac:dyDescent="0.35">
      <c r="A1" s="512" t="str">
        <f ca="1">MID(CELL("filename",A1),FIND(IF(ISERROR(FIND("]",CELL("filename",A1))),"$","]"),CELL("filename",A1))+1,256)</f>
        <v>Ambassador 2</v>
      </c>
      <c r="B1" s="521"/>
      <c r="C1" s="521"/>
      <c r="D1" s="265"/>
      <c r="E1" s="506" t="s">
        <v>15</v>
      </c>
      <c r="F1" s="522"/>
      <c r="G1" s="522"/>
      <c r="I1" s="506" t="s">
        <v>15</v>
      </c>
      <c r="J1" s="506"/>
      <c r="K1" s="506"/>
      <c r="M1" s="506" t="s">
        <v>15</v>
      </c>
      <c r="N1" s="506"/>
      <c r="O1" s="506"/>
      <c r="Q1" s="506" t="s">
        <v>135</v>
      </c>
      <c r="R1" s="523"/>
      <c r="S1" s="523"/>
      <c r="T1" s="239"/>
      <c r="U1" s="239"/>
    </row>
    <row r="2" spans="1:21" s="245" customFormat="1" ht="13.5" thickBot="1" x14ac:dyDescent="0.25">
      <c r="A2" s="242"/>
      <c r="B2" s="243"/>
      <c r="C2" s="244" t="s">
        <v>16</v>
      </c>
      <c r="D2" s="243"/>
      <c r="E2" s="492" t="str">
        <f>Badges!B6</f>
        <v>Photography</v>
      </c>
      <c r="F2" s="517"/>
      <c r="G2" s="517"/>
      <c r="H2" s="241"/>
      <c r="I2" s="247">
        <v>3</v>
      </c>
      <c r="J2" s="248" t="str">
        <f>Badges!C61</f>
        <v>Dig into national or state public policy</v>
      </c>
      <c r="K2" s="249"/>
      <c r="L2" s="241"/>
      <c r="M2" s="247">
        <v>3</v>
      </c>
      <c r="N2" s="248" t="str">
        <f>Badges!C130</f>
        <v>Share sisterhood around the world</v>
      </c>
      <c r="O2" s="249"/>
      <c r="P2" s="241"/>
      <c r="Q2" s="524" t="str">
        <f>'Age-Level'!B5</f>
        <v>Gold Torch Award</v>
      </c>
      <c r="R2" s="524"/>
      <c r="S2" s="251" t="str">
        <f>IF('Age-Level'!E8="C","C",IF('Age-Level'!E8="P","P",""))</f>
        <v/>
      </c>
      <c r="T2" s="239"/>
      <c r="U2" s="239"/>
    </row>
    <row r="3" spans="1:21" x14ac:dyDescent="0.2">
      <c r="A3" s="519" t="s">
        <v>132</v>
      </c>
      <c r="B3" s="520"/>
      <c r="C3" s="246">
        <f>INT(COUNTIF(C5:C12,"C"))+INT(COUNTIF(C14:C26,"C"))</f>
        <v>0</v>
      </c>
      <c r="E3" s="247">
        <v>1</v>
      </c>
      <c r="F3" s="248" t="str">
        <f>Badges!C7</f>
        <v>Expore the power of photography</v>
      </c>
      <c r="G3" s="249"/>
      <c r="I3" s="247"/>
      <c r="J3" s="248" t="str">
        <f>Badges!C62</f>
        <v>Track your issue</v>
      </c>
      <c r="K3" s="250" t="str">
        <f>IF(Badges!E62="A","A"," ")</f>
        <v xml:space="preserve"> </v>
      </c>
      <c r="M3" s="247"/>
      <c r="N3" s="248" t="str">
        <f>Badges!C131</f>
        <v>Explore an issue affecting girls and</v>
      </c>
      <c r="O3" s="250" t="str">
        <f>IF(Badges!E131="A","A"," ")</f>
        <v xml:space="preserve"> </v>
      </c>
      <c r="Q3" s="524" t="str">
        <f>'Age-Level'!B9</f>
        <v>Ambassador Community Service bar</v>
      </c>
      <c r="R3" s="524"/>
      <c r="S3" s="251" t="str">
        <f>IF('Age-Level'!E9="C","C",IF('Age-Level'!E9="P","P",""))</f>
        <v/>
      </c>
      <c r="T3" s="239"/>
      <c r="U3" s="239"/>
    </row>
    <row r="4" spans="1:21" x14ac:dyDescent="0.2">
      <c r="A4" s="500" t="str">
        <f>Summary!A3</f>
        <v>Legacy</v>
      </c>
      <c r="B4" s="500"/>
      <c r="C4" s="500"/>
      <c r="E4" s="247"/>
      <c r="F4" s="248" t="str">
        <f>Badges!C8</f>
        <v>Go to a photography exhibit</v>
      </c>
      <c r="G4" s="250" t="str">
        <f>IF(Badges!E8="A","A"," ")</f>
        <v xml:space="preserve"> </v>
      </c>
      <c r="I4" s="247"/>
      <c r="J4" s="248" t="str">
        <f>Badges!C63</f>
        <v>Talk to an interest gorup that promotes</v>
      </c>
      <c r="K4" s="250" t="str">
        <f>IF(Badges!E63="A","A"," ")</f>
        <v xml:space="preserve"> </v>
      </c>
      <c r="M4" s="247"/>
      <c r="N4" s="248" t="str">
        <f>Badges!C132</f>
        <v>Organize an event on women and STEM</v>
      </c>
      <c r="O4" s="250" t="str">
        <f>IF(Badges!E132="A","A"," ")</f>
        <v xml:space="preserve"> </v>
      </c>
      <c r="Q4" s="524" t="str">
        <f>'Age-Level'!B12</f>
        <v>Ambassador Service to Girl Scouting bar</v>
      </c>
      <c r="R4" s="524"/>
      <c r="S4" s="251" t="str">
        <f>IF('Age-Level'!E10="C","C",IF('Age-Level'!E10="P","P",""))</f>
        <v/>
      </c>
      <c r="T4" s="239"/>
      <c r="U4" s="239"/>
    </row>
    <row r="5" spans="1:21" ht="12.75" customHeight="1" x14ac:dyDescent="0.2">
      <c r="A5" s="501" t="str">
        <f>Summary!A4</f>
        <v>Photography</v>
      </c>
      <c r="B5" s="502"/>
      <c r="C5" s="252" t="str">
        <f>IF(Badges!E28="C","C",IF(Badges!E28="P","P",""))</f>
        <v/>
      </c>
      <c r="E5" s="247"/>
      <c r="F5" s="248" t="str">
        <f>Badges!C9</f>
        <v>Create a photography timeline.</v>
      </c>
      <c r="G5" s="250" t="str">
        <f>IF(Badges!E9="A","A"," ")</f>
        <v xml:space="preserve"> </v>
      </c>
      <c r="I5" s="247"/>
      <c r="J5" s="248" t="str">
        <f>Badges!C64</f>
        <v>Compare three different states' positions</v>
      </c>
      <c r="K5" s="250" t="str">
        <f>IF(Badges!E64="A","A"," ")</f>
        <v xml:space="preserve"> </v>
      </c>
      <c r="M5" s="247"/>
      <c r="N5" s="248" t="str">
        <f>Badges!C133</f>
        <v>Interview a global citizen</v>
      </c>
      <c r="O5" s="250" t="str">
        <f>IF(Badges!E133="A","A"," ")</f>
        <v xml:space="preserve"> </v>
      </c>
      <c r="Q5" s="524" t="str">
        <f>'Age-Level'!B15</f>
        <v>Ambassador Volunteer in Training</v>
      </c>
      <c r="R5" s="524"/>
      <c r="S5" s="251" t="str">
        <f>IF('Age-Level'!E19="C","C",IF('Age-Level'!E19="P","P",""))</f>
        <v/>
      </c>
      <c r="T5" s="239"/>
      <c r="U5" s="239"/>
    </row>
    <row r="6" spans="1:21" ht="12.75" customHeight="1" x14ac:dyDescent="0.2">
      <c r="A6" s="501" t="str">
        <f>Summary!A5</f>
        <v>Coaching</v>
      </c>
      <c r="B6" s="502"/>
      <c r="C6" s="252" t="str">
        <f>IF(Badges!E51="C","C",IF(Badges!E51="P","P",""))</f>
        <v/>
      </c>
      <c r="E6" s="247"/>
      <c r="F6" s="248" t="str">
        <f>Badges!C10</f>
        <v>Make sticky-note comics</v>
      </c>
      <c r="G6" s="250" t="str">
        <f>IF(Badges!E10="A","A"," ")</f>
        <v xml:space="preserve"> </v>
      </c>
      <c r="I6" s="247">
        <v>4</v>
      </c>
      <c r="J6" s="248" t="str">
        <f>Badges!C65</f>
        <v>Explore local or community policy</v>
      </c>
      <c r="K6" s="249"/>
      <c r="M6" s="247">
        <v>4</v>
      </c>
      <c r="N6" s="248" t="str">
        <f>Badges!C134</f>
        <v>Leave your wolrd better than you found it</v>
      </c>
      <c r="O6" s="249"/>
      <c r="Q6" s="524" t="str">
        <f>'Age-Level'!B20</f>
        <v>Journey Summit Pin</v>
      </c>
      <c r="R6" s="524"/>
      <c r="S6" s="251" t="str">
        <f>IF('Age-Level'!E21="C","C",IF('Age-Level'!E21="P","P",""))</f>
        <v/>
      </c>
      <c r="T6" s="239"/>
      <c r="U6" s="239"/>
    </row>
    <row r="7" spans="1:21" x14ac:dyDescent="0.2">
      <c r="A7" s="501" t="str">
        <f>Summary!A6</f>
        <v>Public Policy</v>
      </c>
      <c r="B7" s="502"/>
      <c r="C7" s="252" t="str">
        <f>IF(Badges!E74="C","C",IF(Badges!E74="P","P",""))</f>
        <v/>
      </c>
      <c r="E7" s="247">
        <v>2</v>
      </c>
      <c r="F7" s="248" t="str">
        <f>Badges!C11</f>
        <v>Focus on composition</v>
      </c>
      <c r="G7" s="249"/>
      <c r="I7" s="247"/>
      <c r="J7" s="248" t="str">
        <f>Badges!C66</f>
        <v>Attend a meeting</v>
      </c>
      <c r="K7" s="250" t="str">
        <f>IF(Badges!E66="A","A"," ")</f>
        <v xml:space="preserve"> </v>
      </c>
      <c r="M7" s="247"/>
      <c r="N7" s="248" t="str">
        <f>Badges!C135</f>
        <v xml:space="preserve">Find ideas to use your leaderhship </v>
      </c>
      <c r="O7" s="250" t="str">
        <f>IF(Badges!E135="A","A"," ")</f>
        <v xml:space="preserve"> </v>
      </c>
      <c r="Q7" s="516" t="str">
        <f>'Age-Level'!C23</f>
        <v>Cookie Rally (Year 1)</v>
      </c>
      <c r="R7" s="516"/>
      <c r="S7" s="257" t="str">
        <f>IF('Age-Level'!E23="A","A"," ")</f>
        <v xml:space="preserve"> </v>
      </c>
    </row>
    <row r="8" spans="1:21" x14ac:dyDescent="0.2">
      <c r="A8" s="501" t="str">
        <f>Summary!A7</f>
        <v>Dinner Party</v>
      </c>
      <c r="B8" s="502"/>
      <c r="C8" s="252" t="str">
        <f>IF(Badges!E97="C","C",IF(Badges!E97="P","P",""))</f>
        <v/>
      </c>
      <c r="E8" s="247"/>
      <c r="F8" s="248" t="str">
        <f>Badges!C12</f>
        <v>Capture a day in the life</v>
      </c>
      <c r="G8" s="250" t="str">
        <f>IF(Badges!E12="A","A"," ")</f>
        <v xml:space="preserve"> </v>
      </c>
      <c r="I8" s="247"/>
      <c r="J8" s="248" t="str">
        <f>Badges!C67</f>
        <v>Compare different local positions</v>
      </c>
      <c r="K8" s="250" t="str">
        <f>IF(Badges!E67="A","A"," ")</f>
        <v xml:space="preserve"> </v>
      </c>
      <c r="M8" s="247"/>
      <c r="N8" s="248" t="str">
        <f>Badges!C136</f>
        <v>Gather ideas to work for a healthy</v>
      </c>
      <c r="O8" s="250" t="str">
        <f>IF(Badges!E136="A","A"," ")</f>
        <v xml:space="preserve"> </v>
      </c>
      <c r="Q8" s="516" t="str">
        <f>'Age-Level'!C24</f>
        <v>Cookie Sales (Year 1)</v>
      </c>
      <c r="R8" s="516"/>
      <c r="S8" s="257" t="str">
        <f>IF('Age-Level'!E24="A","A"," ")</f>
        <v xml:space="preserve"> </v>
      </c>
    </row>
    <row r="9" spans="1:21" x14ac:dyDescent="0.2">
      <c r="A9" s="501" t="str">
        <f>Summary!A8</f>
        <v>Ambassador First Aid</v>
      </c>
      <c r="B9" s="502"/>
      <c r="C9" s="252" t="str">
        <f>IF(Badges!E120="C","C",IF(Badges!E120="P","P",""))</f>
        <v/>
      </c>
      <c r="E9" s="247"/>
      <c r="F9" s="248" t="str">
        <f>Badges!C13</f>
        <v>Photograph weather patterns</v>
      </c>
      <c r="G9" s="250" t="str">
        <f>IF(Badges!E13="A","A"," ")</f>
        <v xml:space="preserve"> </v>
      </c>
      <c r="I9" s="247"/>
      <c r="J9" s="248" t="str">
        <f>Badges!C68</f>
        <v>Visit your local legislator's office</v>
      </c>
      <c r="K9" s="250" t="str">
        <f>IF(Badges!E68="A","A"," ")</f>
        <v xml:space="preserve"> </v>
      </c>
      <c r="M9" s="247"/>
      <c r="N9" s="248" t="str">
        <f>Badges!C137</f>
        <v>Brainstorm idea for social change</v>
      </c>
      <c r="O9" s="250" t="str">
        <f>IF(Badges!E137="A","A"," ")</f>
        <v xml:space="preserve"> </v>
      </c>
      <c r="Q9" s="516" t="str">
        <f>'Age-Level'!C25</f>
        <v>Cookie Pin (Year 1)</v>
      </c>
      <c r="R9" s="516"/>
      <c r="S9" s="257" t="str">
        <f>IF('Age-Level'!E25="A","A"," ")</f>
        <v xml:space="preserve"> </v>
      </c>
    </row>
    <row r="10" spans="1:21" x14ac:dyDescent="0.2">
      <c r="A10" s="501" t="str">
        <f>Summary!A9</f>
        <v>Ambassador Girl Scout Way</v>
      </c>
      <c r="B10" s="502"/>
      <c r="C10" s="253" t="str">
        <f>IF(Badges!E143="C","C",IF(Badges!E143="P","P",""))</f>
        <v/>
      </c>
      <c r="E10" s="247"/>
      <c r="F10" s="248" t="str">
        <f>Badges!C14</f>
        <v>Take 5 photos form a different</v>
      </c>
      <c r="G10" s="250" t="str">
        <f>IF(Badges!E14="A","A"," ")</f>
        <v xml:space="preserve"> </v>
      </c>
      <c r="I10" s="247">
        <v>5</v>
      </c>
      <c r="J10" s="248" t="str">
        <f>Badges!C69</f>
        <v>See public policy creation in action</v>
      </c>
      <c r="K10" s="249"/>
      <c r="M10" s="247">
        <v>5</v>
      </c>
      <c r="N10" s="248" t="str">
        <f>Badges!C138</f>
        <v>Enjoy Girl Scout traditions!</v>
      </c>
      <c r="O10" s="249"/>
      <c r="Q10" s="516" t="str">
        <f>'Age-Level'!C26</f>
        <v>Cookie Rally (Year 2)</v>
      </c>
      <c r="R10" s="516"/>
      <c r="S10" s="257" t="str">
        <f>IF('Age-Level'!E26="A","A"," ")</f>
        <v xml:space="preserve"> </v>
      </c>
    </row>
    <row r="11" spans="1:21" x14ac:dyDescent="0.2">
      <c r="A11" s="525" t="str">
        <f>Summary!A10</f>
        <v>Water</v>
      </c>
      <c r="B11" s="525"/>
      <c r="C11" s="252" t="str">
        <f>IF(Badges!E166="C","C",IF(Badges!E166="P","P",""))</f>
        <v/>
      </c>
      <c r="E11" s="247">
        <v>3</v>
      </c>
      <c r="F11" s="248" t="str">
        <f>Badges!C15</f>
        <v>Focus on light</v>
      </c>
      <c r="G11" s="249"/>
      <c r="I11" s="247"/>
      <c r="J11" s="248" t="str">
        <f>Badges!C70</f>
        <v>Shadow a policy-maker</v>
      </c>
      <c r="K11" s="250" t="str">
        <f>IF(Badges!E70="A","A"," ")</f>
        <v xml:space="preserve"> </v>
      </c>
      <c r="M11" s="247"/>
      <c r="N11" s="248" t="str">
        <f>Badges!C139</f>
        <v>Pass down a tradition</v>
      </c>
      <c r="O11" s="250" t="str">
        <f>IF(Badges!E139="A","A"," ")</f>
        <v xml:space="preserve"> </v>
      </c>
      <c r="Q11" s="516" t="str">
        <f>'Age-Level'!C27</f>
        <v>Cookie Sales (Year 2)</v>
      </c>
      <c r="R11" s="516"/>
      <c r="S11" s="257" t="str">
        <f>IF('Age-Level'!E27="A","A"," ")</f>
        <v xml:space="preserve"> </v>
      </c>
    </row>
    <row r="12" spans="1:21" x14ac:dyDescent="0.2">
      <c r="A12" s="518"/>
      <c r="B12" s="518"/>
      <c r="C12" s="336"/>
      <c r="E12" s="247"/>
      <c r="F12" s="248" t="str">
        <f>Badges!C16</f>
        <v>Invite friends to a shoot day</v>
      </c>
      <c r="G12" s="250" t="str">
        <f>IF(Badges!E16="A","A"," ")</f>
        <v xml:space="preserve"> </v>
      </c>
      <c r="I12" s="247"/>
      <c r="J12" s="248" t="str">
        <f>Badges!C71</f>
        <v>Volunteer at an office</v>
      </c>
      <c r="K12" s="250" t="str">
        <f>IF(Badges!E71="A","A"," ")</f>
        <v xml:space="preserve"> </v>
      </c>
      <c r="M12" s="247"/>
      <c r="N12" s="248" t="str">
        <f>Badges!C140</f>
        <v>Start a Girl Scout tradition of your own</v>
      </c>
      <c r="O12" s="250" t="str">
        <f>IF(Badges!E140="A","A"," ")</f>
        <v xml:space="preserve"> </v>
      </c>
      <c r="Q12" s="516" t="str">
        <f>'Age-Level'!C28</f>
        <v>Cookie Pin (Year 2)</v>
      </c>
      <c r="R12" s="516"/>
      <c r="S12" s="257" t="str">
        <f>IF('Age-Level'!E28="A","A"," ")</f>
        <v xml:space="preserve"> </v>
      </c>
    </row>
    <row r="13" spans="1:21" x14ac:dyDescent="0.2">
      <c r="A13" s="500" t="str">
        <f>Summary!A3</f>
        <v>Legacy</v>
      </c>
      <c r="B13" s="500"/>
      <c r="C13" s="500"/>
      <c r="E13" s="247"/>
      <c r="F13" s="248" t="str">
        <f>Badges!C17</f>
        <v>Capture the same person or object</v>
      </c>
      <c r="G13" s="250" t="str">
        <f>IF(Badges!E17="A","A"," ")</f>
        <v xml:space="preserve"> </v>
      </c>
      <c r="I13" s="247"/>
      <c r="J13" s="248" t="str">
        <f>Badges!C72</f>
        <v>Interview a policy-maker</v>
      </c>
      <c r="K13" s="250" t="str">
        <f>IF(Badges!E72="A","A"," ")</f>
        <v xml:space="preserve"> </v>
      </c>
      <c r="M13" s="247"/>
      <c r="N13" s="248" t="str">
        <f>Badges!C141</f>
        <v>Share the Girl Scout way by example</v>
      </c>
      <c r="O13" s="250" t="str">
        <f>IF(Badges!E141="A","A"," ")</f>
        <v xml:space="preserve"> </v>
      </c>
      <c r="Q13" s="516" t="str">
        <f>'Age-Level'!C30</f>
        <v>Fall Sales (Year 1)</v>
      </c>
      <c r="R13" s="516"/>
      <c r="S13" s="252" t="str">
        <f>IF('Age-Level'!E30="A","A","")</f>
        <v/>
      </c>
    </row>
    <row r="14" spans="1:21" x14ac:dyDescent="0.2">
      <c r="A14" s="501" t="str">
        <f>Summary!A4</f>
        <v>Photography</v>
      </c>
      <c r="B14" s="502"/>
      <c r="C14" s="251" t="str">
        <f>IF(Badges!E28="C","C",IF(Badges!E28="P","P",""))</f>
        <v/>
      </c>
      <c r="E14" s="247"/>
      <c r="F14" s="248" t="str">
        <f>Badges!C18</f>
        <v>Grow your image</v>
      </c>
      <c r="G14" s="250" t="str">
        <f>IF(Badges!E18="A","A"," ")</f>
        <v xml:space="preserve"> </v>
      </c>
      <c r="I14" s="339" t="str">
        <f>Badges!B75</f>
        <v>Dinner Party</v>
      </c>
      <c r="J14" s="340"/>
      <c r="K14" s="340"/>
      <c r="M14" s="339" t="str">
        <f>Badges!B144</f>
        <v>Water</v>
      </c>
      <c r="N14" s="340"/>
      <c r="O14" s="340"/>
      <c r="Q14" s="516" t="str">
        <f>'Age-Level'!C31</f>
        <v>Fall Sales (Year 2)</v>
      </c>
      <c r="R14" s="516"/>
      <c r="S14" s="252" t="str">
        <f>IF('Age-Level'!E31="A","A","")</f>
        <v/>
      </c>
    </row>
    <row r="15" spans="1:21" x14ac:dyDescent="0.2">
      <c r="A15" s="490" t="str">
        <f>Summary!A5</f>
        <v>Coaching</v>
      </c>
      <c r="B15" s="491"/>
      <c r="C15" s="252" t="str">
        <f>IF(Badges!E51="C","C",IF(Badges!E51="P","P",""))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516" t="str">
        <f>'Age-Level'!C33</f>
        <v>Thinking Day (Year 1)</v>
      </c>
      <c r="R15" s="516"/>
      <c r="S15" s="252" t="str">
        <f>IF('Age-Level'!E33="A","A","")</f>
        <v/>
      </c>
    </row>
    <row r="16" spans="1:21" x14ac:dyDescent="0.2">
      <c r="A16" s="490" t="str">
        <f>Summary!A6</f>
        <v>Public Policy</v>
      </c>
      <c r="B16" s="491"/>
      <c r="C16" s="252" t="str">
        <f>IF(Badges!E74="C","C",IF(Badges!E74="P","P",""))</f>
        <v/>
      </c>
      <c r="E16" s="247"/>
      <c r="F16" s="248" t="str">
        <f>Badges!C20</f>
        <v xml:space="preserve">Take photos of a group </v>
      </c>
      <c r="G16" s="250" t="str">
        <f>IF(Badges!E20="A","A"," ")</f>
        <v xml:space="preserve"> </v>
      </c>
      <c r="I16" s="247"/>
      <c r="J16" s="248" t="str">
        <f>Badges!C77</f>
        <v>Interview a caterer, event planner, chef</v>
      </c>
      <c r="K16" s="250" t="str">
        <f>IF(Badges!E77="A","A"," ")</f>
        <v xml:space="preserve"> </v>
      </c>
      <c r="M16" s="247"/>
      <c r="N16" s="248" t="str">
        <f>Badges!C146</f>
        <v>Visit water in its natural state</v>
      </c>
      <c r="O16" s="250" t="str">
        <f>IF(Badges!E146="A","A"," ")</f>
        <v xml:space="preserve"> </v>
      </c>
      <c r="Q16" s="516" t="str">
        <f>'Age-Level'!C34</f>
        <v>Thinking Day (Year 2)</v>
      </c>
      <c r="R16" s="516"/>
      <c r="S16" s="252" t="str">
        <f>IF('Age-Level'!E34="A","A","")</f>
        <v/>
      </c>
    </row>
    <row r="17" spans="1:19" x14ac:dyDescent="0.2">
      <c r="A17" s="490" t="str">
        <f>Summary!A7</f>
        <v>Dinner Party</v>
      </c>
      <c r="B17" s="491"/>
      <c r="C17" s="252" t="str">
        <f>IF(Badges!E97="C","C",IF(Badges!E97="P","P",""))</f>
        <v/>
      </c>
      <c r="E17" s="247"/>
      <c r="F17" s="248" t="str">
        <f>Badges!C21</f>
        <v>Take photos of faces in motion</v>
      </c>
      <c r="G17" s="250" t="str">
        <f>IF(Badges!E21="A","A"," ")</f>
        <v xml:space="preserve"> </v>
      </c>
      <c r="I17" s="247"/>
      <c r="J17" s="248" t="str">
        <f>Badges!C78</f>
        <v>Collect recipes from cooking shows</v>
      </c>
      <c r="K17" s="250" t="str">
        <f>IF(Badges!E78="A","A"," ")</f>
        <v xml:space="preserve"> </v>
      </c>
      <c r="M17" s="247"/>
      <c r="N17" s="248" t="str">
        <f>Badges!C147</f>
        <v>Try a new water skill</v>
      </c>
      <c r="O17" s="250" t="str">
        <f>IF(Badges!E147="A","A"," ")</f>
        <v xml:space="preserve"> </v>
      </c>
      <c r="Q17" s="516" t="str">
        <f>'Age-Level'!C36</f>
        <v>Global Action Award</v>
      </c>
      <c r="R17" s="516"/>
      <c r="S17" s="252" t="str">
        <f>IF('Age-Level'!E36="A","A","")</f>
        <v/>
      </c>
    </row>
    <row r="18" spans="1:19" x14ac:dyDescent="0.2">
      <c r="A18" s="490" t="str">
        <f>Summary!A8</f>
        <v>Ambassador First Aid</v>
      </c>
      <c r="B18" s="491"/>
      <c r="C18" s="252" t="str">
        <f>IF(Badges!E120="C","C",IF(Badges!E120="P","P",""))</f>
        <v/>
      </c>
      <c r="E18" s="247"/>
      <c r="F18" s="248" t="str">
        <f>Badges!C22</f>
        <v>Take photos of objects in motion</v>
      </c>
      <c r="G18" s="250" t="str">
        <f>IF(Badges!E22="A","A"," ")</f>
        <v xml:space="preserve"> </v>
      </c>
      <c r="I18" s="247"/>
      <c r="J18" s="248" t="str">
        <f>Badges!C79</f>
        <v>Build a men around your favorite</v>
      </c>
      <c r="K18" s="250" t="str">
        <f>IF(Badges!E79="A","A"," ")</f>
        <v xml:space="preserve"> </v>
      </c>
      <c r="M18" s="247"/>
      <c r="N18" s="248" t="str">
        <f>Badges!C148</f>
        <v>Enjoy a water activity you already know</v>
      </c>
      <c r="O18" s="250" t="str">
        <f>IF(Badges!E148="A","A"," ")</f>
        <v xml:space="preserve"> </v>
      </c>
      <c r="Q18" s="516" t="str">
        <f>'Age-Level'!C38</f>
        <v>International Friendship Recognition</v>
      </c>
      <c r="R18" s="516"/>
      <c r="S18" s="252" t="str">
        <f>IF('Age-Level'!E38="A","A","")</f>
        <v/>
      </c>
    </row>
    <row r="19" spans="1:19" x14ac:dyDescent="0.2">
      <c r="A19" s="490" t="str">
        <f>Summary!A9</f>
        <v>Ambassador Girl Scout Way</v>
      </c>
      <c r="B19" s="491"/>
      <c r="C19" s="252" t="str">
        <f>IF(Badges!E143="C","C",IF(Badges!E143="P","P",""))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516" t="str">
        <f>'Age-Level'!C40</f>
        <v>Investiture</v>
      </c>
      <c r="R19" s="516"/>
      <c r="S19" s="252" t="str">
        <f>IF('Age-Level'!E40="A","A","")</f>
        <v/>
      </c>
    </row>
    <row r="20" spans="1:19" x14ac:dyDescent="0.2">
      <c r="A20" s="507" t="str">
        <f>Summary!A10</f>
        <v>Water</v>
      </c>
      <c r="B20" s="508"/>
      <c r="C20" s="253" t="str">
        <f>IF(Badges!E166="C","C",IF(Badges!E166="P","P",""))</f>
        <v/>
      </c>
      <c r="E20" s="247"/>
      <c r="F20" s="248" t="str">
        <f>Badges!C24</f>
        <v>Stage a photo exhibit</v>
      </c>
      <c r="G20" s="250" t="str">
        <f>IF(Badges!E24="A","A"," ")</f>
        <v xml:space="preserve"> </v>
      </c>
      <c r="I20" s="247"/>
      <c r="J20" s="248" t="str">
        <f>Badges!C81</f>
        <v>Camparison shop</v>
      </c>
      <c r="K20" s="250" t="str">
        <f>IF(Badges!E81="A","A"," ")</f>
        <v xml:space="preserve"> </v>
      </c>
      <c r="M20" s="247"/>
      <c r="N20" s="248" t="str">
        <f>Badges!C150</f>
        <v>Delve into water literature</v>
      </c>
      <c r="O20" s="250" t="str">
        <f>IF(Badges!E150="A","A"," ")</f>
        <v xml:space="preserve"> </v>
      </c>
      <c r="Q20" s="516" t="str">
        <f>'Age-Level'!C41</f>
        <v>Rededication (1st year)</v>
      </c>
      <c r="R20" s="516"/>
      <c r="S20" s="262" t="str">
        <f>IF('Age-Level'!E41="C","C","")</f>
        <v/>
      </c>
    </row>
    <row r="21" spans="1:19" x14ac:dyDescent="0.2">
      <c r="A21" s="500" t="str">
        <f>Summary!A11</f>
        <v>Financial Literacy</v>
      </c>
      <c r="B21" s="500"/>
      <c r="C21" s="500"/>
      <c r="E21" s="247"/>
      <c r="F21" s="248" t="str">
        <f>Badges!C25</f>
        <v>Make a digital slide show</v>
      </c>
      <c r="G21" s="250" t="str">
        <f>IF(Badges!E25="A","A"," ")</f>
        <v xml:space="preserve"> </v>
      </c>
      <c r="I21" s="247"/>
      <c r="J21" s="248" t="str">
        <f>Badges!C82</f>
        <v>Consult with a professional chef</v>
      </c>
      <c r="K21" s="250" t="str">
        <f>IF(Badges!E82="A","A"," ")</f>
        <v xml:space="preserve"> </v>
      </c>
      <c r="M21" s="247"/>
      <c r="N21" s="248" t="str">
        <f>Badges!C151</f>
        <v xml:space="preserve">Enjoy an exhibit or event that features </v>
      </c>
      <c r="O21" s="250" t="str">
        <f>IF(Badges!E151="A","A"," ")</f>
        <v xml:space="preserve"> </v>
      </c>
      <c r="Q21" s="516" t="str">
        <f>'Age-Level'!C42</f>
        <v>Rededication (2nd year)</v>
      </c>
      <c r="R21" s="516"/>
      <c r="S21" s="262" t="str">
        <f>IF('Age-Level'!E42="C","C","")</f>
        <v/>
      </c>
    </row>
    <row r="22" spans="1:19" x14ac:dyDescent="0.2">
      <c r="A22" s="501" t="str">
        <f>Summary!A12</f>
        <v>On My Own</v>
      </c>
      <c r="B22" s="502"/>
      <c r="C22" s="251" t="str">
        <f>IF(Badges!E190="C","C",IF(Badges!E190="P","P",""))</f>
        <v/>
      </c>
      <c r="E22" s="247"/>
      <c r="F22" s="248" t="str">
        <f>Badges!C26</f>
        <v>Create a photo album or scrapbook</v>
      </c>
      <c r="G22" s="250" t="str">
        <f>IF(Badges!E26="A","A"," ")</f>
        <v xml:space="preserve"> </v>
      </c>
      <c r="I22" s="247"/>
      <c r="J22" s="248" t="str">
        <f>Badges!C83</f>
        <v>Learn about alternative ways to shop</v>
      </c>
      <c r="K22" s="250" t="str">
        <f>IF(Badges!E83="A","A"," ")</f>
        <v xml:space="preserve"> </v>
      </c>
      <c r="M22" s="247"/>
      <c r="N22" s="248" t="str">
        <f>Badges!C152</f>
        <v>Create your own water composition</v>
      </c>
      <c r="O22" s="250" t="str">
        <f>IF(Badges!E152="A","A"," ")</f>
        <v xml:space="preserve"> </v>
      </c>
      <c r="Q22" s="342" t="str">
        <f>'Age-Level'!B43</f>
        <v>My Promise, My Faith (Year 1)</v>
      </c>
      <c r="R22" s="343"/>
      <c r="S22" s="262"/>
    </row>
    <row r="23" spans="1:19" x14ac:dyDescent="0.2">
      <c r="A23" s="501" t="str">
        <f>Summary!A13</f>
        <v>Good Credit</v>
      </c>
      <c r="B23" s="502"/>
      <c r="C23" s="251" t="str">
        <f>IF(Badges!E213="C","C",IF(Badges!E213="P","P",""))</f>
        <v/>
      </c>
      <c r="E23" s="492" t="str">
        <f>Badges!B29</f>
        <v>Coaching</v>
      </c>
      <c r="F23" s="517"/>
      <c r="G23" s="517"/>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IF('Age-Level'!E44="A","A","")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IF(Badges!E85="A","A"," ")</f>
        <v xml:space="preserve"> </v>
      </c>
      <c r="M24" s="247"/>
      <c r="N24" s="248" t="str">
        <f>Badges!C154</f>
        <v>Visit a water facility and explore its</v>
      </c>
      <c r="O24" s="250" t="str">
        <f>IF(Badges!E154="A","A"," ")</f>
        <v xml:space="preserve"> </v>
      </c>
      <c r="Q24" s="267">
        <v>2</v>
      </c>
      <c r="R24" s="344" t="str">
        <f>'Age-Level'!C45</f>
        <v>Find a woman in your community</v>
      </c>
      <c r="S24" s="262" t="str">
        <f>IF('Age-Level'!E45="A","A","")</f>
        <v/>
      </c>
    </row>
    <row r="25" spans="1:19" x14ac:dyDescent="0.2">
      <c r="A25" s="490" t="str">
        <f>Summary!A15</f>
        <v>Research and Development</v>
      </c>
      <c r="B25" s="491"/>
      <c r="C25" s="252" t="str">
        <f>IF(Badges!E227="C","C",IF(Badges!E227="P","P",""))</f>
        <v/>
      </c>
      <c r="E25" s="247"/>
      <c r="F25" s="248" t="str">
        <f>Badges!C31</f>
        <v>Talk to a great coach</v>
      </c>
      <c r="G25" s="250" t="str">
        <f>IF(Badges!E31="A","A"," ")</f>
        <v xml:space="preserve"> </v>
      </c>
      <c r="I25" s="247"/>
      <c r="J25" s="248" t="str">
        <f>Badges!C86</f>
        <v>Make a menu timeline</v>
      </c>
      <c r="K25" s="250" t="str">
        <f>IF(Badges!E86="A","A"," ")</f>
        <v xml:space="preserve"> </v>
      </c>
      <c r="M25" s="247"/>
      <c r="N25" s="248" t="str">
        <f>Badges!C155</f>
        <v>Investigate endangered marine life</v>
      </c>
      <c r="O25" s="250" t="str">
        <f>IF(Badges!E155="A","A"," ")</f>
        <v xml:space="preserve"> </v>
      </c>
      <c r="Q25" s="267">
        <v>3</v>
      </c>
      <c r="R25" s="344" t="str">
        <f>'Age-Level'!C46</f>
        <v>Gather three inspirational quotes</v>
      </c>
      <c r="S25" s="262" t="str">
        <f>IF('Age-Level'!E46="A","A","")</f>
        <v/>
      </c>
    </row>
    <row r="26" spans="1:19" x14ac:dyDescent="0.2">
      <c r="A26" s="490" t="str">
        <f>Summary!A16</f>
        <v>P &amp; L</v>
      </c>
      <c r="B26" s="491"/>
      <c r="C26" s="252" t="str">
        <f>IF(Badges!E240="C","C",IF(Badges!E240="P","P",""))</f>
        <v/>
      </c>
      <c r="E26" s="247"/>
      <c r="F26" s="248" t="str">
        <f>Badges!C32</f>
        <v>Watch three sports documentaries</v>
      </c>
      <c r="G26" s="250" t="str">
        <f>IF(Badges!E32="A","A"," ")</f>
        <v xml:space="preserve"> </v>
      </c>
      <c r="I26" s="247"/>
      <c r="J26" s="248" t="str">
        <f>Badges!C87</f>
        <v>Prepare a test meal for family or friends</v>
      </c>
      <c r="K26" s="250" t="str">
        <f>IF(Badges!E87="A","A"," ")</f>
        <v xml:space="preserve"> </v>
      </c>
      <c r="M26" s="247"/>
      <c r="N26" s="248" t="str">
        <f>Badges!C156</f>
        <v>Investigate water as a hazard</v>
      </c>
      <c r="O26" s="250" t="str">
        <f>IF(Badges!E156="A","A"," ")</f>
        <v xml:space="preserve"> </v>
      </c>
      <c r="Q26" s="267">
        <v>4</v>
      </c>
      <c r="R26" s="344" t="str">
        <f>'Age-Level'!C47</f>
        <v>Make something to remind you</v>
      </c>
      <c r="S26" s="262" t="str">
        <f>IF('Age-Level'!E47="A","A","")</f>
        <v/>
      </c>
    </row>
    <row r="27" spans="1:19" x14ac:dyDescent="0.2">
      <c r="A27" s="346"/>
      <c r="B27" s="346"/>
      <c r="C27" s="266"/>
      <c r="E27" s="247"/>
      <c r="F27" s="248" t="str">
        <f>Badges!C33</f>
        <v>Attend a coaching clinic or seminar</v>
      </c>
      <c r="G27" s="250" t="str">
        <f>IF(Badges!E33="A","A","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IF('Age-Level'!E48="A","A","")</f>
        <v/>
      </c>
    </row>
    <row r="28" spans="1:19" x14ac:dyDescent="0.2">
      <c r="A28" s="484" t="s">
        <v>84</v>
      </c>
      <c r="B28" s="513"/>
      <c r="C28" s="513"/>
      <c r="E28" s="247">
        <v>2</v>
      </c>
      <c r="F28" s="248" t="str">
        <f>Badges!C34</f>
        <v>Conduct a first assessment</v>
      </c>
      <c r="G28" s="249"/>
      <c r="I28" s="247"/>
      <c r="J28" s="248" t="str">
        <f>Badges!C89</f>
        <v>Expreiment with garnishes</v>
      </c>
      <c r="K28" s="250" t="str">
        <f>IF(Badges!E89="A","A"," ")</f>
        <v xml:space="preserve"> </v>
      </c>
      <c r="M28" s="247"/>
      <c r="N28" s="248" t="str">
        <f>Badges!C158</f>
        <v>Interview a water scientist</v>
      </c>
      <c r="O28" s="250" t="str">
        <f>IF(Badges!E158="A","A","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IF(Badges!E35="A","A"," ")</f>
        <v xml:space="preserve"> </v>
      </c>
      <c r="I29" s="247"/>
      <c r="J29" s="248" t="str">
        <f>Badges!C90</f>
        <v>Present food in interesting shapes</v>
      </c>
      <c r="K29" s="250" t="str">
        <f>IF(Badges!E90="A","A"," ")</f>
        <v xml:space="preserve"> </v>
      </c>
      <c r="M29" s="247"/>
      <c r="N29" s="248" t="str">
        <f>Badges!C159</f>
        <v>Explore the world of hydroelectricity</v>
      </c>
      <c r="O29" s="250" t="str">
        <f>IF(Badges!E159="A","A"," ")</f>
        <v xml:space="preserve"> </v>
      </c>
      <c r="Q29" s="268">
        <v>1</v>
      </c>
      <c r="R29" s="344" t="str">
        <f>'Age-Level'!C51</f>
        <v>Choose one line from the Law</v>
      </c>
      <c r="S29" s="262" t="str">
        <f>IF('Age-Level'!E51="A","A","")</f>
        <v/>
      </c>
    </row>
    <row r="30" spans="1:19" x14ac:dyDescent="0.2">
      <c r="B30" s="477" t="str">
        <f>Journey!B7</f>
        <v>The Girl Scout Advocate Award</v>
      </c>
      <c r="C30" s="478"/>
      <c r="E30" s="247"/>
      <c r="F30" s="248" t="str">
        <f>Badges!C36</f>
        <v>Host an initial session</v>
      </c>
      <c r="G30" s="250" t="str">
        <f>IF(Badges!E36="A","A"," ")</f>
        <v xml:space="preserve"> </v>
      </c>
      <c r="I30" s="247"/>
      <c r="J30" s="248" t="str">
        <f>Badges!C91</f>
        <v>Use serving ware in unusual ways</v>
      </c>
      <c r="K30" s="250" t="str">
        <f>IF(Badges!E91="A","A"," ")</f>
        <v xml:space="preserve"> </v>
      </c>
      <c r="M30" s="247"/>
      <c r="N30" s="248" t="str">
        <f>Badges!C160</f>
        <v>Design your own water innovation</v>
      </c>
      <c r="O30" s="250" t="str">
        <f>IF(Badges!E160="A","A"," ")</f>
        <v xml:space="preserve"> </v>
      </c>
      <c r="Q30" s="267">
        <v>2</v>
      </c>
      <c r="R30" s="344" t="str">
        <f>'Age-Level'!C52</f>
        <v>Find a woman in your community</v>
      </c>
      <c r="S30" s="262" t="str">
        <f>IF('Age-Level'!E52="A","A","")</f>
        <v/>
      </c>
    </row>
    <row r="31" spans="1:19" x14ac:dyDescent="0.2">
      <c r="B31" s="256">
        <f>Journey!D8</f>
        <v>0</v>
      </c>
      <c r="C31" s="252" t="str">
        <f>IF(Journey!E8="C","C",IF(Journey!E8="P","P",""))</f>
        <v/>
      </c>
      <c r="E31" s="247"/>
      <c r="F31" s="248" t="str">
        <f>Badges!C37</f>
        <v>Prepare a goal chart together</v>
      </c>
      <c r="G31" s="250" t="str">
        <f>IF(Badges!E37="A","A","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IF('Age-Level'!E53="A","A","")</f>
        <v/>
      </c>
    </row>
    <row r="32" spans="1:19" x14ac:dyDescent="0.2">
      <c r="B32" s="256">
        <f>Journey!D9</f>
        <v>0</v>
      </c>
      <c r="C32" s="252" t="str">
        <f>IF(Journey!E9="C","C",IF(Journey!E9="P","P",""))</f>
        <v/>
      </c>
      <c r="E32" s="339" t="str">
        <f>Badges!B29</f>
        <v>Coaching</v>
      </c>
      <c r="F32" s="340"/>
      <c r="G32" s="340"/>
      <c r="I32" s="247"/>
      <c r="J32" s="248" t="str">
        <f>Badges!C93</f>
        <v>Decorate according to your menu theme</v>
      </c>
      <c r="K32" s="250" t="str">
        <f>IF(Badges!E93="A","A"," ")</f>
        <v xml:space="preserve"> </v>
      </c>
      <c r="M32" s="247"/>
      <c r="N32" s="248" t="str">
        <f>Badges!C162</f>
        <v>Celebrate water with younger Girl Scouts</v>
      </c>
      <c r="O32" s="250" t="str">
        <f>IF(Badges!E162="A","A"," ")</f>
        <v xml:space="preserve"> </v>
      </c>
      <c r="Q32" s="267">
        <v>4</v>
      </c>
      <c r="R32" s="344" t="str">
        <f>'Age-Level'!C54</f>
        <v>Make something to remind you</v>
      </c>
      <c r="S32" s="262" t="str">
        <f>IF('Age-Level'!E54="A","A","")</f>
        <v/>
      </c>
    </row>
    <row r="33" spans="1:19" x14ac:dyDescent="0.2">
      <c r="B33" s="256">
        <f>Journey!D10</f>
        <v>0</v>
      </c>
      <c r="C33" s="252" t="str">
        <f>IF(Journey!E10="C","C",IF(Journey!E10="P","P",""))</f>
        <v/>
      </c>
      <c r="E33" s="247">
        <v>3</v>
      </c>
      <c r="F33" s="248" t="str">
        <f>Badges!C38</f>
        <v>Design your coaching plan</v>
      </c>
      <c r="G33" s="249"/>
      <c r="I33" s="247"/>
      <c r="J33" s="248" t="str">
        <f>Badges!C94</f>
        <v>Celebrate a special occasion</v>
      </c>
      <c r="K33" s="250" t="str">
        <f>IF(Badges!E94="A","A"," ")</f>
        <v xml:space="preserve"> </v>
      </c>
      <c r="M33" s="247"/>
      <c r="N33" s="248" t="str">
        <f>Badges!C163</f>
        <v>Share a water issue that matters to you</v>
      </c>
      <c r="O33" s="250" t="str">
        <f>IF(Badges!E163="A","A"," ")</f>
        <v xml:space="preserve"> </v>
      </c>
      <c r="Q33" s="267">
        <v>5</v>
      </c>
      <c r="R33" s="344" t="str">
        <f>'Age-Level'!C55</f>
        <v xml:space="preserve">Make a commitment to live what </v>
      </c>
      <c r="S33" s="364" t="str">
        <f>IF('Age-Level'!E55="A","A","")</f>
        <v/>
      </c>
    </row>
    <row r="34" spans="1:19" x14ac:dyDescent="0.2">
      <c r="A34" s="284"/>
      <c r="B34" s="473" t="str">
        <f>Journey!A14</f>
        <v>JUSTICE</v>
      </c>
      <c r="C34" s="474"/>
      <c r="E34" s="247"/>
      <c r="F34" s="248" t="str">
        <f>Badges!C39</f>
        <v xml:space="preserve">Design a special warm-up </v>
      </c>
      <c r="G34" s="250" t="str">
        <f>IF(Badges!E39="A","A"," ")</f>
        <v xml:space="preserve"> </v>
      </c>
      <c r="I34" s="247"/>
      <c r="J34" s="248" t="str">
        <f>Badges!C95</f>
        <v>Use food and fun to forge new friendships</v>
      </c>
      <c r="K34" s="250" t="str">
        <f>IF(Badges!E95="A","A"," ")</f>
        <v xml:space="preserve"> </v>
      </c>
      <c r="M34" s="247"/>
      <c r="N34" s="248" t="str">
        <f>Badges!C164</f>
        <v>Guide a group to a water place</v>
      </c>
      <c r="O34" s="250" t="str">
        <f>IF(Badges!E164="A","A"," ")</f>
        <v xml:space="preserve"> </v>
      </c>
      <c r="Q34" s="516" t="str">
        <f>'Age-Level'!B57</f>
        <v>Safety Award</v>
      </c>
      <c r="R34" s="516"/>
      <c r="S34" s="364"/>
    </row>
    <row r="35" spans="1:19" x14ac:dyDescent="0.2">
      <c r="A35" s="284"/>
      <c r="B35" s="479" t="str">
        <f>Journey!B15</f>
        <v>Sage Award</v>
      </c>
      <c r="C35" s="480"/>
      <c r="E35" s="247"/>
      <c r="F35" s="248" t="str">
        <f>Badges!C40</f>
        <v>Research and choose</v>
      </c>
      <c r="G35" s="250" t="str">
        <f>IF(Badges!E40="A","A","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IF('Age-Level'!E58="A","A","")</f>
        <v/>
      </c>
    </row>
    <row r="36" spans="1:19" ht="12.75" customHeight="1" x14ac:dyDescent="0.2">
      <c r="A36" s="284"/>
      <c r="B36" s="256">
        <f>Journey!D16</f>
        <v>0</v>
      </c>
      <c r="C36" s="252" t="str">
        <f>IF(Journey!E16="C","C",IF(Journey!E16="P","P",""))</f>
        <v/>
      </c>
      <c r="E36" s="247"/>
      <c r="F36" s="248" t="str">
        <f>Badges!C41</f>
        <v>Open and close each session</v>
      </c>
      <c r="G36" s="250" t="str">
        <f>IF(Badges!E41="A","A","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IF('Age-Level'!E59="A","A","")</f>
        <v/>
      </c>
    </row>
    <row r="37" spans="1:19" ht="12.75" customHeight="1" x14ac:dyDescent="0.2">
      <c r="A37" s="284"/>
      <c r="B37" s="256">
        <f>Journey!D17</f>
        <v>0</v>
      </c>
      <c r="C37" s="252" t="str">
        <f>IF(Journey!E17="C","C",IF(Journey!E17="P","P",""))</f>
        <v/>
      </c>
      <c r="E37" s="247">
        <v>4</v>
      </c>
      <c r="F37" s="248" t="str">
        <f>Badges!C42</f>
        <v>Put your plan in action</v>
      </c>
      <c r="G37" s="249"/>
      <c r="I37" s="247"/>
      <c r="J37" s="248" t="str">
        <f>Badges!C100</f>
        <v>Backcountry</v>
      </c>
      <c r="K37" s="250" t="str">
        <f>IF(Badges!E100="A","A"," ")</f>
        <v xml:space="preserve"> </v>
      </c>
      <c r="M37" s="247"/>
      <c r="N37" s="248" t="str">
        <f>Badges!C170</f>
        <v>Take a tour</v>
      </c>
      <c r="O37" s="250" t="str">
        <f>IF(Badges!E170="A","A"," ")</f>
        <v xml:space="preserve"> </v>
      </c>
      <c r="Q37" s="267">
        <v>3</v>
      </c>
      <c r="R37" s="344" t="str">
        <f>'Age-Level'!C60</f>
        <v>Teach a Daisy or Brownie what to do if</v>
      </c>
      <c r="S37" s="262" t="str">
        <f>IF('Age-Level'!E60="A","A","")</f>
        <v/>
      </c>
    </row>
    <row r="38" spans="1:19" x14ac:dyDescent="0.2">
      <c r="A38" s="284"/>
      <c r="B38" s="256">
        <f>Journey!D18</f>
        <v>0</v>
      </c>
      <c r="C38" s="252" t="str">
        <f>IF(Journey!E18="C","C",IF(Journey!E18="P","P",""))</f>
        <v/>
      </c>
      <c r="E38" s="247"/>
      <c r="F38" s="248" t="str">
        <f>Badges!C43</f>
        <v>Add a morale-boosting time-out</v>
      </c>
      <c r="G38" s="250" t="str">
        <f>IF(Badges!E43="A","A"," ")</f>
        <v xml:space="preserve"> </v>
      </c>
      <c r="I38" s="247"/>
      <c r="J38" s="248" t="str">
        <f>Badges!C101</f>
        <v>Open water</v>
      </c>
      <c r="K38" s="250" t="str">
        <f>IF(Badges!E101="A","A"," ")</f>
        <v xml:space="preserve"> </v>
      </c>
      <c r="M38" s="247"/>
      <c r="N38" s="248" t="str">
        <f>Badges!C171</f>
        <v>Interview a new tenant or homeowner</v>
      </c>
      <c r="O38" s="250" t="str">
        <f>IF(Badges!E171="A","A"," ")</f>
        <v xml:space="preserve"> </v>
      </c>
      <c r="Q38" s="267">
        <v>4</v>
      </c>
      <c r="R38" s="344" t="str">
        <f>'Age-Level'!C61</f>
        <v>With your family, make sure you have</v>
      </c>
      <c r="S38" s="262" t="str">
        <f>IF('Age-Level'!E61="A","A","")</f>
        <v/>
      </c>
    </row>
    <row r="39" spans="1:19" x14ac:dyDescent="0.2">
      <c r="A39" s="284"/>
      <c r="B39" s="256">
        <f>Journey!D19</f>
        <v>0</v>
      </c>
      <c r="C39" s="252" t="str">
        <f>IF(Journey!E19="C","C",IF(Journey!E19="P","P",""))</f>
        <v/>
      </c>
      <c r="E39" s="247"/>
      <c r="F39" s="248" t="str">
        <f>Badges!C44</f>
        <v>Ask your players to coach you!</v>
      </c>
      <c r="G39" s="250" t="str">
        <f>IF(Badges!E44="A","A"," ")</f>
        <v xml:space="preserve"> </v>
      </c>
      <c r="I39" s="247"/>
      <c r="J39" s="248" t="str">
        <f>Badges!C102</f>
        <v>Mountains</v>
      </c>
      <c r="K39" s="250" t="str">
        <f>IF(Badges!E102="A","A"," ")</f>
        <v xml:space="preserve"> </v>
      </c>
      <c r="M39" s="247"/>
      <c r="N39" s="248" t="str">
        <f>Badges!C172</f>
        <v>Be chart smart</v>
      </c>
      <c r="O39" s="250" t="str">
        <f>IF(Badges!E172="A","A"," ")</f>
        <v xml:space="preserve"> </v>
      </c>
      <c r="Q39" s="267">
        <v>5</v>
      </c>
      <c r="R39" s="344" t="str">
        <f>'Age-Level'!C62</f>
        <v>Discuss bullying with your Girl Scout</v>
      </c>
      <c r="S39" s="262" t="str">
        <f>IF('Age-Level'!E62="A","A","")</f>
        <v/>
      </c>
    </row>
    <row r="40" spans="1:19" x14ac:dyDescent="0.2">
      <c r="A40" s="284"/>
      <c r="B40" s="256">
        <f>Journey!D20</f>
        <v>0</v>
      </c>
      <c r="C40" s="252" t="str">
        <f>IF(Journey!E20="C","C",IF(Journey!E20="P","P",""))</f>
        <v/>
      </c>
      <c r="E40" s="247"/>
      <c r="F40" s="248" t="str">
        <f>Badges!C45</f>
        <v xml:space="preserve">Bring in another coah to watch </v>
      </c>
      <c r="G40" s="250" t="str">
        <f>IF(Badges!E45="A","A","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Journey!D21</f>
        <v>0</v>
      </c>
      <c r="C41" s="252" t="str">
        <f>IF(Journey!E21="C","C",IF(Journey!E21="P","P",""))</f>
        <v/>
      </c>
      <c r="E41" s="247">
        <v>5</v>
      </c>
      <c r="F41" s="248" t="str">
        <f>Badges!C46</f>
        <v>Attend the big event</v>
      </c>
      <c r="G41" s="249"/>
      <c r="I41" s="247"/>
      <c r="J41" s="248" t="str">
        <f>Badges!C104</f>
        <v>Wilderness rescue</v>
      </c>
      <c r="K41" s="250" t="str">
        <f>IF(Badges!E104="A","A"," ")</f>
        <v xml:space="preserve"> </v>
      </c>
      <c r="M41" s="247"/>
      <c r="N41" s="248" t="str">
        <f>Badges!C174</f>
        <v>Focus on your finances</v>
      </c>
      <c r="O41" s="250" t="str">
        <f>IF(Badges!E174="A","A"," ")</f>
        <v xml:space="preserve"> </v>
      </c>
    </row>
    <row r="42" spans="1:19" ht="12.75" customHeight="1" x14ac:dyDescent="0.2">
      <c r="A42" s="254"/>
      <c r="B42" s="475" t="str">
        <f>Journey!A25</f>
        <v>BLISS: Live it! Give It!</v>
      </c>
      <c r="C42" s="476"/>
      <c r="E42" s="247"/>
      <c r="F42" s="248" t="str">
        <f>Badges!C47</f>
        <v>Meet with your players for a relaxing</v>
      </c>
      <c r="G42" s="250" t="str">
        <f>IF(Badges!E47="A","A"," ")</f>
        <v xml:space="preserve"> </v>
      </c>
      <c r="I42" s="247"/>
      <c r="J42" s="248" t="str">
        <f>Badges!C105</f>
        <v>Disaster preparedness</v>
      </c>
      <c r="K42" s="250" t="str">
        <f>IF(Badges!E105="A","A"," ")</f>
        <v xml:space="preserve"> </v>
      </c>
      <c r="M42" s="247"/>
      <c r="N42" s="248" t="str">
        <f>Badges!C175</f>
        <v>Shop talk</v>
      </c>
      <c r="O42" s="250" t="str">
        <f>IF(Badges!E175="A","A"," ")</f>
        <v xml:space="preserve"> </v>
      </c>
      <c r="Q42" s="505"/>
      <c r="R42" s="505"/>
      <c r="S42" s="240"/>
    </row>
    <row r="43" spans="1:19" ht="12.75" customHeight="1" x14ac:dyDescent="0.2">
      <c r="B43" s="477" t="str">
        <f>Journey!B26</f>
        <v>Dream Maker Award</v>
      </c>
      <c r="C43" s="478"/>
      <c r="E43" s="247"/>
      <c r="F43" s="248" t="str">
        <f>Badges!C48</f>
        <v>Host a celebration</v>
      </c>
      <c r="G43" s="250" t="str">
        <f>IF(Badges!E48="A","A"," ")</f>
        <v xml:space="preserve"> </v>
      </c>
      <c r="I43" s="247"/>
      <c r="J43" s="248" t="str">
        <f>Badges!C106</f>
        <v>Military medicine</v>
      </c>
      <c r="K43" s="250" t="str">
        <f>IF(Badges!E106="A","A"," ")</f>
        <v xml:space="preserve"> </v>
      </c>
      <c r="M43" s="247"/>
      <c r="N43" s="248" t="str">
        <f>Badges!C176</f>
        <v>Audit request</v>
      </c>
      <c r="O43" s="250" t="str">
        <f>IF(Badges!E176="A","A"," ")</f>
        <v xml:space="preserve"> </v>
      </c>
      <c r="Q43" s="267"/>
      <c r="R43" s="267"/>
      <c r="S43" s="240"/>
    </row>
    <row r="44" spans="1:19" x14ac:dyDescent="0.2">
      <c r="B44" s="256">
        <f>Journey!D27</f>
        <v>0</v>
      </c>
      <c r="C44" s="252" t="str">
        <f>IF(Journey!E27="C","C",IF(Journey!E27="P","P",""))</f>
        <v/>
      </c>
      <c r="E44" s="247"/>
      <c r="F44" s="248" t="str">
        <f>Badges!C49</f>
        <v>Make a "trading card" for each athlete</v>
      </c>
      <c r="G44" s="250" t="str">
        <f>IF(Badges!E49="A","A","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Journey!D28</f>
        <v>0</v>
      </c>
      <c r="C45" s="252" t="str">
        <f>IF(Journey!E28="C","C",IF(Journey!E28="P","P",""))</f>
        <v/>
      </c>
      <c r="E45" s="492" t="str">
        <f>Badges!B52</f>
        <v>Public Policy</v>
      </c>
      <c r="F45" s="492"/>
      <c r="G45" s="492"/>
      <c r="I45" s="247"/>
      <c r="J45" s="248" t="str">
        <f>Badges!C108</f>
        <v>Take a wilderness first aid course</v>
      </c>
      <c r="K45" s="250" t="str">
        <f>IF(Badges!E108="A","A"," ")</f>
        <v xml:space="preserve"> </v>
      </c>
      <c r="M45" s="247"/>
      <c r="N45" s="248" t="str">
        <f>Badges!C178</f>
        <v>Hooray for hobbies!</v>
      </c>
      <c r="O45" s="250" t="str">
        <f>IF(Badges!E178="A","A"," ")</f>
        <v xml:space="preserve"> </v>
      </c>
      <c r="Q45" s="267"/>
      <c r="R45" s="267"/>
      <c r="S45" s="240"/>
    </row>
    <row r="46" spans="1:19" x14ac:dyDescent="0.2">
      <c r="B46" s="256">
        <f>Journey!D29</f>
        <v>0</v>
      </c>
      <c r="C46" s="252" t="str">
        <f>IF(Journey!E29="C","C",IF(Journey!E29="P","P",""))</f>
        <v/>
      </c>
      <c r="E46" s="247">
        <v>1</v>
      </c>
      <c r="F46" s="248" t="str">
        <f>Badges!C53</f>
        <v>Find out how activitists advocate for change</v>
      </c>
      <c r="G46" s="249" t="s">
        <v>26</v>
      </c>
      <c r="I46" s="247"/>
      <c r="J46" s="248" t="str">
        <f>Badges!C109</f>
        <v>Interview a doctor, nurse, EMT, or first</v>
      </c>
      <c r="K46" s="250" t="str">
        <f>IF(Badges!E109="A","A"," ")</f>
        <v xml:space="preserve"> </v>
      </c>
      <c r="M46" s="247"/>
      <c r="N46" s="248" t="str">
        <f>Badges!C179</f>
        <v>Treat yourself</v>
      </c>
      <c r="O46" s="250" t="str">
        <f>IF(Badges!E179="A","A"," ")</f>
        <v xml:space="preserve"> </v>
      </c>
      <c r="Q46" s="267"/>
      <c r="R46" s="267"/>
      <c r="S46" s="240"/>
    </row>
    <row r="47" spans="1:19" x14ac:dyDescent="0.2">
      <c r="B47" s="256">
        <f>Journey!D30</f>
        <v>0</v>
      </c>
      <c r="C47" s="252" t="str">
        <f>IF(Journey!E30="C","C",IF(Journey!E30="P","P",""))</f>
        <v/>
      </c>
      <c r="E47" s="247"/>
      <c r="F47" s="248" t="str">
        <f>Badges!C54</f>
        <v>Interview an activist</v>
      </c>
      <c r="G47" s="250" t="str">
        <f>IF(Badges!E54="A","A"," ")</f>
        <v xml:space="preserve"> </v>
      </c>
      <c r="I47" s="247"/>
      <c r="J47" s="248" t="str">
        <f>Badges!C110</f>
        <v xml:space="preserve">Discover how to use what's on hand in </v>
      </c>
      <c r="K47" s="250" t="str">
        <f>IF(Badges!E110="A","A"," ")</f>
        <v xml:space="preserve"> </v>
      </c>
      <c r="M47" s="247"/>
      <c r="N47" s="248" t="str">
        <f>Badges!C180</f>
        <v>Class act</v>
      </c>
      <c r="O47" s="250" t="str">
        <f>IF(Badges!E180="A","A"," ")</f>
        <v xml:space="preserve"> </v>
      </c>
      <c r="Q47" s="267"/>
      <c r="R47" s="267"/>
      <c r="S47" s="240"/>
    </row>
    <row r="48" spans="1:19" x14ac:dyDescent="0.2">
      <c r="B48" s="264"/>
      <c r="C48" s="264"/>
      <c r="E48" s="247"/>
      <c r="F48" s="248" t="str">
        <f>Badges!C55</f>
        <v>Watch a documentary or movie</v>
      </c>
      <c r="G48" s="250" t="str">
        <f>IF(Badges!E55="A","A"," ")</f>
        <v xml:space="preserve"> </v>
      </c>
      <c r="I48" s="339" t="str">
        <f>Badges!B98</f>
        <v>Ambassador First Aid</v>
      </c>
      <c r="J48" s="340"/>
      <c r="K48" s="340"/>
      <c r="M48" s="247">
        <v>4</v>
      </c>
      <c r="N48" s="248" t="str">
        <f>Badges!C181</f>
        <v>Plan for the unexpected</v>
      </c>
      <c r="O48" s="249"/>
    </row>
    <row r="49" spans="1:19" x14ac:dyDescent="0.2">
      <c r="A49" s="484" t="s">
        <v>316</v>
      </c>
      <c r="B49" s="513"/>
      <c r="C49" s="513"/>
      <c r="E49" s="247"/>
      <c r="F49" s="248" t="str">
        <f>Badges!C56</f>
        <v xml:space="preserve">Read about women who change the </v>
      </c>
      <c r="G49" s="250" t="str">
        <f>IF(Badges!E56="A","A"," ")</f>
        <v xml:space="preserve"> </v>
      </c>
      <c r="I49" s="247">
        <v>4</v>
      </c>
      <c r="J49" s="248" t="str">
        <f>Badges!C111</f>
        <v>Know how to move an injured person</v>
      </c>
      <c r="K49" s="249"/>
      <c r="M49" s="247"/>
      <c r="N49" s="248" t="str">
        <f>Badges!C182</f>
        <v>Interview your network</v>
      </c>
      <c r="O49" s="250" t="str">
        <f>IF(Badges!E182="A","A"," ")</f>
        <v xml:space="preserve"> </v>
      </c>
    </row>
    <row r="50" spans="1:19" x14ac:dyDescent="0.2">
      <c r="A50" s="259"/>
      <c r="B50" s="345" t="str">
        <f>Bridging!B6</f>
        <v>Pass It On!</v>
      </c>
      <c r="C50" s="251" t="str">
        <f>IF(Bridging!E10="C","C",IF(Bridging!E10="P","P",""))</f>
        <v/>
      </c>
      <c r="E50" s="247">
        <v>2</v>
      </c>
      <c r="F50" s="248" t="str">
        <f>Badges!C57</f>
        <v>Engage as a global citizen</v>
      </c>
      <c r="G50" s="249"/>
      <c r="I50" s="247"/>
      <c r="J50" s="248" t="str">
        <f>Badges!C112</f>
        <v>Visit a medical school</v>
      </c>
      <c r="K50" s="250" t="str">
        <f>IF(Badges!E112="A","A"," ")</f>
        <v xml:space="preserve"> </v>
      </c>
      <c r="M50" s="247"/>
      <c r="N50" s="248" t="str">
        <f>Badges!C183</f>
        <v>Interview a Financial guru</v>
      </c>
      <c r="O50" s="250" t="str">
        <f>IF(Badges!E183="A","A"," ")</f>
        <v xml:space="preserve"> </v>
      </c>
    </row>
    <row r="51" spans="1:19" x14ac:dyDescent="0.2">
      <c r="A51" s="259"/>
      <c r="B51" s="260" t="str">
        <f>Bridging!B11</f>
        <v>Look Ahead!</v>
      </c>
      <c r="C51" s="251" t="str">
        <f>IF(Bridging!E15="C","C",IF(Bridging!E15="P","P",""))</f>
        <v/>
      </c>
      <c r="E51" s="247"/>
      <c r="F51" s="248" t="str">
        <f>Badges!C58</f>
        <v>Compare laws</v>
      </c>
      <c r="G51" s="250" t="str">
        <f>IF(Badges!E58="A","A"," ")</f>
        <v xml:space="preserve"> </v>
      </c>
      <c r="I51" s="247"/>
      <c r="J51" s="248" t="str">
        <f>Badges!C113</f>
        <v>Take a wilderness first aid course</v>
      </c>
      <c r="K51" s="250" t="str">
        <f>IF(Badges!E113="A","A"," ")</f>
        <v xml:space="preserve"> </v>
      </c>
      <c r="M51" s="247"/>
      <c r="N51" s="248" t="str">
        <f>Badges!C184</f>
        <v>Interview an insurance expert</v>
      </c>
      <c r="O51" s="250" t="str">
        <f>IF(Badges!E184="A","A"," ")</f>
        <v xml:space="preserve"> </v>
      </c>
    </row>
    <row r="52" spans="1:19" x14ac:dyDescent="0.2">
      <c r="A52" s="259"/>
      <c r="B52" s="344" t="str">
        <f>Bridging!C16</f>
        <v>Plan a Ceremony</v>
      </c>
      <c r="C52" s="251" t="str">
        <f>IF(Bridging!E17="C","C",IF(Bridging!E17="P","P",""))</f>
        <v/>
      </c>
      <c r="E52" s="247"/>
      <c r="F52" s="248" t="str">
        <f>Badges!C59</f>
        <v xml:space="preserve">Track a public-policy issue being </v>
      </c>
      <c r="G52" s="250" t="str">
        <f>IF(Badges!E59="A","A"," ")</f>
        <v xml:space="preserve"> </v>
      </c>
      <c r="I52" s="247"/>
      <c r="J52" s="248" t="str">
        <f>Badges!C114</f>
        <v>Organize a mock emergency drill</v>
      </c>
      <c r="K52" s="250" t="str">
        <f>IF(Badges!E114="A","A"," ")</f>
        <v xml:space="preserve"> </v>
      </c>
      <c r="M52" s="339" t="str">
        <f>Badges!B168</f>
        <v>On My Own</v>
      </c>
      <c r="N52" s="340"/>
      <c r="O52" s="340"/>
    </row>
    <row r="53" spans="1:19" x14ac:dyDescent="0.2">
      <c r="B53" s="261" t="s">
        <v>134</v>
      </c>
      <c r="C53" s="251" t="str">
        <f>IF(Bridging!E18="C","C",IF(Bridging!E18="P","P",""))</f>
        <v/>
      </c>
      <c r="E53" s="247"/>
      <c r="F53" s="248" t="str">
        <f>Badges!C60</f>
        <v>Explore an international NGO</v>
      </c>
      <c r="G53" s="250" t="str">
        <f>IF(Badges!E60="A","A","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IF(Badges!E116="A","A"," ")</f>
        <v xml:space="preserve"> </v>
      </c>
      <c r="M54" s="247"/>
      <c r="N54" s="248" t="str">
        <f>Badges!C186</f>
        <v>Plan for presents</v>
      </c>
      <c r="O54" s="250" t="str">
        <f>IF(Badges!E186="A","A"," ")</f>
        <v xml:space="preserve"> </v>
      </c>
      <c r="Q54" s="267"/>
      <c r="R54" s="267"/>
      <c r="S54" s="240"/>
    </row>
    <row r="55" spans="1:19" x14ac:dyDescent="0.2">
      <c r="I55" s="247"/>
      <c r="J55" s="248" t="str">
        <f>Badges!C117</f>
        <v>Investigate extreme first aid</v>
      </c>
      <c r="K55" s="250" t="str">
        <f>IF(Badges!E117="A","A"," ")</f>
        <v xml:space="preserve"> </v>
      </c>
      <c r="M55" s="247"/>
      <c r="N55" s="248" t="str">
        <f>Badges!C187</f>
        <v>Budget for your time</v>
      </c>
      <c r="O55" s="250" t="str">
        <f>IF(Badges!E187="A","A"," ")</f>
        <v xml:space="preserve"> </v>
      </c>
      <c r="Q55" s="496"/>
      <c r="R55" s="514"/>
      <c r="S55" s="514"/>
    </row>
    <row r="56" spans="1:19" x14ac:dyDescent="0.2">
      <c r="I56" s="247"/>
      <c r="J56" s="248" t="str">
        <f>Badges!C118</f>
        <v>Interview an everyday hero</v>
      </c>
      <c r="K56" s="250" t="str">
        <f>IF(Badges!E118="A","A"," ")</f>
        <v xml:space="preserve"> </v>
      </c>
      <c r="M56" s="247"/>
      <c r="N56" s="248" t="str">
        <f>Badges!C188</f>
        <v>Charity starts… with a budget</v>
      </c>
      <c r="O56" s="250" t="str">
        <f>IF(Badges!E188="A","A","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IF(Badges!E123="A","A"," ")</f>
        <v xml:space="preserve"> </v>
      </c>
      <c r="M59" s="247"/>
      <c r="N59" s="248" t="str">
        <f>Badges!C217</f>
        <v>Invest some R&amp;D</v>
      </c>
      <c r="O59" s="250" t="str">
        <f>IF(Badges!E217="A","A"," ")</f>
        <v xml:space="preserve"> </v>
      </c>
    </row>
    <row r="60" spans="1:19" x14ac:dyDescent="0.2">
      <c r="I60" s="247"/>
      <c r="J60" s="248" t="str">
        <f>Badges!C124</f>
        <v xml:space="preserve">Ogranize a songfest for younger </v>
      </c>
      <c r="K60" s="250" t="str">
        <f>IF(Badges!E124="A","A"," ")</f>
        <v xml:space="preserve"> </v>
      </c>
      <c r="M60" s="247">
        <v>2</v>
      </c>
      <c r="N60" s="248" t="str">
        <f>Badges!C218</f>
        <v>Reasearch how other companies innovate</v>
      </c>
      <c r="O60" s="249"/>
    </row>
    <row r="61" spans="1:19" ht="12.75" customHeight="1" x14ac:dyDescent="0.2">
      <c r="I61" s="247"/>
      <c r="J61" s="248" t="str">
        <f>Badges!C125</f>
        <v>Bring generations together in song</v>
      </c>
      <c r="K61" s="250" t="str">
        <f>IF(Badges!E125="A","A"," ")</f>
        <v xml:space="preserve"> </v>
      </c>
      <c r="M61" s="247"/>
      <c r="N61" s="248" t="str">
        <f>Badges!C219</f>
        <v>Find at least three other companies</v>
      </c>
      <c r="O61" s="250" t="str">
        <f>IF(Badges!E219="A","A"," ")</f>
        <v xml:space="preserve"> </v>
      </c>
    </row>
    <row r="62" spans="1:19" ht="12.75" customHeight="1"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IF(Badges!E127="A","A"," ")</f>
        <v xml:space="preserve"> </v>
      </c>
      <c r="M63" s="247"/>
      <c r="N63" s="248" t="str">
        <f>Badges!C221</f>
        <v>Developing a new product</v>
      </c>
      <c r="O63" s="250" t="str">
        <f>IF(Badges!E221="A","A"," ")</f>
        <v xml:space="preserve"> </v>
      </c>
    </row>
    <row r="64" spans="1:19" x14ac:dyDescent="0.2">
      <c r="I64" s="247"/>
      <c r="J64" s="248" t="str">
        <f>Badges!C128</f>
        <v>Make World Thinking Day cards</v>
      </c>
      <c r="K64" s="250" t="str">
        <f>IF(Badges!E128="A","A","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IF(Badges!E129="A","A"," ")</f>
        <v xml:space="preserve"> </v>
      </c>
      <c r="M65" s="247"/>
      <c r="N65" s="248" t="str">
        <f>Badges!C223</f>
        <v>If you're considering serveral</v>
      </c>
      <c r="O65" s="250" t="str">
        <f>IF(Badges!E223="A","A","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IF(Badges!E225="A","A","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515"/>
      <c r="G72" s="515"/>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Own'!E28="C","C",IF('Council Own'!E28="P","P",""))</f>
        <v/>
      </c>
      <c r="E73" s="493" t="str">
        <f>'Fun Patches'!C5</f>
        <v>&lt;LIST PATCH HERE&gt;</v>
      </c>
      <c r="F73" s="494"/>
      <c r="G73" s="250" t="str">
        <f>IF('Fun Patches'!E5="A","A","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Own'!E52="C","C",IF('Council Own'!E52="P","P",""))</f>
        <v/>
      </c>
      <c r="E74" s="471" t="str">
        <f>'Fun Patches'!C6</f>
        <v>&lt;LIST PATCH HERE&gt;</v>
      </c>
      <c r="F74" s="472"/>
      <c r="G74" s="257" t="str">
        <f>IF('Fun Patches'!E6="A","A"," ")</f>
        <v xml:space="preserve"> </v>
      </c>
      <c r="H74" s="254"/>
      <c r="I74" s="247">
        <v>1</v>
      </c>
      <c r="J74" s="344" t="str">
        <f>'Council Own'!C7</f>
        <v>&lt;List Requirement Here&gt;</v>
      </c>
      <c r="K74" s="257" t="str">
        <f>IF('Council Own'!E7="A","A"," ")</f>
        <v xml:space="preserve"> </v>
      </c>
      <c r="L74" s="254"/>
      <c r="M74" s="247">
        <v>1</v>
      </c>
      <c r="N74" s="344" t="str">
        <f>'Council Own'!C55</f>
        <v>&lt;List Requirement Here&gt;</v>
      </c>
      <c r="O74" s="257" t="str">
        <f>IF('Council Own'!E55="A","A"," ")</f>
        <v xml:space="preserve"> </v>
      </c>
      <c r="Q74" s="247">
        <v>1</v>
      </c>
      <c r="R74" s="344" t="str">
        <f>'Council Own'!C103</f>
        <v>&lt;List Requirement Here&gt;</v>
      </c>
      <c r="S74" s="257" t="str">
        <f>IF('Council Own'!E103="A","A"," ")</f>
        <v xml:space="preserve"> </v>
      </c>
    </row>
    <row r="75" spans="1:19" x14ac:dyDescent="0.2">
      <c r="A75" s="485" t="str">
        <f>'Council Own'!B54</f>
        <v>&lt;&lt;List Badge Here&gt;&gt;</v>
      </c>
      <c r="B75" s="486"/>
      <c r="C75" s="252" t="str">
        <f>IF('Council Own'!E76="C","C",IF('Council Own'!E76="P","P",""))</f>
        <v/>
      </c>
      <c r="E75" s="471" t="str">
        <f>'Fun Patches'!C7</f>
        <v>&lt;LIST PATCH HERE&gt;</v>
      </c>
      <c r="F75" s="472"/>
      <c r="G75" s="257" t="str">
        <f>IF('Fun Patches'!E7="A","A"," ")</f>
        <v xml:space="preserve"> </v>
      </c>
      <c r="H75" s="254"/>
      <c r="I75" s="247"/>
      <c r="J75" s="344" t="str">
        <f>'Council Own'!C8</f>
        <v>&lt;List Requirement Here&gt;</v>
      </c>
      <c r="K75" s="257" t="str">
        <f>IF('Council Own'!E8="A","A"," ")</f>
        <v xml:space="preserve"> </v>
      </c>
      <c r="L75" s="254"/>
      <c r="M75" s="247"/>
      <c r="N75" s="344" t="str">
        <f>'Council Own'!C56</f>
        <v>&lt;List Requirement Here&gt;</v>
      </c>
      <c r="O75" s="257" t="str">
        <f>IF('Council Own'!E56="A","A"," ")</f>
        <v xml:space="preserve"> </v>
      </c>
      <c r="Q75" s="247"/>
      <c r="R75" s="344" t="str">
        <f>'Council Own'!C104</f>
        <v>&lt;List Requirement Here&gt;</v>
      </c>
      <c r="S75" s="257" t="str">
        <f>IF('Council Own'!E104="A","A"," ")</f>
        <v xml:space="preserve"> </v>
      </c>
    </row>
    <row r="76" spans="1:19" x14ac:dyDescent="0.2">
      <c r="A76" s="485" t="str">
        <f>'Council Own'!B78</f>
        <v>&lt;&lt;List Badge Here&gt;&gt;</v>
      </c>
      <c r="B76" s="486"/>
      <c r="C76" s="252" t="str">
        <f>IF('Council Own'!E100="C","C",IF('Council Own'!E100="P","P",""))</f>
        <v/>
      </c>
      <c r="E76" s="471" t="str">
        <f>'Fun Patches'!C8</f>
        <v>&lt;LIST PATCH HERE&gt;</v>
      </c>
      <c r="F76" s="472"/>
      <c r="G76" s="257" t="str">
        <f>IF('Fun Patches'!E8="A","A"," ")</f>
        <v xml:space="preserve"> </v>
      </c>
      <c r="H76" s="254"/>
      <c r="I76" s="247"/>
      <c r="J76" s="344" t="str">
        <f>'Council Own'!C9</f>
        <v>&lt;List Requirement Here&gt;</v>
      </c>
      <c r="K76" s="257" t="str">
        <f>IF('Council Own'!E9="A","A"," ")</f>
        <v xml:space="preserve"> </v>
      </c>
      <c r="L76" s="254"/>
      <c r="M76" s="247"/>
      <c r="N76" s="344" t="str">
        <f>'Council Own'!C57</f>
        <v>&lt;List Requirement Here&gt;</v>
      </c>
      <c r="O76" s="257" t="str">
        <f>IF('Council Own'!E57="A","A"," ")</f>
        <v xml:space="preserve"> </v>
      </c>
      <c r="Q76" s="247"/>
      <c r="R76" s="344" t="str">
        <f>'Council Own'!C105</f>
        <v>&lt;List Requirement Here&gt;</v>
      </c>
      <c r="S76" s="257" t="str">
        <f>IF('Council Own'!E105="A","A"," ")</f>
        <v xml:space="preserve"> </v>
      </c>
    </row>
    <row r="77" spans="1:19" x14ac:dyDescent="0.2">
      <c r="A77" s="485" t="str">
        <f>'Council Own'!B102</f>
        <v>&lt;&lt;List Badge Here&gt;&gt;</v>
      </c>
      <c r="B77" s="486"/>
      <c r="C77" s="252" t="str">
        <f>IF('Council Own'!E124="C","C",IF('Council Own'!E124="P","P",""))</f>
        <v/>
      </c>
      <c r="E77" s="471" t="str">
        <f>'Fun Patches'!C9</f>
        <v>&lt;LIST PATCH HERE&gt;</v>
      </c>
      <c r="F77" s="472"/>
      <c r="G77" s="257" t="str">
        <f>IF('Fun Patches'!E9="A","A"," ")</f>
        <v xml:space="preserve"> </v>
      </c>
      <c r="H77" s="254"/>
      <c r="I77" s="247"/>
      <c r="J77" s="344" t="str">
        <f>'Council Own'!C10</f>
        <v>&lt;List Requirement Here&gt;</v>
      </c>
      <c r="K77" s="257" t="str">
        <f>IF('Council Own'!E10="A","A"," ")</f>
        <v xml:space="preserve"> </v>
      </c>
      <c r="L77" s="254"/>
      <c r="M77" s="247"/>
      <c r="N77" s="344" t="str">
        <f>'Council Own'!C58</f>
        <v>&lt;List Requirement Here&gt;</v>
      </c>
      <c r="O77" s="257" t="str">
        <f>IF('Council Own'!E58="A","A"," ")</f>
        <v xml:space="preserve"> </v>
      </c>
      <c r="Q77" s="247"/>
      <c r="R77" s="344" t="str">
        <f>'Council Own'!C106</f>
        <v>&lt;List Requirement Here&gt;</v>
      </c>
      <c r="S77" s="257" t="str">
        <f>IF('Council Own'!E106="A","A"," ")</f>
        <v xml:space="preserve"> </v>
      </c>
    </row>
    <row r="78" spans="1:19" x14ac:dyDescent="0.2">
      <c r="A78" s="485" t="str">
        <f>'Council Own'!B126</f>
        <v>&lt;&lt;List Badge Here&gt;&gt;</v>
      </c>
      <c r="B78" s="486"/>
      <c r="C78" s="252" t="str">
        <f>IF('Council Own'!E148="C","C",IF('Council Own'!E148="P","P",""))</f>
        <v/>
      </c>
      <c r="E78" s="471" t="str">
        <f>'Fun Patches'!C10</f>
        <v>&lt;LIST PATCH HERE&gt;</v>
      </c>
      <c r="F78" s="472"/>
      <c r="G78" s="257" t="str">
        <f>IF('Fun Patches'!E10="A","A"," ")</f>
        <v xml:space="preserve"> </v>
      </c>
      <c r="I78" s="247">
        <v>2</v>
      </c>
      <c r="J78" s="344" t="str">
        <f>'Council Own'!C11</f>
        <v>&lt;List Requirement Here&gt;</v>
      </c>
      <c r="K78" s="257" t="str">
        <f>IF('Council Own'!E11="A","A"," ")</f>
        <v xml:space="preserve"> </v>
      </c>
      <c r="M78" s="247">
        <v>2</v>
      </c>
      <c r="N78" s="344" t="str">
        <f>'Council Own'!C59</f>
        <v>&lt;List Requirement Here&gt;</v>
      </c>
      <c r="O78" s="257" t="str">
        <f>IF('Council Own'!E59="A","A"," ")</f>
        <v xml:space="preserve"> </v>
      </c>
      <c r="Q78" s="247">
        <v>2</v>
      </c>
      <c r="R78" s="344" t="str">
        <f>'Council Own'!C107</f>
        <v>&lt;List Requirement Here&gt;</v>
      </c>
      <c r="S78" s="257" t="str">
        <f>IF('Council Own'!E107="A","A"," ")</f>
        <v xml:space="preserve"> </v>
      </c>
    </row>
    <row r="79" spans="1:19" x14ac:dyDescent="0.2">
      <c r="E79" s="471" t="str">
        <f>'Fun Patches'!C11</f>
        <v>&lt;LIST PATCH HERE&gt;</v>
      </c>
      <c r="F79" s="472"/>
      <c r="G79" s="257" t="str">
        <f>IF('Fun Patches'!E11="A","A"," ")</f>
        <v xml:space="preserve"> </v>
      </c>
      <c r="I79" s="247"/>
      <c r="J79" s="344" t="str">
        <f>'Council Own'!C12</f>
        <v>&lt;List Requirement Here&gt;</v>
      </c>
      <c r="K79" s="257" t="str">
        <f>IF('Council Own'!E12="A","A"," ")</f>
        <v xml:space="preserve"> </v>
      </c>
      <c r="M79" s="247"/>
      <c r="N79" s="344" t="str">
        <f>'Council Own'!C60</f>
        <v>&lt;List Requirement Here&gt;</v>
      </c>
      <c r="O79" s="257" t="str">
        <f>IF('Council Own'!E60="A","A"," ")</f>
        <v xml:space="preserve"> </v>
      </c>
      <c r="Q79" s="247"/>
      <c r="R79" s="344" t="str">
        <f>'Council Own'!C108</f>
        <v>&lt;List Requirement Here&gt;</v>
      </c>
      <c r="S79" s="257" t="str">
        <f>IF('Council Own'!E108="A","A"," ")</f>
        <v xml:space="preserve"> </v>
      </c>
    </row>
    <row r="80" spans="1:19" x14ac:dyDescent="0.2">
      <c r="E80" s="471" t="str">
        <f>'Fun Patches'!C12</f>
        <v>&lt;LIST PATCH HERE&gt;</v>
      </c>
      <c r="F80" s="472"/>
      <c r="G80" s="257" t="str">
        <f>IF('Fun Patches'!E12="A","A"," ")</f>
        <v xml:space="preserve"> </v>
      </c>
      <c r="I80" s="247"/>
      <c r="J80" s="344" t="str">
        <f>'Council Own'!C13</f>
        <v>&lt;List Requirement Here&gt;</v>
      </c>
      <c r="K80" s="257" t="str">
        <f>IF('Council Own'!E13="A","A"," ")</f>
        <v xml:space="preserve"> </v>
      </c>
      <c r="M80" s="247"/>
      <c r="N80" s="344" t="str">
        <f>'Council Own'!C61</f>
        <v>&lt;List Requirement Here&gt;</v>
      </c>
      <c r="O80" s="257" t="str">
        <f>IF('Council Own'!E61="A","A"," ")</f>
        <v xml:space="preserve"> </v>
      </c>
      <c r="Q80" s="247"/>
      <c r="R80" s="344" t="str">
        <f>'Council Own'!C109</f>
        <v>&lt;List Requirement Here&gt;</v>
      </c>
      <c r="S80" s="257" t="str">
        <f>IF('Council Own'!E109="A","A"," ")</f>
        <v xml:space="preserve"> </v>
      </c>
    </row>
    <row r="81" spans="1:22" x14ac:dyDescent="0.2">
      <c r="E81" s="471" t="str">
        <f>'Fun Patches'!C13</f>
        <v>&lt;LIST PATCH HERE&gt;</v>
      </c>
      <c r="F81" s="472"/>
      <c r="G81" s="257" t="str">
        <f>IF('Fun Patches'!E13="A","A"," ")</f>
        <v xml:space="preserve"> </v>
      </c>
      <c r="I81" s="247"/>
      <c r="J81" s="344" t="str">
        <f>'Council Own'!C14</f>
        <v>&lt;List Requirement Here&gt;</v>
      </c>
      <c r="K81" s="257" t="str">
        <f>IF('Council Own'!E14="A","A"," ")</f>
        <v xml:space="preserve"> </v>
      </c>
      <c r="M81" s="247"/>
      <c r="N81" s="344" t="str">
        <f>'Council Own'!C62</f>
        <v>&lt;List Requirement Here&gt;</v>
      </c>
      <c r="O81" s="257" t="str">
        <f>IF('Council Own'!E62="A","A"," ")</f>
        <v xml:space="preserve"> </v>
      </c>
      <c r="Q81" s="247"/>
      <c r="R81" s="344" t="str">
        <f>'Council Own'!C110</f>
        <v>&lt;List Requirement Here&gt;</v>
      </c>
      <c r="S81" s="257" t="str">
        <f>IF('Council Own'!E110="A","A"," ")</f>
        <v xml:space="preserve"> </v>
      </c>
    </row>
    <row r="82" spans="1:22" x14ac:dyDescent="0.2">
      <c r="E82" s="471" t="str">
        <f>'Fun Patches'!C14</f>
        <v>&lt;LIST PATCH HERE&gt;</v>
      </c>
      <c r="F82" s="472"/>
      <c r="G82" s="257" t="str">
        <f>IF('Fun Patches'!E14="A","A"," ")</f>
        <v xml:space="preserve"> </v>
      </c>
      <c r="I82" s="247">
        <v>3</v>
      </c>
      <c r="J82" s="344" t="str">
        <f>'Council Own'!C15</f>
        <v>&lt;List Requirement Here&gt;</v>
      </c>
      <c r="K82" s="257" t="str">
        <f>IF('Council Own'!E15="A","A"," ")</f>
        <v xml:space="preserve"> </v>
      </c>
      <c r="M82" s="247">
        <v>3</v>
      </c>
      <c r="N82" s="344" t="str">
        <f>'Council Own'!C63</f>
        <v>&lt;List Requirement Here&gt;</v>
      </c>
      <c r="O82" s="257" t="str">
        <f>IF('Council Own'!E63="A","A"," ")</f>
        <v xml:space="preserve"> </v>
      </c>
      <c r="Q82" s="247">
        <v>3</v>
      </c>
      <c r="R82" s="344" t="str">
        <f>'Council Own'!C111</f>
        <v>&lt;List Requirement Here&gt;</v>
      </c>
      <c r="S82" s="257" t="str">
        <f>IF('Council Own'!E111="A","A"," ")</f>
        <v xml:space="preserve"> </v>
      </c>
    </row>
    <row r="83" spans="1:22" x14ac:dyDescent="0.2">
      <c r="E83" s="471" t="str">
        <f>'Fun Patches'!C15</f>
        <v>&lt;LIST PATCH HERE&gt;</v>
      </c>
      <c r="F83" s="472"/>
      <c r="G83" s="257" t="str">
        <f>IF('Fun Patches'!E15="A","A"," ")</f>
        <v xml:space="preserve"> </v>
      </c>
      <c r="I83" s="247"/>
      <c r="J83" s="344" t="str">
        <f>'Council Own'!C16</f>
        <v>&lt;List Requirement Here&gt;</v>
      </c>
      <c r="K83" s="257" t="str">
        <f>IF('Council Own'!E16="A","A"," ")</f>
        <v xml:space="preserve"> </v>
      </c>
      <c r="M83" s="247"/>
      <c r="N83" s="344" t="str">
        <f>'Council Own'!C64</f>
        <v>&lt;List Requirement Here&gt;</v>
      </c>
      <c r="O83" s="257" t="str">
        <f>IF('Council Own'!E64="A","A"," ")</f>
        <v xml:space="preserve"> </v>
      </c>
      <c r="Q83" s="247"/>
      <c r="R83" s="344" t="str">
        <f>'Council Own'!C112</f>
        <v>&lt;List Requirement Here&gt;</v>
      </c>
      <c r="S83" s="257" t="str">
        <f>IF('Council Own'!E112="A","A"," ")</f>
        <v xml:space="preserve"> </v>
      </c>
    </row>
    <row r="84" spans="1:22" x14ac:dyDescent="0.2">
      <c r="E84" s="471" t="str">
        <f>'Fun Patches'!C16</f>
        <v>&lt;LIST PATCH HERE&gt;</v>
      </c>
      <c r="F84" s="472"/>
      <c r="G84" s="257" t="str">
        <f>IF('Fun Patches'!E16="A","A"," ")</f>
        <v xml:space="preserve"> </v>
      </c>
      <c r="I84" s="247"/>
      <c r="J84" s="344" t="str">
        <f>'Council Own'!C17</f>
        <v>&lt;List Requirement Here&gt;</v>
      </c>
      <c r="K84" s="257" t="str">
        <f>IF('Council Own'!E17="A","A"," ")</f>
        <v xml:space="preserve"> </v>
      </c>
      <c r="M84" s="247"/>
      <c r="N84" s="344" t="str">
        <f>'Council Own'!C65</f>
        <v>&lt;List Requirement Here&gt;</v>
      </c>
      <c r="O84" s="257" t="str">
        <f>IF('Council Own'!E65="A","A"," ")</f>
        <v xml:space="preserve"> </v>
      </c>
      <c r="Q84" s="247"/>
      <c r="R84" s="344" t="str">
        <f>'Council Own'!C113</f>
        <v>&lt;List Requirement Here&gt;</v>
      </c>
      <c r="S84" s="257" t="str">
        <f>IF('Council Own'!E113="A","A"," ")</f>
        <v xml:space="preserve"> </v>
      </c>
    </row>
    <row r="85" spans="1:22" x14ac:dyDescent="0.2">
      <c r="E85" s="493" t="str">
        <f>'Fun Patches'!C17</f>
        <v>&lt;LIST PATCH HERE&gt;</v>
      </c>
      <c r="F85" s="494"/>
      <c r="G85" s="250" t="str">
        <f>IF('Fun Patches'!E17="A","A"," ")</f>
        <v xml:space="preserve"> </v>
      </c>
      <c r="I85" s="247"/>
      <c r="J85" s="344" t="str">
        <f>'Council Own'!C18</f>
        <v>&lt;List Requirement Here&gt;</v>
      </c>
      <c r="K85" s="257" t="str">
        <f>IF('Council Own'!E18="A","A"," ")</f>
        <v xml:space="preserve"> </v>
      </c>
      <c r="M85" s="247"/>
      <c r="N85" s="344" t="str">
        <f>'Council Own'!C66</f>
        <v>&lt;List Requirement Here&gt;</v>
      </c>
      <c r="O85" s="257" t="str">
        <f>IF('Council Own'!E66="A","A"," ")</f>
        <v xml:space="preserve"> </v>
      </c>
      <c r="Q85" s="247"/>
      <c r="R85" s="344" t="str">
        <f>'Council Own'!C114</f>
        <v>&lt;List Requirement Here&gt;</v>
      </c>
      <c r="S85" s="257" t="str">
        <f>IF('Council Own'!E114="A","A"," ")</f>
        <v xml:space="preserve"> </v>
      </c>
    </row>
    <row r="86" spans="1:22" x14ac:dyDescent="0.2">
      <c r="A86" s="242"/>
      <c r="B86" s="243"/>
      <c r="C86" s="244"/>
      <c r="E86" s="471" t="str">
        <f>'Fun Patches'!C18</f>
        <v>&lt;LIST PATCH HERE&gt;</v>
      </c>
      <c r="F86" s="472"/>
      <c r="G86" s="257" t="str">
        <f>IF('Fun Patches'!E18="A","A"," ")</f>
        <v xml:space="preserve"> </v>
      </c>
      <c r="I86" s="247">
        <v>4</v>
      </c>
      <c r="J86" s="344" t="str">
        <f>'Council Own'!C19</f>
        <v>&lt;List Requirement Here&gt;</v>
      </c>
      <c r="K86" s="257" t="str">
        <f>IF('Council Own'!E19="A","A"," ")</f>
        <v xml:space="preserve"> </v>
      </c>
      <c r="M86" s="247">
        <v>4</v>
      </c>
      <c r="N86" s="344" t="str">
        <f>'Council Own'!C67</f>
        <v>&lt;List Requirement Here&gt;</v>
      </c>
      <c r="O86" s="257" t="str">
        <f>IF('Council Own'!E67="A","A"," ")</f>
        <v xml:space="preserve"> </v>
      </c>
      <c r="Q86" s="247">
        <v>4</v>
      </c>
      <c r="R86" s="344" t="str">
        <f>'Council Own'!C115</f>
        <v>&lt;List Requirement Here&gt;</v>
      </c>
      <c r="S86" s="257" t="str">
        <f>IF('Council Own'!E115="A","A"," ")</f>
        <v xml:space="preserve"> </v>
      </c>
    </row>
    <row r="87" spans="1:22" x14ac:dyDescent="0.2">
      <c r="E87" s="471" t="str">
        <f>'Fun Patches'!C19</f>
        <v>&lt;LIST PATCH HERE&gt;</v>
      </c>
      <c r="F87" s="472"/>
      <c r="G87" s="257" t="str">
        <f>IF('Fun Patches'!E19="A","A"," ")</f>
        <v xml:space="preserve"> </v>
      </c>
      <c r="I87" s="247"/>
      <c r="J87" s="344" t="str">
        <f>'Council Own'!C20</f>
        <v>&lt;List Requirement Here&gt;</v>
      </c>
      <c r="K87" s="257" t="str">
        <f>IF('Council Own'!E20="A","A"," ")</f>
        <v xml:space="preserve"> </v>
      </c>
      <c r="M87" s="247"/>
      <c r="N87" s="344" t="str">
        <f>'Council Own'!C68</f>
        <v>&lt;List Requirement Here&gt;</v>
      </c>
      <c r="O87" s="257" t="str">
        <f>IF('Council Own'!E68="A","A"," ")</f>
        <v xml:space="preserve"> </v>
      </c>
      <c r="Q87" s="247"/>
      <c r="R87" s="344" t="str">
        <f>'Council Own'!C116</f>
        <v>&lt;List Requirement Here&gt;</v>
      </c>
      <c r="S87" s="257" t="str">
        <f>IF('Council Own'!E116="A","A"," ")</f>
        <v xml:space="preserve"> </v>
      </c>
    </row>
    <row r="88" spans="1:22" x14ac:dyDescent="0.2">
      <c r="E88" s="471" t="str">
        <f>'Fun Patches'!C20</f>
        <v>&lt;LIST PATCH HERE&gt;</v>
      </c>
      <c r="F88" s="472"/>
      <c r="G88" s="257" t="str">
        <f>IF('Fun Patches'!E20="A","A"," ")</f>
        <v xml:space="preserve"> </v>
      </c>
      <c r="I88" s="247"/>
      <c r="J88" s="344" t="str">
        <f>'Council Own'!C21</f>
        <v>&lt;List Requirement Here&gt;</v>
      </c>
      <c r="K88" s="257" t="str">
        <f>IF('Council Own'!E21="A","A"," ")</f>
        <v xml:space="preserve"> </v>
      </c>
      <c r="M88" s="247"/>
      <c r="N88" s="344" t="str">
        <f>'Council Own'!C69</f>
        <v>&lt;List Requirement Here&gt;</v>
      </c>
      <c r="O88" s="257" t="str">
        <f>IF('Council Own'!E69="A","A"," ")</f>
        <v xml:space="preserve"> </v>
      </c>
      <c r="Q88" s="247"/>
      <c r="R88" s="344" t="str">
        <f>'Council Own'!C117</f>
        <v>&lt;List Requirement Here&gt;</v>
      </c>
      <c r="S88" s="257" t="str">
        <f>IF('Council Own'!E117="A","A"," ")</f>
        <v xml:space="preserve"> </v>
      </c>
    </row>
    <row r="89" spans="1:22" x14ac:dyDescent="0.2">
      <c r="E89" s="471" t="str">
        <f>'Fun Patches'!C21</f>
        <v>&lt;LIST PATCH HERE&gt;</v>
      </c>
      <c r="F89" s="472"/>
      <c r="G89" s="257" t="str">
        <f>IF('Fun Patches'!E21="A","A"," ")</f>
        <v xml:space="preserve"> </v>
      </c>
      <c r="I89" s="247"/>
      <c r="J89" s="344" t="str">
        <f>'Council Own'!C22</f>
        <v>&lt;List Requirement Here&gt;</v>
      </c>
      <c r="K89" s="257" t="str">
        <f>IF('Council Own'!E22="A","A"," ")</f>
        <v xml:space="preserve"> </v>
      </c>
      <c r="M89" s="247"/>
      <c r="N89" s="344" t="str">
        <f>'Council Own'!C70</f>
        <v>&lt;List Requirement Here&gt;</v>
      </c>
      <c r="O89" s="257" t="str">
        <f>IF('Council Own'!E70="A","A"," ")</f>
        <v xml:space="preserve"> </v>
      </c>
      <c r="Q89" s="247"/>
      <c r="R89" s="344" t="str">
        <f>'Council Own'!C118</f>
        <v>&lt;List Requirement Here&gt;</v>
      </c>
      <c r="S89" s="257" t="str">
        <f>IF('Council Own'!E118="A","A"," ")</f>
        <v xml:space="preserve"> </v>
      </c>
    </row>
    <row r="90" spans="1:22" x14ac:dyDescent="0.2">
      <c r="E90" s="471" t="str">
        <f>'Fun Patches'!C22</f>
        <v>&lt;LIST PATCH HERE&gt;</v>
      </c>
      <c r="F90" s="472"/>
      <c r="G90" s="257" t="str">
        <f>IF('Fun Patches'!E22="A","A"," ")</f>
        <v xml:space="preserve"> </v>
      </c>
      <c r="I90" s="247">
        <v>5</v>
      </c>
      <c r="J90" s="344" t="str">
        <f>'Council Own'!C23</f>
        <v>&lt;List Requirement Here&gt;</v>
      </c>
      <c r="K90" s="257" t="str">
        <f>IF('Council Own'!E23="A","A"," ")</f>
        <v xml:space="preserve"> </v>
      </c>
      <c r="M90" s="247">
        <v>5</v>
      </c>
      <c r="N90" s="344" t="str">
        <f>'Council Own'!C71</f>
        <v>&lt;List Requirement Here&gt;</v>
      </c>
      <c r="O90" s="257" t="str">
        <f>IF('Council Own'!E71="A","A"," ")</f>
        <v xml:space="preserve"> </v>
      </c>
      <c r="Q90" s="247">
        <v>5</v>
      </c>
      <c r="R90" s="344" t="str">
        <f>'Council Own'!C119</f>
        <v>&lt;List Requirement Here&gt;</v>
      </c>
      <c r="S90" s="257" t="str">
        <f>IF('Council Own'!E119="A","A"," ")</f>
        <v xml:space="preserve"> </v>
      </c>
    </row>
    <row r="91" spans="1:22" x14ac:dyDescent="0.2">
      <c r="E91" s="471" t="str">
        <f>'Fun Patches'!C23</f>
        <v>&lt;LIST PATCH HERE&gt;</v>
      </c>
      <c r="F91" s="472"/>
      <c r="G91" s="257" t="str">
        <f>IF('Fun Patches'!E23="A","A"," ")</f>
        <v xml:space="preserve"> </v>
      </c>
      <c r="I91" s="247"/>
      <c r="J91" s="344" t="str">
        <f>'Council Own'!C24</f>
        <v>&lt;List Requirement Here&gt;</v>
      </c>
      <c r="K91" s="257" t="str">
        <f>IF('Council Own'!E24="A","A"," ")</f>
        <v xml:space="preserve"> </v>
      </c>
      <c r="M91" s="247"/>
      <c r="N91" s="344" t="str">
        <f>'Council Own'!C72</f>
        <v>&lt;List Requirement Here&gt;</v>
      </c>
      <c r="O91" s="257" t="str">
        <f>IF('Council Own'!E72="A","A"," ")</f>
        <v xml:space="preserve"> </v>
      </c>
      <c r="Q91" s="247"/>
      <c r="R91" s="344" t="str">
        <f>'Council Own'!C120</f>
        <v>&lt;List Requirement Here&gt;</v>
      </c>
      <c r="S91" s="257" t="str">
        <f>IF('Council Own'!E120="A","A"," ")</f>
        <v xml:space="preserve"> </v>
      </c>
    </row>
    <row r="92" spans="1:22" x14ac:dyDescent="0.2">
      <c r="E92" s="471" t="str">
        <f>'Fun Patches'!C24</f>
        <v>&lt;LIST PATCH HERE&gt;</v>
      </c>
      <c r="F92" s="472"/>
      <c r="G92" s="257" t="str">
        <f>IF('Fun Patches'!E24="A","A"," ")</f>
        <v xml:space="preserve"> </v>
      </c>
      <c r="I92" s="247"/>
      <c r="J92" s="344" t="str">
        <f>'Council Own'!C25</f>
        <v>&lt;List Requirement Here&gt;</v>
      </c>
      <c r="K92" s="257" t="str">
        <f>IF('Council Own'!E25="A","A"," ")</f>
        <v xml:space="preserve"> </v>
      </c>
      <c r="M92" s="247"/>
      <c r="N92" s="344" t="str">
        <f>'Council Own'!C73</f>
        <v>&lt;List Requirement Here&gt;</v>
      </c>
      <c r="O92" s="257" t="str">
        <f>IF('Council Own'!E73="A","A"," ")</f>
        <v xml:space="preserve"> </v>
      </c>
      <c r="Q92" s="247"/>
      <c r="R92" s="344" t="str">
        <f>'Council Own'!C121</f>
        <v>&lt;List Requirement Here&gt;</v>
      </c>
      <c r="S92" s="257" t="str">
        <f>IF('Council Own'!E121="A","A"," ")</f>
        <v xml:space="preserve"> </v>
      </c>
    </row>
    <row r="93" spans="1:22" x14ac:dyDescent="0.2">
      <c r="E93" s="471" t="str">
        <f>'Fun Patches'!C25</f>
        <v>&lt;LIST PATCH HERE&gt;</v>
      </c>
      <c r="F93" s="472"/>
      <c r="G93" s="257" t="str">
        <f>IF('Fun Patches'!E25="A","A"," ")</f>
        <v xml:space="preserve"> </v>
      </c>
      <c r="I93" s="247"/>
      <c r="J93" s="344" t="str">
        <f>'Council Own'!C26</f>
        <v>&lt;List Requirement Here&gt;</v>
      </c>
      <c r="K93" s="257" t="str">
        <f>IF('Council Own'!E26="A","A"," ")</f>
        <v xml:space="preserve"> </v>
      </c>
      <c r="M93" s="247"/>
      <c r="N93" s="344" t="str">
        <f>'Council Own'!C74</f>
        <v>&lt;List Requirement Here&gt;</v>
      </c>
      <c r="O93" s="257" t="str">
        <f>IF('Council Own'!E68="A","A"," ")</f>
        <v xml:space="preserve"> </v>
      </c>
      <c r="Q93" s="247"/>
      <c r="R93" s="344" t="str">
        <f>'Council Own'!C122</f>
        <v>&lt;List Requirement Here&gt;</v>
      </c>
      <c r="S93" s="257" t="str">
        <f>IF('Council Own'!E122="A","A"," ")</f>
        <v xml:space="preserve"> </v>
      </c>
    </row>
    <row r="94" spans="1:22" x14ac:dyDescent="0.2">
      <c r="E94" s="471" t="str">
        <f>'Fun Patches'!C26</f>
        <v>&lt;LIST PATCH HERE&gt;</v>
      </c>
      <c r="F94" s="472"/>
      <c r="G94" s="257" t="str">
        <f>IF('Fun Patches'!E26="A","A","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Patches'!E27="A","A"," ")</f>
        <v xml:space="preserve"> </v>
      </c>
      <c r="I95" s="247">
        <v>1</v>
      </c>
      <c r="J95" s="344" t="str">
        <f>'Council Own'!C31</f>
        <v>&lt;List Requirement Here&gt;</v>
      </c>
      <c r="K95" s="257" t="str">
        <f>IF('Council Own'!E31="A","A"," ")</f>
        <v xml:space="preserve"> </v>
      </c>
      <c r="M95" s="247">
        <v>1</v>
      </c>
      <c r="N95" s="344" t="str">
        <f>'Council Own'!C79</f>
        <v>&lt;List Requirement Here&gt;</v>
      </c>
      <c r="O95" s="257" t="str">
        <f>IF('Council Own'!E79="A","A"," ")</f>
        <v xml:space="preserve"> </v>
      </c>
      <c r="Q95" s="247">
        <v>1</v>
      </c>
      <c r="R95" s="344" t="str">
        <f>'Council Own'!C127</f>
        <v>&lt;List Requirement Here&gt;</v>
      </c>
      <c r="S95" s="257" t="str">
        <f>IF('Council Own'!E127="A","A"," ")</f>
        <v xml:space="preserve"> </v>
      </c>
    </row>
    <row r="96" spans="1:22" x14ac:dyDescent="0.2">
      <c r="E96" s="471" t="str">
        <f>'Fun Patches'!C28</f>
        <v>&lt;LIST PATCH HERE&gt;</v>
      </c>
      <c r="F96" s="472"/>
      <c r="G96" s="257" t="str">
        <f>IF('Fun Patches'!E28="A","A"," ")</f>
        <v xml:space="preserve"> </v>
      </c>
      <c r="I96" s="247"/>
      <c r="J96" s="344" t="str">
        <f>'Council Own'!C32</f>
        <v>&lt;List Requirement Here&gt;</v>
      </c>
      <c r="K96" s="257" t="str">
        <f>IF('Council Own'!E32="A","A"," ")</f>
        <v xml:space="preserve"> </v>
      </c>
      <c r="M96" s="247"/>
      <c r="N96" s="344" t="str">
        <f>'Council Own'!C80</f>
        <v>&lt;List Requirement Here&gt;</v>
      </c>
      <c r="O96" s="257" t="str">
        <f>IF('Council Own'!E80="A","A"," ")</f>
        <v xml:space="preserve"> </v>
      </c>
      <c r="Q96" s="247"/>
      <c r="R96" s="344" t="str">
        <f>'Council Own'!C128</f>
        <v>&lt;List Requirement Here&gt;</v>
      </c>
      <c r="S96" s="257" t="str">
        <f>IF('Council Own'!E128="A","A"," ")</f>
        <v xml:space="preserve"> </v>
      </c>
      <c r="U96" s="245"/>
      <c r="V96" s="245"/>
    </row>
    <row r="97" spans="1:23" x14ac:dyDescent="0.2">
      <c r="E97" s="471" t="str">
        <f>'Fun Patches'!C29</f>
        <v>&lt;LIST PATCH HERE&gt;</v>
      </c>
      <c r="F97" s="472"/>
      <c r="G97" s="257" t="str">
        <f>IF('Fun Patches'!E29="A","A"," ")</f>
        <v xml:space="preserve"> </v>
      </c>
      <c r="I97" s="247"/>
      <c r="J97" s="344" t="str">
        <f>'Council Own'!C33</f>
        <v>&lt;List Requirement Here&gt;</v>
      </c>
      <c r="K97" s="257" t="str">
        <f>IF('Council Own'!E33="A","A"," ")</f>
        <v xml:space="preserve"> </v>
      </c>
      <c r="M97" s="247"/>
      <c r="N97" s="344" t="str">
        <f>'Council Own'!C81</f>
        <v>&lt;List Requirement Here&gt;</v>
      </c>
      <c r="O97" s="257" t="str">
        <f>IF('Council Own'!E81="A","A"," ")</f>
        <v xml:space="preserve"> </v>
      </c>
      <c r="Q97" s="247"/>
      <c r="R97" s="344" t="str">
        <f>'Council Own'!C129</f>
        <v>&lt;List Requirement Here&gt;</v>
      </c>
      <c r="S97" s="257" t="str">
        <f>IF('Council Own'!E129="A","A"," ")</f>
        <v xml:space="preserve"> </v>
      </c>
      <c r="U97" s="245"/>
      <c r="V97" s="245"/>
    </row>
    <row r="98" spans="1:23" x14ac:dyDescent="0.2">
      <c r="A98" s="484" t="s">
        <v>75</v>
      </c>
      <c r="B98" s="513"/>
      <c r="C98" s="513"/>
      <c r="E98" s="471" t="str">
        <f>'Fun Patches'!C30</f>
        <v>&lt;LIST PATCH HERE&gt;</v>
      </c>
      <c r="F98" s="472"/>
      <c r="G98" s="257" t="str">
        <f>IF('Fun Patches'!E30="A","A"," ")</f>
        <v xml:space="preserve"> </v>
      </c>
      <c r="I98" s="247"/>
      <c r="J98" s="344" t="str">
        <f>'Council Own'!C34</f>
        <v>&lt;List Requirement Here&gt;</v>
      </c>
      <c r="K98" s="257" t="str">
        <f>IF('Council Own'!E34="A","A"," ")</f>
        <v xml:space="preserve"> </v>
      </c>
      <c r="M98" s="247"/>
      <c r="N98" s="344" t="str">
        <f>'Council Own'!C82</f>
        <v>&lt;List Requirement Here&gt;</v>
      </c>
      <c r="O98" s="257" t="str">
        <f>IF('Council Own'!E82="A","A"," ")</f>
        <v xml:space="preserve"> </v>
      </c>
      <c r="Q98" s="247"/>
      <c r="R98" s="344" t="str">
        <f>'Council Own'!C130</f>
        <v>&lt;List Requirement Here&gt;</v>
      </c>
      <c r="S98" s="257" t="str">
        <f>IF('Council Own'!E130="A","A"," ")</f>
        <v xml:space="preserve"> </v>
      </c>
      <c r="U98" s="245"/>
      <c r="V98" s="245"/>
    </row>
    <row r="99" spans="1:23" ht="14.25" customHeight="1" x14ac:dyDescent="0.2">
      <c r="A99" s="481" t="s">
        <v>72</v>
      </c>
      <c r="B99" s="482"/>
      <c r="C99" s="483"/>
      <c r="E99" s="471" t="str">
        <f>'Fun Patches'!C31</f>
        <v>&lt;LIST PATCH HERE&gt;</v>
      </c>
      <c r="F99" s="472"/>
      <c r="G99" s="257" t="str">
        <f>IF('Fun Patches'!E31="A","A"," ")</f>
        <v xml:space="preserve"> </v>
      </c>
      <c r="I99" s="247">
        <v>2</v>
      </c>
      <c r="J99" s="344" t="str">
        <f>'Council Own'!C35</f>
        <v>&lt;List Requirement Here&gt;</v>
      </c>
      <c r="K99" s="257" t="str">
        <f>IF('Council Own'!E35="A","A"," ")</f>
        <v xml:space="preserve"> </v>
      </c>
      <c r="M99" s="247">
        <v>2</v>
      </c>
      <c r="N99" s="344" t="str">
        <f>'Council Own'!C83</f>
        <v>&lt;List Requirement Here&gt;</v>
      </c>
      <c r="O99" s="257" t="str">
        <f>IF('Council Own'!E83="A","A"," ")</f>
        <v xml:space="preserve"> </v>
      </c>
      <c r="Q99" s="247">
        <v>2</v>
      </c>
      <c r="R99" s="344" t="str">
        <f>'Council Own'!C131</f>
        <v>&lt;List Requirement Here&gt;</v>
      </c>
      <c r="S99" s="257" t="str">
        <f>IF('Council Own'!E131="A","A"," ")</f>
        <v xml:space="preserve"> </v>
      </c>
      <c r="U99" s="245"/>
      <c r="V99" s="245"/>
    </row>
    <row r="100" spans="1:23" x14ac:dyDescent="0.2">
      <c r="A100" s="481" t="s">
        <v>73</v>
      </c>
      <c r="B100" s="482"/>
      <c r="C100" s="483"/>
      <c r="E100" s="471" t="str">
        <f>'Fun Patches'!C32</f>
        <v>&lt;LIST PATCH HERE&gt;</v>
      </c>
      <c r="F100" s="472"/>
      <c r="G100" s="257" t="str">
        <f>IF('Fun Patches'!E32="A","A"," ")</f>
        <v xml:space="preserve"> </v>
      </c>
      <c r="I100" s="247"/>
      <c r="J100" s="344" t="str">
        <f>'Council Own'!C36</f>
        <v>&lt;List Requirement Here&gt;</v>
      </c>
      <c r="K100" s="257" t="str">
        <f>IF('Council Own'!E36="A","A"," ")</f>
        <v xml:space="preserve"> </v>
      </c>
      <c r="M100" s="247"/>
      <c r="N100" s="344" t="str">
        <f>'Council Own'!C84</f>
        <v>&lt;List Requirement Here&gt;</v>
      </c>
      <c r="O100" s="257" t="str">
        <f>IF('Council Own'!E84="A","A"," ")</f>
        <v xml:space="preserve"> </v>
      </c>
      <c r="Q100" s="247"/>
      <c r="R100" s="344" t="str">
        <f>'Council Own'!C132</f>
        <v>&lt;List Requirement Here&gt;</v>
      </c>
      <c r="S100" s="257" t="str">
        <f>IF('Council Own'!E132="A","A"," ")</f>
        <v xml:space="preserve"> </v>
      </c>
      <c r="U100" s="337"/>
      <c r="V100" s="338"/>
      <c r="W100" s="341"/>
    </row>
    <row r="101" spans="1:23" x14ac:dyDescent="0.2">
      <c r="A101" s="468" t="s">
        <v>74</v>
      </c>
      <c r="B101" s="469"/>
      <c r="C101" s="470"/>
      <c r="E101" s="471" t="str">
        <f>'Fun Patches'!C33</f>
        <v>&lt;LIST PATCH HERE&gt;</v>
      </c>
      <c r="F101" s="472"/>
      <c r="G101" s="257" t="str">
        <f>IF('Fun Patches'!E33="A","A"," ")</f>
        <v xml:space="preserve"> </v>
      </c>
      <c r="I101" s="247"/>
      <c r="J101" s="344" t="str">
        <f>'Council Own'!C37</f>
        <v>&lt;List Requirement Here&gt;</v>
      </c>
      <c r="K101" s="257" t="str">
        <f>IF('Council Own'!E37="A","A"," ")</f>
        <v xml:space="preserve"> </v>
      </c>
      <c r="M101" s="247"/>
      <c r="N101" s="344" t="str">
        <f>'Council Own'!C85</f>
        <v>&lt;List Requirement Here&gt;</v>
      </c>
      <c r="O101" s="257" t="str">
        <f>IF('Council Own'!E85="A","A"," ")</f>
        <v xml:space="preserve"> </v>
      </c>
      <c r="Q101" s="247"/>
      <c r="R101" s="344" t="str">
        <f>'Council Own'!C133</f>
        <v>&lt;List Requirement Here&gt;</v>
      </c>
      <c r="S101" s="257" t="str">
        <f>IF('Council Own'!E133="A","A"," ")</f>
        <v xml:space="preserve"> </v>
      </c>
      <c r="U101" s="245"/>
      <c r="V101" s="245"/>
    </row>
    <row r="102" spans="1:23" x14ac:dyDescent="0.2">
      <c r="E102" s="471" t="str">
        <f>'Fun Patches'!C34</f>
        <v>&lt;LIST PATCH HERE&gt;</v>
      </c>
      <c r="F102" s="472"/>
      <c r="G102" s="257" t="str">
        <f>IF('Fun Patches'!E34="A","A"," ")</f>
        <v xml:space="preserve"> </v>
      </c>
      <c r="I102" s="247"/>
      <c r="J102" s="344" t="str">
        <f>'Council Own'!C38</f>
        <v>&lt;List Requirement Here&gt;</v>
      </c>
      <c r="K102" s="257" t="str">
        <f>IF('Council Own'!E38="A","A"," ")</f>
        <v xml:space="preserve"> </v>
      </c>
      <c r="M102" s="247"/>
      <c r="N102" s="344" t="str">
        <f>'Council Own'!C86</f>
        <v>&lt;List Requirement Here&gt;</v>
      </c>
      <c r="O102" s="257" t="str">
        <f>IF('Council Own'!E86="A","A"," ")</f>
        <v xml:space="preserve"> </v>
      </c>
      <c r="Q102" s="247"/>
      <c r="R102" s="344" t="str">
        <f>'Council Own'!C134</f>
        <v>&lt;List Requirement Here&gt;</v>
      </c>
      <c r="S102" s="257" t="str">
        <f>IF('Council Own'!E134="A","A"," ")</f>
        <v xml:space="preserve"> </v>
      </c>
      <c r="U102" s="245"/>
      <c r="V102" s="245"/>
    </row>
    <row r="103" spans="1:23" x14ac:dyDescent="0.2">
      <c r="E103" s="471" t="str">
        <f>'Fun Patches'!C35</f>
        <v>&lt;LIST PATCH HERE&gt;</v>
      </c>
      <c r="F103" s="472"/>
      <c r="G103" s="257" t="str">
        <f>IF('Fun Patches'!E35="A","A"," ")</f>
        <v xml:space="preserve"> </v>
      </c>
      <c r="I103" s="247">
        <v>3</v>
      </c>
      <c r="J103" s="344" t="str">
        <f>'Council Own'!C39</f>
        <v>&lt;List Requirement Here&gt;</v>
      </c>
      <c r="K103" s="257" t="str">
        <f>IF('Council Own'!E39="A","A"," ")</f>
        <v xml:space="preserve"> </v>
      </c>
      <c r="M103" s="247">
        <v>3</v>
      </c>
      <c r="N103" s="344" t="str">
        <f>'Council Own'!C87</f>
        <v>&lt;List Requirement Here&gt;</v>
      </c>
      <c r="O103" s="257" t="str">
        <f>IF('Council Own'!E87="A","A"," ")</f>
        <v xml:space="preserve"> </v>
      </c>
      <c r="Q103" s="247">
        <v>3</v>
      </c>
      <c r="R103" s="344" t="str">
        <f>'Council Own'!C135</f>
        <v>&lt;List Requirement Here&gt;</v>
      </c>
      <c r="S103" s="257" t="str">
        <f>IF('Council Own'!E135="A","A"," ")</f>
        <v xml:space="preserve"> </v>
      </c>
      <c r="U103" s="245"/>
      <c r="V103" s="245"/>
    </row>
    <row r="104" spans="1:23" x14ac:dyDescent="0.2">
      <c r="E104" s="471" t="str">
        <f>'Fun Patches'!C36</f>
        <v>&lt;LIST PATCH HERE&gt;</v>
      </c>
      <c r="F104" s="472"/>
      <c r="G104" s="257" t="str">
        <f>IF('Fun Patches'!E36="A","A"," ")</f>
        <v xml:space="preserve"> </v>
      </c>
      <c r="I104" s="247"/>
      <c r="J104" s="344" t="str">
        <f>'Council Own'!C40</f>
        <v>&lt;List Requirement Here&gt;</v>
      </c>
      <c r="K104" s="257" t="str">
        <f>IF('Council Own'!E40="A","A"," ")</f>
        <v xml:space="preserve"> </v>
      </c>
      <c r="M104" s="247"/>
      <c r="N104" s="344" t="str">
        <f>'Council Own'!C88</f>
        <v>&lt;List Requirement Here&gt;</v>
      </c>
      <c r="O104" s="257" t="str">
        <f>IF('Council Own'!E88="A","A"," ")</f>
        <v xml:space="preserve"> </v>
      </c>
      <c r="Q104" s="247"/>
      <c r="R104" s="344" t="str">
        <f>'Council Own'!C136</f>
        <v>&lt;List Requirement Here&gt;</v>
      </c>
      <c r="S104" s="257" t="str">
        <f>IF('Council Own'!E136="A","A"," ")</f>
        <v xml:space="preserve"> </v>
      </c>
      <c r="U104" s="245"/>
      <c r="V104" s="245"/>
    </row>
    <row r="105" spans="1:23" x14ac:dyDescent="0.2">
      <c r="E105" s="471" t="str">
        <f>'Fun Patches'!C37</f>
        <v>&lt;LIST PATCH HERE&gt;</v>
      </c>
      <c r="F105" s="472"/>
      <c r="G105" s="257" t="str">
        <f>IF('Fun Patches'!E37="A","A"," ")</f>
        <v xml:space="preserve"> </v>
      </c>
      <c r="I105" s="247"/>
      <c r="J105" s="344" t="str">
        <f>'Council Own'!C41</f>
        <v>&lt;List Requirement Here&gt;</v>
      </c>
      <c r="K105" s="257" t="str">
        <f>IF('Council Own'!E41="A","A"," ")</f>
        <v xml:space="preserve"> </v>
      </c>
      <c r="M105" s="247"/>
      <c r="N105" s="344" t="str">
        <f>'Council Own'!C89</f>
        <v>&lt;List Requirement Here&gt;</v>
      </c>
      <c r="O105" s="257" t="str">
        <f>IF('Council Own'!E89="A","A"," ")</f>
        <v xml:space="preserve"> </v>
      </c>
      <c r="Q105" s="247"/>
      <c r="R105" s="344" t="str">
        <f>'Council Own'!C137</f>
        <v>&lt;List Requirement Here&gt;</v>
      </c>
      <c r="S105" s="257" t="str">
        <f>IF('Council Own'!E137="A","A"," ")</f>
        <v xml:space="preserve"> </v>
      </c>
      <c r="U105" s="245"/>
      <c r="V105" s="245"/>
    </row>
    <row r="106" spans="1:23" x14ac:dyDescent="0.2">
      <c r="E106" s="471" t="str">
        <f>'Fun Patches'!C38</f>
        <v>&lt;LIST PATCH HERE&gt;</v>
      </c>
      <c r="F106" s="472"/>
      <c r="G106" s="257" t="str">
        <f>IF('Fun Patches'!E38="A","A"," ")</f>
        <v xml:space="preserve"> </v>
      </c>
      <c r="I106" s="247"/>
      <c r="J106" s="344" t="str">
        <f>'Council Own'!C42</f>
        <v>&lt;List Requirement Here&gt;</v>
      </c>
      <c r="K106" s="257" t="str">
        <f>IF('Council Own'!E42="A","A"," ")</f>
        <v xml:space="preserve"> </v>
      </c>
      <c r="M106" s="247"/>
      <c r="N106" s="344" t="str">
        <f>'Council Own'!C90</f>
        <v>&lt;List Requirement Here&gt;</v>
      </c>
      <c r="O106" s="257" t="str">
        <f>IF('Council Own'!E90="A","A"," ")</f>
        <v xml:space="preserve"> </v>
      </c>
      <c r="Q106" s="247"/>
      <c r="R106" s="344" t="str">
        <f>'Council Own'!C138</f>
        <v>&lt;List Requirement Here&gt;</v>
      </c>
      <c r="S106" s="257" t="str">
        <f>IF('Council Own'!E138="A","A"," ")</f>
        <v xml:space="preserve"> </v>
      </c>
      <c r="U106" s="245"/>
      <c r="V106" s="245"/>
    </row>
    <row r="107" spans="1:23" x14ac:dyDescent="0.2">
      <c r="E107" s="284"/>
      <c r="F107" s="263"/>
      <c r="G107" s="341"/>
      <c r="I107" s="247">
        <v>4</v>
      </c>
      <c r="J107" s="344" t="str">
        <f>'Council Own'!C43</f>
        <v>&lt;List Requirement Here&gt;</v>
      </c>
      <c r="K107" s="257" t="str">
        <f>IF('Council Own'!E43="A","A"," ")</f>
        <v xml:space="preserve"> </v>
      </c>
      <c r="M107" s="247">
        <v>4</v>
      </c>
      <c r="N107" s="344" t="str">
        <f>'Council Own'!C91</f>
        <v>&lt;List Requirement Here&gt;</v>
      </c>
      <c r="O107" s="257" t="str">
        <f>IF('Council Own'!E91="A","A"," ")</f>
        <v xml:space="preserve"> </v>
      </c>
      <c r="Q107" s="247">
        <v>4</v>
      </c>
      <c r="R107" s="344" t="str">
        <f>'Council Own'!C139</f>
        <v>&lt;List Requirement Here&gt;</v>
      </c>
      <c r="S107" s="257" t="str">
        <f>IF('Council Own'!E139="A","A"," ")</f>
        <v xml:space="preserve"> </v>
      </c>
      <c r="U107" s="245"/>
      <c r="V107" s="245"/>
    </row>
    <row r="108" spans="1:23" x14ac:dyDescent="0.2">
      <c r="I108" s="247"/>
      <c r="J108" s="344" t="str">
        <f>'Council Own'!C44</f>
        <v>&lt;List Requirement Here&gt;</v>
      </c>
      <c r="K108" s="257" t="str">
        <f>IF('Council Own'!E44="A","A"," ")</f>
        <v xml:space="preserve"> </v>
      </c>
      <c r="M108" s="247"/>
      <c r="N108" s="344" t="str">
        <f>'Council Own'!C92</f>
        <v>&lt;List Requirement Here&gt;</v>
      </c>
      <c r="O108" s="257" t="str">
        <f>IF('Council Own'!E92="A","A"," ")</f>
        <v xml:space="preserve"> </v>
      </c>
      <c r="Q108" s="247"/>
      <c r="R108" s="344" t="str">
        <f>'Council Own'!C140</f>
        <v>&lt;List Requirement Here&gt;</v>
      </c>
      <c r="S108" s="257" t="str">
        <f>IF('Council Own'!E140="A","A"," ")</f>
        <v xml:space="preserve"> </v>
      </c>
      <c r="U108" s="245"/>
      <c r="V108" s="245"/>
    </row>
    <row r="109" spans="1:23" x14ac:dyDescent="0.2">
      <c r="I109" s="247"/>
      <c r="J109" s="344" t="str">
        <f>'Council Own'!C45</f>
        <v>&lt;List Requirement Here&gt;</v>
      </c>
      <c r="K109" s="257" t="str">
        <f>IF('Council Own'!E45="A","A"," ")</f>
        <v xml:space="preserve"> </v>
      </c>
      <c r="M109" s="247"/>
      <c r="N109" s="344" t="str">
        <f>'Council Own'!C93</f>
        <v>&lt;List Requirement Here&gt;</v>
      </c>
      <c r="O109" s="257" t="str">
        <f>IF('Council Own'!E93="A","A"," ")</f>
        <v xml:space="preserve"> </v>
      </c>
      <c r="Q109" s="247"/>
      <c r="R109" s="344" t="str">
        <f>'Council Own'!C141</f>
        <v>&lt;List Requirement Here&gt;</v>
      </c>
      <c r="S109" s="257" t="str">
        <f>IF('Council Own'!E141="A","A"," ")</f>
        <v xml:space="preserve"> </v>
      </c>
      <c r="U109" s="245"/>
      <c r="V109" s="245"/>
    </row>
    <row r="110" spans="1:23" x14ac:dyDescent="0.2">
      <c r="I110" s="247"/>
      <c r="J110" s="344" t="str">
        <f>'Council Own'!C46</f>
        <v>&lt;List Requirement Here&gt;</v>
      </c>
      <c r="K110" s="257" t="str">
        <f>IF('Council Own'!E46="A","A"," ")</f>
        <v xml:space="preserve"> </v>
      </c>
      <c r="M110" s="247"/>
      <c r="N110" s="344" t="str">
        <f>'Council Own'!C94</f>
        <v>&lt;List Requirement Here&gt;</v>
      </c>
      <c r="O110" s="257" t="str">
        <f>IF('Council Own'!E94="A","A"," ")</f>
        <v xml:space="preserve"> </v>
      </c>
      <c r="Q110" s="247"/>
      <c r="R110" s="344" t="str">
        <f>'Council Own'!C142</f>
        <v>&lt;List Requirement Here&gt;</v>
      </c>
      <c r="S110" s="257" t="str">
        <f>IF('Council Own'!E142="A","A"," ")</f>
        <v xml:space="preserve"> </v>
      </c>
      <c r="U110" s="245"/>
      <c r="V110" s="245"/>
    </row>
    <row r="111" spans="1:23" x14ac:dyDescent="0.2">
      <c r="I111" s="247">
        <v>5</v>
      </c>
      <c r="J111" s="344" t="str">
        <f>'Council Own'!C47</f>
        <v>&lt;List Requirement Here&gt;</v>
      </c>
      <c r="K111" s="257" t="str">
        <f>IF('Council Own'!E47="A","A"," ")</f>
        <v xml:space="preserve"> </v>
      </c>
      <c r="M111" s="247">
        <v>5</v>
      </c>
      <c r="N111" s="344" t="str">
        <f>'Council Own'!C95</f>
        <v>&lt;List Requirement Here&gt;</v>
      </c>
      <c r="O111" s="257" t="str">
        <f>IF('Council Own'!E95="A","A"," ")</f>
        <v xml:space="preserve"> </v>
      </c>
      <c r="Q111" s="247">
        <v>5</v>
      </c>
      <c r="R111" s="344" t="str">
        <f>'Council Own'!C143</f>
        <v>&lt;List Requirement Here&gt;</v>
      </c>
      <c r="S111" s="257" t="str">
        <f>IF('Council Own'!E143="A","A"," ")</f>
        <v xml:space="preserve"> </v>
      </c>
      <c r="U111" s="338"/>
      <c r="V111" s="338"/>
      <c r="W111" s="341"/>
    </row>
    <row r="112" spans="1:23" x14ac:dyDescent="0.2">
      <c r="I112" s="247"/>
      <c r="J112" s="344" t="str">
        <f>'Council Own'!C48</f>
        <v>&lt;List Requirement Here&gt;</v>
      </c>
      <c r="K112" s="257" t="str">
        <f>IF('Council Own'!E48="A","A"," ")</f>
        <v xml:space="preserve"> </v>
      </c>
      <c r="M112" s="247"/>
      <c r="N112" s="344" t="str">
        <f>'Council Own'!C96</f>
        <v>&lt;List Requirement Here&gt;</v>
      </c>
      <c r="O112" s="257" t="str">
        <f>IF('Council Own'!E96="A","A"," ")</f>
        <v xml:space="preserve"> </v>
      </c>
      <c r="Q112" s="247"/>
      <c r="R112" s="344" t="str">
        <f>'Council Own'!C144</f>
        <v>&lt;List Requirement Here&gt;</v>
      </c>
      <c r="S112" s="257" t="str">
        <f>IF('Council Own'!E144="A","A"," ")</f>
        <v xml:space="preserve"> </v>
      </c>
      <c r="U112" s="245"/>
      <c r="V112" s="245"/>
    </row>
    <row r="113" spans="9:22" x14ac:dyDescent="0.2">
      <c r="I113" s="247"/>
      <c r="J113" s="344" t="str">
        <f>'Council Own'!C49</f>
        <v>&lt;List Requirement Here&gt;</v>
      </c>
      <c r="K113" s="257" t="str">
        <f>IF('Council Own'!E49="A","A"," ")</f>
        <v xml:space="preserve"> </v>
      </c>
      <c r="M113" s="247"/>
      <c r="N113" s="344" t="str">
        <f>'Council Own'!C97</f>
        <v>&lt;List Requirement Here&gt;</v>
      </c>
      <c r="O113" s="257" t="str">
        <f>IF('Council Own'!E97="A","A"," ")</f>
        <v xml:space="preserve"> </v>
      </c>
      <c r="Q113" s="247"/>
      <c r="R113" s="344" t="str">
        <f>'Council Own'!C145</f>
        <v>&lt;List Requirement Here&gt;</v>
      </c>
      <c r="S113" s="257" t="str">
        <f>IF('Council Own'!E145="A","A"," ")</f>
        <v xml:space="preserve"> </v>
      </c>
      <c r="U113" s="245"/>
      <c r="V113" s="245"/>
    </row>
    <row r="114" spans="9:22" x14ac:dyDescent="0.2">
      <c r="I114" s="247"/>
      <c r="J114" s="344" t="str">
        <f>'Council Own'!C50</f>
        <v>&lt;List Requirement Here&gt;</v>
      </c>
      <c r="K114" s="257" t="str">
        <f>IF('Council Own'!E50="A","A"," ")</f>
        <v xml:space="preserve"> </v>
      </c>
      <c r="M114" s="247"/>
      <c r="N114" s="344" t="str">
        <f>'Council Own'!C98</f>
        <v>&lt;List Requirement Here&gt;</v>
      </c>
      <c r="O114" s="257" t="str">
        <f>IF('Council Own'!E98="A","A"," ")</f>
        <v xml:space="preserve"> </v>
      </c>
      <c r="Q114" s="247"/>
      <c r="R114" s="344" t="str">
        <f>'Council Own'!C146</f>
        <v>&lt;List Requirement Here&gt;</v>
      </c>
      <c r="S114" s="257" t="str">
        <f>IF('Council Own'!E146="A","A","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row r="147" ht="12.75" customHeight="1" x14ac:dyDescent="0.2"/>
    <row r="148" ht="12.75" customHeight="1" x14ac:dyDescent="0.2"/>
    <row r="172" ht="12.75" customHeight="1" x14ac:dyDescent="0.2"/>
    <row r="173" ht="12.75" customHeight="1" x14ac:dyDescent="0.2"/>
  </sheetData>
  <sheetProtection password="9A15" sheet="1" objects="1" scenarios="1" selectLockedCells="1" selectUnlockedCells="1"/>
  <mergeCells count="113">
    <mergeCell ref="E102:F102"/>
    <mergeCell ref="E96:F96"/>
    <mergeCell ref="E97:F97"/>
    <mergeCell ref="A98:C98"/>
    <mergeCell ref="E98:F98"/>
    <mergeCell ref="A99:C99"/>
    <mergeCell ref="E99:F99"/>
    <mergeCell ref="A100:C100"/>
    <mergeCell ref="E100:F100"/>
    <mergeCell ref="A101:C101"/>
    <mergeCell ref="E101:F101"/>
    <mergeCell ref="E87:F87"/>
    <mergeCell ref="E88:F88"/>
    <mergeCell ref="E89:F89"/>
    <mergeCell ref="E90:F90"/>
    <mergeCell ref="E91:F91"/>
    <mergeCell ref="E92:F92"/>
    <mergeCell ref="E93:F93"/>
    <mergeCell ref="E94:F94"/>
    <mergeCell ref="E95:F95"/>
    <mergeCell ref="E78:F78"/>
    <mergeCell ref="E79:F79"/>
    <mergeCell ref="E80:F80"/>
    <mergeCell ref="E81:F81"/>
    <mergeCell ref="E82:F82"/>
    <mergeCell ref="E83:F83"/>
    <mergeCell ref="E84:F84"/>
    <mergeCell ref="E85:F85"/>
    <mergeCell ref="E86:F86"/>
    <mergeCell ref="A26:B26"/>
    <mergeCell ref="A28:C28"/>
    <mergeCell ref="Q28:R28"/>
    <mergeCell ref="B29:C29"/>
    <mergeCell ref="B30:C30"/>
    <mergeCell ref="B34:C34"/>
    <mergeCell ref="Q34:R34"/>
    <mergeCell ref="B35:C35"/>
    <mergeCell ref="B42:C42"/>
    <mergeCell ref="Q42:R42"/>
    <mergeCell ref="A8:B8"/>
    <mergeCell ref="A9:B9"/>
    <mergeCell ref="A11:B11"/>
    <mergeCell ref="A16:B16"/>
    <mergeCell ref="A18:B18"/>
    <mergeCell ref="A19:B19"/>
    <mergeCell ref="A20:B20"/>
    <mergeCell ref="A24:C24"/>
    <mergeCell ref="A25:B25"/>
    <mergeCell ref="Q1:S1"/>
    <mergeCell ref="E2:G2"/>
    <mergeCell ref="Q2:R2"/>
    <mergeCell ref="Q3:R3"/>
    <mergeCell ref="Q4:R4"/>
    <mergeCell ref="Q5:R5"/>
    <mergeCell ref="Q6:R6"/>
    <mergeCell ref="Q7:R7"/>
    <mergeCell ref="Q8:R8"/>
    <mergeCell ref="A3:B3"/>
    <mergeCell ref="A4:C4"/>
    <mergeCell ref="A5:B5"/>
    <mergeCell ref="A6:B6"/>
    <mergeCell ref="A7:B7"/>
    <mergeCell ref="A1:C1"/>
    <mergeCell ref="E1:G1"/>
    <mergeCell ref="I1:K1"/>
    <mergeCell ref="M1:O1"/>
    <mergeCell ref="Q9:R9"/>
    <mergeCell ref="A10:B10"/>
    <mergeCell ref="Q10:R10"/>
    <mergeCell ref="Q11:R11"/>
    <mergeCell ref="Q12:R12"/>
    <mergeCell ref="A13:C13"/>
    <mergeCell ref="Q13:R13"/>
    <mergeCell ref="Q14:R14"/>
    <mergeCell ref="Q15:R15"/>
    <mergeCell ref="A12:B12"/>
    <mergeCell ref="A14:B14"/>
    <mergeCell ref="A15:B15"/>
    <mergeCell ref="Q16:R16"/>
    <mergeCell ref="Q17:R17"/>
    <mergeCell ref="Q18:R18"/>
    <mergeCell ref="Q19:R19"/>
    <mergeCell ref="Q20:R20"/>
    <mergeCell ref="A21:C21"/>
    <mergeCell ref="Q21:R21"/>
    <mergeCell ref="A22:B22"/>
    <mergeCell ref="A23:B23"/>
    <mergeCell ref="E23:G23"/>
    <mergeCell ref="A17:B17"/>
    <mergeCell ref="E103:F103"/>
    <mergeCell ref="E104:F104"/>
    <mergeCell ref="E105:F105"/>
    <mergeCell ref="E106:F106"/>
    <mergeCell ref="B43:C43"/>
    <mergeCell ref="E45:G45"/>
    <mergeCell ref="A49:C49"/>
    <mergeCell ref="Q55:S55"/>
    <mergeCell ref="E72:G72"/>
    <mergeCell ref="I72:K72"/>
    <mergeCell ref="M72:O72"/>
    <mergeCell ref="Q72:S72"/>
    <mergeCell ref="E73:F73"/>
    <mergeCell ref="A72:C72"/>
    <mergeCell ref="A76:B76"/>
    <mergeCell ref="A77:B77"/>
    <mergeCell ref="A78:B78"/>
    <mergeCell ref="A73:B73"/>
    <mergeCell ref="A74:B74"/>
    <mergeCell ref="A75:B75"/>
    <mergeCell ref="E74:F74"/>
    <mergeCell ref="E75:F75"/>
    <mergeCell ref="E76:F76"/>
    <mergeCell ref="E77:F7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W173"/>
  <sheetViews>
    <sheetView showGridLines="0" zoomScale="90" zoomScaleNormal="90" workbookViewId="0">
      <selection activeCell="Q3" sqref="Q3:R3"/>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1" customHeight="1" x14ac:dyDescent="0.35">
      <c r="A1" s="512" t="str">
        <f ca="1">MID(CELL("filename",A1),FIND(IF(ISERROR(FIND("]",CELL("filename",A1))),"$","]"),CELL("filename",A1))+1,256)</f>
        <v>Ambassador 3</v>
      </c>
      <c r="B1" s="521"/>
      <c r="C1" s="521"/>
      <c r="D1" s="265"/>
      <c r="E1" s="506" t="s">
        <v>15</v>
      </c>
      <c r="F1" s="522"/>
      <c r="G1" s="522"/>
      <c r="I1" s="506" t="s">
        <v>15</v>
      </c>
      <c r="J1" s="506"/>
      <c r="K1" s="506"/>
      <c r="M1" s="506" t="s">
        <v>15</v>
      </c>
      <c r="N1" s="506"/>
      <c r="O1" s="506"/>
      <c r="Q1" s="506" t="s">
        <v>135</v>
      </c>
      <c r="R1" s="523"/>
      <c r="S1" s="523"/>
      <c r="T1" s="239"/>
      <c r="U1" s="239"/>
    </row>
    <row r="2" spans="1:21" s="245" customFormat="1" ht="13.5" thickBot="1" x14ac:dyDescent="0.25">
      <c r="A2" s="242"/>
      <c r="B2" s="243"/>
      <c r="C2" s="244" t="s">
        <v>16</v>
      </c>
      <c r="D2" s="243"/>
      <c r="E2" s="492" t="str">
        <f>Badges!B6</f>
        <v>Photography</v>
      </c>
      <c r="F2" s="517"/>
      <c r="G2" s="517"/>
      <c r="H2" s="241"/>
      <c r="I2" s="247">
        <v>3</v>
      </c>
      <c r="J2" s="248" t="str">
        <f>Badges!C61</f>
        <v>Dig into national or state public policy</v>
      </c>
      <c r="K2" s="249"/>
      <c r="L2" s="241"/>
      <c r="M2" s="247">
        <v>3</v>
      </c>
      <c r="N2" s="248" t="str">
        <f>Badges!C130</f>
        <v>Share sisterhood around the world</v>
      </c>
      <c r="O2" s="249"/>
      <c r="P2" s="241"/>
      <c r="Q2" s="524" t="str">
        <f>'Age-Level'!B5</f>
        <v>Gold Torch Award</v>
      </c>
      <c r="R2" s="524"/>
      <c r="S2" s="251" t="str">
        <f>IF('Age-Level'!F8="C","C",IF('Age-Level'!F8="P","P",""))</f>
        <v/>
      </c>
      <c r="T2" s="239"/>
      <c r="U2" s="239"/>
    </row>
    <row r="3" spans="1:21" x14ac:dyDescent="0.2">
      <c r="A3" s="519" t="s">
        <v>132</v>
      </c>
      <c r="B3" s="520"/>
      <c r="C3" s="246">
        <f>INT(COUNTIF(C5:C12,"C"))+INT(COUNTIF(C14:C26,"C"))</f>
        <v>0</v>
      </c>
      <c r="E3" s="247">
        <v>1</v>
      </c>
      <c r="F3" s="248" t="str">
        <f>Badges!C7</f>
        <v>Expore the power of photography</v>
      </c>
      <c r="G3" s="249"/>
      <c r="I3" s="247"/>
      <c r="J3" s="248" t="str">
        <f>Badges!C62</f>
        <v>Track your issue</v>
      </c>
      <c r="K3" s="250" t="str">
        <f>IF(Badges!F62="A","A"," ")</f>
        <v xml:space="preserve"> </v>
      </c>
      <c r="M3" s="247"/>
      <c r="N3" s="248" t="str">
        <f>Badges!C131</f>
        <v>Explore an issue affecting girls and</v>
      </c>
      <c r="O3" s="250" t="str">
        <f>IF(Badges!F131="A","A"," ")</f>
        <v xml:space="preserve"> </v>
      </c>
      <c r="Q3" s="524" t="str">
        <f>'Age-Level'!B9</f>
        <v>Ambassador Community Service bar</v>
      </c>
      <c r="R3" s="524"/>
      <c r="S3" s="251" t="str">
        <f>IF('Age-Level'!F9="C","C",IF('Age-Level'!F9="P","P",""))</f>
        <v/>
      </c>
      <c r="T3" s="239"/>
      <c r="U3" s="239"/>
    </row>
    <row r="4" spans="1:21" x14ac:dyDescent="0.2">
      <c r="A4" s="500" t="str">
        <f>Summary!A3</f>
        <v>Legacy</v>
      </c>
      <c r="B4" s="500"/>
      <c r="C4" s="500"/>
      <c r="E4" s="247"/>
      <c r="F4" s="248" t="str">
        <f>Badges!C8</f>
        <v>Go to a photography exhibit</v>
      </c>
      <c r="G4" s="250" t="str">
        <f>IF(Badges!F8="A","A"," ")</f>
        <v xml:space="preserve"> </v>
      </c>
      <c r="I4" s="247"/>
      <c r="J4" s="248" t="str">
        <f>Badges!C63</f>
        <v>Talk to an interest gorup that promotes</v>
      </c>
      <c r="K4" s="250" t="str">
        <f>IF(Badges!F63="A","A"," ")</f>
        <v xml:space="preserve"> </v>
      </c>
      <c r="M4" s="247"/>
      <c r="N4" s="248" t="str">
        <f>Badges!C132</f>
        <v>Organize an event on women and STEM</v>
      </c>
      <c r="O4" s="250" t="str">
        <f>IF(Badges!F132="A","A"," ")</f>
        <v xml:space="preserve"> </v>
      </c>
      <c r="Q4" s="524" t="str">
        <f>'Age-Level'!B12</f>
        <v>Ambassador Service to Girl Scouting bar</v>
      </c>
      <c r="R4" s="524"/>
      <c r="S4" s="251" t="str">
        <f>IF('Age-Level'!F10="C","C",IF('Age-Level'!F10="P","P",""))</f>
        <v/>
      </c>
      <c r="T4" s="239"/>
      <c r="U4" s="239"/>
    </row>
    <row r="5" spans="1:21" ht="12.75" customHeight="1" x14ac:dyDescent="0.2">
      <c r="A5" s="501" t="str">
        <f>Summary!A4</f>
        <v>Photography</v>
      </c>
      <c r="B5" s="502"/>
      <c r="C5" s="252" t="str">
        <f>IF(Badges!F28="C","C",IF(Badges!F28="P","P",""))</f>
        <v/>
      </c>
      <c r="E5" s="247"/>
      <c r="F5" s="248" t="str">
        <f>Badges!C9</f>
        <v>Create a photography timeline.</v>
      </c>
      <c r="G5" s="250" t="str">
        <f>IF(Badges!F9="A","A"," ")</f>
        <v xml:space="preserve"> </v>
      </c>
      <c r="I5" s="247"/>
      <c r="J5" s="248" t="str">
        <f>Badges!C64</f>
        <v>Compare three different states' positions</v>
      </c>
      <c r="K5" s="250" t="str">
        <f>IF(Badges!F64="A","A"," ")</f>
        <v xml:space="preserve"> </v>
      </c>
      <c r="M5" s="247"/>
      <c r="N5" s="248" t="str">
        <f>Badges!C133</f>
        <v>Interview a global citizen</v>
      </c>
      <c r="O5" s="250" t="str">
        <f>IF(Badges!F133="A","A"," ")</f>
        <v xml:space="preserve"> </v>
      </c>
      <c r="Q5" s="524" t="str">
        <f>'Age-Level'!B15</f>
        <v>Ambassador Volunteer in Training</v>
      </c>
      <c r="R5" s="524"/>
      <c r="S5" s="251" t="str">
        <f>IF('Age-Level'!F19="C","C",IF('Age-Level'!F19="P","P",""))</f>
        <v/>
      </c>
      <c r="T5" s="239"/>
      <c r="U5" s="239"/>
    </row>
    <row r="6" spans="1:21" ht="12.75" customHeight="1" x14ac:dyDescent="0.2">
      <c r="A6" s="501" t="str">
        <f>Summary!A5</f>
        <v>Coaching</v>
      </c>
      <c r="B6" s="502"/>
      <c r="C6" s="252" t="str">
        <f>IF(Badges!F51="C","C",IF(Badges!F51="P","P",""))</f>
        <v/>
      </c>
      <c r="E6" s="247"/>
      <c r="F6" s="248" t="str">
        <f>Badges!C10</f>
        <v>Make sticky-note comics</v>
      </c>
      <c r="G6" s="250" t="str">
        <f>IF(Badges!F10="A","A"," ")</f>
        <v xml:space="preserve"> </v>
      </c>
      <c r="I6" s="247">
        <v>4</v>
      </c>
      <c r="J6" s="248" t="str">
        <f>Badges!C65</f>
        <v>Explore local or community policy</v>
      </c>
      <c r="K6" s="249"/>
      <c r="M6" s="247">
        <v>4</v>
      </c>
      <c r="N6" s="248" t="str">
        <f>Badges!C134</f>
        <v>Leave your wolrd better than you found it</v>
      </c>
      <c r="O6" s="249"/>
      <c r="Q6" s="524" t="str">
        <f>'Age-Level'!B20</f>
        <v>Journey Summit Pin</v>
      </c>
      <c r="R6" s="524"/>
      <c r="S6" s="251" t="str">
        <f>IF('Age-Level'!F21="C","C",IF('Age-Level'!F21="P","P",""))</f>
        <v/>
      </c>
      <c r="T6" s="239"/>
      <c r="U6" s="239"/>
    </row>
    <row r="7" spans="1:21" x14ac:dyDescent="0.2">
      <c r="A7" s="501" t="str">
        <f>Summary!A6</f>
        <v>Public Policy</v>
      </c>
      <c r="B7" s="502"/>
      <c r="C7" s="252" t="str">
        <f>IF(Badges!F74="C","C",IF(Badges!F74="P","P",""))</f>
        <v/>
      </c>
      <c r="E7" s="247">
        <v>2</v>
      </c>
      <c r="F7" s="248" t="str">
        <f>Badges!C11</f>
        <v>Focus on composition</v>
      </c>
      <c r="G7" s="249"/>
      <c r="I7" s="247"/>
      <c r="J7" s="248" t="str">
        <f>Badges!C66</f>
        <v>Attend a meeting</v>
      </c>
      <c r="K7" s="250" t="str">
        <f>IF(Badges!F66="A","A"," ")</f>
        <v xml:space="preserve"> </v>
      </c>
      <c r="M7" s="247"/>
      <c r="N7" s="248" t="str">
        <f>Badges!C135</f>
        <v xml:space="preserve">Find ideas to use your leaderhship </v>
      </c>
      <c r="O7" s="250" t="str">
        <f>IF(Badges!F135="A","A"," ")</f>
        <v xml:space="preserve"> </v>
      </c>
      <c r="Q7" s="516" t="str">
        <f>'Age-Level'!C23</f>
        <v>Cookie Rally (Year 1)</v>
      </c>
      <c r="R7" s="516"/>
      <c r="S7" s="257" t="str">
        <f>IF('Age-Level'!F23="A","A"," ")</f>
        <v xml:space="preserve"> </v>
      </c>
    </row>
    <row r="8" spans="1:21" x14ac:dyDescent="0.2">
      <c r="A8" s="501" t="str">
        <f>Summary!A7</f>
        <v>Dinner Party</v>
      </c>
      <c r="B8" s="502"/>
      <c r="C8" s="252" t="str">
        <f>IF(Badges!F97="C","C",IF(Badges!F97="P","P",""))</f>
        <v/>
      </c>
      <c r="E8" s="247"/>
      <c r="F8" s="248" t="str">
        <f>Badges!C12</f>
        <v>Capture a day in the life</v>
      </c>
      <c r="G8" s="250" t="str">
        <f>IF(Badges!F12="A","A"," ")</f>
        <v xml:space="preserve"> </v>
      </c>
      <c r="I8" s="247"/>
      <c r="J8" s="248" t="str">
        <f>Badges!C67</f>
        <v>Compare different local positions</v>
      </c>
      <c r="K8" s="250" t="str">
        <f>IF(Badges!F67="A","A"," ")</f>
        <v xml:space="preserve"> </v>
      </c>
      <c r="M8" s="247"/>
      <c r="N8" s="248" t="str">
        <f>Badges!C136</f>
        <v>Gather ideas to work for a healthy</v>
      </c>
      <c r="O8" s="250" t="str">
        <f>IF(Badges!F136="A","A"," ")</f>
        <v xml:space="preserve"> </v>
      </c>
      <c r="Q8" s="516" t="str">
        <f>'Age-Level'!C24</f>
        <v>Cookie Sales (Year 1)</v>
      </c>
      <c r="R8" s="516"/>
      <c r="S8" s="257" t="str">
        <f>IF('Age-Level'!F24="A","A"," ")</f>
        <v xml:space="preserve"> </v>
      </c>
    </row>
    <row r="9" spans="1:21" x14ac:dyDescent="0.2">
      <c r="A9" s="501" t="str">
        <f>Summary!A8</f>
        <v>Ambassador First Aid</v>
      </c>
      <c r="B9" s="502"/>
      <c r="C9" s="252" t="str">
        <f>IF(Badges!F120="C","C",IF(Badges!F120="P","P",""))</f>
        <v/>
      </c>
      <c r="E9" s="247"/>
      <c r="F9" s="248" t="str">
        <f>Badges!C13</f>
        <v>Photograph weather patterns</v>
      </c>
      <c r="G9" s="250" t="str">
        <f>IF(Badges!F13="A","A"," ")</f>
        <v xml:space="preserve"> </v>
      </c>
      <c r="I9" s="247"/>
      <c r="J9" s="248" t="str">
        <f>Badges!C68</f>
        <v>Visit your local legislator's office</v>
      </c>
      <c r="K9" s="250" t="str">
        <f>IF(Badges!F68="A","A"," ")</f>
        <v xml:space="preserve"> </v>
      </c>
      <c r="M9" s="247"/>
      <c r="N9" s="248" t="str">
        <f>Badges!C137</f>
        <v>Brainstorm idea for social change</v>
      </c>
      <c r="O9" s="250" t="str">
        <f>IF(Badges!F137="A","A"," ")</f>
        <v xml:space="preserve"> </v>
      </c>
      <c r="Q9" s="516" t="str">
        <f>'Age-Level'!C25</f>
        <v>Cookie Pin (Year 1)</v>
      </c>
      <c r="R9" s="516"/>
      <c r="S9" s="257" t="str">
        <f>IF('Age-Level'!F25="A","A"," ")</f>
        <v xml:space="preserve"> </v>
      </c>
    </row>
    <row r="10" spans="1:21" x14ac:dyDescent="0.2">
      <c r="A10" s="501" t="str">
        <f>Summary!A9</f>
        <v>Ambassador Girl Scout Way</v>
      </c>
      <c r="B10" s="502"/>
      <c r="C10" s="253" t="str">
        <f>IF(Badges!F143="C","C",IF(Badges!F143="P","P",""))</f>
        <v/>
      </c>
      <c r="E10" s="247"/>
      <c r="F10" s="248" t="str">
        <f>Badges!C14</f>
        <v>Take 5 photos form a different</v>
      </c>
      <c r="G10" s="250" t="str">
        <f>IF(Badges!F14="A","A"," ")</f>
        <v xml:space="preserve"> </v>
      </c>
      <c r="I10" s="247">
        <v>5</v>
      </c>
      <c r="J10" s="248" t="str">
        <f>Badges!C69</f>
        <v>See public policy creation in action</v>
      </c>
      <c r="K10" s="249"/>
      <c r="M10" s="247">
        <v>5</v>
      </c>
      <c r="N10" s="248" t="str">
        <f>Badges!C138</f>
        <v>Enjoy Girl Scout traditions!</v>
      </c>
      <c r="O10" s="249"/>
      <c r="Q10" s="516" t="str">
        <f>'Age-Level'!C26</f>
        <v>Cookie Rally (Year 2)</v>
      </c>
      <c r="R10" s="516"/>
      <c r="S10" s="257" t="str">
        <f>IF('Age-Level'!F26="A","A"," ")</f>
        <v xml:space="preserve"> </v>
      </c>
    </row>
    <row r="11" spans="1:21" x14ac:dyDescent="0.2">
      <c r="A11" s="525" t="str">
        <f>Summary!A10</f>
        <v>Water</v>
      </c>
      <c r="B11" s="525"/>
      <c r="C11" s="252" t="str">
        <f>IF(Badges!F166="C","C",IF(Badges!F166="P","P",""))</f>
        <v/>
      </c>
      <c r="E11" s="247">
        <v>3</v>
      </c>
      <c r="F11" s="248" t="str">
        <f>Badges!C15</f>
        <v>Focus on light</v>
      </c>
      <c r="G11" s="249"/>
      <c r="I11" s="247"/>
      <c r="J11" s="248" t="str">
        <f>Badges!C70</f>
        <v>Shadow a policy-maker</v>
      </c>
      <c r="K11" s="250" t="str">
        <f>IF(Badges!F70="A","A"," ")</f>
        <v xml:space="preserve"> </v>
      </c>
      <c r="M11" s="247"/>
      <c r="N11" s="248" t="str">
        <f>Badges!C139</f>
        <v>Pass down a tradition</v>
      </c>
      <c r="O11" s="250" t="str">
        <f>IF(Badges!F139="A","A"," ")</f>
        <v xml:space="preserve"> </v>
      </c>
      <c r="Q11" s="516" t="str">
        <f>'Age-Level'!C27</f>
        <v>Cookie Sales (Year 2)</v>
      </c>
      <c r="R11" s="516"/>
      <c r="S11" s="257" t="str">
        <f>IF('Age-Level'!F27="A","A"," ")</f>
        <v xml:space="preserve"> </v>
      </c>
    </row>
    <row r="12" spans="1:21" x14ac:dyDescent="0.2">
      <c r="A12" s="518"/>
      <c r="B12" s="518"/>
      <c r="C12" s="336"/>
      <c r="E12" s="247"/>
      <c r="F12" s="248" t="str">
        <f>Badges!C16</f>
        <v>Invite friends to a shoot day</v>
      </c>
      <c r="G12" s="250" t="str">
        <f>IF(Badges!F16="A","A"," ")</f>
        <v xml:space="preserve"> </v>
      </c>
      <c r="I12" s="247"/>
      <c r="J12" s="248" t="str">
        <f>Badges!C71</f>
        <v>Volunteer at an office</v>
      </c>
      <c r="K12" s="250" t="str">
        <f>IF(Badges!F71="A","A"," ")</f>
        <v xml:space="preserve"> </v>
      </c>
      <c r="M12" s="247"/>
      <c r="N12" s="248" t="str">
        <f>Badges!C140</f>
        <v>Start a Girl Scout tradition of your own</v>
      </c>
      <c r="O12" s="250" t="str">
        <f>IF(Badges!F140="A","A"," ")</f>
        <v xml:space="preserve"> </v>
      </c>
      <c r="Q12" s="516" t="str">
        <f>'Age-Level'!C28</f>
        <v>Cookie Pin (Year 2)</v>
      </c>
      <c r="R12" s="516"/>
      <c r="S12" s="257" t="str">
        <f>IF('Age-Level'!F28="A","A"," ")</f>
        <v xml:space="preserve"> </v>
      </c>
    </row>
    <row r="13" spans="1:21" x14ac:dyDescent="0.2">
      <c r="A13" s="500" t="str">
        <f>Summary!A3</f>
        <v>Legacy</v>
      </c>
      <c r="B13" s="500"/>
      <c r="C13" s="500"/>
      <c r="E13" s="247"/>
      <c r="F13" s="248" t="str">
        <f>Badges!C17</f>
        <v>Capture the same person or object</v>
      </c>
      <c r="G13" s="250" t="str">
        <f>IF(Badges!F17="A","A"," ")</f>
        <v xml:space="preserve"> </v>
      </c>
      <c r="I13" s="247"/>
      <c r="J13" s="248" t="str">
        <f>Badges!C72</f>
        <v>Interview a policy-maker</v>
      </c>
      <c r="K13" s="250" t="str">
        <f>IF(Badges!F72="A","A"," ")</f>
        <v xml:space="preserve"> </v>
      </c>
      <c r="M13" s="247"/>
      <c r="N13" s="248" t="str">
        <f>Badges!C141</f>
        <v>Share the Girl Scout way by example</v>
      </c>
      <c r="O13" s="250" t="str">
        <f>IF(Badges!F141="A","A"," ")</f>
        <v xml:space="preserve"> </v>
      </c>
      <c r="Q13" s="516" t="str">
        <f>'Age-Level'!C30</f>
        <v>Fall Sales (Year 1)</v>
      </c>
      <c r="R13" s="516"/>
      <c r="S13" s="252" t="str">
        <f>IF('Age-Level'!F30="A","A","")</f>
        <v/>
      </c>
    </row>
    <row r="14" spans="1:21" x14ac:dyDescent="0.2">
      <c r="A14" s="501" t="str">
        <f>Summary!A4</f>
        <v>Photography</v>
      </c>
      <c r="B14" s="502"/>
      <c r="C14" s="251" t="str">
        <f>IF(Badges!F28="C","C",IF(Badges!F28="P","P",""))</f>
        <v/>
      </c>
      <c r="E14" s="247"/>
      <c r="F14" s="248" t="str">
        <f>Badges!C18</f>
        <v>Grow your image</v>
      </c>
      <c r="G14" s="250" t="str">
        <f>IF(Badges!F18="A","A"," ")</f>
        <v xml:space="preserve"> </v>
      </c>
      <c r="I14" s="339" t="str">
        <f>Badges!B75</f>
        <v>Dinner Party</v>
      </c>
      <c r="J14" s="340"/>
      <c r="K14" s="340"/>
      <c r="M14" s="339" t="str">
        <f>Badges!B144</f>
        <v>Water</v>
      </c>
      <c r="N14" s="340"/>
      <c r="O14" s="340"/>
      <c r="Q14" s="516" t="str">
        <f>'Age-Level'!C31</f>
        <v>Fall Sales (Year 2)</v>
      </c>
      <c r="R14" s="516"/>
      <c r="S14" s="252" t="str">
        <f>IF('Age-Level'!F31="A","A","")</f>
        <v/>
      </c>
    </row>
    <row r="15" spans="1:21" x14ac:dyDescent="0.2">
      <c r="A15" s="490" t="str">
        <f>Summary!A5</f>
        <v>Coaching</v>
      </c>
      <c r="B15" s="491"/>
      <c r="C15" s="252" t="str">
        <f>IF(Badges!F51="C","C",IF(Badges!F51="P","P",""))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516" t="str">
        <f>'Age-Level'!C33</f>
        <v>Thinking Day (Year 1)</v>
      </c>
      <c r="R15" s="516"/>
      <c r="S15" s="252" t="str">
        <f>IF('Age-Level'!F33="A","A","")</f>
        <v/>
      </c>
    </row>
    <row r="16" spans="1:21" x14ac:dyDescent="0.2">
      <c r="A16" s="490" t="str">
        <f>Summary!A6</f>
        <v>Public Policy</v>
      </c>
      <c r="B16" s="491"/>
      <c r="C16" s="252" t="str">
        <f>IF(Badges!F74="C","C",IF(Badges!F74="P","P",""))</f>
        <v/>
      </c>
      <c r="E16" s="247"/>
      <c r="F16" s="248" t="str">
        <f>Badges!C20</f>
        <v xml:space="preserve">Take photos of a group </v>
      </c>
      <c r="G16" s="250" t="str">
        <f>IF(Badges!F20="A","A"," ")</f>
        <v xml:space="preserve"> </v>
      </c>
      <c r="I16" s="247"/>
      <c r="J16" s="248" t="str">
        <f>Badges!C77</f>
        <v>Interview a caterer, event planner, chef</v>
      </c>
      <c r="K16" s="250" t="str">
        <f>IF(Badges!F77="A","A"," ")</f>
        <v xml:space="preserve"> </v>
      </c>
      <c r="M16" s="247"/>
      <c r="N16" s="248" t="str">
        <f>Badges!C146</f>
        <v>Visit water in its natural state</v>
      </c>
      <c r="O16" s="250" t="str">
        <f>IF(Badges!F146="A","A"," ")</f>
        <v xml:space="preserve"> </v>
      </c>
      <c r="Q16" s="516" t="str">
        <f>'Age-Level'!C34</f>
        <v>Thinking Day (Year 2)</v>
      </c>
      <c r="R16" s="516"/>
      <c r="S16" s="252" t="str">
        <f>IF('Age-Level'!F34="A","A","")</f>
        <v/>
      </c>
    </row>
    <row r="17" spans="1:19" x14ac:dyDescent="0.2">
      <c r="A17" s="490" t="str">
        <f>Summary!A7</f>
        <v>Dinner Party</v>
      </c>
      <c r="B17" s="491"/>
      <c r="C17" s="252" t="str">
        <f>IF(Badges!F97="C","C",IF(Badges!F97="P","P",""))</f>
        <v/>
      </c>
      <c r="E17" s="247"/>
      <c r="F17" s="248" t="str">
        <f>Badges!C21</f>
        <v>Take photos of faces in motion</v>
      </c>
      <c r="G17" s="250" t="str">
        <f>IF(Badges!F21="A","A"," ")</f>
        <v xml:space="preserve"> </v>
      </c>
      <c r="I17" s="247"/>
      <c r="J17" s="248" t="str">
        <f>Badges!C78</f>
        <v>Collect recipes from cooking shows</v>
      </c>
      <c r="K17" s="250" t="str">
        <f>IF(Badges!F78="A","A"," ")</f>
        <v xml:space="preserve"> </v>
      </c>
      <c r="M17" s="247"/>
      <c r="N17" s="248" t="str">
        <f>Badges!C147</f>
        <v>Try a new water skill</v>
      </c>
      <c r="O17" s="250" t="str">
        <f>IF(Badges!F147="A","A"," ")</f>
        <v xml:space="preserve"> </v>
      </c>
      <c r="Q17" s="516" t="str">
        <f>'Age-Level'!C36</f>
        <v>Global Action Award</v>
      </c>
      <c r="R17" s="516"/>
      <c r="S17" s="252" t="str">
        <f>IF('Age-Level'!F36="A","A","")</f>
        <v/>
      </c>
    </row>
    <row r="18" spans="1:19" x14ac:dyDescent="0.2">
      <c r="A18" s="490" t="str">
        <f>Summary!A8</f>
        <v>Ambassador First Aid</v>
      </c>
      <c r="B18" s="491"/>
      <c r="C18" s="252" t="str">
        <f>IF(Badges!F120="C","C",IF(Badges!F120="P","P",""))</f>
        <v/>
      </c>
      <c r="E18" s="247"/>
      <c r="F18" s="248" t="str">
        <f>Badges!C22</f>
        <v>Take photos of objects in motion</v>
      </c>
      <c r="G18" s="250" t="str">
        <f>IF(Badges!F22="A","A"," ")</f>
        <v xml:space="preserve"> </v>
      </c>
      <c r="I18" s="247"/>
      <c r="J18" s="248" t="str">
        <f>Badges!C79</f>
        <v>Build a men around your favorite</v>
      </c>
      <c r="K18" s="250" t="str">
        <f>IF(Badges!F79="A","A"," ")</f>
        <v xml:space="preserve"> </v>
      </c>
      <c r="M18" s="247"/>
      <c r="N18" s="248" t="str">
        <f>Badges!C148</f>
        <v>Enjoy a water activity you already know</v>
      </c>
      <c r="O18" s="250" t="str">
        <f>IF(Badges!F148="A","A"," ")</f>
        <v xml:space="preserve"> </v>
      </c>
      <c r="Q18" s="516" t="str">
        <f>'Age-Level'!C38</f>
        <v>International Friendship Recognition</v>
      </c>
      <c r="R18" s="516"/>
      <c r="S18" s="252" t="str">
        <f>IF('Age-Level'!F38="A","A","")</f>
        <v/>
      </c>
    </row>
    <row r="19" spans="1:19" x14ac:dyDescent="0.2">
      <c r="A19" s="490" t="str">
        <f>Summary!A9</f>
        <v>Ambassador Girl Scout Way</v>
      </c>
      <c r="B19" s="491"/>
      <c r="C19" s="252" t="str">
        <f>IF(Badges!F143="C","C",IF(Badges!F143="P","P",""))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516" t="str">
        <f>'Age-Level'!C40</f>
        <v>Investiture</v>
      </c>
      <c r="R19" s="516"/>
      <c r="S19" s="252" t="str">
        <f>IF('Age-Level'!F40="A","A","")</f>
        <v/>
      </c>
    </row>
    <row r="20" spans="1:19" x14ac:dyDescent="0.2">
      <c r="A20" s="507" t="str">
        <f>Summary!A10</f>
        <v>Water</v>
      </c>
      <c r="B20" s="508"/>
      <c r="C20" s="253" t="str">
        <f>IF(Badges!F166="C","C",IF(Badges!F166="P","P",""))</f>
        <v/>
      </c>
      <c r="E20" s="247"/>
      <c r="F20" s="248" t="str">
        <f>Badges!C24</f>
        <v>Stage a photo exhibit</v>
      </c>
      <c r="G20" s="250" t="str">
        <f>IF(Badges!F24="A","A"," ")</f>
        <v xml:space="preserve"> </v>
      </c>
      <c r="I20" s="247"/>
      <c r="J20" s="248" t="str">
        <f>Badges!C81</f>
        <v>Camparison shop</v>
      </c>
      <c r="K20" s="250" t="str">
        <f>IF(Badges!F81="A","A"," ")</f>
        <v xml:space="preserve"> </v>
      </c>
      <c r="M20" s="247"/>
      <c r="N20" s="248" t="str">
        <f>Badges!C150</f>
        <v>Delve into water literature</v>
      </c>
      <c r="O20" s="250" t="str">
        <f>IF(Badges!F150="A","A"," ")</f>
        <v xml:space="preserve"> </v>
      </c>
      <c r="Q20" s="516" t="str">
        <f>'Age-Level'!C41</f>
        <v>Rededication (1st year)</v>
      </c>
      <c r="R20" s="516"/>
      <c r="S20" s="262" t="str">
        <f>IF('Age-Level'!F41="C","C","")</f>
        <v/>
      </c>
    </row>
    <row r="21" spans="1:19" x14ac:dyDescent="0.2">
      <c r="A21" s="500" t="str">
        <f>Summary!A11</f>
        <v>Financial Literacy</v>
      </c>
      <c r="B21" s="500"/>
      <c r="C21" s="500"/>
      <c r="E21" s="247"/>
      <c r="F21" s="248" t="str">
        <f>Badges!C25</f>
        <v>Make a digital slide show</v>
      </c>
      <c r="G21" s="250" t="str">
        <f>IF(Badges!F25="A","A"," ")</f>
        <v xml:space="preserve"> </v>
      </c>
      <c r="I21" s="247"/>
      <c r="J21" s="248" t="str">
        <f>Badges!C82</f>
        <v>Consult with a professional chef</v>
      </c>
      <c r="K21" s="250" t="str">
        <f>IF(Badges!F82="A","A"," ")</f>
        <v xml:space="preserve"> </v>
      </c>
      <c r="M21" s="247"/>
      <c r="N21" s="248" t="str">
        <f>Badges!C151</f>
        <v xml:space="preserve">Enjoy an exhibit or event that features </v>
      </c>
      <c r="O21" s="250" t="str">
        <f>IF(Badges!F151="A","A"," ")</f>
        <v xml:space="preserve"> </v>
      </c>
      <c r="Q21" s="516" t="str">
        <f>'Age-Level'!C42</f>
        <v>Rededication (2nd year)</v>
      </c>
      <c r="R21" s="516"/>
      <c r="S21" s="262" t="str">
        <f>IF('Age-Level'!F42="C","C","")</f>
        <v/>
      </c>
    </row>
    <row r="22" spans="1:19" x14ac:dyDescent="0.2">
      <c r="A22" s="501" t="str">
        <f>Summary!A12</f>
        <v>On My Own</v>
      </c>
      <c r="B22" s="502"/>
      <c r="C22" s="251" t="str">
        <f>IF(Badges!F190="C","C",IF(Badges!F190="P","P",""))</f>
        <v/>
      </c>
      <c r="E22" s="247"/>
      <c r="F22" s="248" t="str">
        <f>Badges!C26</f>
        <v>Create a photo album or scrapbook</v>
      </c>
      <c r="G22" s="250" t="str">
        <f>IF(Badges!F26="A","A"," ")</f>
        <v xml:space="preserve"> </v>
      </c>
      <c r="I22" s="247"/>
      <c r="J22" s="248" t="str">
        <f>Badges!C83</f>
        <v>Learn about alternative ways to shop</v>
      </c>
      <c r="K22" s="250" t="str">
        <f>IF(Badges!F83="A","A"," ")</f>
        <v xml:space="preserve"> </v>
      </c>
      <c r="M22" s="247"/>
      <c r="N22" s="248" t="str">
        <f>Badges!C152</f>
        <v>Create your own water composition</v>
      </c>
      <c r="O22" s="250" t="str">
        <f>IF(Badges!F152="A","A"," ")</f>
        <v xml:space="preserve"> </v>
      </c>
      <c r="Q22" s="342" t="str">
        <f>'Age-Level'!B43</f>
        <v>My Promise, My Faith (Year 1)</v>
      </c>
      <c r="R22" s="343"/>
      <c r="S22" s="262"/>
    </row>
    <row r="23" spans="1:19" x14ac:dyDescent="0.2">
      <c r="A23" s="501" t="str">
        <f>Summary!A13</f>
        <v>Good Credit</v>
      </c>
      <c r="B23" s="502"/>
      <c r="C23" s="251" t="str">
        <f>IF(Badges!F213="C","C",IF(Badges!F213="P","P",""))</f>
        <v/>
      </c>
      <c r="E23" s="492" t="str">
        <f>Badges!B29</f>
        <v>Coaching</v>
      </c>
      <c r="F23" s="517"/>
      <c r="G23" s="517"/>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IF('Age-Level'!F44="A","A","")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IF(Badges!F85="A","A"," ")</f>
        <v xml:space="preserve"> </v>
      </c>
      <c r="M24" s="247"/>
      <c r="N24" s="248" t="str">
        <f>Badges!C154</f>
        <v>Visit a water facility and explore its</v>
      </c>
      <c r="O24" s="250" t="str">
        <f>IF(Badges!F154="A","A"," ")</f>
        <v xml:space="preserve"> </v>
      </c>
      <c r="Q24" s="267">
        <v>2</v>
      </c>
      <c r="R24" s="344" t="str">
        <f>'Age-Level'!C45</f>
        <v>Find a woman in your community</v>
      </c>
      <c r="S24" s="262" t="str">
        <f>IF('Age-Level'!F45="A","A","")</f>
        <v/>
      </c>
    </row>
    <row r="25" spans="1:19" x14ac:dyDescent="0.2">
      <c r="A25" s="490" t="str">
        <f>Summary!A15</f>
        <v>Research and Development</v>
      </c>
      <c r="B25" s="491"/>
      <c r="C25" s="252" t="str">
        <f>IF(Badges!F227="C","C",IF(Badges!F227="P","P",""))</f>
        <v/>
      </c>
      <c r="E25" s="247"/>
      <c r="F25" s="248" t="str">
        <f>Badges!C31</f>
        <v>Talk to a great coach</v>
      </c>
      <c r="G25" s="250" t="str">
        <f>IF(Badges!F31="A","A"," ")</f>
        <v xml:space="preserve"> </v>
      </c>
      <c r="I25" s="247"/>
      <c r="J25" s="248" t="str">
        <f>Badges!C86</f>
        <v>Make a menu timeline</v>
      </c>
      <c r="K25" s="250" t="str">
        <f>IF(Badges!F86="A","A"," ")</f>
        <v xml:space="preserve"> </v>
      </c>
      <c r="M25" s="247"/>
      <c r="N25" s="248" t="str">
        <f>Badges!C155</f>
        <v>Investigate endangered marine life</v>
      </c>
      <c r="O25" s="250" t="str">
        <f>IF(Badges!F155="A","A"," ")</f>
        <v xml:space="preserve"> </v>
      </c>
      <c r="Q25" s="267">
        <v>3</v>
      </c>
      <c r="R25" s="344" t="str">
        <f>'Age-Level'!C46</f>
        <v>Gather three inspirational quotes</v>
      </c>
      <c r="S25" s="262" t="str">
        <f>IF('Age-Level'!F46="A","A","")</f>
        <v/>
      </c>
    </row>
    <row r="26" spans="1:19" x14ac:dyDescent="0.2">
      <c r="A26" s="490" t="str">
        <f>Summary!A16</f>
        <v>P &amp; L</v>
      </c>
      <c r="B26" s="491"/>
      <c r="C26" s="252" t="str">
        <f>IF(Badges!F240="C","C",IF(Badges!F240="P","P",""))</f>
        <v/>
      </c>
      <c r="E26" s="247"/>
      <c r="F26" s="248" t="str">
        <f>Badges!C32</f>
        <v>Watch three sports documentaries</v>
      </c>
      <c r="G26" s="250" t="str">
        <f>IF(Badges!F32="A","A"," ")</f>
        <v xml:space="preserve"> </v>
      </c>
      <c r="I26" s="247"/>
      <c r="J26" s="248" t="str">
        <f>Badges!C87</f>
        <v>Prepare a test meal for family or friends</v>
      </c>
      <c r="K26" s="250" t="str">
        <f>IF(Badges!F87="A","A"," ")</f>
        <v xml:space="preserve"> </v>
      </c>
      <c r="M26" s="247"/>
      <c r="N26" s="248" t="str">
        <f>Badges!C156</f>
        <v>Investigate water as a hazard</v>
      </c>
      <c r="O26" s="250" t="str">
        <f>IF(Badges!F156="A","A"," ")</f>
        <v xml:space="preserve"> </v>
      </c>
      <c r="Q26" s="267">
        <v>4</v>
      </c>
      <c r="R26" s="344" t="str">
        <f>'Age-Level'!C47</f>
        <v>Make something to remind you</v>
      </c>
      <c r="S26" s="262" t="str">
        <f>IF('Age-Level'!F47="A","A","")</f>
        <v/>
      </c>
    </row>
    <row r="27" spans="1:19" x14ac:dyDescent="0.2">
      <c r="A27" s="346"/>
      <c r="B27" s="346"/>
      <c r="C27" s="266"/>
      <c r="E27" s="247"/>
      <c r="F27" s="248" t="str">
        <f>Badges!C33</f>
        <v>Attend a coaching clinic or seminar</v>
      </c>
      <c r="G27" s="250" t="str">
        <f>IF(Badges!F33="A","A","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IF('Age-Level'!F48="A","A","")</f>
        <v/>
      </c>
    </row>
    <row r="28" spans="1:19" x14ac:dyDescent="0.2">
      <c r="A28" s="484" t="s">
        <v>84</v>
      </c>
      <c r="B28" s="513"/>
      <c r="C28" s="513"/>
      <c r="E28" s="247">
        <v>2</v>
      </c>
      <c r="F28" s="248" t="str">
        <f>Badges!C34</f>
        <v>Conduct a first assessment</v>
      </c>
      <c r="G28" s="249"/>
      <c r="I28" s="247"/>
      <c r="J28" s="248" t="str">
        <f>Badges!C89</f>
        <v>Expreiment with garnishes</v>
      </c>
      <c r="K28" s="250" t="str">
        <f>IF(Badges!F89="A","A"," ")</f>
        <v xml:space="preserve"> </v>
      </c>
      <c r="M28" s="247"/>
      <c r="N28" s="248" t="str">
        <f>Badges!C158</f>
        <v>Interview a water scientist</v>
      </c>
      <c r="O28" s="250" t="str">
        <f>IF(Badges!F158="A","A","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IF(Badges!F35="A","A"," ")</f>
        <v xml:space="preserve"> </v>
      </c>
      <c r="I29" s="247"/>
      <c r="J29" s="248" t="str">
        <f>Badges!C90</f>
        <v>Present food in interesting shapes</v>
      </c>
      <c r="K29" s="250" t="str">
        <f>IF(Badges!F90="A","A"," ")</f>
        <v xml:space="preserve"> </v>
      </c>
      <c r="M29" s="247"/>
      <c r="N29" s="248" t="str">
        <f>Badges!C159</f>
        <v>Explore the world of hydroelectricity</v>
      </c>
      <c r="O29" s="250" t="str">
        <f>IF(Badges!F159="A","A"," ")</f>
        <v xml:space="preserve"> </v>
      </c>
      <c r="Q29" s="268">
        <v>1</v>
      </c>
      <c r="R29" s="344" t="str">
        <f>'Age-Level'!C51</f>
        <v>Choose one line from the Law</v>
      </c>
      <c r="S29" s="262" t="str">
        <f>IF('Age-Level'!F51="A","A","")</f>
        <v/>
      </c>
    </row>
    <row r="30" spans="1:19" x14ac:dyDescent="0.2">
      <c r="B30" s="477" t="str">
        <f>Journey!B7</f>
        <v>The Girl Scout Advocate Award</v>
      </c>
      <c r="C30" s="478"/>
      <c r="E30" s="247"/>
      <c r="F30" s="248" t="str">
        <f>Badges!C36</f>
        <v>Host an initial session</v>
      </c>
      <c r="G30" s="250" t="str">
        <f>IF(Badges!F36="A","A"," ")</f>
        <v xml:space="preserve"> </v>
      </c>
      <c r="I30" s="247"/>
      <c r="J30" s="248" t="str">
        <f>Badges!C91</f>
        <v>Use serving ware in unusual ways</v>
      </c>
      <c r="K30" s="250" t="str">
        <f>IF(Badges!F91="A","A"," ")</f>
        <v xml:space="preserve"> </v>
      </c>
      <c r="M30" s="247"/>
      <c r="N30" s="248" t="str">
        <f>Badges!C160</f>
        <v>Design your own water innovation</v>
      </c>
      <c r="O30" s="250" t="str">
        <f>IF(Badges!F160="A","A"," ")</f>
        <v xml:space="preserve"> </v>
      </c>
      <c r="Q30" s="267">
        <v>2</v>
      </c>
      <c r="R30" s="344" t="str">
        <f>'Age-Level'!C52</f>
        <v>Find a woman in your community</v>
      </c>
      <c r="S30" s="262" t="str">
        <f>IF('Age-Level'!F52="A","A","")</f>
        <v/>
      </c>
    </row>
    <row r="31" spans="1:19" x14ac:dyDescent="0.2">
      <c r="B31" s="256">
        <f>Journey!E8</f>
        <v>0</v>
      </c>
      <c r="C31" s="252" t="str">
        <f>IF(Journey!F8="C","C",IF(Journey!F8="P","P",""))</f>
        <v/>
      </c>
      <c r="E31" s="247"/>
      <c r="F31" s="248" t="str">
        <f>Badges!C37</f>
        <v>Prepare a goal chart together</v>
      </c>
      <c r="G31" s="250" t="str">
        <f>IF(Badges!F37="A","A","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IF('Age-Level'!F53="A","A","")</f>
        <v/>
      </c>
    </row>
    <row r="32" spans="1:19" x14ac:dyDescent="0.2">
      <c r="B32" s="256">
        <f>Journey!E9</f>
        <v>0</v>
      </c>
      <c r="C32" s="252" t="str">
        <f>IF(Journey!F9="C","C",IF(Journey!F9="P","P",""))</f>
        <v/>
      </c>
      <c r="E32" s="339" t="str">
        <f>Badges!B29</f>
        <v>Coaching</v>
      </c>
      <c r="F32" s="340"/>
      <c r="G32" s="340"/>
      <c r="I32" s="247"/>
      <c r="J32" s="248" t="str">
        <f>Badges!C93</f>
        <v>Decorate according to your menu theme</v>
      </c>
      <c r="K32" s="250" t="str">
        <f>IF(Badges!F93="A","A"," ")</f>
        <v xml:space="preserve"> </v>
      </c>
      <c r="M32" s="247"/>
      <c r="N32" s="248" t="str">
        <f>Badges!C162</f>
        <v>Celebrate water with younger Girl Scouts</v>
      </c>
      <c r="O32" s="250" t="str">
        <f>IF(Badges!F162="A","A"," ")</f>
        <v xml:space="preserve"> </v>
      </c>
      <c r="Q32" s="267">
        <v>4</v>
      </c>
      <c r="R32" s="344" t="str">
        <f>'Age-Level'!C54</f>
        <v>Make something to remind you</v>
      </c>
      <c r="S32" s="262" t="str">
        <f>IF('Age-Level'!F54="A","A","")</f>
        <v/>
      </c>
    </row>
    <row r="33" spans="1:19" x14ac:dyDescent="0.2">
      <c r="B33" s="256">
        <f>Journey!E10</f>
        <v>0</v>
      </c>
      <c r="C33" s="252" t="str">
        <f>IF(Journey!F10="C","C",IF(Journey!F10="P","P",""))</f>
        <v/>
      </c>
      <c r="E33" s="247">
        <v>3</v>
      </c>
      <c r="F33" s="248" t="str">
        <f>Badges!C38</f>
        <v>Design your coaching plan</v>
      </c>
      <c r="G33" s="249"/>
      <c r="I33" s="247"/>
      <c r="J33" s="248" t="str">
        <f>Badges!C94</f>
        <v>Celebrate a special occasion</v>
      </c>
      <c r="K33" s="250" t="str">
        <f>IF(Badges!F94="A","A"," ")</f>
        <v xml:space="preserve"> </v>
      </c>
      <c r="M33" s="247"/>
      <c r="N33" s="248" t="str">
        <f>Badges!C163</f>
        <v>Share a water issue that matters to you</v>
      </c>
      <c r="O33" s="250" t="str">
        <f>IF(Badges!F163="A","A"," ")</f>
        <v xml:space="preserve"> </v>
      </c>
      <c r="Q33" s="267">
        <v>5</v>
      </c>
      <c r="R33" s="344" t="str">
        <f>'Age-Level'!C55</f>
        <v xml:space="preserve">Make a commitment to live what </v>
      </c>
      <c r="S33" s="364" t="str">
        <f>IF('Age-Level'!F55="A","A","")</f>
        <v/>
      </c>
    </row>
    <row r="34" spans="1:19" x14ac:dyDescent="0.2">
      <c r="A34" s="284"/>
      <c r="B34" s="473" t="str">
        <f>Journey!A14</f>
        <v>JUSTICE</v>
      </c>
      <c r="C34" s="474"/>
      <c r="E34" s="247"/>
      <c r="F34" s="248" t="str">
        <f>Badges!C39</f>
        <v xml:space="preserve">Design a special warm-up </v>
      </c>
      <c r="G34" s="250" t="str">
        <f>IF(Badges!F39="A","A"," ")</f>
        <v xml:space="preserve"> </v>
      </c>
      <c r="I34" s="247"/>
      <c r="J34" s="248" t="str">
        <f>Badges!C95</f>
        <v>Use food and fun to forge new friendships</v>
      </c>
      <c r="K34" s="250" t="str">
        <f>IF(Badges!F95="A","A"," ")</f>
        <v xml:space="preserve"> </v>
      </c>
      <c r="M34" s="247"/>
      <c r="N34" s="248" t="str">
        <f>Badges!C164</f>
        <v>Guide a group to a water place</v>
      </c>
      <c r="O34" s="250" t="str">
        <f>IF(Badges!F164="A","A"," ")</f>
        <v xml:space="preserve"> </v>
      </c>
      <c r="Q34" s="516" t="str">
        <f>'Age-Level'!B57</f>
        <v>Safety Award</v>
      </c>
      <c r="R34" s="516"/>
      <c r="S34" s="364"/>
    </row>
    <row r="35" spans="1:19" x14ac:dyDescent="0.2">
      <c r="A35" s="284"/>
      <c r="B35" s="479" t="str">
        <f>Journey!B15</f>
        <v>Sage Award</v>
      </c>
      <c r="C35" s="480"/>
      <c r="E35" s="247"/>
      <c r="F35" s="248" t="str">
        <f>Badges!C40</f>
        <v>Research and choose</v>
      </c>
      <c r="G35" s="250" t="str">
        <f>IF(Badges!F40="A","A","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IF('Age-Level'!F58="A","A","")</f>
        <v/>
      </c>
    </row>
    <row r="36" spans="1:19" ht="12.75" customHeight="1" x14ac:dyDescent="0.2">
      <c r="A36" s="284"/>
      <c r="B36" s="256">
        <f>Journey!E16</f>
        <v>0</v>
      </c>
      <c r="C36" s="252" t="str">
        <f>IF(Journey!F16="C","C",IF(Journey!F16="P","P",""))</f>
        <v/>
      </c>
      <c r="E36" s="247"/>
      <c r="F36" s="248" t="str">
        <f>Badges!C41</f>
        <v>Open and close each session</v>
      </c>
      <c r="G36" s="250" t="str">
        <f>IF(Badges!F41="A","A","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IF('Age-Level'!F59="A","A","")</f>
        <v/>
      </c>
    </row>
    <row r="37" spans="1:19" ht="12.75" customHeight="1" x14ac:dyDescent="0.2">
      <c r="A37" s="284"/>
      <c r="B37" s="256">
        <f>Journey!E17</f>
        <v>0</v>
      </c>
      <c r="C37" s="252" t="str">
        <f>IF(Journey!F17="C","C",IF(Journey!F17="P","P",""))</f>
        <v/>
      </c>
      <c r="E37" s="247">
        <v>4</v>
      </c>
      <c r="F37" s="248" t="str">
        <f>Badges!C42</f>
        <v>Put your plan in action</v>
      </c>
      <c r="G37" s="249"/>
      <c r="I37" s="247"/>
      <c r="J37" s="248" t="str">
        <f>Badges!C100</f>
        <v>Backcountry</v>
      </c>
      <c r="K37" s="250" t="str">
        <f>IF(Badges!F100="A","A"," ")</f>
        <v xml:space="preserve"> </v>
      </c>
      <c r="M37" s="247"/>
      <c r="N37" s="248" t="str">
        <f>Badges!C170</f>
        <v>Take a tour</v>
      </c>
      <c r="O37" s="250" t="str">
        <f>IF(Badges!F170="A","A"," ")</f>
        <v xml:space="preserve"> </v>
      </c>
      <c r="Q37" s="267">
        <v>3</v>
      </c>
      <c r="R37" s="344" t="str">
        <f>'Age-Level'!C60</f>
        <v>Teach a Daisy or Brownie what to do if</v>
      </c>
      <c r="S37" s="262" t="str">
        <f>IF('Age-Level'!F60="A","A","")</f>
        <v/>
      </c>
    </row>
    <row r="38" spans="1:19" x14ac:dyDescent="0.2">
      <c r="A38" s="284"/>
      <c r="B38" s="256">
        <f>Journey!E18</f>
        <v>0</v>
      </c>
      <c r="C38" s="252" t="str">
        <f>IF(Journey!F18="C","C",IF(Journey!F18="P","P",""))</f>
        <v/>
      </c>
      <c r="E38" s="247"/>
      <c r="F38" s="248" t="str">
        <f>Badges!C43</f>
        <v>Add a morale-boosting time-out</v>
      </c>
      <c r="G38" s="250" t="str">
        <f>IF(Badges!F43="A","A"," ")</f>
        <v xml:space="preserve"> </v>
      </c>
      <c r="I38" s="247"/>
      <c r="J38" s="248" t="str">
        <f>Badges!C101</f>
        <v>Open water</v>
      </c>
      <c r="K38" s="250" t="str">
        <f>IF(Badges!F101="A","A"," ")</f>
        <v xml:space="preserve"> </v>
      </c>
      <c r="M38" s="247"/>
      <c r="N38" s="248" t="str">
        <f>Badges!C171</f>
        <v>Interview a new tenant or homeowner</v>
      </c>
      <c r="O38" s="250" t="str">
        <f>IF(Badges!F171="A","A"," ")</f>
        <v xml:space="preserve"> </v>
      </c>
      <c r="Q38" s="267">
        <v>4</v>
      </c>
      <c r="R38" s="344" t="str">
        <f>'Age-Level'!C61</f>
        <v>With your family, make sure you have</v>
      </c>
      <c r="S38" s="262" t="str">
        <f>IF('Age-Level'!F61="A","A","")</f>
        <v/>
      </c>
    </row>
    <row r="39" spans="1:19" x14ac:dyDescent="0.2">
      <c r="A39" s="284"/>
      <c r="B39" s="256">
        <f>Journey!E19</f>
        <v>0</v>
      </c>
      <c r="C39" s="252" t="str">
        <f>IF(Journey!F19="C","C",IF(Journey!F19="P","P",""))</f>
        <v/>
      </c>
      <c r="E39" s="247"/>
      <c r="F39" s="248" t="str">
        <f>Badges!C44</f>
        <v>Ask your players to coach you!</v>
      </c>
      <c r="G39" s="250" t="str">
        <f>IF(Badges!F44="A","A"," ")</f>
        <v xml:space="preserve"> </v>
      </c>
      <c r="I39" s="247"/>
      <c r="J39" s="248" t="str">
        <f>Badges!C102</f>
        <v>Mountains</v>
      </c>
      <c r="K39" s="250" t="str">
        <f>IF(Badges!F102="A","A"," ")</f>
        <v xml:space="preserve"> </v>
      </c>
      <c r="M39" s="247"/>
      <c r="N39" s="248" t="str">
        <f>Badges!C172</f>
        <v>Be chart smart</v>
      </c>
      <c r="O39" s="250" t="str">
        <f>IF(Badges!F172="A","A"," ")</f>
        <v xml:space="preserve"> </v>
      </c>
      <c r="Q39" s="267">
        <v>5</v>
      </c>
      <c r="R39" s="344" t="str">
        <f>'Age-Level'!C62</f>
        <v>Discuss bullying with your Girl Scout</v>
      </c>
      <c r="S39" s="262" t="str">
        <f>IF('Age-Level'!F62="A","A","")</f>
        <v/>
      </c>
    </row>
    <row r="40" spans="1:19" x14ac:dyDescent="0.2">
      <c r="A40" s="284"/>
      <c r="B40" s="256">
        <f>Journey!E20</f>
        <v>0</v>
      </c>
      <c r="C40" s="252" t="str">
        <f>IF(Journey!F20="C","C",IF(Journey!F20="P","P",""))</f>
        <v/>
      </c>
      <c r="E40" s="247"/>
      <c r="F40" s="248" t="str">
        <f>Badges!C45</f>
        <v xml:space="preserve">Bring in another coah to watch </v>
      </c>
      <c r="G40" s="250" t="str">
        <f>IF(Badges!F45="A","A","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Journey!E21</f>
        <v>0</v>
      </c>
      <c r="C41" s="252" t="str">
        <f>IF(Journey!F21="C","C",IF(Journey!F21="P","P",""))</f>
        <v/>
      </c>
      <c r="E41" s="247">
        <v>5</v>
      </c>
      <c r="F41" s="248" t="str">
        <f>Badges!C46</f>
        <v>Attend the big event</v>
      </c>
      <c r="G41" s="249"/>
      <c r="I41" s="247"/>
      <c r="J41" s="248" t="str">
        <f>Badges!C104</f>
        <v>Wilderness rescue</v>
      </c>
      <c r="K41" s="250" t="str">
        <f>IF(Badges!F104="A","A"," ")</f>
        <v xml:space="preserve"> </v>
      </c>
      <c r="M41" s="247"/>
      <c r="N41" s="248" t="str">
        <f>Badges!C174</f>
        <v>Focus on your finances</v>
      </c>
      <c r="O41" s="250" t="str">
        <f>IF(Badges!F174="A","A"," ")</f>
        <v xml:space="preserve"> </v>
      </c>
    </row>
    <row r="42" spans="1:19" ht="12.75" customHeight="1" x14ac:dyDescent="0.2">
      <c r="A42" s="254"/>
      <c r="B42" s="475" t="str">
        <f>Journey!A25</f>
        <v>BLISS: Live it! Give It!</v>
      </c>
      <c r="C42" s="476"/>
      <c r="E42" s="247"/>
      <c r="F42" s="248" t="str">
        <f>Badges!C47</f>
        <v>Meet with your players for a relaxing</v>
      </c>
      <c r="G42" s="250" t="str">
        <f>IF(Badges!F47="A","A"," ")</f>
        <v xml:space="preserve"> </v>
      </c>
      <c r="I42" s="247"/>
      <c r="J42" s="248" t="str">
        <f>Badges!C105</f>
        <v>Disaster preparedness</v>
      </c>
      <c r="K42" s="250" t="str">
        <f>IF(Badges!F105="A","A"," ")</f>
        <v xml:space="preserve"> </v>
      </c>
      <c r="M42" s="247"/>
      <c r="N42" s="248" t="str">
        <f>Badges!C175</f>
        <v>Shop talk</v>
      </c>
      <c r="O42" s="250" t="str">
        <f>IF(Badges!F175="A","A"," ")</f>
        <v xml:space="preserve"> </v>
      </c>
      <c r="Q42" s="505"/>
      <c r="R42" s="505"/>
      <c r="S42" s="240"/>
    </row>
    <row r="43" spans="1:19" ht="12.75" customHeight="1" x14ac:dyDescent="0.2">
      <c r="B43" s="477" t="str">
        <f>Journey!B26</f>
        <v>Dream Maker Award</v>
      </c>
      <c r="C43" s="478"/>
      <c r="E43" s="247"/>
      <c r="F43" s="248" t="str">
        <f>Badges!C48</f>
        <v>Host a celebration</v>
      </c>
      <c r="G43" s="250" t="str">
        <f>IF(Badges!F48="A","A"," ")</f>
        <v xml:space="preserve"> </v>
      </c>
      <c r="I43" s="247"/>
      <c r="J43" s="248" t="str">
        <f>Badges!C106</f>
        <v>Military medicine</v>
      </c>
      <c r="K43" s="250" t="str">
        <f>IF(Badges!F106="A","A"," ")</f>
        <v xml:space="preserve"> </v>
      </c>
      <c r="M43" s="247"/>
      <c r="N43" s="248" t="str">
        <f>Badges!C176</f>
        <v>Audit request</v>
      </c>
      <c r="O43" s="250" t="str">
        <f>IF(Badges!F176="A","A"," ")</f>
        <v xml:space="preserve"> </v>
      </c>
      <c r="Q43" s="267"/>
      <c r="R43" s="267"/>
      <c r="S43" s="240"/>
    </row>
    <row r="44" spans="1:19" x14ac:dyDescent="0.2">
      <c r="B44" s="256">
        <f>Journey!E27</f>
        <v>0</v>
      </c>
      <c r="C44" s="252" t="str">
        <f>IF(Journey!F27="C","C",IF(Journey!F27="P","P",""))</f>
        <v/>
      </c>
      <c r="E44" s="247"/>
      <c r="F44" s="248" t="str">
        <f>Badges!C49</f>
        <v>Make a "trading card" for each athlete</v>
      </c>
      <c r="G44" s="250" t="str">
        <f>IF(Badges!F49="A","A","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Journey!E28</f>
        <v>0</v>
      </c>
      <c r="C45" s="252" t="str">
        <f>IF(Journey!F28="C","C",IF(Journey!F28="P","P",""))</f>
        <v/>
      </c>
      <c r="E45" s="492" t="str">
        <f>Badges!B52</f>
        <v>Public Policy</v>
      </c>
      <c r="F45" s="492"/>
      <c r="G45" s="492"/>
      <c r="I45" s="247"/>
      <c r="J45" s="248" t="str">
        <f>Badges!C108</f>
        <v>Take a wilderness first aid course</v>
      </c>
      <c r="K45" s="250" t="str">
        <f>IF(Badges!F108="A","A"," ")</f>
        <v xml:space="preserve"> </v>
      </c>
      <c r="M45" s="247"/>
      <c r="N45" s="248" t="str">
        <f>Badges!C178</f>
        <v>Hooray for hobbies!</v>
      </c>
      <c r="O45" s="250" t="str">
        <f>IF(Badges!F178="A","A"," ")</f>
        <v xml:space="preserve"> </v>
      </c>
      <c r="Q45" s="267"/>
      <c r="R45" s="267"/>
      <c r="S45" s="240"/>
    </row>
    <row r="46" spans="1:19" x14ac:dyDescent="0.2">
      <c r="B46" s="256">
        <f>Journey!E29</f>
        <v>0</v>
      </c>
      <c r="C46" s="252" t="str">
        <f>IF(Journey!F29="C","C",IF(Journey!F29="P","P",""))</f>
        <v/>
      </c>
      <c r="E46" s="247">
        <v>1</v>
      </c>
      <c r="F46" s="248" t="str">
        <f>Badges!C53</f>
        <v>Find out how activitists advocate for change</v>
      </c>
      <c r="G46" s="249" t="s">
        <v>26</v>
      </c>
      <c r="I46" s="247"/>
      <c r="J46" s="248" t="str">
        <f>Badges!C109</f>
        <v>Interview a doctor, nurse, EMT, or first</v>
      </c>
      <c r="K46" s="250" t="str">
        <f>IF(Badges!F109="A","A"," ")</f>
        <v xml:space="preserve"> </v>
      </c>
      <c r="M46" s="247"/>
      <c r="N46" s="248" t="str">
        <f>Badges!C179</f>
        <v>Treat yourself</v>
      </c>
      <c r="O46" s="250" t="str">
        <f>IF(Badges!F179="A","A"," ")</f>
        <v xml:space="preserve"> </v>
      </c>
      <c r="Q46" s="267"/>
      <c r="R46" s="267"/>
      <c r="S46" s="240"/>
    </row>
    <row r="47" spans="1:19" x14ac:dyDescent="0.2">
      <c r="B47" s="256">
        <f>Journey!E30</f>
        <v>0</v>
      </c>
      <c r="C47" s="252" t="str">
        <f>IF(Journey!F30="C","C",IF(Journey!F30="P","P",""))</f>
        <v/>
      </c>
      <c r="E47" s="247"/>
      <c r="F47" s="248" t="str">
        <f>Badges!C54</f>
        <v>Interview an activist</v>
      </c>
      <c r="G47" s="250" t="str">
        <f>IF(Badges!F54="A","A"," ")</f>
        <v xml:space="preserve"> </v>
      </c>
      <c r="I47" s="247"/>
      <c r="J47" s="248" t="str">
        <f>Badges!C110</f>
        <v xml:space="preserve">Discover how to use what's on hand in </v>
      </c>
      <c r="K47" s="250" t="str">
        <f>IF(Badges!F110="A","A"," ")</f>
        <v xml:space="preserve"> </v>
      </c>
      <c r="M47" s="247"/>
      <c r="N47" s="248" t="str">
        <f>Badges!C180</f>
        <v>Class act</v>
      </c>
      <c r="O47" s="250" t="str">
        <f>IF(Badges!F180="A","A"," ")</f>
        <v xml:space="preserve"> </v>
      </c>
      <c r="Q47" s="267"/>
      <c r="R47" s="267"/>
      <c r="S47" s="240"/>
    </row>
    <row r="48" spans="1:19" x14ac:dyDescent="0.2">
      <c r="B48" s="264"/>
      <c r="C48" s="264"/>
      <c r="E48" s="247"/>
      <c r="F48" s="248" t="str">
        <f>Badges!C55</f>
        <v>Watch a documentary or movie</v>
      </c>
      <c r="G48" s="250" t="str">
        <f>IF(Badges!F55="A","A"," ")</f>
        <v xml:space="preserve"> </v>
      </c>
      <c r="I48" s="339" t="str">
        <f>Badges!B98</f>
        <v>Ambassador First Aid</v>
      </c>
      <c r="J48" s="340"/>
      <c r="K48" s="340"/>
      <c r="M48" s="247">
        <v>4</v>
      </c>
      <c r="N48" s="248" t="str">
        <f>Badges!C181</f>
        <v>Plan for the unexpected</v>
      </c>
      <c r="O48" s="249"/>
    </row>
    <row r="49" spans="1:19" x14ac:dyDescent="0.2">
      <c r="A49" s="484" t="s">
        <v>316</v>
      </c>
      <c r="B49" s="513"/>
      <c r="C49" s="513"/>
      <c r="E49" s="247"/>
      <c r="F49" s="248" t="str">
        <f>Badges!C56</f>
        <v xml:space="preserve">Read about women who change the </v>
      </c>
      <c r="G49" s="250" t="str">
        <f>IF(Badges!F56="A","A"," ")</f>
        <v xml:space="preserve"> </v>
      </c>
      <c r="I49" s="247">
        <v>4</v>
      </c>
      <c r="J49" s="248" t="str">
        <f>Badges!C111</f>
        <v>Know how to move an injured person</v>
      </c>
      <c r="K49" s="249"/>
      <c r="M49" s="247"/>
      <c r="N49" s="248" t="str">
        <f>Badges!C182</f>
        <v>Interview your network</v>
      </c>
      <c r="O49" s="250" t="str">
        <f>IF(Badges!F182="A","A"," ")</f>
        <v xml:space="preserve"> </v>
      </c>
    </row>
    <row r="50" spans="1:19" x14ac:dyDescent="0.2">
      <c r="A50" s="259"/>
      <c r="B50" s="345" t="str">
        <f>Bridging!B6</f>
        <v>Pass It On!</v>
      </c>
      <c r="C50" s="251" t="str">
        <f>IF(Bridging!F10="C","C",IF(Bridging!F10="P","P",""))</f>
        <v/>
      </c>
      <c r="E50" s="247">
        <v>2</v>
      </c>
      <c r="F50" s="248" t="str">
        <f>Badges!C57</f>
        <v>Engage as a global citizen</v>
      </c>
      <c r="G50" s="249"/>
      <c r="I50" s="247"/>
      <c r="J50" s="248" t="str">
        <f>Badges!C112</f>
        <v>Visit a medical school</v>
      </c>
      <c r="K50" s="250" t="str">
        <f>IF(Badges!F112="A","A"," ")</f>
        <v xml:space="preserve"> </v>
      </c>
      <c r="M50" s="247"/>
      <c r="N50" s="248" t="str">
        <f>Badges!C183</f>
        <v>Interview a Financial guru</v>
      </c>
      <c r="O50" s="250" t="str">
        <f>IF(Badges!F183="A","A"," ")</f>
        <v xml:space="preserve"> </v>
      </c>
    </row>
    <row r="51" spans="1:19" x14ac:dyDescent="0.2">
      <c r="A51" s="259"/>
      <c r="B51" s="260" t="str">
        <f>Bridging!B11</f>
        <v>Look Ahead!</v>
      </c>
      <c r="C51" s="251" t="str">
        <f>IF(Bridging!F15="C","C",IF(Bridging!F15="P","P",""))</f>
        <v/>
      </c>
      <c r="E51" s="247"/>
      <c r="F51" s="248" t="str">
        <f>Badges!C58</f>
        <v>Compare laws</v>
      </c>
      <c r="G51" s="250" t="str">
        <f>IF(Badges!F58="A","A"," ")</f>
        <v xml:space="preserve"> </v>
      </c>
      <c r="I51" s="247"/>
      <c r="J51" s="248" t="str">
        <f>Badges!C113</f>
        <v>Take a wilderness first aid course</v>
      </c>
      <c r="K51" s="250" t="str">
        <f>IF(Badges!F113="A","A"," ")</f>
        <v xml:space="preserve"> </v>
      </c>
      <c r="M51" s="247"/>
      <c r="N51" s="248" t="str">
        <f>Badges!C184</f>
        <v>Interview an insurance expert</v>
      </c>
      <c r="O51" s="250" t="str">
        <f>IF(Badges!F184="A","A"," ")</f>
        <v xml:space="preserve"> </v>
      </c>
    </row>
    <row r="52" spans="1:19" x14ac:dyDescent="0.2">
      <c r="A52" s="259"/>
      <c r="B52" s="344" t="str">
        <f>Bridging!C16</f>
        <v>Plan a Ceremony</v>
      </c>
      <c r="C52" s="251" t="str">
        <f>IF(Bridging!F17="C","C",IF(Bridging!F17="P","P",""))</f>
        <v/>
      </c>
      <c r="E52" s="247"/>
      <c r="F52" s="248" t="str">
        <f>Badges!C59</f>
        <v xml:space="preserve">Track a public-policy issue being </v>
      </c>
      <c r="G52" s="250" t="str">
        <f>IF(Badges!F59="A","A"," ")</f>
        <v xml:space="preserve"> </v>
      </c>
      <c r="I52" s="247"/>
      <c r="J52" s="248" t="str">
        <f>Badges!C114</f>
        <v>Organize a mock emergency drill</v>
      </c>
      <c r="K52" s="250" t="str">
        <f>IF(Badges!F114="A","A"," ")</f>
        <v xml:space="preserve"> </v>
      </c>
      <c r="M52" s="339" t="str">
        <f>Badges!B168</f>
        <v>On My Own</v>
      </c>
      <c r="N52" s="340"/>
      <c r="O52" s="340"/>
    </row>
    <row r="53" spans="1:19" x14ac:dyDescent="0.2">
      <c r="B53" s="261" t="s">
        <v>134</v>
      </c>
      <c r="C53" s="251" t="str">
        <f>IF(Bridging!F18="C","C",IF(Bridging!F18="P","P",""))</f>
        <v/>
      </c>
      <c r="E53" s="247"/>
      <c r="F53" s="248" t="str">
        <f>Badges!C60</f>
        <v>Explore an international NGO</v>
      </c>
      <c r="G53" s="250" t="str">
        <f>IF(Badges!F60="A","A","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IF(Badges!F116="A","A"," ")</f>
        <v xml:space="preserve"> </v>
      </c>
      <c r="M54" s="247"/>
      <c r="N54" s="248" t="str">
        <f>Badges!C186</f>
        <v>Plan for presents</v>
      </c>
      <c r="O54" s="250" t="str">
        <f>IF(Badges!F186="A","A"," ")</f>
        <v xml:space="preserve"> </v>
      </c>
      <c r="Q54" s="267"/>
      <c r="R54" s="267"/>
      <c r="S54" s="240"/>
    </row>
    <row r="55" spans="1:19" x14ac:dyDescent="0.2">
      <c r="I55" s="247"/>
      <c r="J55" s="248" t="str">
        <f>Badges!C117</f>
        <v>Investigate extreme first aid</v>
      </c>
      <c r="K55" s="250" t="str">
        <f>IF(Badges!F117="A","A"," ")</f>
        <v xml:space="preserve"> </v>
      </c>
      <c r="M55" s="247"/>
      <c r="N55" s="248" t="str">
        <f>Badges!C187</f>
        <v>Budget for your time</v>
      </c>
      <c r="O55" s="250" t="str">
        <f>IF(Badges!F187="A","A"," ")</f>
        <v xml:space="preserve"> </v>
      </c>
      <c r="Q55" s="496"/>
      <c r="R55" s="514"/>
      <c r="S55" s="514"/>
    </row>
    <row r="56" spans="1:19" x14ac:dyDescent="0.2">
      <c r="I56" s="247"/>
      <c r="J56" s="248" t="str">
        <f>Badges!C118</f>
        <v>Interview an everyday hero</v>
      </c>
      <c r="K56" s="250" t="str">
        <f>IF(Badges!F118="A","A"," ")</f>
        <v xml:space="preserve"> </v>
      </c>
      <c r="M56" s="247"/>
      <c r="N56" s="248" t="str">
        <f>Badges!C188</f>
        <v>Charity starts… with a budget</v>
      </c>
      <c r="O56" s="250" t="str">
        <f>IF(Badges!F188="A","A","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IF(Badges!F123="A","A"," ")</f>
        <v xml:space="preserve"> </v>
      </c>
      <c r="M59" s="247"/>
      <c r="N59" s="248" t="str">
        <f>Badges!C217</f>
        <v>Invest some R&amp;D</v>
      </c>
      <c r="O59" s="250" t="str">
        <f>IF(Badges!F217="A","A"," ")</f>
        <v xml:space="preserve"> </v>
      </c>
    </row>
    <row r="60" spans="1:19" x14ac:dyDescent="0.2">
      <c r="I60" s="247"/>
      <c r="J60" s="248" t="str">
        <f>Badges!C124</f>
        <v xml:space="preserve">Ogranize a songfest for younger </v>
      </c>
      <c r="K60" s="250" t="str">
        <f>IF(Badges!F124="A","A"," ")</f>
        <v xml:space="preserve"> </v>
      </c>
      <c r="M60" s="247">
        <v>2</v>
      </c>
      <c r="N60" s="248" t="str">
        <f>Badges!C218</f>
        <v>Reasearch how other companies innovate</v>
      </c>
      <c r="O60" s="249"/>
    </row>
    <row r="61" spans="1:19" ht="12.75" customHeight="1" x14ac:dyDescent="0.2">
      <c r="I61" s="247"/>
      <c r="J61" s="248" t="str">
        <f>Badges!C125</f>
        <v>Bring generations together in song</v>
      </c>
      <c r="K61" s="250" t="str">
        <f>IF(Badges!F125="A","A"," ")</f>
        <v xml:space="preserve"> </v>
      </c>
      <c r="M61" s="247"/>
      <c r="N61" s="248" t="str">
        <f>Badges!C219</f>
        <v>Find at least three other companies</v>
      </c>
      <c r="O61" s="250" t="str">
        <f>IF(Badges!F219="A","A"," ")</f>
        <v xml:space="preserve"> </v>
      </c>
    </row>
    <row r="62" spans="1:19" ht="12.75" customHeight="1"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IF(Badges!F127="A","A"," ")</f>
        <v xml:space="preserve"> </v>
      </c>
      <c r="M63" s="247"/>
      <c r="N63" s="248" t="str">
        <f>Badges!C221</f>
        <v>Developing a new product</v>
      </c>
      <c r="O63" s="250" t="str">
        <f>IF(Badges!F221="A","A"," ")</f>
        <v xml:space="preserve"> </v>
      </c>
    </row>
    <row r="64" spans="1:19" x14ac:dyDescent="0.2">
      <c r="I64" s="247"/>
      <c r="J64" s="248" t="str">
        <f>Badges!C128</f>
        <v>Make World Thinking Day cards</v>
      </c>
      <c r="K64" s="250" t="str">
        <f>IF(Badges!F128="A","A","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IF(Badges!F129="A","A"," ")</f>
        <v xml:space="preserve"> </v>
      </c>
      <c r="M65" s="247"/>
      <c r="N65" s="248" t="str">
        <f>Badges!C223</f>
        <v>If you're considering serveral</v>
      </c>
      <c r="O65" s="250" t="str">
        <f>IF(Badges!F223="A","A","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IF(Badges!F225="A","A","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515"/>
      <c r="G72" s="515"/>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Own'!F28="C","C",IF('Council Own'!F28="P","P",""))</f>
        <v/>
      </c>
      <c r="E73" s="493" t="str">
        <f>'Fun Patches'!C5</f>
        <v>&lt;LIST PATCH HERE&gt;</v>
      </c>
      <c r="F73" s="494"/>
      <c r="G73" s="250" t="str">
        <f>IF('Fun Patches'!F5="A","A","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Own'!F52="C","C",IF('Council Own'!F52="P","P",""))</f>
        <v/>
      </c>
      <c r="E74" s="471" t="str">
        <f>'Fun Patches'!C6</f>
        <v>&lt;LIST PATCH HERE&gt;</v>
      </c>
      <c r="F74" s="472"/>
      <c r="G74" s="257" t="str">
        <f>IF('Fun Patches'!F6="A","A"," ")</f>
        <v xml:space="preserve"> </v>
      </c>
      <c r="H74" s="254"/>
      <c r="I74" s="247">
        <v>1</v>
      </c>
      <c r="J74" s="344" t="str">
        <f>'Council Own'!C7</f>
        <v>&lt;List Requirement Here&gt;</v>
      </c>
      <c r="K74" s="257" t="str">
        <f>IF('Council Own'!F7="A","A"," ")</f>
        <v xml:space="preserve"> </v>
      </c>
      <c r="L74" s="254"/>
      <c r="M74" s="247">
        <v>1</v>
      </c>
      <c r="N74" s="344" t="str">
        <f>'Council Own'!C55</f>
        <v>&lt;List Requirement Here&gt;</v>
      </c>
      <c r="O74" s="257" t="str">
        <f>IF('Council Own'!F55="A","A"," ")</f>
        <v xml:space="preserve"> </v>
      </c>
      <c r="Q74" s="247">
        <v>1</v>
      </c>
      <c r="R74" s="344" t="str">
        <f>'Council Own'!C103</f>
        <v>&lt;List Requirement Here&gt;</v>
      </c>
      <c r="S74" s="257" t="str">
        <f>IF('Council Own'!F103="A","A"," ")</f>
        <v xml:space="preserve"> </v>
      </c>
    </row>
    <row r="75" spans="1:19" x14ac:dyDescent="0.2">
      <c r="A75" s="485" t="str">
        <f>'Council Own'!B54</f>
        <v>&lt;&lt;List Badge Here&gt;&gt;</v>
      </c>
      <c r="B75" s="486"/>
      <c r="C75" s="252" t="str">
        <f>IF('Council Own'!F76="C","C",IF('Council Own'!F76="P","P",""))</f>
        <v/>
      </c>
      <c r="E75" s="471" t="str">
        <f>'Fun Patches'!C7</f>
        <v>&lt;LIST PATCH HERE&gt;</v>
      </c>
      <c r="F75" s="472"/>
      <c r="G75" s="257" t="str">
        <f>IF('Fun Patches'!F7="A","A"," ")</f>
        <v xml:space="preserve"> </v>
      </c>
      <c r="H75" s="254"/>
      <c r="I75" s="247"/>
      <c r="J75" s="344" t="str">
        <f>'Council Own'!C8</f>
        <v>&lt;List Requirement Here&gt;</v>
      </c>
      <c r="K75" s="257" t="str">
        <f>IF('Council Own'!F8="A","A"," ")</f>
        <v xml:space="preserve"> </v>
      </c>
      <c r="L75" s="254"/>
      <c r="M75" s="247"/>
      <c r="N75" s="344" t="str">
        <f>'Council Own'!C56</f>
        <v>&lt;List Requirement Here&gt;</v>
      </c>
      <c r="O75" s="257" t="str">
        <f>IF('Council Own'!F56="A","A"," ")</f>
        <v xml:space="preserve"> </v>
      </c>
      <c r="Q75" s="247"/>
      <c r="R75" s="344" t="str">
        <f>'Council Own'!C104</f>
        <v>&lt;List Requirement Here&gt;</v>
      </c>
      <c r="S75" s="257" t="str">
        <f>IF('Council Own'!F104="A","A"," ")</f>
        <v xml:space="preserve"> </v>
      </c>
    </row>
    <row r="76" spans="1:19" x14ac:dyDescent="0.2">
      <c r="A76" s="485" t="str">
        <f>'Council Own'!B78</f>
        <v>&lt;&lt;List Badge Here&gt;&gt;</v>
      </c>
      <c r="B76" s="486"/>
      <c r="C76" s="252" t="str">
        <f>IF('Council Own'!F100="C","C",IF('Council Own'!F100="P","P",""))</f>
        <v/>
      </c>
      <c r="E76" s="471" t="str">
        <f>'Fun Patches'!C8</f>
        <v>&lt;LIST PATCH HERE&gt;</v>
      </c>
      <c r="F76" s="472"/>
      <c r="G76" s="257" t="str">
        <f>IF('Fun Patches'!F8="A","A"," ")</f>
        <v xml:space="preserve"> </v>
      </c>
      <c r="H76" s="254"/>
      <c r="I76" s="247"/>
      <c r="J76" s="344" t="str">
        <f>'Council Own'!C9</f>
        <v>&lt;List Requirement Here&gt;</v>
      </c>
      <c r="K76" s="257" t="str">
        <f>IF('Council Own'!F9="A","A"," ")</f>
        <v xml:space="preserve"> </v>
      </c>
      <c r="L76" s="254"/>
      <c r="M76" s="247"/>
      <c r="N76" s="344" t="str">
        <f>'Council Own'!C57</f>
        <v>&lt;List Requirement Here&gt;</v>
      </c>
      <c r="O76" s="257" t="str">
        <f>IF('Council Own'!F57="A","A"," ")</f>
        <v xml:space="preserve"> </v>
      </c>
      <c r="Q76" s="247"/>
      <c r="R76" s="344" t="str">
        <f>'Council Own'!C105</f>
        <v>&lt;List Requirement Here&gt;</v>
      </c>
      <c r="S76" s="257" t="str">
        <f>IF('Council Own'!F105="A","A"," ")</f>
        <v xml:space="preserve"> </v>
      </c>
    </row>
    <row r="77" spans="1:19" x14ac:dyDescent="0.2">
      <c r="A77" s="485" t="str">
        <f>'Council Own'!B102</f>
        <v>&lt;&lt;List Badge Here&gt;&gt;</v>
      </c>
      <c r="B77" s="486"/>
      <c r="C77" s="252" t="str">
        <f>IF('Council Own'!F124="C","C",IF('Council Own'!F124="P","P",""))</f>
        <v/>
      </c>
      <c r="E77" s="471" t="str">
        <f>'Fun Patches'!C9</f>
        <v>&lt;LIST PATCH HERE&gt;</v>
      </c>
      <c r="F77" s="472"/>
      <c r="G77" s="257" t="str">
        <f>IF('Fun Patches'!F9="A","A"," ")</f>
        <v xml:space="preserve"> </v>
      </c>
      <c r="H77" s="254"/>
      <c r="I77" s="247"/>
      <c r="J77" s="344" t="str">
        <f>'Council Own'!C10</f>
        <v>&lt;List Requirement Here&gt;</v>
      </c>
      <c r="K77" s="257" t="str">
        <f>IF('Council Own'!F10="A","A"," ")</f>
        <v xml:space="preserve"> </v>
      </c>
      <c r="L77" s="254"/>
      <c r="M77" s="247"/>
      <c r="N77" s="344" t="str">
        <f>'Council Own'!C58</f>
        <v>&lt;List Requirement Here&gt;</v>
      </c>
      <c r="O77" s="257" t="str">
        <f>IF('Council Own'!F58="A","A"," ")</f>
        <v xml:space="preserve"> </v>
      </c>
      <c r="Q77" s="247"/>
      <c r="R77" s="344" t="str">
        <f>'Council Own'!C106</f>
        <v>&lt;List Requirement Here&gt;</v>
      </c>
      <c r="S77" s="257" t="str">
        <f>IF('Council Own'!F106="A","A"," ")</f>
        <v xml:space="preserve"> </v>
      </c>
    </row>
    <row r="78" spans="1:19" x14ac:dyDescent="0.2">
      <c r="A78" s="485" t="str">
        <f>'Council Own'!B126</f>
        <v>&lt;&lt;List Badge Here&gt;&gt;</v>
      </c>
      <c r="B78" s="486"/>
      <c r="C78" s="252" t="str">
        <f>IF('Council Own'!F148="C","C",IF('Council Own'!F148="P","P",""))</f>
        <v/>
      </c>
      <c r="E78" s="471" t="str">
        <f>'Fun Patches'!C10</f>
        <v>&lt;LIST PATCH HERE&gt;</v>
      </c>
      <c r="F78" s="472"/>
      <c r="G78" s="257" t="str">
        <f>IF('Fun Patches'!F10="A","A"," ")</f>
        <v xml:space="preserve"> </v>
      </c>
      <c r="I78" s="247">
        <v>2</v>
      </c>
      <c r="J78" s="344" t="str">
        <f>'Council Own'!C11</f>
        <v>&lt;List Requirement Here&gt;</v>
      </c>
      <c r="K78" s="257" t="str">
        <f>IF('Council Own'!F11="A","A"," ")</f>
        <v xml:space="preserve"> </v>
      </c>
      <c r="M78" s="247">
        <v>2</v>
      </c>
      <c r="N78" s="344" t="str">
        <f>'Council Own'!C59</f>
        <v>&lt;List Requirement Here&gt;</v>
      </c>
      <c r="O78" s="257" t="str">
        <f>IF('Council Own'!F59="A","A"," ")</f>
        <v xml:space="preserve"> </v>
      </c>
      <c r="Q78" s="247">
        <v>2</v>
      </c>
      <c r="R78" s="344" t="str">
        <f>'Council Own'!C107</f>
        <v>&lt;List Requirement Here&gt;</v>
      </c>
      <c r="S78" s="257" t="str">
        <f>IF('Council Own'!F107="A","A"," ")</f>
        <v xml:space="preserve"> </v>
      </c>
    </row>
    <row r="79" spans="1:19" x14ac:dyDescent="0.2">
      <c r="E79" s="471" t="str">
        <f>'Fun Patches'!C11</f>
        <v>&lt;LIST PATCH HERE&gt;</v>
      </c>
      <c r="F79" s="472"/>
      <c r="G79" s="257" t="str">
        <f>IF('Fun Patches'!F11="A","A"," ")</f>
        <v xml:space="preserve"> </v>
      </c>
      <c r="I79" s="247"/>
      <c r="J79" s="344" t="str">
        <f>'Council Own'!C12</f>
        <v>&lt;List Requirement Here&gt;</v>
      </c>
      <c r="K79" s="257" t="str">
        <f>IF('Council Own'!F12="A","A"," ")</f>
        <v xml:space="preserve"> </v>
      </c>
      <c r="M79" s="247"/>
      <c r="N79" s="344" t="str">
        <f>'Council Own'!C60</f>
        <v>&lt;List Requirement Here&gt;</v>
      </c>
      <c r="O79" s="257" t="str">
        <f>IF('Council Own'!F60="A","A"," ")</f>
        <v xml:space="preserve"> </v>
      </c>
      <c r="Q79" s="247"/>
      <c r="R79" s="344" t="str">
        <f>'Council Own'!C108</f>
        <v>&lt;List Requirement Here&gt;</v>
      </c>
      <c r="S79" s="257" t="str">
        <f>IF('Council Own'!F108="A","A"," ")</f>
        <v xml:space="preserve"> </v>
      </c>
    </row>
    <row r="80" spans="1:19" x14ac:dyDescent="0.2">
      <c r="E80" s="471" t="str">
        <f>'Fun Patches'!C12</f>
        <v>&lt;LIST PATCH HERE&gt;</v>
      </c>
      <c r="F80" s="472"/>
      <c r="G80" s="257" t="str">
        <f>IF('Fun Patches'!F12="A","A"," ")</f>
        <v xml:space="preserve"> </v>
      </c>
      <c r="I80" s="247"/>
      <c r="J80" s="344" t="str">
        <f>'Council Own'!C13</f>
        <v>&lt;List Requirement Here&gt;</v>
      </c>
      <c r="K80" s="257" t="str">
        <f>IF('Council Own'!F13="A","A"," ")</f>
        <v xml:space="preserve"> </v>
      </c>
      <c r="M80" s="247"/>
      <c r="N80" s="344" t="str">
        <f>'Council Own'!C61</f>
        <v>&lt;List Requirement Here&gt;</v>
      </c>
      <c r="O80" s="257" t="str">
        <f>IF('Council Own'!F61="A","A"," ")</f>
        <v xml:space="preserve"> </v>
      </c>
      <c r="Q80" s="247"/>
      <c r="R80" s="344" t="str">
        <f>'Council Own'!C109</f>
        <v>&lt;List Requirement Here&gt;</v>
      </c>
      <c r="S80" s="257" t="str">
        <f>IF('Council Own'!F109="A","A"," ")</f>
        <v xml:space="preserve"> </v>
      </c>
    </row>
    <row r="81" spans="1:22" x14ac:dyDescent="0.2">
      <c r="E81" s="471" t="str">
        <f>'Fun Patches'!C13</f>
        <v>&lt;LIST PATCH HERE&gt;</v>
      </c>
      <c r="F81" s="472"/>
      <c r="G81" s="257" t="str">
        <f>IF('Fun Patches'!F13="A","A"," ")</f>
        <v xml:space="preserve"> </v>
      </c>
      <c r="I81" s="247"/>
      <c r="J81" s="344" t="str">
        <f>'Council Own'!C14</f>
        <v>&lt;List Requirement Here&gt;</v>
      </c>
      <c r="K81" s="257" t="str">
        <f>IF('Council Own'!F14="A","A"," ")</f>
        <v xml:space="preserve"> </v>
      </c>
      <c r="M81" s="247"/>
      <c r="N81" s="344" t="str">
        <f>'Council Own'!C62</f>
        <v>&lt;List Requirement Here&gt;</v>
      </c>
      <c r="O81" s="257" t="str">
        <f>IF('Council Own'!F62="A","A"," ")</f>
        <v xml:space="preserve"> </v>
      </c>
      <c r="Q81" s="247"/>
      <c r="R81" s="344" t="str">
        <f>'Council Own'!C110</f>
        <v>&lt;List Requirement Here&gt;</v>
      </c>
      <c r="S81" s="257" t="str">
        <f>IF('Council Own'!F110="A","A"," ")</f>
        <v xml:space="preserve"> </v>
      </c>
    </row>
    <row r="82" spans="1:22" x14ac:dyDescent="0.2">
      <c r="E82" s="471" t="str">
        <f>'Fun Patches'!C14</f>
        <v>&lt;LIST PATCH HERE&gt;</v>
      </c>
      <c r="F82" s="472"/>
      <c r="G82" s="257" t="str">
        <f>IF('Fun Patches'!F14="A","A"," ")</f>
        <v xml:space="preserve"> </v>
      </c>
      <c r="I82" s="247">
        <v>3</v>
      </c>
      <c r="J82" s="344" t="str">
        <f>'Council Own'!C15</f>
        <v>&lt;List Requirement Here&gt;</v>
      </c>
      <c r="K82" s="257" t="str">
        <f>IF('Council Own'!F15="A","A"," ")</f>
        <v xml:space="preserve"> </v>
      </c>
      <c r="M82" s="247">
        <v>3</v>
      </c>
      <c r="N82" s="344" t="str">
        <f>'Council Own'!C63</f>
        <v>&lt;List Requirement Here&gt;</v>
      </c>
      <c r="O82" s="257" t="str">
        <f>IF('Council Own'!F63="A","A"," ")</f>
        <v xml:space="preserve"> </v>
      </c>
      <c r="Q82" s="247">
        <v>3</v>
      </c>
      <c r="R82" s="344" t="str">
        <f>'Council Own'!C111</f>
        <v>&lt;List Requirement Here&gt;</v>
      </c>
      <c r="S82" s="257" t="str">
        <f>IF('Council Own'!F111="A","A"," ")</f>
        <v xml:space="preserve"> </v>
      </c>
    </row>
    <row r="83" spans="1:22" x14ac:dyDescent="0.2">
      <c r="E83" s="471" t="str">
        <f>'Fun Patches'!C15</f>
        <v>&lt;LIST PATCH HERE&gt;</v>
      </c>
      <c r="F83" s="472"/>
      <c r="G83" s="257" t="str">
        <f>IF('Fun Patches'!F15="A","A"," ")</f>
        <v xml:space="preserve"> </v>
      </c>
      <c r="I83" s="247"/>
      <c r="J83" s="344" t="str">
        <f>'Council Own'!C16</f>
        <v>&lt;List Requirement Here&gt;</v>
      </c>
      <c r="K83" s="257" t="str">
        <f>IF('Council Own'!F16="A","A"," ")</f>
        <v xml:space="preserve"> </v>
      </c>
      <c r="M83" s="247"/>
      <c r="N83" s="344" t="str">
        <f>'Council Own'!C64</f>
        <v>&lt;List Requirement Here&gt;</v>
      </c>
      <c r="O83" s="257" t="str">
        <f>IF('Council Own'!F64="A","A"," ")</f>
        <v xml:space="preserve"> </v>
      </c>
      <c r="Q83" s="247"/>
      <c r="R83" s="344" t="str">
        <f>'Council Own'!C112</f>
        <v>&lt;List Requirement Here&gt;</v>
      </c>
      <c r="S83" s="257" t="str">
        <f>IF('Council Own'!F112="A","A"," ")</f>
        <v xml:space="preserve"> </v>
      </c>
    </row>
    <row r="84" spans="1:22" x14ac:dyDescent="0.2">
      <c r="E84" s="471" t="str">
        <f>'Fun Patches'!C16</f>
        <v>&lt;LIST PATCH HERE&gt;</v>
      </c>
      <c r="F84" s="472"/>
      <c r="G84" s="257" t="str">
        <f>IF('Fun Patches'!F16="A","A"," ")</f>
        <v xml:space="preserve"> </v>
      </c>
      <c r="I84" s="247"/>
      <c r="J84" s="344" t="str">
        <f>'Council Own'!C17</f>
        <v>&lt;List Requirement Here&gt;</v>
      </c>
      <c r="K84" s="257" t="str">
        <f>IF('Council Own'!F17="A","A"," ")</f>
        <v xml:space="preserve"> </v>
      </c>
      <c r="M84" s="247"/>
      <c r="N84" s="344" t="str">
        <f>'Council Own'!C65</f>
        <v>&lt;List Requirement Here&gt;</v>
      </c>
      <c r="O84" s="257" t="str">
        <f>IF('Council Own'!F65="A","A"," ")</f>
        <v xml:space="preserve"> </v>
      </c>
      <c r="Q84" s="247"/>
      <c r="R84" s="344" t="str">
        <f>'Council Own'!C113</f>
        <v>&lt;List Requirement Here&gt;</v>
      </c>
      <c r="S84" s="257" t="str">
        <f>IF('Council Own'!F113="A","A"," ")</f>
        <v xml:space="preserve"> </v>
      </c>
    </row>
    <row r="85" spans="1:22" x14ac:dyDescent="0.2">
      <c r="E85" s="493" t="str">
        <f>'Fun Patches'!C17</f>
        <v>&lt;LIST PATCH HERE&gt;</v>
      </c>
      <c r="F85" s="494"/>
      <c r="G85" s="250" t="str">
        <f>IF('Fun Patches'!F17="A","A"," ")</f>
        <v xml:space="preserve"> </v>
      </c>
      <c r="I85" s="247"/>
      <c r="J85" s="344" t="str">
        <f>'Council Own'!C18</f>
        <v>&lt;List Requirement Here&gt;</v>
      </c>
      <c r="K85" s="257" t="str">
        <f>IF('Council Own'!F18="A","A"," ")</f>
        <v xml:space="preserve"> </v>
      </c>
      <c r="M85" s="247"/>
      <c r="N85" s="344" t="str">
        <f>'Council Own'!C66</f>
        <v>&lt;List Requirement Here&gt;</v>
      </c>
      <c r="O85" s="257" t="str">
        <f>IF('Council Own'!F66="A","A"," ")</f>
        <v xml:space="preserve"> </v>
      </c>
      <c r="Q85" s="247"/>
      <c r="R85" s="344" t="str">
        <f>'Council Own'!C114</f>
        <v>&lt;List Requirement Here&gt;</v>
      </c>
      <c r="S85" s="257" t="str">
        <f>IF('Council Own'!F114="A","A"," ")</f>
        <v xml:space="preserve"> </v>
      </c>
    </row>
    <row r="86" spans="1:22" x14ac:dyDescent="0.2">
      <c r="A86" s="242"/>
      <c r="B86" s="243"/>
      <c r="C86" s="244"/>
      <c r="E86" s="471" t="str">
        <f>'Fun Patches'!C18</f>
        <v>&lt;LIST PATCH HERE&gt;</v>
      </c>
      <c r="F86" s="472"/>
      <c r="G86" s="257" t="str">
        <f>IF('Fun Patches'!F18="A","A"," ")</f>
        <v xml:space="preserve"> </v>
      </c>
      <c r="I86" s="247">
        <v>4</v>
      </c>
      <c r="J86" s="344" t="str">
        <f>'Council Own'!C19</f>
        <v>&lt;List Requirement Here&gt;</v>
      </c>
      <c r="K86" s="257" t="str">
        <f>IF('Council Own'!F19="A","A"," ")</f>
        <v xml:space="preserve"> </v>
      </c>
      <c r="M86" s="247">
        <v>4</v>
      </c>
      <c r="N86" s="344" t="str">
        <f>'Council Own'!C67</f>
        <v>&lt;List Requirement Here&gt;</v>
      </c>
      <c r="O86" s="257" t="str">
        <f>IF('Council Own'!F67="A","A"," ")</f>
        <v xml:space="preserve"> </v>
      </c>
      <c r="Q86" s="247">
        <v>4</v>
      </c>
      <c r="R86" s="344" t="str">
        <f>'Council Own'!C115</f>
        <v>&lt;List Requirement Here&gt;</v>
      </c>
      <c r="S86" s="257" t="str">
        <f>IF('Council Own'!F115="A","A"," ")</f>
        <v xml:space="preserve"> </v>
      </c>
    </row>
    <row r="87" spans="1:22" x14ac:dyDescent="0.2">
      <c r="E87" s="471" t="str">
        <f>'Fun Patches'!C19</f>
        <v>&lt;LIST PATCH HERE&gt;</v>
      </c>
      <c r="F87" s="472"/>
      <c r="G87" s="257" t="str">
        <f>IF('Fun Patches'!F19="A","A"," ")</f>
        <v xml:space="preserve"> </v>
      </c>
      <c r="I87" s="247"/>
      <c r="J87" s="344" t="str">
        <f>'Council Own'!C20</f>
        <v>&lt;List Requirement Here&gt;</v>
      </c>
      <c r="K87" s="257" t="str">
        <f>IF('Council Own'!F20="A","A"," ")</f>
        <v xml:space="preserve"> </v>
      </c>
      <c r="M87" s="247"/>
      <c r="N87" s="344" t="str">
        <f>'Council Own'!C68</f>
        <v>&lt;List Requirement Here&gt;</v>
      </c>
      <c r="O87" s="257" t="str">
        <f>IF('Council Own'!F68="A","A"," ")</f>
        <v xml:space="preserve"> </v>
      </c>
      <c r="Q87" s="247"/>
      <c r="R87" s="344" t="str">
        <f>'Council Own'!C116</f>
        <v>&lt;List Requirement Here&gt;</v>
      </c>
      <c r="S87" s="257" t="str">
        <f>IF('Council Own'!F116="A","A"," ")</f>
        <v xml:space="preserve"> </v>
      </c>
    </row>
    <row r="88" spans="1:22" x14ac:dyDescent="0.2">
      <c r="E88" s="471" t="str">
        <f>'Fun Patches'!C20</f>
        <v>&lt;LIST PATCH HERE&gt;</v>
      </c>
      <c r="F88" s="472"/>
      <c r="G88" s="257" t="str">
        <f>IF('Fun Patches'!F20="A","A"," ")</f>
        <v xml:space="preserve"> </v>
      </c>
      <c r="I88" s="247"/>
      <c r="J88" s="344" t="str">
        <f>'Council Own'!C21</f>
        <v>&lt;List Requirement Here&gt;</v>
      </c>
      <c r="K88" s="257" t="str">
        <f>IF('Council Own'!F21="A","A"," ")</f>
        <v xml:space="preserve"> </v>
      </c>
      <c r="M88" s="247"/>
      <c r="N88" s="344" t="str">
        <f>'Council Own'!C69</f>
        <v>&lt;List Requirement Here&gt;</v>
      </c>
      <c r="O88" s="257" t="str">
        <f>IF('Council Own'!F69="A","A"," ")</f>
        <v xml:space="preserve"> </v>
      </c>
      <c r="Q88" s="247"/>
      <c r="R88" s="344" t="str">
        <f>'Council Own'!C117</f>
        <v>&lt;List Requirement Here&gt;</v>
      </c>
      <c r="S88" s="257" t="str">
        <f>IF('Council Own'!F117="A","A"," ")</f>
        <v xml:space="preserve"> </v>
      </c>
    </row>
    <row r="89" spans="1:22" x14ac:dyDescent="0.2">
      <c r="E89" s="471" t="str">
        <f>'Fun Patches'!C21</f>
        <v>&lt;LIST PATCH HERE&gt;</v>
      </c>
      <c r="F89" s="472"/>
      <c r="G89" s="257" t="str">
        <f>IF('Fun Patches'!F21="A","A"," ")</f>
        <v xml:space="preserve"> </v>
      </c>
      <c r="I89" s="247"/>
      <c r="J89" s="344" t="str">
        <f>'Council Own'!C22</f>
        <v>&lt;List Requirement Here&gt;</v>
      </c>
      <c r="K89" s="257" t="str">
        <f>IF('Council Own'!F22="A","A"," ")</f>
        <v xml:space="preserve"> </v>
      </c>
      <c r="M89" s="247"/>
      <c r="N89" s="344" t="str">
        <f>'Council Own'!C70</f>
        <v>&lt;List Requirement Here&gt;</v>
      </c>
      <c r="O89" s="257" t="str">
        <f>IF('Council Own'!F70="A","A"," ")</f>
        <v xml:space="preserve"> </v>
      </c>
      <c r="Q89" s="247"/>
      <c r="R89" s="344" t="str">
        <f>'Council Own'!C118</f>
        <v>&lt;List Requirement Here&gt;</v>
      </c>
      <c r="S89" s="257" t="str">
        <f>IF('Council Own'!F118="A","A"," ")</f>
        <v xml:space="preserve"> </v>
      </c>
    </row>
    <row r="90" spans="1:22" x14ac:dyDescent="0.2">
      <c r="E90" s="471" t="str">
        <f>'Fun Patches'!C22</f>
        <v>&lt;LIST PATCH HERE&gt;</v>
      </c>
      <c r="F90" s="472"/>
      <c r="G90" s="257" t="str">
        <f>IF('Fun Patches'!F22="A","A"," ")</f>
        <v xml:space="preserve"> </v>
      </c>
      <c r="I90" s="247">
        <v>5</v>
      </c>
      <c r="J90" s="344" t="str">
        <f>'Council Own'!C23</f>
        <v>&lt;List Requirement Here&gt;</v>
      </c>
      <c r="K90" s="257" t="str">
        <f>IF('Council Own'!F23="A","A"," ")</f>
        <v xml:space="preserve"> </v>
      </c>
      <c r="M90" s="247">
        <v>5</v>
      </c>
      <c r="N90" s="344" t="str">
        <f>'Council Own'!C71</f>
        <v>&lt;List Requirement Here&gt;</v>
      </c>
      <c r="O90" s="257" t="str">
        <f>IF('Council Own'!F71="A","A"," ")</f>
        <v xml:space="preserve"> </v>
      </c>
      <c r="Q90" s="247">
        <v>5</v>
      </c>
      <c r="R90" s="344" t="str">
        <f>'Council Own'!C119</f>
        <v>&lt;List Requirement Here&gt;</v>
      </c>
      <c r="S90" s="257" t="str">
        <f>IF('Council Own'!F119="A","A"," ")</f>
        <v xml:space="preserve"> </v>
      </c>
    </row>
    <row r="91" spans="1:22" x14ac:dyDescent="0.2">
      <c r="E91" s="471" t="str">
        <f>'Fun Patches'!C23</f>
        <v>&lt;LIST PATCH HERE&gt;</v>
      </c>
      <c r="F91" s="472"/>
      <c r="G91" s="257" t="str">
        <f>IF('Fun Patches'!F23="A","A"," ")</f>
        <v xml:space="preserve"> </v>
      </c>
      <c r="I91" s="247"/>
      <c r="J91" s="344" t="str">
        <f>'Council Own'!C24</f>
        <v>&lt;List Requirement Here&gt;</v>
      </c>
      <c r="K91" s="257" t="str">
        <f>IF('Council Own'!F24="A","A"," ")</f>
        <v xml:space="preserve"> </v>
      </c>
      <c r="M91" s="247"/>
      <c r="N91" s="344" t="str">
        <f>'Council Own'!C72</f>
        <v>&lt;List Requirement Here&gt;</v>
      </c>
      <c r="O91" s="257" t="str">
        <f>IF('Council Own'!F72="A","A"," ")</f>
        <v xml:space="preserve"> </v>
      </c>
      <c r="Q91" s="247"/>
      <c r="R91" s="344" t="str">
        <f>'Council Own'!C120</f>
        <v>&lt;List Requirement Here&gt;</v>
      </c>
      <c r="S91" s="257" t="str">
        <f>IF('Council Own'!F120="A","A"," ")</f>
        <v xml:space="preserve"> </v>
      </c>
    </row>
    <row r="92" spans="1:22" x14ac:dyDescent="0.2">
      <c r="E92" s="471" t="str">
        <f>'Fun Patches'!C24</f>
        <v>&lt;LIST PATCH HERE&gt;</v>
      </c>
      <c r="F92" s="472"/>
      <c r="G92" s="257" t="str">
        <f>IF('Fun Patches'!F24="A","A"," ")</f>
        <v xml:space="preserve"> </v>
      </c>
      <c r="I92" s="247"/>
      <c r="J92" s="344" t="str">
        <f>'Council Own'!C25</f>
        <v>&lt;List Requirement Here&gt;</v>
      </c>
      <c r="K92" s="257" t="str">
        <f>IF('Council Own'!F25="A","A"," ")</f>
        <v xml:space="preserve"> </v>
      </c>
      <c r="M92" s="247"/>
      <c r="N92" s="344" t="str">
        <f>'Council Own'!C73</f>
        <v>&lt;List Requirement Here&gt;</v>
      </c>
      <c r="O92" s="257" t="str">
        <f>IF('Council Own'!F73="A","A"," ")</f>
        <v xml:space="preserve"> </v>
      </c>
      <c r="Q92" s="247"/>
      <c r="R92" s="344" t="str">
        <f>'Council Own'!C121</f>
        <v>&lt;List Requirement Here&gt;</v>
      </c>
      <c r="S92" s="257" t="str">
        <f>IF('Council Own'!F121="A","A"," ")</f>
        <v xml:space="preserve"> </v>
      </c>
    </row>
    <row r="93" spans="1:22" x14ac:dyDescent="0.2">
      <c r="E93" s="471" t="str">
        <f>'Fun Patches'!C25</f>
        <v>&lt;LIST PATCH HERE&gt;</v>
      </c>
      <c r="F93" s="472"/>
      <c r="G93" s="257" t="str">
        <f>IF('Fun Patches'!F25="A","A"," ")</f>
        <v xml:space="preserve"> </v>
      </c>
      <c r="I93" s="247"/>
      <c r="J93" s="344" t="str">
        <f>'Council Own'!C26</f>
        <v>&lt;List Requirement Here&gt;</v>
      </c>
      <c r="K93" s="257" t="str">
        <f>IF('Council Own'!F26="A","A"," ")</f>
        <v xml:space="preserve"> </v>
      </c>
      <c r="M93" s="247"/>
      <c r="N93" s="344" t="str">
        <f>'Council Own'!C74</f>
        <v>&lt;List Requirement Here&gt;</v>
      </c>
      <c r="O93" s="257" t="str">
        <f>IF('Council Own'!F68="A","A"," ")</f>
        <v xml:space="preserve"> </v>
      </c>
      <c r="Q93" s="247"/>
      <c r="R93" s="344" t="str">
        <f>'Council Own'!C122</f>
        <v>&lt;List Requirement Here&gt;</v>
      </c>
      <c r="S93" s="257" t="str">
        <f>IF('Council Own'!F122="A","A"," ")</f>
        <v xml:space="preserve"> </v>
      </c>
    </row>
    <row r="94" spans="1:22" x14ac:dyDescent="0.2">
      <c r="E94" s="471" t="str">
        <f>'Fun Patches'!C26</f>
        <v>&lt;LIST PATCH HERE&gt;</v>
      </c>
      <c r="F94" s="472"/>
      <c r="G94" s="257" t="str">
        <f>IF('Fun Patches'!F26="A","A","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Patches'!F27="A","A"," ")</f>
        <v xml:space="preserve"> </v>
      </c>
      <c r="I95" s="247">
        <v>1</v>
      </c>
      <c r="J95" s="344" t="str">
        <f>'Council Own'!C31</f>
        <v>&lt;List Requirement Here&gt;</v>
      </c>
      <c r="K95" s="257" t="str">
        <f>IF('Council Own'!F31="A","A"," ")</f>
        <v xml:space="preserve"> </v>
      </c>
      <c r="M95" s="247">
        <v>1</v>
      </c>
      <c r="N95" s="344" t="str">
        <f>'Council Own'!C79</f>
        <v>&lt;List Requirement Here&gt;</v>
      </c>
      <c r="O95" s="257" t="str">
        <f>IF('Council Own'!F79="A","A"," ")</f>
        <v xml:space="preserve"> </v>
      </c>
      <c r="Q95" s="247">
        <v>1</v>
      </c>
      <c r="R95" s="344" t="str">
        <f>'Council Own'!C127</f>
        <v>&lt;List Requirement Here&gt;</v>
      </c>
      <c r="S95" s="257" t="str">
        <f>IF('Council Own'!F127="A","A"," ")</f>
        <v xml:space="preserve"> </v>
      </c>
    </row>
    <row r="96" spans="1:22" x14ac:dyDescent="0.2">
      <c r="E96" s="471" t="str">
        <f>'Fun Patches'!C28</f>
        <v>&lt;LIST PATCH HERE&gt;</v>
      </c>
      <c r="F96" s="472"/>
      <c r="G96" s="257" t="str">
        <f>IF('Fun Patches'!F28="A","A"," ")</f>
        <v xml:space="preserve"> </v>
      </c>
      <c r="I96" s="247"/>
      <c r="J96" s="344" t="str">
        <f>'Council Own'!C32</f>
        <v>&lt;List Requirement Here&gt;</v>
      </c>
      <c r="K96" s="257" t="str">
        <f>IF('Council Own'!F32="A","A"," ")</f>
        <v xml:space="preserve"> </v>
      </c>
      <c r="M96" s="247"/>
      <c r="N96" s="344" t="str">
        <f>'Council Own'!C80</f>
        <v>&lt;List Requirement Here&gt;</v>
      </c>
      <c r="O96" s="257" t="str">
        <f>IF('Council Own'!F80="A","A"," ")</f>
        <v xml:space="preserve"> </v>
      </c>
      <c r="Q96" s="247"/>
      <c r="R96" s="344" t="str">
        <f>'Council Own'!C128</f>
        <v>&lt;List Requirement Here&gt;</v>
      </c>
      <c r="S96" s="257" t="str">
        <f>IF('Council Own'!F128="A","A"," ")</f>
        <v xml:space="preserve"> </v>
      </c>
      <c r="U96" s="245"/>
      <c r="V96" s="245"/>
    </row>
    <row r="97" spans="1:23" x14ac:dyDescent="0.2">
      <c r="E97" s="471" t="str">
        <f>'Fun Patches'!C29</f>
        <v>&lt;LIST PATCH HERE&gt;</v>
      </c>
      <c r="F97" s="472"/>
      <c r="G97" s="257" t="str">
        <f>IF('Fun Patches'!F29="A","A"," ")</f>
        <v xml:space="preserve"> </v>
      </c>
      <c r="I97" s="247"/>
      <c r="J97" s="344" t="str">
        <f>'Council Own'!C33</f>
        <v>&lt;List Requirement Here&gt;</v>
      </c>
      <c r="K97" s="257" t="str">
        <f>IF('Council Own'!F33="A","A"," ")</f>
        <v xml:space="preserve"> </v>
      </c>
      <c r="M97" s="247"/>
      <c r="N97" s="344" t="str">
        <f>'Council Own'!C81</f>
        <v>&lt;List Requirement Here&gt;</v>
      </c>
      <c r="O97" s="257" t="str">
        <f>IF('Council Own'!F81="A","A"," ")</f>
        <v xml:space="preserve"> </v>
      </c>
      <c r="Q97" s="247"/>
      <c r="R97" s="344" t="str">
        <f>'Council Own'!C129</f>
        <v>&lt;List Requirement Here&gt;</v>
      </c>
      <c r="S97" s="257" t="str">
        <f>IF('Council Own'!F129="A","A"," ")</f>
        <v xml:space="preserve"> </v>
      </c>
      <c r="U97" s="245"/>
      <c r="V97" s="245"/>
    </row>
    <row r="98" spans="1:23" x14ac:dyDescent="0.2">
      <c r="A98" s="484" t="s">
        <v>75</v>
      </c>
      <c r="B98" s="513"/>
      <c r="C98" s="513"/>
      <c r="E98" s="471" t="str">
        <f>'Fun Patches'!C30</f>
        <v>&lt;LIST PATCH HERE&gt;</v>
      </c>
      <c r="F98" s="472"/>
      <c r="G98" s="257" t="str">
        <f>IF('Fun Patches'!F30="A","A"," ")</f>
        <v xml:space="preserve"> </v>
      </c>
      <c r="I98" s="247"/>
      <c r="J98" s="344" t="str">
        <f>'Council Own'!C34</f>
        <v>&lt;List Requirement Here&gt;</v>
      </c>
      <c r="K98" s="257" t="str">
        <f>IF('Council Own'!F34="A","A"," ")</f>
        <v xml:space="preserve"> </v>
      </c>
      <c r="M98" s="247"/>
      <c r="N98" s="344" t="str">
        <f>'Council Own'!C82</f>
        <v>&lt;List Requirement Here&gt;</v>
      </c>
      <c r="O98" s="257" t="str">
        <f>IF('Council Own'!F82="A","A"," ")</f>
        <v xml:space="preserve"> </v>
      </c>
      <c r="Q98" s="247"/>
      <c r="R98" s="344" t="str">
        <f>'Council Own'!C130</f>
        <v>&lt;List Requirement Here&gt;</v>
      </c>
      <c r="S98" s="257" t="str">
        <f>IF('Council Own'!F130="A","A"," ")</f>
        <v xml:space="preserve"> </v>
      </c>
      <c r="U98" s="245"/>
      <c r="V98" s="245"/>
    </row>
    <row r="99" spans="1:23" ht="14.25" customHeight="1" x14ac:dyDescent="0.2">
      <c r="A99" s="481" t="s">
        <v>72</v>
      </c>
      <c r="B99" s="482"/>
      <c r="C99" s="483"/>
      <c r="E99" s="471" t="str">
        <f>'Fun Patches'!C31</f>
        <v>&lt;LIST PATCH HERE&gt;</v>
      </c>
      <c r="F99" s="472"/>
      <c r="G99" s="257" t="str">
        <f>IF('Fun Patches'!F31="A","A"," ")</f>
        <v xml:space="preserve"> </v>
      </c>
      <c r="I99" s="247">
        <v>2</v>
      </c>
      <c r="J99" s="344" t="str">
        <f>'Council Own'!C35</f>
        <v>&lt;List Requirement Here&gt;</v>
      </c>
      <c r="K99" s="257" t="str">
        <f>IF('Council Own'!F35="A","A"," ")</f>
        <v xml:space="preserve"> </v>
      </c>
      <c r="M99" s="247">
        <v>2</v>
      </c>
      <c r="N99" s="344" t="str">
        <f>'Council Own'!C83</f>
        <v>&lt;List Requirement Here&gt;</v>
      </c>
      <c r="O99" s="257" t="str">
        <f>IF('Council Own'!F83="A","A"," ")</f>
        <v xml:space="preserve"> </v>
      </c>
      <c r="Q99" s="247">
        <v>2</v>
      </c>
      <c r="R99" s="344" t="str">
        <f>'Council Own'!C131</f>
        <v>&lt;List Requirement Here&gt;</v>
      </c>
      <c r="S99" s="257" t="str">
        <f>IF('Council Own'!F131="A","A"," ")</f>
        <v xml:space="preserve"> </v>
      </c>
      <c r="U99" s="245"/>
      <c r="V99" s="245"/>
    </row>
    <row r="100" spans="1:23" x14ac:dyDescent="0.2">
      <c r="A100" s="481" t="s">
        <v>73</v>
      </c>
      <c r="B100" s="482"/>
      <c r="C100" s="483"/>
      <c r="E100" s="471" t="str">
        <f>'Fun Patches'!C32</f>
        <v>&lt;LIST PATCH HERE&gt;</v>
      </c>
      <c r="F100" s="472"/>
      <c r="G100" s="257" t="str">
        <f>IF('Fun Patches'!F32="A","A"," ")</f>
        <v xml:space="preserve"> </v>
      </c>
      <c r="I100" s="247"/>
      <c r="J100" s="344" t="str">
        <f>'Council Own'!C36</f>
        <v>&lt;List Requirement Here&gt;</v>
      </c>
      <c r="K100" s="257" t="str">
        <f>IF('Council Own'!F36="A","A"," ")</f>
        <v xml:space="preserve"> </v>
      </c>
      <c r="M100" s="247"/>
      <c r="N100" s="344" t="str">
        <f>'Council Own'!C84</f>
        <v>&lt;List Requirement Here&gt;</v>
      </c>
      <c r="O100" s="257" t="str">
        <f>IF('Council Own'!F84="A","A"," ")</f>
        <v xml:space="preserve"> </v>
      </c>
      <c r="Q100" s="247"/>
      <c r="R100" s="344" t="str">
        <f>'Council Own'!C132</f>
        <v>&lt;List Requirement Here&gt;</v>
      </c>
      <c r="S100" s="257" t="str">
        <f>IF('Council Own'!F132="A","A"," ")</f>
        <v xml:space="preserve"> </v>
      </c>
      <c r="U100" s="337"/>
      <c r="V100" s="338"/>
      <c r="W100" s="341"/>
    </row>
    <row r="101" spans="1:23" x14ac:dyDescent="0.2">
      <c r="A101" s="468" t="s">
        <v>74</v>
      </c>
      <c r="B101" s="469"/>
      <c r="C101" s="470"/>
      <c r="E101" s="471" t="str">
        <f>'Fun Patches'!C33</f>
        <v>&lt;LIST PATCH HERE&gt;</v>
      </c>
      <c r="F101" s="472"/>
      <c r="G101" s="257" t="str">
        <f>IF('Fun Patches'!F33="A","A"," ")</f>
        <v xml:space="preserve"> </v>
      </c>
      <c r="I101" s="247"/>
      <c r="J101" s="344" t="str">
        <f>'Council Own'!C37</f>
        <v>&lt;List Requirement Here&gt;</v>
      </c>
      <c r="K101" s="257" t="str">
        <f>IF('Council Own'!F37="A","A"," ")</f>
        <v xml:space="preserve"> </v>
      </c>
      <c r="M101" s="247"/>
      <c r="N101" s="344" t="str">
        <f>'Council Own'!C85</f>
        <v>&lt;List Requirement Here&gt;</v>
      </c>
      <c r="O101" s="257" t="str">
        <f>IF('Council Own'!F85="A","A"," ")</f>
        <v xml:space="preserve"> </v>
      </c>
      <c r="Q101" s="247"/>
      <c r="R101" s="344" t="str">
        <f>'Council Own'!C133</f>
        <v>&lt;List Requirement Here&gt;</v>
      </c>
      <c r="S101" s="257" t="str">
        <f>IF('Council Own'!F133="A","A"," ")</f>
        <v xml:space="preserve"> </v>
      </c>
      <c r="U101" s="245"/>
      <c r="V101" s="245"/>
    </row>
    <row r="102" spans="1:23" x14ac:dyDescent="0.2">
      <c r="E102" s="471" t="str">
        <f>'Fun Patches'!C34</f>
        <v>&lt;LIST PATCH HERE&gt;</v>
      </c>
      <c r="F102" s="472"/>
      <c r="G102" s="257" t="str">
        <f>IF('Fun Patches'!F34="A","A"," ")</f>
        <v xml:space="preserve"> </v>
      </c>
      <c r="I102" s="247"/>
      <c r="J102" s="344" t="str">
        <f>'Council Own'!C38</f>
        <v>&lt;List Requirement Here&gt;</v>
      </c>
      <c r="K102" s="257" t="str">
        <f>IF('Council Own'!F38="A","A"," ")</f>
        <v xml:space="preserve"> </v>
      </c>
      <c r="M102" s="247"/>
      <c r="N102" s="344" t="str">
        <f>'Council Own'!C86</f>
        <v>&lt;List Requirement Here&gt;</v>
      </c>
      <c r="O102" s="257" t="str">
        <f>IF('Council Own'!F86="A","A"," ")</f>
        <v xml:space="preserve"> </v>
      </c>
      <c r="Q102" s="247"/>
      <c r="R102" s="344" t="str">
        <f>'Council Own'!C134</f>
        <v>&lt;List Requirement Here&gt;</v>
      </c>
      <c r="S102" s="257" t="str">
        <f>IF('Council Own'!F134="A","A"," ")</f>
        <v xml:space="preserve"> </v>
      </c>
      <c r="U102" s="245"/>
      <c r="V102" s="245"/>
    </row>
    <row r="103" spans="1:23" x14ac:dyDescent="0.2">
      <c r="E103" s="471" t="str">
        <f>'Fun Patches'!C35</f>
        <v>&lt;LIST PATCH HERE&gt;</v>
      </c>
      <c r="F103" s="472"/>
      <c r="G103" s="257" t="str">
        <f>IF('Fun Patches'!F35="A","A"," ")</f>
        <v xml:space="preserve"> </v>
      </c>
      <c r="I103" s="247">
        <v>3</v>
      </c>
      <c r="J103" s="344" t="str">
        <f>'Council Own'!C39</f>
        <v>&lt;List Requirement Here&gt;</v>
      </c>
      <c r="K103" s="257" t="str">
        <f>IF('Council Own'!F39="A","A"," ")</f>
        <v xml:space="preserve"> </v>
      </c>
      <c r="M103" s="247">
        <v>3</v>
      </c>
      <c r="N103" s="344" t="str">
        <f>'Council Own'!C87</f>
        <v>&lt;List Requirement Here&gt;</v>
      </c>
      <c r="O103" s="257" t="str">
        <f>IF('Council Own'!F87="A","A"," ")</f>
        <v xml:space="preserve"> </v>
      </c>
      <c r="Q103" s="247">
        <v>3</v>
      </c>
      <c r="R103" s="344" t="str">
        <f>'Council Own'!C135</f>
        <v>&lt;List Requirement Here&gt;</v>
      </c>
      <c r="S103" s="257" t="str">
        <f>IF('Council Own'!F135="A","A"," ")</f>
        <v xml:space="preserve"> </v>
      </c>
      <c r="U103" s="245"/>
      <c r="V103" s="245"/>
    </row>
    <row r="104" spans="1:23" x14ac:dyDescent="0.2">
      <c r="E104" s="471" t="str">
        <f>'Fun Patches'!C36</f>
        <v>&lt;LIST PATCH HERE&gt;</v>
      </c>
      <c r="F104" s="472"/>
      <c r="G104" s="257" t="str">
        <f>IF('Fun Patches'!F36="A","A"," ")</f>
        <v xml:space="preserve"> </v>
      </c>
      <c r="I104" s="247"/>
      <c r="J104" s="344" t="str">
        <f>'Council Own'!C40</f>
        <v>&lt;List Requirement Here&gt;</v>
      </c>
      <c r="K104" s="257" t="str">
        <f>IF('Council Own'!F40="A","A"," ")</f>
        <v xml:space="preserve"> </v>
      </c>
      <c r="M104" s="247"/>
      <c r="N104" s="344" t="str">
        <f>'Council Own'!C88</f>
        <v>&lt;List Requirement Here&gt;</v>
      </c>
      <c r="O104" s="257" t="str">
        <f>IF('Council Own'!F88="A","A"," ")</f>
        <v xml:space="preserve"> </v>
      </c>
      <c r="Q104" s="247"/>
      <c r="R104" s="344" t="str">
        <f>'Council Own'!C136</f>
        <v>&lt;List Requirement Here&gt;</v>
      </c>
      <c r="S104" s="257" t="str">
        <f>IF('Council Own'!F136="A","A"," ")</f>
        <v xml:space="preserve"> </v>
      </c>
      <c r="U104" s="245"/>
      <c r="V104" s="245"/>
    </row>
    <row r="105" spans="1:23" x14ac:dyDescent="0.2">
      <c r="E105" s="471" t="str">
        <f>'Fun Patches'!C37</f>
        <v>&lt;LIST PATCH HERE&gt;</v>
      </c>
      <c r="F105" s="472"/>
      <c r="G105" s="257" t="str">
        <f>IF('Fun Patches'!F37="A","A"," ")</f>
        <v xml:space="preserve"> </v>
      </c>
      <c r="I105" s="247"/>
      <c r="J105" s="344" t="str">
        <f>'Council Own'!C41</f>
        <v>&lt;List Requirement Here&gt;</v>
      </c>
      <c r="K105" s="257" t="str">
        <f>IF('Council Own'!F41="A","A"," ")</f>
        <v xml:space="preserve"> </v>
      </c>
      <c r="M105" s="247"/>
      <c r="N105" s="344" t="str">
        <f>'Council Own'!C89</f>
        <v>&lt;List Requirement Here&gt;</v>
      </c>
      <c r="O105" s="257" t="str">
        <f>IF('Council Own'!F89="A","A"," ")</f>
        <v xml:space="preserve"> </v>
      </c>
      <c r="Q105" s="247"/>
      <c r="R105" s="344" t="str">
        <f>'Council Own'!C137</f>
        <v>&lt;List Requirement Here&gt;</v>
      </c>
      <c r="S105" s="257" t="str">
        <f>IF('Council Own'!F137="A","A"," ")</f>
        <v xml:space="preserve"> </v>
      </c>
      <c r="U105" s="245"/>
      <c r="V105" s="245"/>
    </row>
    <row r="106" spans="1:23" x14ac:dyDescent="0.2">
      <c r="E106" s="471" t="str">
        <f>'Fun Patches'!C38</f>
        <v>&lt;LIST PATCH HERE&gt;</v>
      </c>
      <c r="F106" s="472"/>
      <c r="G106" s="257" t="str">
        <f>IF('Fun Patches'!F38="A","A"," ")</f>
        <v xml:space="preserve"> </v>
      </c>
      <c r="I106" s="247"/>
      <c r="J106" s="344" t="str">
        <f>'Council Own'!C42</f>
        <v>&lt;List Requirement Here&gt;</v>
      </c>
      <c r="K106" s="257" t="str">
        <f>IF('Council Own'!F42="A","A"," ")</f>
        <v xml:space="preserve"> </v>
      </c>
      <c r="M106" s="247"/>
      <c r="N106" s="344" t="str">
        <f>'Council Own'!C90</f>
        <v>&lt;List Requirement Here&gt;</v>
      </c>
      <c r="O106" s="257" t="str">
        <f>IF('Council Own'!F90="A","A"," ")</f>
        <v xml:space="preserve"> </v>
      </c>
      <c r="Q106" s="247"/>
      <c r="R106" s="344" t="str">
        <f>'Council Own'!C138</f>
        <v>&lt;List Requirement Here&gt;</v>
      </c>
      <c r="S106" s="257" t="str">
        <f>IF('Council Own'!F138="A","A"," ")</f>
        <v xml:space="preserve"> </v>
      </c>
      <c r="U106" s="245"/>
      <c r="V106" s="245"/>
    </row>
    <row r="107" spans="1:23" x14ac:dyDescent="0.2">
      <c r="E107" s="284"/>
      <c r="F107" s="263"/>
      <c r="G107" s="341"/>
      <c r="I107" s="247">
        <v>4</v>
      </c>
      <c r="J107" s="344" t="str">
        <f>'Council Own'!C43</f>
        <v>&lt;List Requirement Here&gt;</v>
      </c>
      <c r="K107" s="257" t="str">
        <f>IF('Council Own'!F43="A","A"," ")</f>
        <v xml:space="preserve"> </v>
      </c>
      <c r="M107" s="247">
        <v>4</v>
      </c>
      <c r="N107" s="344" t="str">
        <f>'Council Own'!C91</f>
        <v>&lt;List Requirement Here&gt;</v>
      </c>
      <c r="O107" s="257" t="str">
        <f>IF('Council Own'!F91="A","A"," ")</f>
        <v xml:space="preserve"> </v>
      </c>
      <c r="Q107" s="247">
        <v>4</v>
      </c>
      <c r="R107" s="344" t="str">
        <f>'Council Own'!C139</f>
        <v>&lt;List Requirement Here&gt;</v>
      </c>
      <c r="S107" s="257" t="str">
        <f>IF('Council Own'!F139="A","A"," ")</f>
        <v xml:space="preserve"> </v>
      </c>
      <c r="U107" s="245"/>
      <c r="V107" s="245"/>
    </row>
    <row r="108" spans="1:23" x14ac:dyDescent="0.2">
      <c r="I108" s="247"/>
      <c r="J108" s="344" t="str">
        <f>'Council Own'!C44</f>
        <v>&lt;List Requirement Here&gt;</v>
      </c>
      <c r="K108" s="257" t="str">
        <f>IF('Council Own'!F44="A","A"," ")</f>
        <v xml:space="preserve"> </v>
      </c>
      <c r="M108" s="247"/>
      <c r="N108" s="344" t="str">
        <f>'Council Own'!C92</f>
        <v>&lt;List Requirement Here&gt;</v>
      </c>
      <c r="O108" s="257" t="str">
        <f>IF('Council Own'!F92="A","A"," ")</f>
        <v xml:space="preserve"> </v>
      </c>
      <c r="Q108" s="247"/>
      <c r="R108" s="344" t="str">
        <f>'Council Own'!C140</f>
        <v>&lt;List Requirement Here&gt;</v>
      </c>
      <c r="S108" s="257" t="str">
        <f>IF('Council Own'!F140="A","A"," ")</f>
        <v xml:space="preserve"> </v>
      </c>
      <c r="U108" s="245"/>
      <c r="V108" s="245"/>
    </row>
    <row r="109" spans="1:23" x14ac:dyDescent="0.2">
      <c r="I109" s="247"/>
      <c r="J109" s="344" t="str">
        <f>'Council Own'!C45</f>
        <v>&lt;List Requirement Here&gt;</v>
      </c>
      <c r="K109" s="257" t="str">
        <f>IF('Council Own'!F45="A","A"," ")</f>
        <v xml:space="preserve"> </v>
      </c>
      <c r="M109" s="247"/>
      <c r="N109" s="344" t="str">
        <f>'Council Own'!C93</f>
        <v>&lt;List Requirement Here&gt;</v>
      </c>
      <c r="O109" s="257" t="str">
        <f>IF('Council Own'!F93="A","A"," ")</f>
        <v xml:space="preserve"> </v>
      </c>
      <c r="Q109" s="247"/>
      <c r="R109" s="344" t="str">
        <f>'Council Own'!C141</f>
        <v>&lt;List Requirement Here&gt;</v>
      </c>
      <c r="S109" s="257" t="str">
        <f>IF('Council Own'!F141="A","A"," ")</f>
        <v xml:space="preserve"> </v>
      </c>
      <c r="U109" s="245"/>
      <c r="V109" s="245"/>
    </row>
    <row r="110" spans="1:23" x14ac:dyDescent="0.2">
      <c r="I110" s="247"/>
      <c r="J110" s="344" t="str">
        <f>'Council Own'!C46</f>
        <v>&lt;List Requirement Here&gt;</v>
      </c>
      <c r="K110" s="257" t="str">
        <f>IF('Council Own'!F46="A","A"," ")</f>
        <v xml:space="preserve"> </v>
      </c>
      <c r="M110" s="247"/>
      <c r="N110" s="344" t="str">
        <f>'Council Own'!C94</f>
        <v>&lt;List Requirement Here&gt;</v>
      </c>
      <c r="O110" s="257" t="str">
        <f>IF('Council Own'!F94="A","A"," ")</f>
        <v xml:space="preserve"> </v>
      </c>
      <c r="Q110" s="247"/>
      <c r="R110" s="344" t="str">
        <f>'Council Own'!C142</f>
        <v>&lt;List Requirement Here&gt;</v>
      </c>
      <c r="S110" s="257" t="str">
        <f>IF('Council Own'!F142="A","A"," ")</f>
        <v xml:space="preserve"> </v>
      </c>
      <c r="U110" s="245"/>
      <c r="V110" s="245"/>
    </row>
    <row r="111" spans="1:23" x14ac:dyDescent="0.2">
      <c r="I111" s="247">
        <v>5</v>
      </c>
      <c r="J111" s="344" t="str">
        <f>'Council Own'!C47</f>
        <v>&lt;List Requirement Here&gt;</v>
      </c>
      <c r="K111" s="257" t="str">
        <f>IF('Council Own'!F47="A","A"," ")</f>
        <v xml:space="preserve"> </v>
      </c>
      <c r="M111" s="247">
        <v>5</v>
      </c>
      <c r="N111" s="344" t="str">
        <f>'Council Own'!C95</f>
        <v>&lt;List Requirement Here&gt;</v>
      </c>
      <c r="O111" s="257" t="str">
        <f>IF('Council Own'!F95="A","A"," ")</f>
        <v xml:space="preserve"> </v>
      </c>
      <c r="Q111" s="247">
        <v>5</v>
      </c>
      <c r="R111" s="344" t="str">
        <f>'Council Own'!C143</f>
        <v>&lt;List Requirement Here&gt;</v>
      </c>
      <c r="S111" s="257" t="str">
        <f>IF('Council Own'!F143="A","A"," ")</f>
        <v xml:space="preserve"> </v>
      </c>
      <c r="U111" s="338"/>
      <c r="V111" s="338"/>
      <c r="W111" s="341"/>
    </row>
    <row r="112" spans="1:23" x14ac:dyDescent="0.2">
      <c r="I112" s="247"/>
      <c r="J112" s="344" t="str">
        <f>'Council Own'!C48</f>
        <v>&lt;List Requirement Here&gt;</v>
      </c>
      <c r="K112" s="257" t="str">
        <f>IF('Council Own'!F48="A","A"," ")</f>
        <v xml:space="preserve"> </v>
      </c>
      <c r="M112" s="247"/>
      <c r="N112" s="344" t="str">
        <f>'Council Own'!C96</f>
        <v>&lt;List Requirement Here&gt;</v>
      </c>
      <c r="O112" s="257" t="str">
        <f>IF('Council Own'!F96="A","A"," ")</f>
        <v xml:space="preserve"> </v>
      </c>
      <c r="Q112" s="247"/>
      <c r="R112" s="344" t="str">
        <f>'Council Own'!C144</f>
        <v>&lt;List Requirement Here&gt;</v>
      </c>
      <c r="S112" s="257" t="str">
        <f>IF('Council Own'!F144="A","A"," ")</f>
        <v xml:space="preserve"> </v>
      </c>
      <c r="U112" s="245"/>
      <c r="V112" s="245"/>
    </row>
    <row r="113" spans="9:22" x14ac:dyDescent="0.2">
      <c r="I113" s="247"/>
      <c r="J113" s="344" t="str">
        <f>'Council Own'!C49</f>
        <v>&lt;List Requirement Here&gt;</v>
      </c>
      <c r="K113" s="257" t="str">
        <f>IF('Council Own'!F49="A","A"," ")</f>
        <v xml:space="preserve"> </v>
      </c>
      <c r="M113" s="247"/>
      <c r="N113" s="344" t="str">
        <f>'Council Own'!C97</f>
        <v>&lt;List Requirement Here&gt;</v>
      </c>
      <c r="O113" s="257" t="str">
        <f>IF('Council Own'!F97="A","A"," ")</f>
        <v xml:space="preserve"> </v>
      </c>
      <c r="Q113" s="247"/>
      <c r="R113" s="344" t="str">
        <f>'Council Own'!C145</f>
        <v>&lt;List Requirement Here&gt;</v>
      </c>
      <c r="S113" s="257" t="str">
        <f>IF('Council Own'!F145="A","A"," ")</f>
        <v xml:space="preserve"> </v>
      </c>
      <c r="U113" s="245"/>
      <c r="V113" s="245"/>
    </row>
    <row r="114" spans="9:22" x14ac:dyDescent="0.2">
      <c r="I114" s="247"/>
      <c r="J114" s="344" t="str">
        <f>'Council Own'!C50</f>
        <v>&lt;List Requirement Here&gt;</v>
      </c>
      <c r="K114" s="257" t="str">
        <f>IF('Council Own'!F50="A","A"," ")</f>
        <v xml:space="preserve"> </v>
      </c>
      <c r="M114" s="247"/>
      <c r="N114" s="344" t="str">
        <f>'Council Own'!C98</f>
        <v>&lt;List Requirement Here&gt;</v>
      </c>
      <c r="O114" s="257" t="str">
        <f>IF('Council Own'!F98="A","A"," ")</f>
        <v xml:space="preserve"> </v>
      </c>
      <c r="Q114" s="247"/>
      <c r="R114" s="344" t="str">
        <f>'Council Own'!C146</f>
        <v>&lt;List Requirement Here&gt;</v>
      </c>
      <c r="S114" s="257" t="str">
        <f>IF('Council Own'!F146="A","A","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row r="147" ht="12.75" customHeight="1" x14ac:dyDescent="0.2"/>
    <row r="148" ht="12.75" customHeight="1" x14ac:dyDescent="0.2"/>
    <row r="172" ht="12.75" customHeight="1" x14ac:dyDescent="0.2"/>
    <row r="173" ht="12.75" customHeight="1" x14ac:dyDescent="0.2"/>
  </sheetData>
  <sheetProtection password="9A15" sheet="1" objects="1" scenarios="1" selectLockedCells="1" selectUnlockedCells="1"/>
  <mergeCells count="113">
    <mergeCell ref="E102:F102"/>
    <mergeCell ref="E96:F96"/>
    <mergeCell ref="E97:F97"/>
    <mergeCell ref="A98:C98"/>
    <mergeCell ref="E98:F98"/>
    <mergeCell ref="A99:C99"/>
    <mergeCell ref="E99:F99"/>
    <mergeCell ref="A100:C100"/>
    <mergeCell ref="E100:F100"/>
    <mergeCell ref="A101:C101"/>
    <mergeCell ref="E101:F101"/>
    <mergeCell ref="E87:F87"/>
    <mergeCell ref="E88:F88"/>
    <mergeCell ref="E89:F89"/>
    <mergeCell ref="E90:F90"/>
    <mergeCell ref="E91:F91"/>
    <mergeCell ref="E92:F92"/>
    <mergeCell ref="E93:F93"/>
    <mergeCell ref="E94:F94"/>
    <mergeCell ref="E95:F95"/>
    <mergeCell ref="E78:F78"/>
    <mergeCell ref="E79:F79"/>
    <mergeCell ref="E80:F80"/>
    <mergeCell ref="E81:F81"/>
    <mergeCell ref="E82:F82"/>
    <mergeCell ref="E83:F83"/>
    <mergeCell ref="E84:F84"/>
    <mergeCell ref="E85:F85"/>
    <mergeCell ref="E86:F86"/>
    <mergeCell ref="A26:B26"/>
    <mergeCell ref="A28:C28"/>
    <mergeCell ref="Q28:R28"/>
    <mergeCell ref="B29:C29"/>
    <mergeCell ref="B30:C30"/>
    <mergeCell ref="B34:C34"/>
    <mergeCell ref="Q34:R34"/>
    <mergeCell ref="B35:C35"/>
    <mergeCell ref="B42:C42"/>
    <mergeCell ref="Q42:R42"/>
    <mergeCell ref="A8:B8"/>
    <mergeCell ref="A9:B9"/>
    <mergeCell ref="A11:B11"/>
    <mergeCell ref="A16:B16"/>
    <mergeCell ref="A18:B18"/>
    <mergeCell ref="A19:B19"/>
    <mergeCell ref="A20:B20"/>
    <mergeCell ref="A24:C24"/>
    <mergeCell ref="A25:B25"/>
    <mergeCell ref="Q1:S1"/>
    <mergeCell ref="E2:G2"/>
    <mergeCell ref="Q2:R2"/>
    <mergeCell ref="Q3:R3"/>
    <mergeCell ref="Q4:R4"/>
    <mergeCell ref="Q5:R5"/>
    <mergeCell ref="Q6:R6"/>
    <mergeCell ref="Q7:R7"/>
    <mergeCell ref="Q8:R8"/>
    <mergeCell ref="A3:B3"/>
    <mergeCell ref="A4:C4"/>
    <mergeCell ref="A5:B5"/>
    <mergeCell ref="A6:B6"/>
    <mergeCell ref="A7:B7"/>
    <mergeCell ref="A1:C1"/>
    <mergeCell ref="E1:G1"/>
    <mergeCell ref="I1:K1"/>
    <mergeCell ref="M1:O1"/>
    <mergeCell ref="Q9:R9"/>
    <mergeCell ref="A10:B10"/>
    <mergeCell ref="Q10:R10"/>
    <mergeCell ref="Q11:R11"/>
    <mergeCell ref="Q12:R12"/>
    <mergeCell ref="A13:C13"/>
    <mergeCell ref="Q13:R13"/>
    <mergeCell ref="Q14:R14"/>
    <mergeCell ref="Q15:R15"/>
    <mergeCell ref="A12:B12"/>
    <mergeCell ref="A14:B14"/>
    <mergeCell ref="A15:B15"/>
    <mergeCell ref="Q16:R16"/>
    <mergeCell ref="Q17:R17"/>
    <mergeCell ref="Q18:R18"/>
    <mergeCell ref="Q19:R19"/>
    <mergeCell ref="Q20:R20"/>
    <mergeCell ref="A21:C21"/>
    <mergeCell ref="Q21:R21"/>
    <mergeCell ref="A22:B22"/>
    <mergeCell ref="A23:B23"/>
    <mergeCell ref="E23:G23"/>
    <mergeCell ref="A17:B17"/>
    <mergeCell ref="E103:F103"/>
    <mergeCell ref="E104:F104"/>
    <mergeCell ref="E105:F105"/>
    <mergeCell ref="E106:F106"/>
    <mergeCell ref="B43:C43"/>
    <mergeCell ref="E45:G45"/>
    <mergeCell ref="A49:C49"/>
    <mergeCell ref="Q55:S55"/>
    <mergeCell ref="E72:G72"/>
    <mergeCell ref="I72:K72"/>
    <mergeCell ref="M72:O72"/>
    <mergeCell ref="Q72:S72"/>
    <mergeCell ref="E73:F73"/>
    <mergeCell ref="A72:C72"/>
    <mergeCell ref="A76:B76"/>
    <mergeCell ref="A77:B77"/>
    <mergeCell ref="A78:B78"/>
    <mergeCell ref="A73:B73"/>
    <mergeCell ref="A74:B74"/>
    <mergeCell ref="A75:B75"/>
    <mergeCell ref="E74:F74"/>
    <mergeCell ref="E75:F75"/>
    <mergeCell ref="E76:F76"/>
    <mergeCell ref="E77:F7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173"/>
  <sheetViews>
    <sheetView showGridLines="0" topLeftCell="F1" zoomScale="90" zoomScaleNormal="90" workbookViewId="0">
      <selection activeCell="C6" sqref="C6"/>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1" customHeight="1" x14ac:dyDescent="0.35">
      <c r="A1" s="512" t="str">
        <f ca="1">MID(CELL("filename",A1),FIND(IF(ISERROR(FIND("]",CELL("filename",A1))),"$","]"),CELL("filename",A1))+1,256)</f>
        <v>Ambassador 4</v>
      </c>
      <c r="B1" s="521"/>
      <c r="C1" s="521"/>
      <c r="D1" s="265"/>
      <c r="E1" s="506" t="s">
        <v>15</v>
      </c>
      <c r="F1" s="522"/>
      <c r="G1" s="522"/>
      <c r="I1" s="506" t="s">
        <v>15</v>
      </c>
      <c r="J1" s="506"/>
      <c r="K1" s="506"/>
      <c r="M1" s="506" t="s">
        <v>15</v>
      </c>
      <c r="N1" s="506"/>
      <c r="O1" s="506"/>
      <c r="Q1" s="506" t="s">
        <v>135</v>
      </c>
      <c r="R1" s="523"/>
      <c r="S1" s="523"/>
      <c r="T1" s="239"/>
      <c r="U1" s="239"/>
    </row>
    <row r="2" spans="1:21" s="245" customFormat="1" ht="13.5" thickBot="1" x14ac:dyDescent="0.25">
      <c r="A2" s="242"/>
      <c r="B2" s="243"/>
      <c r="C2" s="244" t="s">
        <v>16</v>
      </c>
      <c r="D2" s="243"/>
      <c r="E2" s="492" t="str">
        <f>Badges!B6</f>
        <v>Photography</v>
      </c>
      <c r="F2" s="517"/>
      <c r="G2" s="517"/>
      <c r="H2" s="241"/>
      <c r="I2" s="247">
        <v>3</v>
      </c>
      <c r="J2" s="248" t="str">
        <f>Badges!C61</f>
        <v>Dig into national or state public policy</v>
      </c>
      <c r="K2" s="249"/>
      <c r="L2" s="241"/>
      <c r="M2" s="247">
        <v>3</v>
      </c>
      <c r="N2" s="248" t="str">
        <f>Badges!C130</f>
        <v>Share sisterhood around the world</v>
      </c>
      <c r="O2" s="249"/>
      <c r="P2" s="241"/>
      <c r="Q2" s="524" t="str">
        <f>'Age-Level'!B5</f>
        <v>Gold Torch Award</v>
      </c>
      <c r="R2" s="524"/>
      <c r="S2" s="251" t="str">
        <f>IF('Age-Level'!G8="C","C",IF('Age-Level'!G8="P","P",""))</f>
        <v/>
      </c>
      <c r="T2" s="239"/>
      <c r="U2" s="239"/>
    </row>
    <row r="3" spans="1:21" x14ac:dyDescent="0.2">
      <c r="A3" s="519" t="s">
        <v>132</v>
      </c>
      <c r="B3" s="520"/>
      <c r="C3" s="246">
        <f>INT(COUNTIF(C5:C12,"C"))+INT(COUNTIF(C14:C26,"C"))</f>
        <v>0</v>
      </c>
      <c r="E3" s="247">
        <v>1</v>
      </c>
      <c r="F3" s="248" t="str">
        <f>Badges!C7</f>
        <v>Expore the power of photography</v>
      </c>
      <c r="G3" s="249"/>
      <c r="I3" s="247"/>
      <c r="J3" s="248" t="str">
        <f>Badges!C62</f>
        <v>Track your issue</v>
      </c>
      <c r="K3" s="250" t="str">
        <f>IF(Badges!G62="A","A"," ")</f>
        <v xml:space="preserve"> </v>
      </c>
      <c r="M3" s="247"/>
      <c r="N3" s="248" t="str">
        <f>Badges!C131</f>
        <v>Explore an issue affecting girls and</v>
      </c>
      <c r="O3" s="250" t="str">
        <f>IF(Badges!G131="A","A"," ")</f>
        <v xml:space="preserve"> </v>
      </c>
      <c r="Q3" s="524" t="str">
        <f>'Age-Level'!B9</f>
        <v>Ambassador Community Service bar</v>
      </c>
      <c r="R3" s="524"/>
      <c r="S3" s="251" t="str">
        <f>IF('Age-Level'!G9="C","C",IF('Age-Level'!G9="P","P",""))</f>
        <v/>
      </c>
      <c r="T3" s="239"/>
      <c r="U3" s="239"/>
    </row>
    <row r="4" spans="1:21" x14ac:dyDescent="0.2">
      <c r="A4" s="500" t="str">
        <f>Summary!A3</f>
        <v>Legacy</v>
      </c>
      <c r="B4" s="500"/>
      <c r="C4" s="500"/>
      <c r="E4" s="247"/>
      <c r="F4" s="248" t="str">
        <f>Badges!C8</f>
        <v>Go to a photography exhibit</v>
      </c>
      <c r="G4" s="250" t="str">
        <f>IF(Badges!G8="A","A"," ")</f>
        <v xml:space="preserve"> </v>
      </c>
      <c r="I4" s="247"/>
      <c r="J4" s="248" t="str">
        <f>Badges!C63</f>
        <v>Talk to an interest gorup that promotes</v>
      </c>
      <c r="K4" s="250" t="str">
        <f>IF(Badges!G63="A","A"," ")</f>
        <v xml:space="preserve"> </v>
      </c>
      <c r="M4" s="247"/>
      <c r="N4" s="248" t="str">
        <f>Badges!C132</f>
        <v>Organize an event on women and STEM</v>
      </c>
      <c r="O4" s="250" t="str">
        <f>IF(Badges!G132="A","A"," ")</f>
        <v xml:space="preserve"> </v>
      </c>
      <c r="Q4" s="524" t="str">
        <f>'Age-Level'!B12</f>
        <v>Ambassador Service to Girl Scouting bar</v>
      </c>
      <c r="R4" s="524"/>
      <c r="S4" s="251" t="str">
        <f>IF('Age-Level'!G10="C","C",IF('Age-Level'!G10="P","P",""))</f>
        <v/>
      </c>
      <c r="T4" s="239"/>
      <c r="U4" s="239"/>
    </row>
    <row r="5" spans="1:21" ht="12.75" customHeight="1" x14ac:dyDescent="0.2">
      <c r="A5" s="501" t="str">
        <f>Summary!A4</f>
        <v>Photography</v>
      </c>
      <c r="B5" s="502"/>
      <c r="C5" s="252" t="str">
        <f>IF(Badges!G28="C","C",IF(Badges!G28="P","P",""))</f>
        <v/>
      </c>
      <c r="E5" s="247"/>
      <c r="F5" s="248" t="str">
        <f>Badges!C9</f>
        <v>Create a photography timeline.</v>
      </c>
      <c r="G5" s="250" t="str">
        <f>IF(Badges!G9="A","A"," ")</f>
        <v xml:space="preserve"> </v>
      </c>
      <c r="I5" s="247"/>
      <c r="J5" s="248" t="str">
        <f>Badges!C64</f>
        <v>Compare three different states' positions</v>
      </c>
      <c r="K5" s="250" t="str">
        <f>IF(Badges!G64="A","A"," ")</f>
        <v xml:space="preserve"> </v>
      </c>
      <c r="M5" s="247"/>
      <c r="N5" s="248" t="str">
        <f>Badges!C133</f>
        <v>Interview a global citizen</v>
      </c>
      <c r="O5" s="250" t="str">
        <f>IF(Badges!G133="A","A"," ")</f>
        <v xml:space="preserve"> </v>
      </c>
      <c r="Q5" s="524" t="str">
        <f>'Age-Level'!B15</f>
        <v>Ambassador Volunteer in Training</v>
      </c>
      <c r="R5" s="524"/>
      <c r="S5" s="251" t="str">
        <f>IF('Age-Level'!G19="C","C",IF('Age-Level'!G19="P","P",""))</f>
        <v/>
      </c>
      <c r="T5" s="239"/>
      <c r="U5" s="239"/>
    </row>
    <row r="6" spans="1:21" ht="12.75" customHeight="1" x14ac:dyDescent="0.2">
      <c r="A6" s="501" t="str">
        <f>Summary!A5</f>
        <v>Coaching</v>
      </c>
      <c r="B6" s="502"/>
      <c r="C6" s="252" t="str">
        <f>IF(Badges!G51="C","C",IF(Badges!G51="P","P",""))</f>
        <v/>
      </c>
      <c r="E6" s="247"/>
      <c r="F6" s="248" t="str">
        <f>Badges!C10</f>
        <v>Make sticky-note comics</v>
      </c>
      <c r="G6" s="250" t="str">
        <f>IF(Badges!G10="A","A"," ")</f>
        <v xml:space="preserve"> </v>
      </c>
      <c r="I6" s="247">
        <v>4</v>
      </c>
      <c r="J6" s="248" t="str">
        <f>Badges!C65</f>
        <v>Explore local or community policy</v>
      </c>
      <c r="K6" s="249"/>
      <c r="M6" s="247">
        <v>4</v>
      </c>
      <c r="N6" s="248" t="str">
        <f>Badges!C134</f>
        <v>Leave your wolrd better than you found it</v>
      </c>
      <c r="O6" s="249"/>
      <c r="Q6" s="524" t="str">
        <f>'Age-Level'!B20</f>
        <v>Journey Summit Pin</v>
      </c>
      <c r="R6" s="524"/>
      <c r="S6" s="251" t="str">
        <f>IF('Age-Level'!G21="C","C",IF('Age-Level'!G21="P","P",""))</f>
        <v/>
      </c>
      <c r="T6" s="239"/>
      <c r="U6" s="239"/>
    </row>
    <row r="7" spans="1:21" x14ac:dyDescent="0.2">
      <c r="A7" s="501" t="str">
        <f>Summary!A6</f>
        <v>Public Policy</v>
      </c>
      <c r="B7" s="502"/>
      <c r="C7" s="252" t="str">
        <f>IF(Badges!G74="C","C",IF(Badges!G74="P","P",""))</f>
        <v/>
      </c>
      <c r="E7" s="247">
        <v>2</v>
      </c>
      <c r="F7" s="248" t="str">
        <f>Badges!C11</f>
        <v>Focus on composition</v>
      </c>
      <c r="G7" s="249"/>
      <c r="I7" s="247"/>
      <c r="J7" s="248" t="str">
        <f>Badges!C66</f>
        <v>Attend a meeting</v>
      </c>
      <c r="K7" s="250" t="str">
        <f>IF(Badges!G66="A","A"," ")</f>
        <v xml:space="preserve"> </v>
      </c>
      <c r="M7" s="247"/>
      <c r="N7" s="248" t="str">
        <f>Badges!C135</f>
        <v xml:space="preserve">Find ideas to use your leaderhship </v>
      </c>
      <c r="O7" s="250" t="str">
        <f>IF(Badges!G135="A","A"," ")</f>
        <v xml:space="preserve"> </v>
      </c>
      <c r="Q7" s="516" t="str">
        <f>'Age-Level'!C23</f>
        <v>Cookie Rally (Year 1)</v>
      </c>
      <c r="R7" s="516"/>
      <c r="S7" s="257" t="str">
        <f>IF('Age-Level'!G23="A","A"," ")</f>
        <v xml:space="preserve"> </v>
      </c>
    </row>
    <row r="8" spans="1:21" x14ac:dyDescent="0.2">
      <c r="A8" s="501" t="str">
        <f>Summary!A7</f>
        <v>Dinner Party</v>
      </c>
      <c r="B8" s="502"/>
      <c r="C8" s="252" t="str">
        <f>IF(Badges!G97="C","C",IF(Badges!G97="P","P",""))</f>
        <v/>
      </c>
      <c r="E8" s="247"/>
      <c r="F8" s="248" t="str">
        <f>Badges!C12</f>
        <v>Capture a day in the life</v>
      </c>
      <c r="G8" s="250" t="str">
        <f>IF(Badges!G12="A","A"," ")</f>
        <v xml:space="preserve"> </v>
      </c>
      <c r="I8" s="247"/>
      <c r="J8" s="248" t="str">
        <f>Badges!C67</f>
        <v>Compare different local positions</v>
      </c>
      <c r="K8" s="250" t="str">
        <f>IF(Badges!G67="A","A"," ")</f>
        <v xml:space="preserve"> </v>
      </c>
      <c r="M8" s="247"/>
      <c r="N8" s="248" t="str">
        <f>Badges!C136</f>
        <v>Gather ideas to work for a healthy</v>
      </c>
      <c r="O8" s="250" t="str">
        <f>IF(Badges!G136="A","A"," ")</f>
        <v xml:space="preserve"> </v>
      </c>
      <c r="Q8" s="516" t="str">
        <f>'Age-Level'!C24</f>
        <v>Cookie Sales (Year 1)</v>
      </c>
      <c r="R8" s="516"/>
      <c r="S8" s="257" t="str">
        <f>IF('Age-Level'!G24="A","A"," ")</f>
        <v xml:space="preserve"> </v>
      </c>
    </row>
    <row r="9" spans="1:21" x14ac:dyDescent="0.2">
      <c r="A9" s="501" t="str">
        <f>Summary!A8</f>
        <v>Ambassador First Aid</v>
      </c>
      <c r="B9" s="502"/>
      <c r="C9" s="252" t="str">
        <f>IF(Badges!G120="C","C",IF(Badges!G120="P","P",""))</f>
        <v/>
      </c>
      <c r="E9" s="247"/>
      <c r="F9" s="248" t="str">
        <f>Badges!C13</f>
        <v>Photograph weather patterns</v>
      </c>
      <c r="G9" s="250" t="str">
        <f>IF(Badges!G13="A","A"," ")</f>
        <v xml:space="preserve"> </v>
      </c>
      <c r="I9" s="247"/>
      <c r="J9" s="248" t="str">
        <f>Badges!C68</f>
        <v>Visit your local legislator's office</v>
      </c>
      <c r="K9" s="250" t="str">
        <f>IF(Badges!G68="A","A"," ")</f>
        <v xml:space="preserve"> </v>
      </c>
      <c r="M9" s="247"/>
      <c r="N9" s="248" t="str">
        <f>Badges!C137</f>
        <v>Brainstorm idea for social change</v>
      </c>
      <c r="O9" s="250" t="str">
        <f>IF(Badges!G137="A","A"," ")</f>
        <v xml:space="preserve"> </v>
      </c>
      <c r="Q9" s="516" t="str">
        <f>'Age-Level'!C25</f>
        <v>Cookie Pin (Year 1)</v>
      </c>
      <c r="R9" s="516"/>
      <c r="S9" s="257" t="str">
        <f>IF('Age-Level'!G25="A","A"," ")</f>
        <v xml:space="preserve"> </v>
      </c>
    </row>
    <row r="10" spans="1:21" x14ac:dyDescent="0.2">
      <c r="A10" s="501" t="str">
        <f>Summary!A9</f>
        <v>Ambassador Girl Scout Way</v>
      </c>
      <c r="B10" s="502"/>
      <c r="C10" s="253" t="str">
        <f>IF(Badges!G143="C","C",IF(Badges!G143="P","P",""))</f>
        <v/>
      </c>
      <c r="E10" s="247"/>
      <c r="F10" s="248" t="str">
        <f>Badges!C14</f>
        <v>Take 5 photos form a different</v>
      </c>
      <c r="G10" s="250" t="str">
        <f>IF(Badges!G14="A","A"," ")</f>
        <v xml:space="preserve"> </v>
      </c>
      <c r="I10" s="247">
        <v>5</v>
      </c>
      <c r="J10" s="248" t="str">
        <f>Badges!C69</f>
        <v>See public policy creation in action</v>
      </c>
      <c r="K10" s="249"/>
      <c r="M10" s="247">
        <v>5</v>
      </c>
      <c r="N10" s="248" t="str">
        <f>Badges!C138</f>
        <v>Enjoy Girl Scout traditions!</v>
      </c>
      <c r="O10" s="249"/>
      <c r="Q10" s="516" t="str">
        <f>'Age-Level'!C26</f>
        <v>Cookie Rally (Year 2)</v>
      </c>
      <c r="R10" s="516"/>
      <c r="S10" s="257" t="str">
        <f>IF('Age-Level'!G26="A","A"," ")</f>
        <v xml:space="preserve"> </v>
      </c>
    </row>
    <row r="11" spans="1:21" x14ac:dyDescent="0.2">
      <c r="A11" s="525" t="str">
        <f>Summary!A10</f>
        <v>Water</v>
      </c>
      <c r="B11" s="525"/>
      <c r="C11" s="252" t="str">
        <f>IF(Badges!G166="C","C",IF(Badges!G166="P","P",""))</f>
        <v/>
      </c>
      <c r="E11" s="247">
        <v>3</v>
      </c>
      <c r="F11" s="248" t="str">
        <f>Badges!C15</f>
        <v>Focus on light</v>
      </c>
      <c r="G11" s="249"/>
      <c r="I11" s="247"/>
      <c r="J11" s="248" t="str">
        <f>Badges!C70</f>
        <v>Shadow a policy-maker</v>
      </c>
      <c r="K11" s="250" t="str">
        <f>IF(Badges!G70="A","A"," ")</f>
        <v xml:space="preserve"> </v>
      </c>
      <c r="M11" s="247"/>
      <c r="N11" s="248" t="str">
        <f>Badges!C139</f>
        <v>Pass down a tradition</v>
      </c>
      <c r="O11" s="250" t="str">
        <f>IF(Badges!G139="A","A"," ")</f>
        <v xml:space="preserve"> </v>
      </c>
      <c r="Q11" s="516" t="str">
        <f>'Age-Level'!C27</f>
        <v>Cookie Sales (Year 2)</v>
      </c>
      <c r="R11" s="516"/>
      <c r="S11" s="257" t="str">
        <f>IF('Age-Level'!G27="A","A"," ")</f>
        <v xml:space="preserve"> </v>
      </c>
    </row>
    <row r="12" spans="1:21" x14ac:dyDescent="0.2">
      <c r="A12" s="518"/>
      <c r="B12" s="518"/>
      <c r="C12" s="336"/>
      <c r="E12" s="247"/>
      <c r="F12" s="248" t="str">
        <f>Badges!C16</f>
        <v>Invite friends to a shoot day</v>
      </c>
      <c r="G12" s="250" t="str">
        <f>IF(Badges!G16="A","A"," ")</f>
        <v xml:space="preserve"> </v>
      </c>
      <c r="I12" s="247"/>
      <c r="J12" s="248" t="str">
        <f>Badges!C71</f>
        <v>Volunteer at an office</v>
      </c>
      <c r="K12" s="250" t="str">
        <f>IF(Badges!G71="A","A"," ")</f>
        <v xml:space="preserve"> </v>
      </c>
      <c r="M12" s="247"/>
      <c r="N12" s="248" t="str">
        <f>Badges!C140</f>
        <v>Start a Girl Scout tradition of your own</v>
      </c>
      <c r="O12" s="250" t="str">
        <f>IF(Badges!G140="A","A"," ")</f>
        <v xml:space="preserve"> </v>
      </c>
      <c r="Q12" s="516" t="str">
        <f>'Age-Level'!C28</f>
        <v>Cookie Pin (Year 2)</v>
      </c>
      <c r="R12" s="516"/>
      <c r="S12" s="257" t="str">
        <f>IF('Age-Level'!G28="A","A"," ")</f>
        <v xml:space="preserve"> </v>
      </c>
    </row>
    <row r="13" spans="1:21" x14ac:dyDescent="0.2">
      <c r="A13" s="500" t="str">
        <f>Summary!A3</f>
        <v>Legacy</v>
      </c>
      <c r="B13" s="500"/>
      <c r="C13" s="500"/>
      <c r="E13" s="247"/>
      <c r="F13" s="248" t="str">
        <f>Badges!C17</f>
        <v>Capture the same person or object</v>
      </c>
      <c r="G13" s="250" t="str">
        <f>IF(Badges!G17="A","A"," ")</f>
        <v xml:space="preserve"> </v>
      </c>
      <c r="I13" s="247"/>
      <c r="J13" s="248" t="str">
        <f>Badges!C72</f>
        <v>Interview a policy-maker</v>
      </c>
      <c r="K13" s="250" t="str">
        <f>IF(Badges!G72="A","A"," ")</f>
        <v xml:space="preserve"> </v>
      </c>
      <c r="M13" s="247"/>
      <c r="N13" s="248" t="str">
        <f>Badges!C141</f>
        <v>Share the Girl Scout way by example</v>
      </c>
      <c r="O13" s="250" t="str">
        <f>IF(Badges!G141="A","A"," ")</f>
        <v xml:space="preserve"> </v>
      </c>
      <c r="Q13" s="516" t="str">
        <f>'Age-Level'!C30</f>
        <v>Fall Sales (Year 1)</v>
      </c>
      <c r="R13" s="516"/>
      <c r="S13" s="252" t="str">
        <f>IF('Age-Level'!G30="A","A","")</f>
        <v/>
      </c>
    </row>
    <row r="14" spans="1:21" x14ac:dyDescent="0.2">
      <c r="A14" s="501" t="str">
        <f>Summary!A4</f>
        <v>Photography</v>
      </c>
      <c r="B14" s="502"/>
      <c r="C14" s="251" t="str">
        <f>IF(Badges!G28="C","C",IF(Badges!G28="P","P",""))</f>
        <v/>
      </c>
      <c r="E14" s="247"/>
      <c r="F14" s="248" t="str">
        <f>Badges!C18</f>
        <v>Grow your image</v>
      </c>
      <c r="G14" s="250" t="str">
        <f>IF(Badges!G18="A","A"," ")</f>
        <v xml:space="preserve"> </v>
      </c>
      <c r="I14" s="339" t="str">
        <f>Badges!B75</f>
        <v>Dinner Party</v>
      </c>
      <c r="J14" s="340"/>
      <c r="K14" s="340"/>
      <c r="M14" s="339" t="str">
        <f>Badges!B144</f>
        <v>Water</v>
      </c>
      <c r="N14" s="340"/>
      <c r="O14" s="340"/>
      <c r="Q14" s="516" t="str">
        <f>'Age-Level'!C31</f>
        <v>Fall Sales (Year 2)</v>
      </c>
      <c r="R14" s="516"/>
      <c r="S14" s="252" t="str">
        <f>IF('Age-Level'!G31="A","A","")</f>
        <v/>
      </c>
    </row>
    <row r="15" spans="1:21" x14ac:dyDescent="0.2">
      <c r="A15" s="490" t="str">
        <f>Summary!A5</f>
        <v>Coaching</v>
      </c>
      <c r="B15" s="491"/>
      <c r="C15" s="252" t="str">
        <f>IF(Badges!G51="C","C",IF(Badges!G51="P","P",""))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516" t="str">
        <f>'Age-Level'!C33</f>
        <v>Thinking Day (Year 1)</v>
      </c>
      <c r="R15" s="516"/>
      <c r="S15" s="252" t="str">
        <f>IF('Age-Level'!G33="A","A","")</f>
        <v/>
      </c>
    </row>
    <row r="16" spans="1:21" x14ac:dyDescent="0.2">
      <c r="A16" s="490" t="str">
        <f>Summary!A6</f>
        <v>Public Policy</v>
      </c>
      <c r="B16" s="491"/>
      <c r="C16" s="252" t="str">
        <f>IF(Badges!G74="C","C",IF(Badges!G74="P","P",""))</f>
        <v/>
      </c>
      <c r="E16" s="247"/>
      <c r="F16" s="248" t="str">
        <f>Badges!C20</f>
        <v xml:space="preserve">Take photos of a group </v>
      </c>
      <c r="G16" s="250" t="str">
        <f>IF(Badges!G20="A","A"," ")</f>
        <v xml:space="preserve"> </v>
      </c>
      <c r="I16" s="247"/>
      <c r="J16" s="248" t="str">
        <f>Badges!C77</f>
        <v>Interview a caterer, event planner, chef</v>
      </c>
      <c r="K16" s="250" t="str">
        <f>IF(Badges!G77="A","A"," ")</f>
        <v xml:space="preserve"> </v>
      </c>
      <c r="M16" s="247"/>
      <c r="N16" s="248" t="str">
        <f>Badges!C146</f>
        <v>Visit water in its natural state</v>
      </c>
      <c r="O16" s="250" t="str">
        <f>IF(Badges!G146="A","A"," ")</f>
        <v xml:space="preserve"> </v>
      </c>
      <c r="Q16" s="516" t="str">
        <f>'Age-Level'!C34</f>
        <v>Thinking Day (Year 2)</v>
      </c>
      <c r="R16" s="516"/>
      <c r="S16" s="252" t="str">
        <f>IF('Age-Level'!G34="A","A","")</f>
        <v/>
      </c>
    </row>
    <row r="17" spans="1:19" x14ac:dyDescent="0.2">
      <c r="A17" s="490" t="str">
        <f>Summary!A7</f>
        <v>Dinner Party</v>
      </c>
      <c r="B17" s="491"/>
      <c r="C17" s="252" t="str">
        <f>IF(Badges!G97="C","C",IF(Badges!G97="P","P",""))</f>
        <v/>
      </c>
      <c r="E17" s="247"/>
      <c r="F17" s="248" t="str">
        <f>Badges!C21</f>
        <v>Take photos of faces in motion</v>
      </c>
      <c r="G17" s="250" t="str">
        <f>IF(Badges!G21="A","A"," ")</f>
        <v xml:space="preserve"> </v>
      </c>
      <c r="I17" s="247"/>
      <c r="J17" s="248" t="str">
        <f>Badges!C78</f>
        <v>Collect recipes from cooking shows</v>
      </c>
      <c r="K17" s="250" t="str">
        <f>IF(Badges!G78="A","A"," ")</f>
        <v xml:space="preserve"> </v>
      </c>
      <c r="M17" s="247"/>
      <c r="N17" s="248" t="str">
        <f>Badges!C147</f>
        <v>Try a new water skill</v>
      </c>
      <c r="O17" s="250" t="str">
        <f>IF(Badges!G147="A","A"," ")</f>
        <v xml:space="preserve"> </v>
      </c>
      <c r="Q17" s="516" t="str">
        <f>'Age-Level'!C36</f>
        <v>Global Action Award</v>
      </c>
      <c r="R17" s="516"/>
      <c r="S17" s="252" t="str">
        <f>IF('Age-Level'!G36="A","A","")</f>
        <v/>
      </c>
    </row>
    <row r="18" spans="1:19" x14ac:dyDescent="0.2">
      <c r="A18" s="490" t="str">
        <f>Summary!A8</f>
        <v>Ambassador First Aid</v>
      </c>
      <c r="B18" s="491"/>
      <c r="C18" s="252" t="str">
        <f>IF(Badges!G120="C","C",IF(Badges!G120="P","P",""))</f>
        <v/>
      </c>
      <c r="E18" s="247"/>
      <c r="F18" s="248" t="str">
        <f>Badges!C22</f>
        <v>Take photos of objects in motion</v>
      </c>
      <c r="G18" s="250" t="str">
        <f>IF(Badges!G22="A","A"," ")</f>
        <v xml:space="preserve"> </v>
      </c>
      <c r="I18" s="247"/>
      <c r="J18" s="248" t="str">
        <f>Badges!C79</f>
        <v>Build a men around your favorite</v>
      </c>
      <c r="K18" s="250" t="str">
        <f>IF(Badges!G79="A","A"," ")</f>
        <v xml:space="preserve"> </v>
      </c>
      <c r="M18" s="247"/>
      <c r="N18" s="248" t="str">
        <f>Badges!C148</f>
        <v>Enjoy a water activity you already know</v>
      </c>
      <c r="O18" s="250" t="str">
        <f>IF(Badges!G148="A","A"," ")</f>
        <v xml:space="preserve"> </v>
      </c>
      <c r="Q18" s="516" t="str">
        <f>'Age-Level'!C38</f>
        <v>International Friendship Recognition</v>
      </c>
      <c r="R18" s="516"/>
      <c r="S18" s="252" t="str">
        <f>IF('Age-Level'!G38="A","A","")</f>
        <v/>
      </c>
    </row>
    <row r="19" spans="1:19" x14ac:dyDescent="0.2">
      <c r="A19" s="490" t="str">
        <f>Summary!A9</f>
        <v>Ambassador Girl Scout Way</v>
      </c>
      <c r="B19" s="491"/>
      <c r="C19" s="252" t="str">
        <f>IF(Badges!G143="C","C",IF(Badges!G143="P","P",""))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516" t="str">
        <f>'Age-Level'!C40</f>
        <v>Investiture</v>
      </c>
      <c r="R19" s="516"/>
      <c r="S19" s="252" t="str">
        <f>IF('Age-Level'!G40="A","A","")</f>
        <v/>
      </c>
    </row>
    <row r="20" spans="1:19" x14ac:dyDescent="0.2">
      <c r="A20" s="507" t="str">
        <f>Summary!A10</f>
        <v>Water</v>
      </c>
      <c r="B20" s="508"/>
      <c r="C20" s="253" t="str">
        <f>IF(Badges!G166="C","C",IF(Badges!G166="P","P",""))</f>
        <v/>
      </c>
      <c r="E20" s="247"/>
      <c r="F20" s="248" t="str">
        <f>Badges!C24</f>
        <v>Stage a photo exhibit</v>
      </c>
      <c r="G20" s="250" t="str">
        <f>IF(Badges!G24="A","A"," ")</f>
        <v xml:space="preserve"> </v>
      </c>
      <c r="I20" s="247"/>
      <c r="J20" s="248" t="str">
        <f>Badges!C81</f>
        <v>Camparison shop</v>
      </c>
      <c r="K20" s="250" t="str">
        <f>IF(Badges!G81="A","A"," ")</f>
        <v xml:space="preserve"> </v>
      </c>
      <c r="M20" s="247"/>
      <c r="N20" s="248" t="str">
        <f>Badges!C150</f>
        <v>Delve into water literature</v>
      </c>
      <c r="O20" s="250" t="str">
        <f>IF(Badges!G150="A","A"," ")</f>
        <v xml:space="preserve"> </v>
      </c>
      <c r="Q20" s="516" t="str">
        <f>'Age-Level'!C41</f>
        <v>Rededication (1st year)</v>
      </c>
      <c r="R20" s="516"/>
      <c r="S20" s="262" t="str">
        <f>IF('Age-Level'!G41="C","C","")</f>
        <v/>
      </c>
    </row>
    <row r="21" spans="1:19" x14ac:dyDescent="0.2">
      <c r="A21" s="500" t="str">
        <f>Summary!A11</f>
        <v>Financial Literacy</v>
      </c>
      <c r="B21" s="500"/>
      <c r="C21" s="500"/>
      <c r="E21" s="247"/>
      <c r="F21" s="248" t="str">
        <f>Badges!C25</f>
        <v>Make a digital slide show</v>
      </c>
      <c r="G21" s="250" t="str">
        <f>IF(Badges!G25="A","A"," ")</f>
        <v xml:space="preserve"> </v>
      </c>
      <c r="I21" s="247"/>
      <c r="J21" s="248" t="str">
        <f>Badges!C82</f>
        <v>Consult with a professional chef</v>
      </c>
      <c r="K21" s="250" t="str">
        <f>IF(Badges!G82="A","A"," ")</f>
        <v xml:space="preserve"> </v>
      </c>
      <c r="M21" s="247"/>
      <c r="N21" s="248" t="str">
        <f>Badges!C151</f>
        <v xml:space="preserve">Enjoy an exhibit or event that features </v>
      </c>
      <c r="O21" s="250" t="str">
        <f>IF(Badges!G151="A","A"," ")</f>
        <v xml:space="preserve"> </v>
      </c>
      <c r="Q21" s="516" t="str">
        <f>'Age-Level'!C42</f>
        <v>Rededication (2nd year)</v>
      </c>
      <c r="R21" s="516"/>
      <c r="S21" s="262" t="str">
        <f>IF('Age-Level'!G42="C","C","")</f>
        <v/>
      </c>
    </row>
    <row r="22" spans="1:19" x14ac:dyDescent="0.2">
      <c r="A22" s="501" t="str">
        <f>Summary!A12</f>
        <v>On My Own</v>
      </c>
      <c r="B22" s="502"/>
      <c r="C22" s="251" t="str">
        <f>IF(Badges!G190="C","C",IF(Badges!G190="P","P",""))</f>
        <v/>
      </c>
      <c r="E22" s="247"/>
      <c r="F22" s="248" t="str">
        <f>Badges!C26</f>
        <v>Create a photo album or scrapbook</v>
      </c>
      <c r="G22" s="250" t="str">
        <f>IF(Badges!G26="A","A"," ")</f>
        <v xml:space="preserve"> </v>
      </c>
      <c r="I22" s="247"/>
      <c r="J22" s="248" t="str">
        <f>Badges!C83</f>
        <v>Learn about alternative ways to shop</v>
      </c>
      <c r="K22" s="250" t="str">
        <f>IF(Badges!G83="A","A"," ")</f>
        <v xml:space="preserve"> </v>
      </c>
      <c r="M22" s="247"/>
      <c r="N22" s="248" t="str">
        <f>Badges!C152</f>
        <v>Create your own water composition</v>
      </c>
      <c r="O22" s="250" t="str">
        <f>IF(Badges!G152="A","A"," ")</f>
        <v xml:space="preserve"> </v>
      </c>
      <c r="Q22" s="342" t="str">
        <f>'Age-Level'!B43</f>
        <v>My Promise, My Faith (Year 1)</v>
      </c>
      <c r="R22" s="343"/>
      <c r="S22" s="262"/>
    </row>
    <row r="23" spans="1:19" x14ac:dyDescent="0.2">
      <c r="A23" s="501" t="str">
        <f>Summary!A13</f>
        <v>Good Credit</v>
      </c>
      <c r="B23" s="502"/>
      <c r="C23" s="251" t="str">
        <f>IF(Badges!G213="C","C",IF(Badges!G213="P","P",""))</f>
        <v/>
      </c>
      <c r="E23" s="492" t="str">
        <f>Badges!B29</f>
        <v>Coaching</v>
      </c>
      <c r="F23" s="517"/>
      <c r="G23" s="517"/>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IF('Age-Level'!G44="A","A","")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IF(Badges!G85="A","A"," ")</f>
        <v xml:space="preserve"> </v>
      </c>
      <c r="M24" s="247"/>
      <c r="N24" s="248" t="str">
        <f>Badges!C154</f>
        <v>Visit a water facility and explore its</v>
      </c>
      <c r="O24" s="250" t="str">
        <f>IF(Badges!G154="A","A"," ")</f>
        <v xml:space="preserve"> </v>
      </c>
      <c r="Q24" s="267">
        <v>2</v>
      </c>
      <c r="R24" s="344" t="str">
        <f>'Age-Level'!C45</f>
        <v>Find a woman in your community</v>
      </c>
      <c r="S24" s="262" t="str">
        <f>IF('Age-Level'!G45="A","A","")</f>
        <v/>
      </c>
    </row>
    <row r="25" spans="1:19" x14ac:dyDescent="0.2">
      <c r="A25" s="490" t="str">
        <f>Summary!A15</f>
        <v>Research and Development</v>
      </c>
      <c r="B25" s="491"/>
      <c r="C25" s="252" t="str">
        <f>IF(Badges!G227="C","C",IF(Badges!G227="P","P",""))</f>
        <v/>
      </c>
      <c r="E25" s="247"/>
      <c r="F25" s="248" t="str">
        <f>Badges!C31</f>
        <v>Talk to a great coach</v>
      </c>
      <c r="G25" s="250" t="str">
        <f>IF(Badges!G31="A","A"," ")</f>
        <v xml:space="preserve"> </v>
      </c>
      <c r="I25" s="247"/>
      <c r="J25" s="248" t="str">
        <f>Badges!C86</f>
        <v>Make a menu timeline</v>
      </c>
      <c r="K25" s="250" t="str">
        <f>IF(Badges!G86="A","A"," ")</f>
        <v xml:space="preserve"> </v>
      </c>
      <c r="M25" s="247"/>
      <c r="N25" s="248" t="str">
        <f>Badges!C155</f>
        <v>Investigate endangered marine life</v>
      </c>
      <c r="O25" s="250" t="str">
        <f>IF(Badges!G155="A","A"," ")</f>
        <v xml:space="preserve"> </v>
      </c>
      <c r="Q25" s="267">
        <v>3</v>
      </c>
      <c r="R25" s="344" t="str">
        <f>'Age-Level'!C46</f>
        <v>Gather three inspirational quotes</v>
      </c>
      <c r="S25" s="262" t="str">
        <f>IF('Age-Level'!G46="A","A","")</f>
        <v/>
      </c>
    </row>
    <row r="26" spans="1:19" x14ac:dyDescent="0.2">
      <c r="A26" s="490" t="str">
        <f>Summary!A16</f>
        <v>P &amp; L</v>
      </c>
      <c r="B26" s="491"/>
      <c r="C26" s="252" t="str">
        <f>IF(Badges!G240="C","C",IF(Badges!G240="P","P",""))</f>
        <v/>
      </c>
      <c r="E26" s="247"/>
      <c r="F26" s="248" t="str">
        <f>Badges!C32</f>
        <v>Watch three sports documentaries</v>
      </c>
      <c r="G26" s="250" t="str">
        <f>IF(Badges!G32="A","A"," ")</f>
        <v xml:space="preserve"> </v>
      </c>
      <c r="I26" s="247"/>
      <c r="J26" s="248" t="str">
        <f>Badges!C87</f>
        <v>Prepare a test meal for family or friends</v>
      </c>
      <c r="K26" s="250" t="str">
        <f>IF(Badges!G87="A","A"," ")</f>
        <v xml:space="preserve"> </v>
      </c>
      <c r="M26" s="247"/>
      <c r="N26" s="248" t="str">
        <f>Badges!C156</f>
        <v>Investigate water as a hazard</v>
      </c>
      <c r="O26" s="250" t="str">
        <f>IF(Badges!G156="A","A"," ")</f>
        <v xml:space="preserve"> </v>
      </c>
      <c r="Q26" s="267">
        <v>4</v>
      </c>
      <c r="R26" s="344" t="str">
        <f>'Age-Level'!C47</f>
        <v>Make something to remind you</v>
      </c>
      <c r="S26" s="262" t="str">
        <f>IF('Age-Level'!G47="A","A","")</f>
        <v/>
      </c>
    </row>
    <row r="27" spans="1:19" x14ac:dyDescent="0.2">
      <c r="A27" s="346"/>
      <c r="B27" s="346"/>
      <c r="C27" s="266"/>
      <c r="E27" s="247"/>
      <c r="F27" s="248" t="str">
        <f>Badges!C33</f>
        <v>Attend a coaching clinic or seminar</v>
      </c>
      <c r="G27" s="250" t="str">
        <f>IF(Badges!G33="A","A","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IF('Age-Level'!G48="A","A","")</f>
        <v/>
      </c>
    </row>
    <row r="28" spans="1:19" x14ac:dyDescent="0.2">
      <c r="A28" s="484" t="s">
        <v>84</v>
      </c>
      <c r="B28" s="513"/>
      <c r="C28" s="513"/>
      <c r="E28" s="247">
        <v>2</v>
      </c>
      <c r="F28" s="248" t="str">
        <f>Badges!C34</f>
        <v>Conduct a first assessment</v>
      </c>
      <c r="G28" s="249"/>
      <c r="I28" s="247"/>
      <c r="J28" s="248" t="str">
        <f>Badges!C89</f>
        <v>Expreiment with garnishes</v>
      </c>
      <c r="K28" s="250" t="str">
        <f>IF(Badges!G89="A","A"," ")</f>
        <v xml:space="preserve"> </v>
      </c>
      <c r="M28" s="247"/>
      <c r="N28" s="248" t="str">
        <f>Badges!C158</f>
        <v>Interview a water scientist</v>
      </c>
      <c r="O28" s="250" t="str">
        <f>IF(Badges!G158="A","A","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IF(Badges!G35="A","A"," ")</f>
        <v xml:space="preserve"> </v>
      </c>
      <c r="I29" s="247"/>
      <c r="J29" s="248" t="str">
        <f>Badges!C90</f>
        <v>Present food in interesting shapes</v>
      </c>
      <c r="K29" s="250" t="str">
        <f>IF(Badges!G90="A","A"," ")</f>
        <v xml:space="preserve"> </v>
      </c>
      <c r="M29" s="247"/>
      <c r="N29" s="248" t="str">
        <f>Badges!C159</f>
        <v>Explore the world of hydroelectricity</v>
      </c>
      <c r="O29" s="250" t="str">
        <f>IF(Badges!G159="A","A"," ")</f>
        <v xml:space="preserve"> </v>
      </c>
      <c r="Q29" s="268">
        <v>1</v>
      </c>
      <c r="R29" s="344" t="str">
        <f>'Age-Level'!C51</f>
        <v>Choose one line from the Law</v>
      </c>
      <c r="S29" s="262" t="str">
        <f>IF('Age-Level'!G51="A","A","")</f>
        <v/>
      </c>
    </row>
    <row r="30" spans="1:19" x14ac:dyDescent="0.2">
      <c r="B30" s="477" t="str">
        <f>Journey!B7</f>
        <v>The Girl Scout Advocate Award</v>
      </c>
      <c r="C30" s="478"/>
      <c r="E30" s="247"/>
      <c r="F30" s="248" t="str">
        <f>Badges!C36</f>
        <v>Host an initial session</v>
      </c>
      <c r="G30" s="250" t="str">
        <f>IF(Badges!G36="A","A"," ")</f>
        <v xml:space="preserve"> </v>
      </c>
      <c r="I30" s="247"/>
      <c r="J30" s="248" t="str">
        <f>Badges!C91</f>
        <v>Use serving ware in unusual ways</v>
      </c>
      <c r="K30" s="250" t="str">
        <f>IF(Badges!G91="A","A"," ")</f>
        <v xml:space="preserve"> </v>
      </c>
      <c r="M30" s="247"/>
      <c r="N30" s="248" t="str">
        <f>Badges!C160</f>
        <v>Design your own water innovation</v>
      </c>
      <c r="O30" s="250" t="str">
        <f>IF(Badges!G160="A","A"," ")</f>
        <v xml:space="preserve"> </v>
      </c>
      <c r="Q30" s="267">
        <v>2</v>
      </c>
      <c r="R30" s="344" t="str">
        <f>'Age-Level'!C52</f>
        <v>Find a woman in your community</v>
      </c>
      <c r="S30" s="262" t="str">
        <f>IF('Age-Level'!G52="A","A","")</f>
        <v/>
      </c>
    </row>
    <row r="31" spans="1:19" x14ac:dyDescent="0.2">
      <c r="B31" s="256">
        <f>Journey!F8</f>
        <v>0</v>
      </c>
      <c r="C31" s="252" t="str">
        <f>IF(Journey!G8="C","C",IF(Journey!G8="P","P",""))</f>
        <v/>
      </c>
      <c r="E31" s="247"/>
      <c r="F31" s="248" t="str">
        <f>Badges!C37</f>
        <v>Prepare a goal chart together</v>
      </c>
      <c r="G31" s="250" t="str">
        <f>IF(Badges!G37="A","A","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IF('Age-Level'!G53="A","A","")</f>
        <v/>
      </c>
    </row>
    <row r="32" spans="1:19" x14ac:dyDescent="0.2">
      <c r="B32" s="256">
        <f>Journey!F9</f>
        <v>0</v>
      </c>
      <c r="C32" s="252" t="str">
        <f>IF(Journey!G9="C","C",IF(Journey!G9="P","P",""))</f>
        <v/>
      </c>
      <c r="E32" s="339" t="str">
        <f>Badges!B29</f>
        <v>Coaching</v>
      </c>
      <c r="F32" s="340"/>
      <c r="G32" s="340"/>
      <c r="I32" s="247"/>
      <c r="J32" s="248" t="str">
        <f>Badges!C93</f>
        <v>Decorate according to your menu theme</v>
      </c>
      <c r="K32" s="250" t="str">
        <f>IF(Badges!G93="A","A"," ")</f>
        <v xml:space="preserve"> </v>
      </c>
      <c r="M32" s="247"/>
      <c r="N32" s="248" t="str">
        <f>Badges!C162</f>
        <v>Celebrate water with younger Girl Scouts</v>
      </c>
      <c r="O32" s="250" t="str">
        <f>IF(Badges!G162="A","A"," ")</f>
        <v xml:space="preserve"> </v>
      </c>
      <c r="Q32" s="267">
        <v>4</v>
      </c>
      <c r="R32" s="344" t="str">
        <f>'Age-Level'!C54</f>
        <v>Make something to remind you</v>
      </c>
      <c r="S32" s="262" t="str">
        <f>IF('Age-Level'!G54="A","A","")</f>
        <v/>
      </c>
    </row>
    <row r="33" spans="1:19" x14ac:dyDescent="0.2">
      <c r="B33" s="256">
        <f>Journey!F10</f>
        <v>0</v>
      </c>
      <c r="C33" s="252" t="str">
        <f>IF(Journey!G10="C","C",IF(Journey!G10="P","P",""))</f>
        <v/>
      </c>
      <c r="E33" s="247">
        <v>3</v>
      </c>
      <c r="F33" s="248" t="str">
        <f>Badges!C38</f>
        <v>Design your coaching plan</v>
      </c>
      <c r="G33" s="249"/>
      <c r="I33" s="247"/>
      <c r="J33" s="248" t="str">
        <f>Badges!C94</f>
        <v>Celebrate a special occasion</v>
      </c>
      <c r="K33" s="250" t="str">
        <f>IF(Badges!G94="A","A"," ")</f>
        <v xml:space="preserve"> </v>
      </c>
      <c r="M33" s="247"/>
      <c r="N33" s="248" t="str">
        <f>Badges!C163</f>
        <v>Share a water issue that matters to you</v>
      </c>
      <c r="O33" s="250" t="str">
        <f>IF(Badges!G163="A","A"," ")</f>
        <v xml:space="preserve"> </v>
      </c>
      <c r="Q33" s="267">
        <v>5</v>
      </c>
      <c r="R33" s="344" t="str">
        <f>'Age-Level'!C55</f>
        <v xml:space="preserve">Make a commitment to live what </v>
      </c>
      <c r="S33" s="364" t="str">
        <f>IF('Age-Level'!G55="A","A","")</f>
        <v/>
      </c>
    </row>
    <row r="34" spans="1:19" x14ac:dyDescent="0.2">
      <c r="A34" s="284"/>
      <c r="B34" s="473" t="str">
        <f>Journey!A14</f>
        <v>JUSTICE</v>
      </c>
      <c r="C34" s="474"/>
      <c r="E34" s="247"/>
      <c r="F34" s="248" t="str">
        <f>Badges!C39</f>
        <v xml:space="preserve">Design a special warm-up </v>
      </c>
      <c r="G34" s="250" t="str">
        <f>IF(Badges!G39="A","A"," ")</f>
        <v xml:space="preserve"> </v>
      </c>
      <c r="I34" s="247"/>
      <c r="J34" s="248" t="str">
        <f>Badges!C95</f>
        <v>Use food and fun to forge new friendships</v>
      </c>
      <c r="K34" s="250" t="str">
        <f>IF(Badges!G95="A","A"," ")</f>
        <v xml:space="preserve"> </v>
      </c>
      <c r="M34" s="247"/>
      <c r="N34" s="248" t="str">
        <f>Badges!C164</f>
        <v>Guide a group to a water place</v>
      </c>
      <c r="O34" s="250" t="str">
        <f>IF(Badges!G164="A","A"," ")</f>
        <v xml:space="preserve"> </v>
      </c>
      <c r="Q34" s="516" t="str">
        <f>'Age-Level'!B57</f>
        <v>Safety Award</v>
      </c>
      <c r="R34" s="516"/>
      <c r="S34" s="364"/>
    </row>
    <row r="35" spans="1:19" x14ac:dyDescent="0.2">
      <c r="A35" s="284"/>
      <c r="B35" s="479" t="str">
        <f>Journey!B15</f>
        <v>Sage Award</v>
      </c>
      <c r="C35" s="480"/>
      <c r="E35" s="247"/>
      <c r="F35" s="248" t="str">
        <f>Badges!C40</f>
        <v>Research and choose</v>
      </c>
      <c r="G35" s="250" t="str">
        <f>IF(Badges!G40="A","A","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IF('Age-Level'!G58="A","A","")</f>
        <v/>
      </c>
    </row>
    <row r="36" spans="1:19" ht="12.75" customHeight="1" x14ac:dyDescent="0.2">
      <c r="A36" s="284"/>
      <c r="B36" s="256">
        <f>Journey!F16</f>
        <v>0</v>
      </c>
      <c r="C36" s="252" t="str">
        <f>IF(Journey!G16="C","C",IF(Journey!G16="P","P",""))</f>
        <v/>
      </c>
      <c r="E36" s="247"/>
      <c r="F36" s="248" t="str">
        <f>Badges!C41</f>
        <v>Open and close each session</v>
      </c>
      <c r="G36" s="250" t="str">
        <f>IF(Badges!G41="A","A","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IF('Age-Level'!G59="A","A","")</f>
        <v/>
      </c>
    </row>
    <row r="37" spans="1:19" ht="12.75" customHeight="1" x14ac:dyDescent="0.2">
      <c r="A37" s="284"/>
      <c r="B37" s="256">
        <f>Journey!F17</f>
        <v>0</v>
      </c>
      <c r="C37" s="252" t="str">
        <f>IF(Journey!G17="C","C",IF(Journey!G17="P","P",""))</f>
        <v/>
      </c>
      <c r="E37" s="247">
        <v>4</v>
      </c>
      <c r="F37" s="248" t="str">
        <f>Badges!C42</f>
        <v>Put your plan in action</v>
      </c>
      <c r="G37" s="249"/>
      <c r="I37" s="247"/>
      <c r="J37" s="248" t="str">
        <f>Badges!C100</f>
        <v>Backcountry</v>
      </c>
      <c r="K37" s="250" t="str">
        <f>IF(Badges!G100="A","A"," ")</f>
        <v xml:space="preserve"> </v>
      </c>
      <c r="M37" s="247"/>
      <c r="N37" s="248" t="str">
        <f>Badges!C170</f>
        <v>Take a tour</v>
      </c>
      <c r="O37" s="250" t="str">
        <f>IF(Badges!G170="A","A"," ")</f>
        <v xml:space="preserve"> </v>
      </c>
      <c r="Q37" s="267">
        <v>3</v>
      </c>
      <c r="R37" s="344" t="str">
        <f>'Age-Level'!C60</f>
        <v>Teach a Daisy or Brownie what to do if</v>
      </c>
      <c r="S37" s="262" t="str">
        <f>IF('Age-Level'!G60="A","A","")</f>
        <v/>
      </c>
    </row>
    <row r="38" spans="1:19" x14ac:dyDescent="0.2">
      <c r="A38" s="284"/>
      <c r="B38" s="256">
        <f>Journey!F18</f>
        <v>0</v>
      </c>
      <c r="C38" s="252" t="str">
        <f>IF(Journey!G18="C","C",IF(Journey!G18="P","P",""))</f>
        <v/>
      </c>
      <c r="E38" s="247"/>
      <c r="F38" s="248" t="str">
        <f>Badges!C43</f>
        <v>Add a morale-boosting time-out</v>
      </c>
      <c r="G38" s="250" t="str">
        <f>IF(Badges!G43="A","A"," ")</f>
        <v xml:space="preserve"> </v>
      </c>
      <c r="I38" s="247"/>
      <c r="J38" s="248" t="str">
        <f>Badges!C101</f>
        <v>Open water</v>
      </c>
      <c r="K38" s="250" t="str">
        <f>IF(Badges!G101="A","A"," ")</f>
        <v xml:space="preserve"> </v>
      </c>
      <c r="M38" s="247"/>
      <c r="N38" s="248" t="str">
        <f>Badges!C171</f>
        <v>Interview a new tenant or homeowner</v>
      </c>
      <c r="O38" s="250" t="str">
        <f>IF(Badges!G171="A","A"," ")</f>
        <v xml:space="preserve"> </v>
      </c>
      <c r="Q38" s="267">
        <v>4</v>
      </c>
      <c r="R38" s="344" t="str">
        <f>'Age-Level'!C61</f>
        <v>With your family, make sure you have</v>
      </c>
      <c r="S38" s="262" t="str">
        <f>IF('Age-Level'!G61="A","A","")</f>
        <v/>
      </c>
    </row>
    <row r="39" spans="1:19" x14ac:dyDescent="0.2">
      <c r="A39" s="284"/>
      <c r="B39" s="256">
        <f>Journey!F19</f>
        <v>0</v>
      </c>
      <c r="C39" s="252" t="str">
        <f>IF(Journey!G19="C","C",IF(Journey!G19="P","P",""))</f>
        <v/>
      </c>
      <c r="E39" s="247"/>
      <c r="F39" s="248" t="str">
        <f>Badges!C44</f>
        <v>Ask your players to coach you!</v>
      </c>
      <c r="G39" s="250" t="str">
        <f>IF(Badges!G44="A","A"," ")</f>
        <v xml:space="preserve"> </v>
      </c>
      <c r="I39" s="247"/>
      <c r="J39" s="248" t="str">
        <f>Badges!C102</f>
        <v>Mountains</v>
      </c>
      <c r="K39" s="250" t="str">
        <f>IF(Badges!G102="A","A"," ")</f>
        <v xml:space="preserve"> </v>
      </c>
      <c r="M39" s="247"/>
      <c r="N39" s="248" t="str">
        <f>Badges!C172</f>
        <v>Be chart smart</v>
      </c>
      <c r="O39" s="250" t="str">
        <f>IF(Badges!G172="A","A"," ")</f>
        <v xml:space="preserve"> </v>
      </c>
      <c r="Q39" s="267">
        <v>5</v>
      </c>
      <c r="R39" s="344" t="str">
        <f>'Age-Level'!C62</f>
        <v>Discuss bullying with your Girl Scout</v>
      </c>
      <c r="S39" s="262" t="str">
        <f>IF('Age-Level'!G62="A","A","")</f>
        <v/>
      </c>
    </row>
    <row r="40" spans="1:19" x14ac:dyDescent="0.2">
      <c r="A40" s="284"/>
      <c r="B40" s="256">
        <f>Journey!F20</f>
        <v>0</v>
      </c>
      <c r="C40" s="252" t="str">
        <f>IF(Journey!G20="C","C",IF(Journey!G20="P","P",""))</f>
        <v/>
      </c>
      <c r="E40" s="247"/>
      <c r="F40" s="248" t="str">
        <f>Badges!C45</f>
        <v xml:space="preserve">Bring in another coah to watch </v>
      </c>
      <c r="G40" s="250" t="str">
        <f>IF(Badges!G45="A","A","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Journey!F21</f>
        <v>0</v>
      </c>
      <c r="C41" s="252" t="str">
        <f>IF(Journey!G21="C","C",IF(Journey!G21="P","P",""))</f>
        <v/>
      </c>
      <c r="E41" s="247">
        <v>5</v>
      </c>
      <c r="F41" s="248" t="str">
        <f>Badges!C46</f>
        <v>Attend the big event</v>
      </c>
      <c r="G41" s="249"/>
      <c r="I41" s="247"/>
      <c r="J41" s="248" t="str">
        <f>Badges!C104</f>
        <v>Wilderness rescue</v>
      </c>
      <c r="K41" s="250" t="str">
        <f>IF(Badges!G104="A","A"," ")</f>
        <v xml:space="preserve"> </v>
      </c>
      <c r="M41" s="247"/>
      <c r="N41" s="248" t="str">
        <f>Badges!C174</f>
        <v>Focus on your finances</v>
      </c>
      <c r="O41" s="250" t="str">
        <f>IF(Badges!G174="A","A"," ")</f>
        <v xml:space="preserve"> </v>
      </c>
    </row>
    <row r="42" spans="1:19" ht="12.75" customHeight="1" x14ac:dyDescent="0.2">
      <c r="A42" s="254"/>
      <c r="B42" s="475" t="str">
        <f>Journey!A25</f>
        <v>BLISS: Live it! Give It!</v>
      </c>
      <c r="C42" s="476"/>
      <c r="E42" s="247"/>
      <c r="F42" s="248" t="str">
        <f>Badges!C47</f>
        <v>Meet with your players for a relaxing</v>
      </c>
      <c r="G42" s="250" t="str">
        <f>IF(Badges!G47="A","A"," ")</f>
        <v xml:space="preserve"> </v>
      </c>
      <c r="I42" s="247"/>
      <c r="J42" s="248" t="str">
        <f>Badges!C105</f>
        <v>Disaster preparedness</v>
      </c>
      <c r="K42" s="250" t="str">
        <f>IF(Badges!G105="A","A"," ")</f>
        <v xml:space="preserve"> </v>
      </c>
      <c r="M42" s="247"/>
      <c r="N42" s="248" t="str">
        <f>Badges!C175</f>
        <v>Shop talk</v>
      </c>
      <c r="O42" s="250" t="str">
        <f>IF(Badges!G175="A","A"," ")</f>
        <v xml:space="preserve"> </v>
      </c>
      <c r="Q42" s="505"/>
      <c r="R42" s="505"/>
      <c r="S42" s="240"/>
    </row>
    <row r="43" spans="1:19" ht="12.75" customHeight="1" x14ac:dyDescent="0.2">
      <c r="B43" s="477" t="str">
        <f>Journey!B26</f>
        <v>Dream Maker Award</v>
      </c>
      <c r="C43" s="478"/>
      <c r="E43" s="247"/>
      <c r="F43" s="248" t="str">
        <f>Badges!C48</f>
        <v>Host a celebration</v>
      </c>
      <c r="G43" s="250" t="str">
        <f>IF(Badges!G48="A","A"," ")</f>
        <v xml:space="preserve"> </v>
      </c>
      <c r="I43" s="247"/>
      <c r="J43" s="248" t="str">
        <f>Badges!C106</f>
        <v>Military medicine</v>
      </c>
      <c r="K43" s="250" t="str">
        <f>IF(Badges!G106="A","A"," ")</f>
        <v xml:space="preserve"> </v>
      </c>
      <c r="M43" s="247"/>
      <c r="N43" s="248" t="str">
        <f>Badges!C176</f>
        <v>Audit request</v>
      </c>
      <c r="O43" s="250" t="str">
        <f>IF(Badges!G176="A","A"," ")</f>
        <v xml:space="preserve"> </v>
      </c>
      <c r="Q43" s="267"/>
      <c r="R43" s="267"/>
      <c r="S43" s="240"/>
    </row>
    <row r="44" spans="1:19" x14ac:dyDescent="0.2">
      <c r="B44" s="256">
        <f>Journey!F27</f>
        <v>0</v>
      </c>
      <c r="C44" s="252" t="str">
        <f>IF(Journey!G27="C","C",IF(Journey!G27="P","P",""))</f>
        <v/>
      </c>
      <c r="E44" s="247"/>
      <c r="F44" s="248" t="str">
        <f>Badges!C49</f>
        <v>Make a "trading card" for each athlete</v>
      </c>
      <c r="G44" s="250" t="str">
        <f>IF(Badges!G49="A","A","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Journey!F28</f>
        <v>0</v>
      </c>
      <c r="C45" s="252" t="str">
        <f>IF(Journey!G28="C","C",IF(Journey!G28="P","P",""))</f>
        <v/>
      </c>
      <c r="E45" s="492" t="str">
        <f>Badges!B52</f>
        <v>Public Policy</v>
      </c>
      <c r="F45" s="492"/>
      <c r="G45" s="492"/>
      <c r="I45" s="247"/>
      <c r="J45" s="248" t="str">
        <f>Badges!C108</f>
        <v>Take a wilderness first aid course</v>
      </c>
      <c r="K45" s="250" t="str">
        <f>IF(Badges!G108="A","A"," ")</f>
        <v xml:space="preserve"> </v>
      </c>
      <c r="M45" s="247"/>
      <c r="N45" s="248" t="str">
        <f>Badges!C178</f>
        <v>Hooray for hobbies!</v>
      </c>
      <c r="O45" s="250" t="str">
        <f>IF(Badges!G178="A","A"," ")</f>
        <v xml:space="preserve"> </v>
      </c>
      <c r="Q45" s="267"/>
      <c r="R45" s="267"/>
      <c r="S45" s="240"/>
    </row>
    <row r="46" spans="1:19" x14ac:dyDescent="0.2">
      <c r="B46" s="256">
        <f>Journey!F29</f>
        <v>0</v>
      </c>
      <c r="C46" s="252" t="str">
        <f>IF(Journey!G29="C","C",IF(Journey!G29="P","P",""))</f>
        <v/>
      </c>
      <c r="E46" s="247">
        <v>1</v>
      </c>
      <c r="F46" s="248" t="str">
        <f>Badges!C53</f>
        <v>Find out how activitists advocate for change</v>
      </c>
      <c r="G46" s="249" t="s">
        <v>26</v>
      </c>
      <c r="I46" s="247"/>
      <c r="J46" s="248" t="str">
        <f>Badges!C109</f>
        <v>Interview a doctor, nurse, EMT, or first</v>
      </c>
      <c r="K46" s="250" t="str">
        <f>IF(Badges!G109="A","A"," ")</f>
        <v xml:space="preserve"> </v>
      </c>
      <c r="M46" s="247"/>
      <c r="N46" s="248" t="str">
        <f>Badges!C179</f>
        <v>Treat yourself</v>
      </c>
      <c r="O46" s="250" t="str">
        <f>IF(Badges!G179="A","A"," ")</f>
        <v xml:space="preserve"> </v>
      </c>
      <c r="Q46" s="267"/>
      <c r="R46" s="267"/>
      <c r="S46" s="240"/>
    </row>
    <row r="47" spans="1:19" x14ac:dyDescent="0.2">
      <c r="B47" s="256">
        <f>Journey!F30</f>
        <v>0</v>
      </c>
      <c r="C47" s="252" t="str">
        <f>IF(Journey!G30="C","C",IF(Journey!G30="P","P",""))</f>
        <v/>
      </c>
      <c r="E47" s="247"/>
      <c r="F47" s="248" t="str">
        <f>Badges!C54</f>
        <v>Interview an activist</v>
      </c>
      <c r="G47" s="250" t="str">
        <f>IF(Badges!G54="A","A"," ")</f>
        <v xml:space="preserve"> </v>
      </c>
      <c r="I47" s="247"/>
      <c r="J47" s="248" t="str">
        <f>Badges!C110</f>
        <v xml:space="preserve">Discover how to use what's on hand in </v>
      </c>
      <c r="K47" s="250" t="str">
        <f>IF(Badges!G110="A","A"," ")</f>
        <v xml:space="preserve"> </v>
      </c>
      <c r="M47" s="247"/>
      <c r="N47" s="248" t="str">
        <f>Badges!C180</f>
        <v>Class act</v>
      </c>
      <c r="O47" s="250" t="str">
        <f>IF(Badges!G180="A","A"," ")</f>
        <v xml:space="preserve"> </v>
      </c>
      <c r="Q47" s="267"/>
      <c r="R47" s="267"/>
      <c r="S47" s="240"/>
    </row>
    <row r="48" spans="1:19" x14ac:dyDescent="0.2">
      <c r="B48" s="264"/>
      <c r="C48" s="264"/>
      <c r="E48" s="247"/>
      <c r="F48" s="248" t="str">
        <f>Badges!C55</f>
        <v>Watch a documentary or movie</v>
      </c>
      <c r="G48" s="250" t="str">
        <f>IF(Badges!G55="A","A"," ")</f>
        <v xml:space="preserve"> </v>
      </c>
      <c r="I48" s="339" t="str">
        <f>Badges!B98</f>
        <v>Ambassador First Aid</v>
      </c>
      <c r="J48" s="340"/>
      <c r="K48" s="340"/>
      <c r="M48" s="247">
        <v>4</v>
      </c>
      <c r="N48" s="248" t="str">
        <f>Badges!C181</f>
        <v>Plan for the unexpected</v>
      </c>
      <c r="O48" s="249"/>
    </row>
    <row r="49" spans="1:19" x14ac:dyDescent="0.2">
      <c r="A49" s="484" t="s">
        <v>316</v>
      </c>
      <c r="B49" s="513"/>
      <c r="C49" s="513"/>
      <c r="E49" s="247"/>
      <c r="F49" s="248" t="str">
        <f>Badges!C56</f>
        <v xml:space="preserve">Read about women who change the </v>
      </c>
      <c r="G49" s="250" t="str">
        <f>IF(Badges!G56="A","A"," ")</f>
        <v xml:space="preserve"> </v>
      </c>
      <c r="I49" s="247">
        <v>4</v>
      </c>
      <c r="J49" s="248" t="str">
        <f>Badges!C111</f>
        <v>Know how to move an injured person</v>
      </c>
      <c r="K49" s="249"/>
      <c r="M49" s="247"/>
      <c r="N49" s="248" t="str">
        <f>Badges!C182</f>
        <v>Interview your network</v>
      </c>
      <c r="O49" s="250" t="str">
        <f>IF(Badges!G182="A","A"," ")</f>
        <v xml:space="preserve"> </v>
      </c>
    </row>
    <row r="50" spans="1:19" x14ac:dyDescent="0.2">
      <c r="A50" s="259"/>
      <c r="B50" s="345" t="str">
        <f>Bridging!B6</f>
        <v>Pass It On!</v>
      </c>
      <c r="C50" s="251" t="str">
        <f>IF(Bridging!G10="C","C",IF(Bridging!G10="P","P",""))</f>
        <v/>
      </c>
      <c r="E50" s="247">
        <v>2</v>
      </c>
      <c r="F50" s="248" t="str">
        <f>Badges!C57</f>
        <v>Engage as a global citizen</v>
      </c>
      <c r="G50" s="249"/>
      <c r="I50" s="247"/>
      <c r="J50" s="248" t="str">
        <f>Badges!C112</f>
        <v>Visit a medical school</v>
      </c>
      <c r="K50" s="250" t="str">
        <f>IF(Badges!G112="A","A"," ")</f>
        <v xml:space="preserve"> </v>
      </c>
      <c r="M50" s="247"/>
      <c r="N50" s="248" t="str">
        <f>Badges!C183</f>
        <v>Interview a Financial guru</v>
      </c>
      <c r="O50" s="250" t="str">
        <f>IF(Badges!G183="A","A"," ")</f>
        <v xml:space="preserve"> </v>
      </c>
    </row>
    <row r="51" spans="1:19" x14ac:dyDescent="0.2">
      <c r="A51" s="259"/>
      <c r="B51" s="260" t="str">
        <f>Bridging!B11</f>
        <v>Look Ahead!</v>
      </c>
      <c r="C51" s="251" t="str">
        <f>IF(Bridging!G15="C","C",IF(Bridging!G15="P","P",""))</f>
        <v/>
      </c>
      <c r="E51" s="247"/>
      <c r="F51" s="248" t="str">
        <f>Badges!C58</f>
        <v>Compare laws</v>
      </c>
      <c r="G51" s="250" t="str">
        <f>IF(Badges!G58="A","A"," ")</f>
        <v xml:space="preserve"> </v>
      </c>
      <c r="I51" s="247"/>
      <c r="J51" s="248" t="str">
        <f>Badges!C113</f>
        <v>Take a wilderness first aid course</v>
      </c>
      <c r="K51" s="250" t="str">
        <f>IF(Badges!G113="A","A"," ")</f>
        <v xml:space="preserve"> </v>
      </c>
      <c r="M51" s="247"/>
      <c r="N51" s="248" t="str">
        <f>Badges!C184</f>
        <v>Interview an insurance expert</v>
      </c>
      <c r="O51" s="250" t="str">
        <f>IF(Badges!G184="A","A"," ")</f>
        <v xml:space="preserve"> </v>
      </c>
    </row>
    <row r="52" spans="1:19" x14ac:dyDescent="0.2">
      <c r="A52" s="259"/>
      <c r="B52" s="344" t="str">
        <f>Bridging!C16</f>
        <v>Plan a Ceremony</v>
      </c>
      <c r="C52" s="251" t="str">
        <f>IF(Bridging!G17="C","C",IF(Bridging!G17="P","P",""))</f>
        <v/>
      </c>
      <c r="E52" s="247"/>
      <c r="F52" s="248" t="str">
        <f>Badges!C59</f>
        <v xml:space="preserve">Track a public-policy issue being </v>
      </c>
      <c r="G52" s="250" t="str">
        <f>IF(Badges!G59="A","A"," ")</f>
        <v xml:space="preserve"> </v>
      </c>
      <c r="I52" s="247"/>
      <c r="J52" s="248" t="str">
        <f>Badges!C114</f>
        <v>Organize a mock emergency drill</v>
      </c>
      <c r="K52" s="250" t="str">
        <f>IF(Badges!G114="A","A"," ")</f>
        <v xml:space="preserve"> </v>
      </c>
      <c r="M52" s="339" t="str">
        <f>Badges!B168</f>
        <v>On My Own</v>
      </c>
      <c r="N52" s="340"/>
      <c r="O52" s="340"/>
    </row>
    <row r="53" spans="1:19" x14ac:dyDescent="0.2">
      <c r="B53" s="261" t="s">
        <v>134</v>
      </c>
      <c r="C53" s="251" t="str">
        <f>IF(Bridging!G18="C","C",IF(Bridging!G18="P","P",""))</f>
        <v/>
      </c>
      <c r="E53" s="247"/>
      <c r="F53" s="248" t="str">
        <f>Badges!C60</f>
        <v>Explore an international NGO</v>
      </c>
      <c r="G53" s="250" t="str">
        <f>IF(Badges!G60="A","A","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IF(Badges!G116="A","A"," ")</f>
        <v xml:space="preserve"> </v>
      </c>
      <c r="M54" s="247"/>
      <c r="N54" s="248" t="str">
        <f>Badges!C186</f>
        <v>Plan for presents</v>
      </c>
      <c r="O54" s="250" t="str">
        <f>IF(Badges!G186="A","A"," ")</f>
        <v xml:space="preserve"> </v>
      </c>
      <c r="Q54" s="267"/>
      <c r="R54" s="267"/>
      <c r="S54" s="240"/>
    </row>
    <row r="55" spans="1:19" x14ac:dyDescent="0.2">
      <c r="I55" s="247"/>
      <c r="J55" s="248" t="str">
        <f>Badges!C117</f>
        <v>Investigate extreme first aid</v>
      </c>
      <c r="K55" s="250" t="str">
        <f>IF(Badges!G117="A","A"," ")</f>
        <v xml:space="preserve"> </v>
      </c>
      <c r="M55" s="247"/>
      <c r="N55" s="248" t="str">
        <f>Badges!C187</f>
        <v>Budget for your time</v>
      </c>
      <c r="O55" s="250" t="str">
        <f>IF(Badges!G187="A","A"," ")</f>
        <v xml:space="preserve"> </v>
      </c>
      <c r="Q55" s="496"/>
      <c r="R55" s="514"/>
      <c r="S55" s="514"/>
    </row>
    <row r="56" spans="1:19" x14ac:dyDescent="0.2">
      <c r="I56" s="247"/>
      <c r="J56" s="248" t="str">
        <f>Badges!C118</f>
        <v>Interview an everyday hero</v>
      </c>
      <c r="K56" s="250" t="str">
        <f>IF(Badges!G118="A","A"," ")</f>
        <v xml:space="preserve"> </v>
      </c>
      <c r="M56" s="247"/>
      <c r="N56" s="248" t="str">
        <f>Badges!C188</f>
        <v>Charity starts… with a budget</v>
      </c>
      <c r="O56" s="250" t="str">
        <f>IF(Badges!G188="A","A","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IF(Badges!G123="A","A"," ")</f>
        <v xml:space="preserve"> </v>
      </c>
      <c r="M59" s="247"/>
      <c r="N59" s="248" t="str">
        <f>Badges!C217</f>
        <v>Invest some R&amp;D</v>
      </c>
      <c r="O59" s="250" t="str">
        <f>IF(Badges!G217="A","A"," ")</f>
        <v xml:space="preserve"> </v>
      </c>
    </row>
    <row r="60" spans="1:19" x14ac:dyDescent="0.2">
      <c r="I60" s="247"/>
      <c r="J60" s="248" t="str">
        <f>Badges!C124</f>
        <v xml:space="preserve">Ogranize a songfest for younger </v>
      </c>
      <c r="K60" s="250" t="str">
        <f>IF(Badges!G124="A","A"," ")</f>
        <v xml:space="preserve"> </v>
      </c>
      <c r="M60" s="247">
        <v>2</v>
      </c>
      <c r="N60" s="248" t="str">
        <f>Badges!C218</f>
        <v>Reasearch how other companies innovate</v>
      </c>
      <c r="O60" s="249"/>
    </row>
    <row r="61" spans="1:19" ht="12.75" customHeight="1" x14ac:dyDescent="0.2">
      <c r="I61" s="247"/>
      <c r="J61" s="248" t="str">
        <f>Badges!C125</f>
        <v>Bring generations together in song</v>
      </c>
      <c r="K61" s="250" t="str">
        <f>IF(Badges!G125="A","A"," ")</f>
        <v xml:space="preserve"> </v>
      </c>
      <c r="M61" s="247"/>
      <c r="N61" s="248" t="str">
        <f>Badges!C219</f>
        <v>Find at least three other companies</v>
      </c>
      <c r="O61" s="250" t="str">
        <f>IF(Badges!G219="A","A"," ")</f>
        <v xml:space="preserve"> </v>
      </c>
    </row>
    <row r="62" spans="1:19" ht="12.75" customHeight="1"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IF(Badges!G127="A","A"," ")</f>
        <v xml:space="preserve"> </v>
      </c>
      <c r="M63" s="247"/>
      <c r="N63" s="248" t="str">
        <f>Badges!C221</f>
        <v>Developing a new product</v>
      </c>
      <c r="O63" s="250" t="str">
        <f>IF(Badges!G221="A","A"," ")</f>
        <v xml:space="preserve"> </v>
      </c>
    </row>
    <row r="64" spans="1:19" x14ac:dyDescent="0.2">
      <c r="I64" s="247"/>
      <c r="J64" s="248" t="str">
        <f>Badges!C128</f>
        <v>Make World Thinking Day cards</v>
      </c>
      <c r="K64" s="250" t="str">
        <f>IF(Badges!G128="A","A","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IF(Badges!G129="A","A"," ")</f>
        <v xml:space="preserve"> </v>
      </c>
      <c r="M65" s="247"/>
      <c r="N65" s="248" t="str">
        <f>Badges!C223</f>
        <v>If you're considering serveral</v>
      </c>
      <c r="O65" s="250" t="str">
        <f>IF(Badges!G223="A","A","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IF(Badges!G225="A","A","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515"/>
      <c r="G72" s="515"/>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Own'!G28="C","C",IF('Council Own'!G28="P","P",""))</f>
        <v/>
      </c>
      <c r="E73" s="493" t="str">
        <f>'Fun Patches'!C5</f>
        <v>&lt;LIST PATCH HERE&gt;</v>
      </c>
      <c r="F73" s="494"/>
      <c r="G73" s="250" t="str">
        <f>IF('Fun Patches'!G5="A","A","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Own'!G52="C","C",IF('Council Own'!G52="P","P",""))</f>
        <v/>
      </c>
      <c r="E74" s="471" t="str">
        <f>'Fun Patches'!C6</f>
        <v>&lt;LIST PATCH HERE&gt;</v>
      </c>
      <c r="F74" s="472"/>
      <c r="G74" s="257" t="str">
        <f>IF('Fun Patches'!G6="A","A"," ")</f>
        <v xml:space="preserve"> </v>
      </c>
      <c r="H74" s="254"/>
      <c r="I74" s="247">
        <v>1</v>
      </c>
      <c r="J74" s="344" t="str">
        <f>'Council Own'!C7</f>
        <v>&lt;List Requirement Here&gt;</v>
      </c>
      <c r="K74" s="257" t="str">
        <f>IF('Council Own'!G7="A","A"," ")</f>
        <v xml:space="preserve"> </v>
      </c>
      <c r="L74" s="254"/>
      <c r="M74" s="247">
        <v>1</v>
      </c>
      <c r="N74" s="344" t="str">
        <f>'Council Own'!C55</f>
        <v>&lt;List Requirement Here&gt;</v>
      </c>
      <c r="O74" s="257" t="str">
        <f>IF('Council Own'!G55="A","A"," ")</f>
        <v xml:space="preserve"> </v>
      </c>
      <c r="Q74" s="247">
        <v>1</v>
      </c>
      <c r="R74" s="344" t="str">
        <f>'Council Own'!C103</f>
        <v>&lt;List Requirement Here&gt;</v>
      </c>
      <c r="S74" s="257" t="str">
        <f>IF('Council Own'!G103="A","A"," ")</f>
        <v xml:space="preserve"> </v>
      </c>
    </row>
    <row r="75" spans="1:19" x14ac:dyDescent="0.2">
      <c r="A75" s="485" t="str">
        <f>'Council Own'!B54</f>
        <v>&lt;&lt;List Badge Here&gt;&gt;</v>
      </c>
      <c r="B75" s="486"/>
      <c r="C75" s="252" t="str">
        <f>IF('Council Own'!G76="C","C",IF('Council Own'!G76="P","P",""))</f>
        <v/>
      </c>
      <c r="E75" s="471" t="str">
        <f>'Fun Patches'!C7</f>
        <v>&lt;LIST PATCH HERE&gt;</v>
      </c>
      <c r="F75" s="472"/>
      <c r="G75" s="257" t="str">
        <f>IF('Fun Patches'!G7="A","A"," ")</f>
        <v xml:space="preserve"> </v>
      </c>
      <c r="H75" s="254"/>
      <c r="I75" s="247"/>
      <c r="J75" s="344" t="str">
        <f>'Council Own'!C8</f>
        <v>&lt;List Requirement Here&gt;</v>
      </c>
      <c r="K75" s="257" t="str">
        <f>IF('Council Own'!G8="A","A"," ")</f>
        <v xml:space="preserve"> </v>
      </c>
      <c r="L75" s="254"/>
      <c r="M75" s="247"/>
      <c r="N75" s="344" t="str">
        <f>'Council Own'!C56</f>
        <v>&lt;List Requirement Here&gt;</v>
      </c>
      <c r="O75" s="257" t="str">
        <f>IF('Council Own'!G56="A","A"," ")</f>
        <v xml:space="preserve"> </v>
      </c>
      <c r="Q75" s="247"/>
      <c r="R75" s="344" t="str">
        <f>'Council Own'!C104</f>
        <v>&lt;List Requirement Here&gt;</v>
      </c>
      <c r="S75" s="257" t="str">
        <f>IF('Council Own'!G104="A","A"," ")</f>
        <v xml:space="preserve"> </v>
      </c>
    </row>
    <row r="76" spans="1:19" x14ac:dyDescent="0.2">
      <c r="A76" s="485" t="str">
        <f>'Council Own'!B78</f>
        <v>&lt;&lt;List Badge Here&gt;&gt;</v>
      </c>
      <c r="B76" s="486"/>
      <c r="C76" s="252" t="str">
        <f>IF('Council Own'!G100="C","C",IF('Council Own'!G100="P","P",""))</f>
        <v/>
      </c>
      <c r="E76" s="471" t="str">
        <f>'Fun Patches'!C8</f>
        <v>&lt;LIST PATCH HERE&gt;</v>
      </c>
      <c r="F76" s="472"/>
      <c r="G76" s="257" t="str">
        <f>IF('Fun Patches'!G8="A","A"," ")</f>
        <v xml:space="preserve"> </v>
      </c>
      <c r="H76" s="254"/>
      <c r="I76" s="247"/>
      <c r="J76" s="344" t="str">
        <f>'Council Own'!C9</f>
        <v>&lt;List Requirement Here&gt;</v>
      </c>
      <c r="K76" s="257" t="str">
        <f>IF('Council Own'!G9="A","A"," ")</f>
        <v xml:space="preserve"> </v>
      </c>
      <c r="L76" s="254"/>
      <c r="M76" s="247"/>
      <c r="N76" s="344" t="str">
        <f>'Council Own'!C57</f>
        <v>&lt;List Requirement Here&gt;</v>
      </c>
      <c r="O76" s="257" t="str">
        <f>IF('Council Own'!G57="A","A"," ")</f>
        <v xml:space="preserve"> </v>
      </c>
      <c r="Q76" s="247"/>
      <c r="R76" s="344" t="str">
        <f>'Council Own'!C105</f>
        <v>&lt;List Requirement Here&gt;</v>
      </c>
      <c r="S76" s="257" t="str">
        <f>IF('Council Own'!G105="A","A"," ")</f>
        <v xml:space="preserve"> </v>
      </c>
    </row>
    <row r="77" spans="1:19" x14ac:dyDescent="0.2">
      <c r="A77" s="485" t="str">
        <f>'Council Own'!B102</f>
        <v>&lt;&lt;List Badge Here&gt;&gt;</v>
      </c>
      <c r="B77" s="486"/>
      <c r="C77" s="252" t="str">
        <f>IF('Council Own'!G124="C","C",IF('Council Own'!G124="P","P",""))</f>
        <v/>
      </c>
      <c r="E77" s="471" t="str">
        <f>'Fun Patches'!C9</f>
        <v>&lt;LIST PATCH HERE&gt;</v>
      </c>
      <c r="F77" s="472"/>
      <c r="G77" s="257" t="str">
        <f>IF('Fun Patches'!G9="A","A"," ")</f>
        <v xml:space="preserve"> </v>
      </c>
      <c r="H77" s="254"/>
      <c r="I77" s="247"/>
      <c r="J77" s="344" t="str">
        <f>'Council Own'!C10</f>
        <v>&lt;List Requirement Here&gt;</v>
      </c>
      <c r="K77" s="257" t="str">
        <f>IF('Council Own'!G10="A","A"," ")</f>
        <v xml:space="preserve"> </v>
      </c>
      <c r="L77" s="254"/>
      <c r="M77" s="247"/>
      <c r="N77" s="344" t="str">
        <f>'Council Own'!C58</f>
        <v>&lt;List Requirement Here&gt;</v>
      </c>
      <c r="O77" s="257" t="str">
        <f>IF('Council Own'!G58="A","A"," ")</f>
        <v xml:space="preserve"> </v>
      </c>
      <c r="Q77" s="247"/>
      <c r="R77" s="344" t="str">
        <f>'Council Own'!C106</f>
        <v>&lt;List Requirement Here&gt;</v>
      </c>
      <c r="S77" s="257" t="str">
        <f>IF('Council Own'!G106="A","A"," ")</f>
        <v xml:space="preserve"> </v>
      </c>
    </row>
    <row r="78" spans="1:19" x14ac:dyDescent="0.2">
      <c r="A78" s="485" t="str">
        <f>'Council Own'!B126</f>
        <v>&lt;&lt;List Badge Here&gt;&gt;</v>
      </c>
      <c r="B78" s="486"/>
      <c r="C78" s="252" t="str">
        <f>IF('Council Own'!G148="C","C",IF('Council Own'!G148="P","P",""))</f>
        <v/>
      </c>
      <c r="E78" s="471" t="str">
        <f>'Fun Patches'!C10</f>
        <v>&lt;LIST PATCH HERE&gt;</v>
      </c>
      <c r="F78" s="472"/>
      <c r="G78" s="257" t="str">
        <f>IF('Fun Patches'!G10="A","A"," ")</f>
        <v xml:space="preserve"> </v>
      </c>
      <c r="I78" s="247">
        <v>2</v>
      </c>
      <c r="J78" s="344" t="str">
        <f>'Council Own'!C11</f>
        <v>&lt;List Requirement Here&gt;</v>
      </c>
      <c r="K78" s="257" t="str">
        <f>IF('Council Own'!G11="A","A"," ")</f>
        <v xml:space="preserve"> </v>
      </c>
      <c r="M78" s="247">
        <v>2</v>
      </c>
      <c r="N78" s="344" t="str">
        <f>'Council Own'!C59</f>
        <v>&lt;List Requirement Here&gt;</v>
      </c>
      <c r="O78" s="257" t="str">
        <f>IF('Council Own'!G59="A","A"," ")</f>
        <v xml:space="preserve"> </v>
      </c>
      <c r="Q78" s="247">
        <v>2</v>
      </c>
      <c r="R78" s="344" t="str">
        <f>'Council Own'!C107</f>
        <v>&lt;List Requirement Here&gt;</v>
      </c>
      <c r="S78" s="257" t="str">
        <f>IF('Council Own'!G107="A","A"," ")</f>
        <v xml:space="preserve"> </v>
      </c>
    </row>
    <row r="79" spans="1:19" x14ac:dyDescent="0.2">
      <c r="E79" s="471" t="str">
        <f>'Fun Patches'!C11</f>
        <v>&lt;LIST PATCH HERE&gt;</v>
      </c>
      <c r="F79" s="472"/>
      <c r="G79" s="257" t="str">
        <f>IF('Fun Patches'!G11="A","A"," ")</f>
        <v xml:space="preserve"> </v>
      </c>
      <c r="I79" s="247"/>
      <c r="J79" s="344" t="str">
        <f>'Council Own'!C12</f>
        <v>&lt;List Requirement Here&gt;</v>
      </c>
      <c r="K79" s="257" t="str">
        <f>IF('Council Own'!G12="A","A"," ")</f>
        <v xml:space="preserve"> </v>
      </c>
      <c r="M79" s="247"/>
      <c r="N79" s="344" t="str">
        <f>'Council Own'!C60</f>
        <v>&lt;List Requirement Here&gt;</v>
      </c>
      <c r="O79" s="257" t="str">
        <f>IF('Council Own'!G60="A","A"," ")</f>
        <v xml:space="preserve"> </v>
      </c>
      <c r="Q79" s="247"/>
      <c r="R79" s="344" t="str">
        <f>'Council Own'!C108</f>
        <v>&lt;List Requirement Here&gt;</v>
      </c>
      <c r="S79" s="257" t="str">
        <f>IF('Council Own'!G108="A","A"," ")</f>
        <v xml:space="preserve"> </v>
      </c>
    </row>
    <row r="80" spans="1:19" x14ac:dyDescent="0.2">
      <c r="E80" s="471" t="str">
        <f>'Fun Patches'!C12</f>
        <v>&lt;LIST PATCH HERE&gt;</v>
      </c>
      <c r="F80" s="472"/>
      <c r="G80" s="257" t="str">
        <f>IF('Fun Patches'!G12="A","A"," ")</f>
        <v xml:space="preserve"> </v>
      </c>
      <c r="I80" s="247"/>
      <c r="J80" s="344" t="str">
        <f>'Council Own'!C13</f>
        <v>&lt;List Requirement Here&gt;</v>
      </c>
      <c r="K80" s="257" t="str">
        <f>IF('Council Own'!G13="A","A"," ")</f>
        <v xml:space="preserve"> </v>
      </c>
      <c r="M80" s="247"/>
      <c r="N80" s="344" t="str">
        <f>'Council Own'!C61</f>
        <v>&lt;List Requirement Here&gt;</v>
      </c>
      <c r="O80" s="257" t="str">
        <f>IF('Council Own'!G61="A","A"," ")</f>
        <v xml:space="preserve"> </v>
      </c>
      <c r="Q80" s="247"/>
      <c r="R80" s="344" t="str">
        <f>'Council Own'!C109</f>
        <v>&lt;List Requirement Here&gt;</v>
      </c>
      <c r="S80" s="257" t="str">
        <f>IF('Council Own'!G109="A","A"," ")</f>
        <v xml:space="preserve"> </v>
      </c>
    </row>
    <row r="81" spans="1:22" x14ac:dyDescent="0.2">
      <c r="E81" s="471" t="str">
        <f>'Fun Patches'!C13</f>
        <v>&lt;LIST PATCH HERE&gt;</v>
      </c>
      <c r="F81" s="472"/>
      <c r="G81" s="257" t="str">
        <f>IF('Fun Patches'!G13="A","A"," ")</f>
        <v xml:space="preserve"> </v>
      </c>
      <c r="I81" s="247"/>
      <c r="J81" s="344" t="str">
        <f>'Council Own'!C14</f>
        <v>&lt;List Requirement Here&gt;</v>
      </c>
      <c r="K81" s="257" t="str">
        <f>IF('Council Own'!G14="A","A"," ")</f>
        <v xml:space="preserve"> </v>
      </c>
      <c r="M81" s="247"/>
      <c r="N81" s="344" t="str">
        <f>'Council Own'!C62</f>
        <v>&lt;List Requirement Here&gt;</v>
      </c>
      <c r="O81" s="257" t="str">
        <f>IF('Council Own'!G62="A","A"," ")</f>
        <v xml:space="preserve"> </v>
      </c>
      <c r="Q81" s="247"/>
      <c r="R81" s="344" t="str">
        <f>'Council Own'!C110</f>
        <v>&lt;List Requirement Here&gt;</v>
      </c>
      <c r="S81" s="257" t="str">
        <f>IF('Council Own'!G110="A","A"," ")</f>
        <v xml:space="preserve"> </v>
      </c>
    </row>
    <row r="82" spans="1:22" x14ac:dyDescent="0.2">
      <c r="E82" s="471" t="str">
        <f>'Fun Patches'!C14</f>
        <v>&lt;LIST PATCH HERE&gt;</v>
      </c>
      <c r="F82" s="472"/>
      <c r="G82" s="257" t="str">
        <f>IF('Fun Patches'!G14="A","A"," ")</f>
        <v xml:space="preserve"> </v>
      </c>
      <c r="I82" s="247">
        <v>3</v>
      </c>
      <c r="J82" s="344" t="str">
        <f>'Council Own'!C15</f>
        <v>&lt;List Requirement Here&gt;</v>
      </c>
      <c r="K82" s="257" t="str">
        <f>IF('Council Own'!G15="A","A"," ")</f>
        <v xml:space="preserve"> </v>
      </c>
      <c r="M82" s="247">
        <v>3</v>
      </c>
      <c r="N82" s="344" t="str">
        <f>'Council Own'!C63</f>
        <v>&lt;List Requirement Here&gt;</v>
      </c>
      <c r="O82" s="257" t="str">
        <f>IF('Council Own'!G63="A","A"," ")</f>
        <v xml:space="preserve"> </v>
      </c>
      <c r="Q82" s="247">
        <v>3</v>
      </c>
      <c r="R82" s="344" t="str">
        <f>'Council Own'!C111</f>
        <v>&lt;List Requirement Here&gt;</v>
      </c>
      <c r="S82" s="257" t="str">
        <f>IF('Council Own'!G111="A","A"," ")</f>
        <v xml:space="preserve"> </v>
      </c>
    </row>
    <row r="83" spans="1:22" x14ac:dyDescent="0.2">
      <c r="E83" s="471" t="str">
        <f>'Fun Patches'!C15</f>
        <v>&lt;LIST PATCH HERE&gt;</v>
      </c>
      <c r="F83" s="472"/>
      <c r="G83" s="257" t="str">
        <f>IF('Fun Patches'!G15="A","A"," ")</f>
        <v xml:space="preserve"> </v>
      </c>
      <c r="I83" s="247"/>
      <c r="J83" s="344" t="str">
        <f>'Council Own'!C16</f>
        <v>&lt;List Requirement Here&gt;</v>
      </c>
      <c r="K83" s="257" t="str">
        <f>IF('Council Own'!G16="A","A"," ")</f>
        <v xml:space="preserve"> </v>
      </c>
      <c r="M83" s="247"/>
      <c r="N83" s="344" t="str">
        <f>'Council Own'!C64</f>
        <v>&lt;List Requirement Here&gt;</v>
      </c>
      <c r="O83" s="257" t="str">
        <f>IF('Council Own'!G64="A","A"," ")</f>
        <v xml:space="preserve"> </v>
      </c>
      <c r="Q83" s="247"/>
      <c r="R83" s="344" t="str">
        <f>'Council Own'!C112</f>
        <v>&lt;List Requirement Here&gt;</v>
      </c>
      <c r="S83" s="257" t="str">
        <f>IF('Council Own'!G112="A","A"," ")</f>
        <v xml:space="preserve"> </v>
      </c>
    </row>
    <row r="84" spans="1:22" x14ac:dyDescent="0.2">
      <c r="E84" s="471" t="str">
        <f>'Fun Patches'!C16</f>
        <v>&lt;LIST PATCH HERE&gt;</v>
      </c>
      <c r="F84" s="472"/>
      <c r="G84" s="257" t="str">
        <f>IF('Fun Patches'!G16="A","A"," ")</f>
        <v xml:space="preserve"> </v>
      </c>
      <c r="I84" s="247"/>
      <c r="J84" s="344" t="str">
        <f>'Council Own'!C17</f>
        <v>&lt;List Requirement Here&gt;</v>
      </c>
      <c r="K84" s="257" t="str">
        <f>IF('Council Own'!G17="A","A"," ")</f>
        <v xml:space="preserve"> </v>
      </c>
      <c r="M84" s="247"/>
      <c r="N84" s="344" t="str">
        <f>'Council Own'!C65</f>
        <v>&lt;List Requirement Here&gt;</v>
      </c>
      <c r="O84" s="257" t="str">
        <f>IF('Council Own'!G65="A","A"," ")</f>
        <v xml:space="preserve"> </v>
      </c>
      <c r="Q84" s="247"/>
      <c r="R84" s="344" t="str">
        <f>'Council Own'!C113</f>
        <v>&lt;List Requirement Here&gt;</v>
      </c>
      <c r="S84" s="257" t="str">
        <f>IF('Council Own'!G113="A","A"," ")</f>
        <v xml:space="preserve"> </v>
      </c>
    </row>
    <row r="85" spans="1:22" x14ac:dyDescent="0.2">
      <c r="E85" s="493" t="str">
        <f>'Fun Patches'!C17</f>
        <v>&lt;LIST PATCH HERE&gt;</v>
      </c>
      <c r="F85" s="494"/>
      <c r="G85" s="250" t="str">
        <f>IF('Fun Patches'!G17="A","A"," ")</f>
        <v xml:space="preserve"> </v>
      </c>
      <c r="I85" s="247"/>
      <c r="J85" s="344" t="str">
        <f>'Council Own'!C18</f>
        <v>&lt;List Requirement Here&gt;</v>
      </c>
      <c r="K85" s="257" t="str">
        <f>IF('Council Own'!G18="A","A"," ")</f>
        <v xml:space="preserve"> </v>
      </c>
      <c r="M85" s="247"/>
      <c r="N85" s="344" t="str">
        <f>'Council Own'!C66</f>
        <v>&lt;List Requirement Here&gt;</v>
      </c>
      <c r="O85" s="257" t="str">
        <f>IF('Council Own'!G66="A","A"," ")</f>
        <v xml:space="preserve"> </v>
      </c>
      <c r="Q85" s="247"/>
      <c r="R85" s="344" t="str">
        <f>'Council Own'!C114</f>
        <v>&lt;List Requirement Here&gt;</v>
      </c>
      <c r="S85" s="257" t="str">
        <f>IF('Council Own'!G114="A","A"," ")</f>
        <v xml:space="preserve"> </v>
      </c>
    </row>
    <row r="86" spans="1:22" x14ac:dyDescent="0.2">
      <c r="A86" s="242"/>
      <c r="B86" s="243"/>
      <c r="C86" s="244"/>
      <c r="E86" s="471" t="str">
        <f>'Fun Patches'!C18</f>
        <v>&lt;LIST PATCH HERE&gt;</v>
      </c>
      <c r="F86" s="472"/>
      <c r="G86" s="257" t="str">
        <f>IF('Fun Patches'!G18="A","A"," ")</f>
        <v xml:space="preserve"> </v>
      </c>
      <c r="I86" s="247">
        <v>4</v>
      </c>
      <c r="J86" s="344" t="str">
        <f>'Council Own'!C19</f>
        <v>&lt;List Requirement Here&gt;</v>
      </c>
      <c r="K86" s="257" t="str">
        <f>IF('Council Own'!G19="A","A"," ")</f>
        <v xml:space="preserve"> </v>
      </c>
      <c r="M86" s="247">
        <v>4</v>
      </c>
      <c r="N86" s="344" t="str">
        <f>'Council Own'!C67</f>
        <v>&lt;List Requirement Here&gt;</v>
      </c>
      <c r="O86" s="257" t="str">
        <f>IF('Council Own'!G67="A","A"," ")</f>
        <v xml:space="preserve"> </v>
      </c>
      <c r="Q86" s="247">
        <v>4</v>
      </c>
      <c r="R86" s="344" t="str">
        <f>'Council Own'!C115</f>
        <v>&lt;List Requirement Here&gt;</v>
      </c>
      <c r="S86" s="257" t="str">
        <f>IF('Council Own'!G115="A","A"," ")</f>
        <v xml:space="preserve"> </v>
      </c>
    </row>
    <row r="87" spans="1:22" x14ac:dyDescent="0.2">
      <c r="E87" s="471" t="str">
        <f>'Fun Patches'!C19</f>
        <v>&lt;LIST PATCH HERE&gt;</v>
      </c>
      <c r="F87" s="472"/>
      <c r="G87" s="257" t="str">
        <f>IF('Fun Patches'!G19="A","A"," ")</f>
        <v xml:space="preserve"> </v>
      </c>
      <c r="I87" s="247"/>
      <c r="J87" s="344" t="str">
        <f>'Council Own'!C20</f>
        <v>&lt;List Requirement Here&gt;</v>
      </c>
      <c r="K87" s="257" t="str">
        <f>IF('Council Own'!G20="A","A"," ")</f>
        <v xml:space="preserve"> </v>
      </c>
      <c r="M87" s="247"/>
      <c r="N87" s="344" t="str">
        <f>'Council Own'!C68</f>
        <v>&lt;List Requirement Here&gt;</v>
      </c>
      <c r="O87" s="257" t="str">
        <f>IF('Council Own'!G68="A","A"," ")</f>
        <v xml:space="preserve"> </v>
      </c>
      <c r="Q87" s="247"/>
      <c r="R87" s="344" t="str">
        <f>'Council Own'!C116</f>
        <v>&lt;List Requirement Here&gt;</v>
      </c>
      <c r="S87" s="257" t="str">
        <f>IF('Council Own'!G116="A","A"," ")</f>
        <v xml:space="preserve"> </v>
      </c>
    </row>
    <row r="88" spans="1:22" x14ac:dyDescent="0.2">
      <c r="E88" s="471" t="str">
        <f>'Fun Patches'!C20</f>
        <v>&lt;LIST PATCH HERE&gt;</v>
      </c>
      <c r="F88" s="472"/>
      <c r="G88" s="257" t="str">
        <f>IF('Fun Patches'!G20="A","A"," ")</f>
        <v xml:space="preserve"> </v>
      </c>
      <c r="I88" s="247"/>
      <c r="J88" s="344" t="str">
        <f>'Council Own'!C21</f>
        <v>&lt;List Requirement Here&gt;</v>
      </c>
      <c r="K88" s="257" t="str">
        <f>IF('Council Own'!G21="A","A"," ")</f>
        <v xml:space="preserve"> </v>
      </c>
      <c r="M88" s="247"/>
      <c r="N88" s="344" t="str">
        <f>'Council Own'!C69</f>
        <v>&lt;List Requirement Here&gt;</v>
      </c>
      <c r="O88" s="257" t="str">
        <f>IF('Council Own'!G69="A","A"," ")</f>
        <v xml:space="preserve"> </v>
      </c>
      <c r="Q88" s="247"/>
      <c r="R88" s="344" t="str">
        <f>'Council Own'!C117</f>
        <v>&lt;List Requirement Here&gt;</v>
      </c>
      <c r="S88" s="257" t="str">
        <f>IF('Council Own'!G117="A","A"," ")</f>
        <v xml:space="preserve"> </v>
      </c>
    </row>
    <row r="89" spans="1:22" x14ac:dyDescent="0.2">
      <c r="E89" s="471" t="str">
        <f>'Fun Patches'!C21</f>
        <v>&lt;LIST PATCH HERE&gt;</v>
      </c>
      <c r="F89" s="472"/>
      <c r="G89" s="257" t="str">
        <f>IF('Fun Patches'!G21="A","A"," ")</f>
        <v xml:space="preserve"> </v>
      </c>
      <c r="I89" s="247"/>
      <c r="J89" s="344" t="str">
        <f>'Council Own'!C22</f>
        <v>&lt;List Requirement Here&gt;</v>
      </c>
      <c r="K89" s="257" t="str">
        <f>IF('Council Own'!G22="A","A"," ")</f>
        <v xml:space="preserve"> </v>
      </c>
      <c r="M89" s="247"/>
      <c r="N89" s="344" t="str">
        <f>'Council Own'!C70</f>
        <v>&lt;List Requirement Here&gt;</v>
      </c>
      <c r="O89" s="257" t="str">
        <f>IF('Council Own'!G70="A","A"," ")</f>
        <v xml:space="preserve"> </v>
      </c>
      <c r="Q89" s="247"/>
      <c r="R89" s="344" t="str">
        <f>'Council Own'!C118</f>
        <v>&lt;List Requirement Here&gt;</v>
      </c>
      <c r="S89" s="257" t="str">
        <f>IF('Council Own'!G118="A","A"," ")</f>
        <v xml:space="preserve"> </v>
      </c>
    </row>
    <row r="90" spans="1:22" x14ac:dyDescent="0.2">
      <c r="E90" s="471" t="str">
        <f>'Fun Patches'!C22</f>
        <v>&lt;LIST PATCH HERE&gt;</v>
      </c>
      <c r="F90" s="472"/>
      <c r="G90" s="257" t="str">
        <f>IF('Fun Patches'!G22="A","A"," ")</f>
        <v xml:space="preserve"> </v>
      </c>
      <c r="I90" s="247">
        <v>5</v>
      </c>
      <c r="J90" s="344" t="str">
        <f>'Council Own'!C23</f>
        <v>&lt;List Requirement Here&gt;</v>
      </c>
      <c r="K90" s="257" t="str">
        <f>IF('Council Own'!G23="A","A"," ")</f>
        <v xml:space="preserve"> </v>
      </c>
      <c r="M90" s="247">
        <v>5</v>
      </c>
      <c r="N90" s="344" t="str">
        <f>'Council Own'!C71</f>
        <v>&lt;List Requirement Here&gt;</v>
      </c>
      <c r="O90" s="257" t="str">
        <f>IF('Council Own'!G71="A","A"," ")</f>
        <v xml:space="preserve"> </v>
      </c>
      <c r="Q90" s="247">
        <v>5</v>
      </c>
      <c r="R90" s="344" t="str">
        <f>'Council Own'!C119</f>
        <v>&lt;List Requirement Here&gt;</v>
      </c>
      <c r="S90" s="257" t="str">
        <f>IF('Council Own'!G119="A","A"," ")</f>
        <v xml:space="preserve"> </v>
      </c>
    </row>
    <row r="91" spans="1:22" x14ac:dyDescent="0.2">
      <c r="E91" s="471" t="str">
        <f>'Fun Patches'!C23</f>
        <v>&lt;LIST PATCH HERE&gt;</v>
      </c>
      <c r="F91" s="472"/>
      <c r="G91" s="257" t="str">
        <f>IF('Fun Patches'!G23="A","A"," ")</f>
        <v xml:space="preserve"> </v>
      </c>
      <c r="I91" s="247"/>
      <c r="J91" s="344" t="str">
        <f>'Council Own'!C24</f>
        <v>&lt;List Requirement Here&gt;</v>
      </c>
      <c r="K91" s="257" t="str">
        <f>IF('Council Own'!G24="A","A"," ")</f>
        <v xml:space="preserve"> </v>
      </c>
      <c r="M91" s="247"/>
      <c r="N91" s="344" t="str">
        <f>'Council Own'!C72</f>
        <v>&lt;List Requirement Here&gt;</v>
      </c>
      <c r="O91" s="257" t="str">
        <f>IF('Council Own'!G72="A","A"," ")</f>
        <v xml:space="preserve"> </v>
      </c>
      <c r="Q91" s="247"/>
      <c r="R91" s="344" t="str">
        <f>'Council Own'!C120</f>
        <v>&lt;List Requirement Here&gt;</v>
      </c>
      <c r="S91" s="257" t="str">
        <f>IF('Council Own'!G120="A","A"," ")</f>
        <v xml:space="preserve"> </v>
      </c>
    </row>
    <row r="92" spans="1:22" x14ac:dyDescent="0.2">
      <c r="E92" s="471" t="str">
        <f>'Fun Patches'!C24</f>
        <v>&lt;LIST PATCH HERE&gt;</v>
      </c>
      <c r="F92" s="472"/>
      <c r="G92" s="257" t="str">
        <f>IF('Fun Patches'!G24="A","A"," ")</f>
        <v xml:space="preserve"> </v>
      </c>
      <c r="I92" s="247"/>
      <c r="J92" s="344" t="str">
        <f>'Council Own'!C25</f>
        <v>&lt;List Requirement Here&gt;</v>
      </c>
      <c r="K92" s="257" t="str">
        <f>IF('Council Own'!G25="A","A"," ")</f>
        <v xml:space="preserve"> </v>
      </c>
      <c r="M92" s="247"/>
      <c r="N92" s="344" t="str">
        <f>'Council Own'!C73</f>
        <v>&lt;List Requirement Here&gt;</v>
      </c>
      <c r="O92" s="257" t="str">
        <f>IF('Council Own'!G73="A","A"," ")</f>
        <v xml:space="preserve"> </v>
      </c>
      <c r="Q92" s="247"/>
      <c r="R92" s="344" t="str">
        <f>'Council Own'!C121</f>
        <v>&lt;List Requirement Here&gt;</v>
      </c>
      <c r="S92" s="257" t="str">
        <f>IF('Council Own'!G121="A","A"," ")</f>
        <v xml:space="preserve"> </v>
      </c>
    </row>
    <row r="93" spans="1:22" x14ac:dyDescent="0.2">
      <c r="E93" s="471" t="str">
        <f>'Fun Patches'!C25</f>
        <v>&lt;LIST PATCH HERE&gt;</v>
      </c>
      <c r="F93" s="472"/>
      <c r="G93" s="257" t="str">
        <f>IF('Fun Patches'!G25="A","A"," ")</f>
        <v xml:space="preserve"> </v>
      </c>
      <c r="I93" s="247"/>
      <c r="J93" s="344" t="str">
        <f>'Council Own'!C26</f>
        <v>&lt;List Requirement Here&gt;</v>
      </c>
      <c r="K93" s="257" t="str">
        <f>IF('Council Own'!G26="A","A"," ")</f>
        <v xml:space="preserve"> </v>
      </c>
      <c r="M93" s="247"/>
      <c r="N93" s="344" t="str">
        <f>'Council Own'!C74</f>
        <v>&lt;List Requirement Here&gt;</v>
      </c>
      <c r="O93" s="257" t="str">
        <f>IF('Council Own'!G68="A","A"," ")</f>
        <v xml:space="preserve"> </v>
      </c>
      <c r="Q93" s="247"/>
      <c r="R93" s="344" t="str">
        <f>'Council Own'!C122</f>
        <v>&lt;List Requirement Here&gt;</v>
      </c>
      <c r="S93" s="257" t="str">
        <f>IF('Council Own'!G122="A","A"," ")</f>
        <v xml:space="preserve"> </v>
      </c>
    </row>
    <row r="94" spans="1:22" x14ac:dyDescent="0.2">
      <c r="E94" s="471" t="str">
        <f>'Fun Patches'!C26</f>
        <v>&lt;LIST PATCH HERE&gt;</v>
      </c>
      <c r="F94" s="472"/>
      <c r="G94" s="257" t="str">
        <f>IF('Fun Patches'!G26="A","A","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Patches'!G27="A","A"," ")</f>
        <v xml:space="preserve"> </v>
      </c>
      <c r="I95" s="247">
        <v>1</v>
      </c>
      <c r="J95" s="344" t="str">
        <f>'Council Own'!C31</f>
        <v>&lt;List Requirement Here&gt;</v>
      </c>
      <c r="K95" s="257" t="str">
        <f>IF('Council Own'!G31="A","A"," ")</f>
        <v xml:space="preserve"> </v>
      </c>
      <c r="M95" s="247">
        <v>1</v>
      </c>
      <c r="N95" s="344" t="str">
        <f>'Council Own'!C79</f>
        <v>&lt;List Requirement Here&gt;</v>
      </c>
      <c r="O95" s="257" t="str">
        <f>IF('Council Own'!G79="A","A"," ")</f>
        <v xml:space="preserve"> </v>
      </c>
      <c r="Q95" s="247">
        <v>1</v>
      </c>
      <c r="R95" s="344" t="str">
        <f>'Council Own'!C127</f>
        <v>&lt;List Requirement Here&gt;</v>
      </c>
      <c r="S95" s="257" t="str">
        <f>IF('Council Own'!G127="A","A"," ")</f>
        <v xml:space="preserve"> </v>
      </c>
    </row>
    <row r="96" spans="1:22" x14ac:dyDescent="0.2">
      <c r="E96" s="471" t="str">
        <f>'Fun Patches'!C28</f>
        <v>&lt;LIST PATCH HERE&gt;</v>
      </c>
      <c r="F96" s="472"/>
      <c r="G96" s="257" t="str">
        <f>IF('Fun Patches'!G28="A","A"," ")</f>
        <v xml:space="preserve"> </v>
      </c>
      <c r="I96" s="247"/>
      <c r="J96" s="344" t="str">
        <f>'Council Own'!C32</f>
        <v>&lt;List Requirement Here&gt;</v>
      </c>
      <c r="K96" s="257" t="str">
        <f>IF('Council Own'!G32="A","A"," ")</f>
        <v xml:space="preserve"> </v>
      </c>
      <c r="M96" s="247"/>
      <c r="N96" s="344" t="str">
        <f>'Council Own'!C80</f>
        <v>&lt;List Requirement Here&gt;</v>
      </c>
      <c r="O96" s="257" t="str">
        <f>IF('Council Own'!G80="A","A"," ")</f>
        <v xml:space="preserve"> </v>
      </c>
      <c r="Q96" s="247"/>
      <c r="R96" s="344" t="str">
        <f>'Council Own'!C128</f>
        <v>&lt;List Requirement Here&gt;</v>
      </c>
      <c r="S96" s="257" t="str">
        <f>IF('Council Own'!G128="A","A"," ")</f>
        <v xml:space="preserve"> </v>
      </c>
      <c r="U96" s="245"/>
      <c r="V96" s="245"/>
    </row>
    <row r="97" spans="1:23" x14ac:dyDescent="0.2">
      <c r="E97" s="471" t="str">
        <f>'Fun Patches'!C29</f>
        <v>&lt;LIST PATCH HERE&gt;</v>
      </c>
      <c r="F97" s="472"/>
      <c r="G97" s="257" t="str">
        <f>IF('Fun Patches'!G29="A","A"," ")</f>
        <v xml:space="preserve"> </v>
      </c>
      <c r="I97" s="247"/>
      <c r="J97" s="344" t="str">
        <f>'Council Own'!C33</f>
        <v>&lt;List Requirement Here&gt;</v>
      </c>
      <c r="K97" s="257" t="str">
        <f>IF('Council Own'!G33="A","A"," ")</f>
        <v xml:space="preserve"> </v>
      </c>
      <c r="M97" s="247"/>
      <c r="N97" s="344" t="str">
        <f>'Council Own'!C81</f>
        <v>&lt;List Requirement Here&gt;</v>
      </c>
      <c r="O97" s="257" t="str">
        <f>IF('Council Own'!G81="A","A"," ")</f>
        <v xml:space="preserve"> </v>
      </c>
      <c r="Q97" s="247"/>
      <c r="R97" s="344" t="str">
        <f>'Council Own'!C129</f>
        <v>&lt;List Requirement Here&gt;</v>
      </c>
      <c r="S97" s="257" t="str">
        <f>IF('Council Own'!G129="A","A"," ")</f>
        <v xml:space="preserve"> </v>
      </c>
      <c r="U97" s="245"/>
      <c r="V97" s="245"/>
    </row>
    <row r="98" spans="1:23" x14ac:dyDescent="0.2">
      <c r="A98" s="484" t="s">
        <v>75</v>
      </c>
      <c r="B98" s="513"/>
      <c r="C98" s="513"/>
      <c r="E98" s="471" t="str">
        <f>'Fun Patches'!C30</f>
        <v>&lt;LIST PATCH HERE&gt;</v>
      </c>
      <c r="F98" s="472"/>
      <c r="G98" s="257" t="str">
        <f>IF('Fun Patches'!G30="A","A"," ")</f>
        <v xml:space="preserve"> </v>
      </c>
      <c r="I98" s="247"/>
      <c r="J98" s="344" t="str">
        <f>'Council Own'!C34</f>
        <v>&lt;List Requirement Here&gt;</v>
      </c>
      <c r="K98" s="257" t="str">
        <f>IF('Council Own'!G34="A","A"," ")</f>
        <v xml:space="preserve"> </v>
      </c>
      <c r="M98" s="247"/>
      <c r="N98" s="344" t="str">
        <f>'Council Own'!C82</f>
        <v>&lt;List Requirement Here&gt;</v>
      </c>
      <c r="O98" s="257" t="str">
        <f>IF('Council Own'!G82="A","A"," ")</f>
        <v xml:space="preserve"> </v>
      </c>
      <c r="Q98" s="247"/>
      <c r="R98" s="344" t="str">
        <f>'Council Own'!C130</f>
        <v>&lt;List Requirement Here&gt;</v>
      </c>
      <c r="S98" s="257" t="str">
        <f>IF('Council Own'!G130="A","A"," ")</f>
        <v xml:space="preserve"> </v>
      </c>
      <c r="U98" s="245"/>
      <c r="V98" s="245"/>
    </row>
    <row r="99" spans="1:23" ht="14.25" customHeight="1" x14ac:dyDescent="0.2">
      <c r="A99" s="481" t="s">
        <v>72</v>
      </c>
      <c r="B99" s="482"/>
      <c r="C99" s="483"/>
      <c r="E99" s="471" t="str">
        <f>'Fun Patches'!C31</f>
        <v>&lt;LIST PATCH HERE&gt;</v>
      </c>
      <c r="F99" s="472"/>
      <c r="G99" s="257" t="str">
        <f>IF('Fun Patches'!G31="A","A"," ")</f>
        <v xml:space="preserve"> </v>
      </c>
      <c r="I99" s="247">
        <v>2</v>
      </c>
      <c r="J99" s="344" t="str">
        <f>'Council Own'!C35</f>
        <v>&lt;List Requirement Here&gt;</v>
      </c>
      <c r="K99" s="257" t="str">
        <f>IF('Council Own'!G35="A","A"," ")</f>
        <v xml:space="preserve"> </v>
      </c>
      <c r="M99" s="247">
        <v>2</v>
      </c>
      <c r="N99" s="344" t="str">
        <f>'Council Own'!C83</f>
        <v>&lt;List Requirement Here&gt;</v>
      </c>
      <c r="O99" s="257" t="str">
        <f>IF('Council Own'!G83="A","A"," ")</f>
        <v xml:space="preserve"> </v>
      </c>
      <c r="Q99" s="247">
        <v>2</v>
      </c>
      <c r="R99" s="344" t="str">
        <f>'Council Own'!C131</f>
        <v>&lt;List Requirement Here&gt;</v>
      </c>
      <c r="S99" s="257" t="str">
        <f>IF('Council Own'!G131="A","A"," ")</f>
        <v xml:space="preserve"> </v>
      </c>
      <c r="U99" s="245"/>
      <c r="V99" s="245"/>
    </row>
    <row r="100" spans="1:23" x14ac:dyDescent="0.2">
      <c r="A100" s="481" t="s">
        <v>73</v>
      </c>
      <c r="B100" s="482"/>
      <c r="C100" s="483"/>
      <c r="E100" s="471" t="str">
        <f>'Fun Patches'!C32</f>
        <v>&lt;LIST PATCH HERE&gt;</v>
      </c>
      <c r="F100" s="472"/>
      <c r="G100" s="257" t="str">
        <f>IF('Fun Patches'!G32="A","A"," ")</f>
        <v xml:space="preserve"> </v>
      </c>
      <c r="I100" s="247"/>
      <c r="J100" s="344" t="str">
        <f>'Council Own'!C36</f>
        <v>&lt;List Requirement Here&gt;</v>
      </c>
      <c r="K100" s="257" t="str">
        <f>IF('Council Own'!G36="A","A"," ")</f>
        <v xml:space="preserve"> </v>
      </c>
      <c r="M100" s="247"/>
      <c r="N100" s="344" t="str">
        <f>'Council Own'!C84</f>
        <v>&lt;List Requirement Here&gt;</v>
      </c>
      <c r="O100" s="257" t="str">
        <f>IF('Council Own'!G84="A","A"," ")</f>
        <v xml:space="preserve"> </v>
      </c>
      <c r="Q100" s="247"/>
      <c r="R100" s="344" t="str">
        <f>'Council Own'!C132</f>
        <v>&lt;List Requirement Here&gt;</v>
      </c>
      <c r="S100" s="257" t="str">
        <f>IF('Council Own'!G132="A","A"," ")</f>
        <v xml:space="preserve"> </v>
      </c>
      <c r="U100" s="337"/>
      <c r="V100" s="338"/>
      <c r="W100" s="341"/>
    </row>
    <row r="101" spans="1:23" x14ac:dyDescent="0.2">
      <c r="A101" s="468" t="s">
        <v>74</v>
      </c>
      <c r="B101" s="469"/>
      <c r="C101" s="470"/>
      <c r="E101" s="471" t="str">
        <f>'Fun Patches'!C33</f>
        <v>&lt;LIST PATCH HERE&gt;</v>
      </c>
      <c r="F101" s="472"/>
      <c r="G101" s="257" t="str">
        <f>IF('Fun Patches'!G33="A","A"," ")</f>
        <v xml:space="preserve"> </v>
      </c>
      <c r="I101" s="247"/>
      <c r="J101" s="344" t="str">
        <f>'Council Own'!C37</f>
        <v>&lt;List Requirement Here&gt;</v>
      </c>
      <c r="K101" s="257" t="str">
        <f>IF('Council Own'!G37="A","A"," ")</f>
        <v xml:space="preserve"> </v>
      </c>
      <c r="M101" s="247"/>
      <c r="N101" s="344" t="str">
        <f>'Council Own'!C85</f>
        <v>&lt;List Requirement Here&gt;</v>
      </c>
      <c r="O101" s="257" t="str">
        <f>IF('Council Own'!G85="A","A"," ")</f>
        <v xml:space="preserve"> </v>
      </c>
      <c r="Q101" s="247"/>
      <c r="R101" s="344" t="str">
        <f>'Council Own'!C133</f>
        <v>&lt;List Requirement Here&gt;</v>
      </c>
      <c r="S101" s="257" t="str">
        <f>IF('Council Own'!G133="A","A"," ")</f>
        <v xml:space="preserve"> </v>
      </c>
      <c r="U101" s="245"/>
      <c r="V101" s="245"/>
    </row>
    <row r="102" spans="1:23" x14ac:dyDescent="0.2">
      <c r="E102" s="471" t="str">
        <f>'Fun Patches'!C34</f>
        <v>&lt;LIST PATCH HERE&gt;</v>
      </c>
      <c r="F102" s="472"/>
      <c r="G102" s="257" t="str">
        <f>IF('Fun Patches'!G34="A","A"," ")</f>
        <v xml:space="preserve"> </v>
      </c>
      <c r="I102" s="247"/>
      <c r="J102" s="344" t="str">
        <f>'Council Own'!C38</f>
        <v>&lt;List Requirement Here&gt;</v>
      </c>
      <c r="K102" s="257" t="str">
        <f>IF('Council Own'!G38="A","A"," ")</f>
        <v xml:space="preserve"> </v>
      </c>
      <c r="M102" s="247"/>
      <c r="N102" s="344" t="str">
        <f>'Council Own'!C86</f>
        <v>&lt;List Requirement Here&gt;</v>
      </c>
      <c r="O102" s="257" t="str">
        <f>IF('Council Own'!G86="A","A"," ")</f>
        <v xml:space="preserve"> </v>
      </c>
      <c r="Q102" s="247"/>
      <c r="R102" s="344" t="str">
        <f>'Council Own'!C134</f>
        <v>&lt;List Requirement Here&gt;</v>
      </c>
      <c r="S102" s="257" t="str">
        <f>IF('Council Own'!G134="A","A"," ")</f>
        <v xml:space="preserve"> </v>
      </c>
      <c r="U102" s="245"/>
      <c r="V102" s="245"/>
    </row>
    <row r="103" spans="1:23" x14ac:dyDescent="0.2">
      <c r="E103" s="471" t="str">
        <f>'Fun Patches'!C35</f>
        <v>&lt;LIST PATCH HERE&gt;</v>
      </c>
      <c r="F103" s="472"/>
      <c r="G103" s="257" t="str">
        <f>IF('Fun Patches'!G35="A","A"," ")</f>
        <v xml:space="preserve"> </v>
      </c>
      <c r="I103" s="247">
        <v>3</v>
      </c>
      <c r="J103" s="344" t="str">
        <f>'Council Own'!C39</f>
        <v>&lt;List Requirement Here&gt;</v>
      </c>
      <c r="K103" s="257" t="str">
        <f>IF('Council Own'!G39="A","A"," ")</f>
        <v xml:space="preserve"> </v>
      </c>
      <c r="M103" s="247">
        <v>3</v>
      </c>
      <c r="N103" s="344" t="str">
        <f>'Council Own'!C87</f>
        <v>&lt;List Requirement Here&gt;</v>
      </c>
      <c r="O103" s="257" t="str">
        <f>IF('Council Own'!G87="A","A"," ")</f>
        <v xml:space="preserve"> </v>
      </c>
      <c r="Q103" s="247">
        <v>3</v>
      </c>
      <c r="R103" s="344" t="str">
        <f>'Council Own'!C135</f>
        <v>&lt;List Requirement Here&gt;</v>
      </c>
      <c r="S103" s="257" t="str">
        <f>IF('Council Own'!G135="A","A"," ")</f>
        <v xml:space="preserve"> </v>
      </c>
      <c r="U103" s="245"/>
      <c r="V103" s="245"/>
    </row>
    <row r="104" spans="1:23" x14ac:dyDescent="0.2">
      <c r="E104" s="471" t="str">
        <f>'Fun Patches'!C36</f>
        <v>&lt;LIST PATCH HERE&gt;</v>
      </c>
      <c r="F104" s="472"/>
      <c r="G104" s="257" t="str">
        <f>IF('Fun Patches'!G36="A","A"," ")</f>
        <v xml:space="preserve"> </v>
      </c>
      <c r="I104" s="247"/>
      <c r="J104" s="344" t="str">
        <f>'Council Own'!C40</f>
        <v>&lt;List Requirement Here&gt;</v>
      </c>
      <c r="K104" s="257" t="str">
        <f>IF('Council Own'!G40="A","A"," ")</f>
        <v xml:space="preserve"> </v>
      </c>
      <c r="M104" s="247"/>
      <c r="N104" s="344" t="str">
        <f>'Council Own'!C88</f>
        <v>&lt;List Requirement Here&gt;</v>
      </c>
      <c r="O104" s="257" t="str">
        <f>IF('Council Own'!G88="A","A"," ")</f>
        <v xml:space="preserve"> </v>
      </c>
      <c r="Q104" s="247"/>
      <c r="R104" s="344" t="str">
        <f>'Council Own'!C136</f>
        <v>&lt;List Requirement Here&gt;</v>
      </c>
      <c r="S104" s="257" t="str">
        <f>IF('Council Own'!G136="A","A"," ")</f>
        <v xml:space="preserve"> </v>
      </c>
      <c r="U104" s="245"/>
      <c r="V104" s="245"/>
    </row>
    <row r="105" spans="1:23" x14ac:dyDescent="0.2">
      <c r="E105" s="471" t="str">
        <f>'Fun Patches'!C37</f>
        <v>&lt;LIST PATCH HERE&gt;</v>
      </c>
      <c r="F105" s="472"/>
      <c r="G105" s="257" t="str">
        <f>IF('Fun Patches'!G37="A","A"," ")</f>
        <v xml:space="preserve"> </v>
      </c>
      <c r="I105" s="247"/>
      <c r="J105" s="344" t="str">
        <f>'Council Own'!C41</f>
        <v>&lt;List Requirement Here&gt;</v>
      </c>
      <c r="K105" s="257" t="str">
        <f>IF('Council Own'!G41="A","A"," ")</f>
        <v xml:space="preserve"> </v>
      </c>
      <c r="M105" s="247"/>
      <c r="N105" s="344" t="str">
        <f>'Council Own'!C89</f>
        <v>&lt;List Requirement Here&gt;</v>
      </c>
      <c r="O105" s="257" t="str">
        <f>IF('Council Own'!G89="A","A"," ")</f>
        <v xml:space="preserve"> </v>
      </c>
      <c r="Q105" s="247"/>
      <c r="R105" s="344" t="str">
        <f>'Council Own'!C137</f>
        <v>&lt;List Requirement Here&gt;</v>
      </c>
      <c r="S105" s="257" t="str">
        <f>IF('Council Own'!G137="A","A"," ")</f>
        <v xml:space="preserve"> </v>
      </c>
      <c r="U105" s="245"/>
      <c r="V105" s="245"/>
    </row>
    <row r="106" spans="1:23" x14ac:dyDescent="0.2">
      <c r="E106" s="471" t="str">
        <f>'Fun Patches'!C38</f>
        <v>&lt;LIST PATCH HERE&gt;</v>
      </c>
      <c r="F106" s="472"/>
      <c r="G106" s="257" t="str">
        <f>IF('Fun Patches'!G38="A","A"," ")</f>
        <v xml:space="preserve"> </v>
      </c>
      <c r="I106" s="247"/>
      <c r="J106" s="344" t="str">
        <f>'Council Own'!C42</f>
        <v>&lt;List Requirement Here&gt;</v>
      </c>
      <c r="K106" s="257" t="str">
        <f>IF('Council Own'!G42="A","A"," ")</f>
        <v xml:space="preserve"> </v>
      </c>
      <c r="M106" s="247"/>
      <c r="N106" s="344" t="str">
        <f>'Council Own'!C90</f>
        <v>&lt;List Requirement Here&gt;</v>
      </c>
      <c r="O106" s="257" t="str">
        <f>IF('Council Own'!G90="A","A"," ")</f>
        <v xml:space="preserve"> </v>
      </c>
      <c r="Q106" s="247"/>
      <c r="R106" s="344" t="str">
        <f>'Council Own'!C138</f>
        <v>&lt;List Requirement Here&gt;</v>
      </c>
      <c r="S106" s="257" t="str">
        <f>IF('Council Own'!G138="A","A"," ")</f>
        <v xml:space="preserve"> </v>
      </c>
      <c r="U106" s="245"/>
      <c r="V106" s="245"/>
    </row>
    <row r="107" spans="1:23" x14ac:dyDescent="0.2">
      <c r="E107" s="284"/>
      <c r="F107" s="263"/>
      <c r="G107" s="341"/>
      <c r="I107" s="247">
        <v>4</v>
      </c>
      <c r="J107" s="344" t="str">
        <f>'Council Own'!C43</f>
        <v>&lt;List Requirement Here&gt;</v>
      </c>
      <c r="K107" s="257" t="str">
        <f>IF('Council Own'!G43="A","A"," ")</f>
        <v xml:space="preserve"> </v>
      </c>
      <c r="M107" s="247">
        <v>4</v>
      </c>
      <c r="N107" s="344" t="str">
        <f>'Council Own'!C91</f>
        <v>&lt;List Requirement Here&gt;</v>
      </c>
      <c r="O107" s="257" t="str">
        <f>IF('Council Own'!G91="A","A"," ")</f>
        <v xml:space="preserve"> </v>
      </c>
      <c r="Q107" s="247">
        <v>4</v>
      </c>
      <c r="R107" s="344" t="str">
        <f>'Council Own'!C139</f>
        <v>&lt;List Requirement Here&gt;</v>
      </c>
      <c r="S107" s="257" t="str">
        <f>IF('Council Own'!G139="A","A"," ")</f>
        <v xml:space="preserve"> </v>
      </c>
      <c r="U107" s="245"/>
      <c r="V107" s="245"/>
    </row>
    <row r="108" spans="1:23" x14ac:dyDescent="0.2">
      <c r="I108" s="247"/>
      <c r="J108" s="344" t="str">
        <f>'Council Own'!C44</f>
        <v>&lt;List Requirement Here&gt;</v>
      </c>
      <c r="K108" s="257" t="str">
        <f>IF('Council Own'!G44="A","A"," ")</f>
        <v xml:space="preserve"> </v>
      </c>
      <c r="M108" s="247"/>
      <c r="N108" s="344" t="str">
        <f>'Council Own'!C92</f>
        <v>&lt;List Requirement Here&gt;</v>
      </c>
      <c r="O108" s="257" t="str">
        <f>IF('Council Own'!G92="A","A"," ")</f>
        <v xml:space="preserve"> </v>
      </c>
      <c r="Q108" s="247"/>
      <c r="R108" s="344" t="str">
        <f>'Council Own'!C140</f>
        <v>&lt;List Requirement Here&gt;</v>
      </c>
      <c r="S108" s="257" t="str">
        <f>IF('Council Own'!G140="A","A"," ")</f>
        <v xml:space="preserve"> </v>
      </c>
      <c r="U108" s="245"/>
      <c r="V108" s="245"/>
    </row>
    <row r="109" spans="1:23" x14ac:dyDescent="0.2">
      <c r="I109" s="247"/>
      <c r="J109" s="344" t="str">
        <f>'Council Own'!C45</f>
        <v>&lt;List Requirement Here&gt;</v>
      </c>
      <c r="K109" s="257" t="str">
        <f>IF('Council Own'!G45="A","A"," ")</f>
        <v xml:space="preserve"> </v>
      </c>
      <c r="M109" s="247"/>
      <c r="N109" s="344" t="str">
        <f>'Council Own'!C93</f>
        <v>&lt;List Requirement Here&gt;</v>
      </c>
      <c r="O109" s="257" t="str">
        <f>IF('Council Own'!G93="A","A"," ")</f>
        <v xml:space="preserve"> </v>
      </c>
      <c r="Q109" s="247"/>
      <c r="R109" s="344" t="str">
        <f>'Council Own'!C141</f>
        <v>&lt;List Requirement Here&gt;</v>
      </c>
      <c r="S109" s="257" t="str">
        <f>IF('Council Own'!G141="A","A"," ")</f>
        <v xml:space="preserve"> </v>
      </c>
      <c r="U109" s="245"/>
      <c r="V109" s="245"/>
    </row>
    <row r="110" spans="1:23" x14ac:dyDescent="0.2">
      <c r="I110" s="247"/>
      <c r="J110" s="344" t="str">
        <f>'Council Own'!C46</f>
        <v>&lt;List Requirement Here&gt;</v>
      </c>
      <c r="K110" s="257" t="str">
        <f>IF('Council Own'!G46="A","A"," ")</f>
        <v xml:space="preserve"> </v>
      </c>
      <c r="M110" s="247"/>
      <c r="N110" s="344" t="str">
        <f>'Council Own'!C94</f>
        <v>&lt;List Requirement Here&gt;</v>
      </c>
      <c r="O110" s="257" t="str">
        <f>IF('Council Own'!G94="A","A"," ")</f>
        <v xml:space="preserve"> </v>
      </c>
      <c r="Q110" s="247"/>
      <c r="R110" s="344" t="str">
        <f>'Council Own'!C142</f>
        <v>&lt;List Requirement Here&gt;</v>
      </c>
      <c r="S110" s="257" t="str">
        <f>IF('Council Own'!G142="A","A"," ")</f>
        <v xml:space="preserve"> </v>
      </c>
      <c r="U110" s="245"/>
      <c r="V110" s="245"/>
    </row>
    <row r="111" spans="1:23" x14ac:dyDescent="0.2">
      <c r="I111" s="247">
        <v>5</v>
      </c>
      <c r="J111" s="344" t="str">
        <f>'Council Own'!C47</f>
        <v>&lt;List Requirement Here&gt;</v>
      </c>
      <c r="K111" s="257" t="str">
        <f>IF('Council Own'!G47="A","A"," ")</f>
        <v xml:space="preserve"> </v>
      </c>
      <c r="M111" s="247">
        <v>5</v>
      </c>
      <c r="N111" s="344" t="str">
        <f>'Council Own'!C95</f>
        <v>&lt;List Requirement Here&gt;</v>
      </c>
      <c r="O111" s="257" t="str">
        <f>IF('Council Own'!G95="A","A"," ")</f>
        <v xml:space="preserve"> </v>
      </c>
      <c r="Q111" s="247">
        <v>5</v>
      </c>
      <c r="R111" s="344" t="str">
        <f>'Council Own'!C143</f>
        <v>&lt;List Requirement Here&gt;</v>
      </c>
      <c r="S111" s="257" t="str">
        <f>IF('Council Own'!G143="A","A"," ")</f>
        <v xml:space="preserve"> </v>
      </c>
      <c r="U111" s="338"/>
      <c r="V111" s="338"/>
      <c r="W111" s="341"/>
    </row>
    <row r="112" spans="1:23" x14ac:dyDescent="0.2">
      <c r="I112" s="247"/>
      <c r="J112" s="344" t="str">
        <f>'Council Own'!C48</f>
        <v>&lt;List Requirement Here&gt;</v>
      </c>
      <c r="K112" s="257" t="str">
        <f>IF('Council Own'!G48="A","A"," ")</f>
        <v xml:space="preserve"> </v>
      </c>
      <c r="M112" s="247"/>
      <c r="N112" s="344" t="str">
        <f>'Council Own'!C96</f>
        <v>&lt;List Requirement Here&gt;</v>
      </c>
      <c r="O112" s="257" t="str">
        <f>IF('Council Own'!G96="A","A"," ")</f>
        <v xml:space="preserve"> </v>
      </c>
      <c r="Q112" s="247"/>
      <c r="R112" s="344" t="str">
        <f>'Council Own'!C144</f>
        <v>&lt;List Requirement Here&gt;</v>
      </c>
      <c r="S112" s="257" t="str">
        <f>IF('Council Own'!G144="A","A"," ")</f>
        <v xml:space="preserve"> </v>
      </c>
      <c r="U112" s="245"/>
      <c r="V112" s="245"/>
    </row>
    <row r="113" spans="9:22" x14ac:dyDescent="0.2">
      <c r="I113" s="247"/>
      <c r="J113" s="344" t="str">
        <f>'Council Own'!C49</f>
        <v>&lt;List Requirement Here&gt;</v>
      </c>
      <c r="K113" s="257" t="str">
        <f>IF('Council Own'!G49="A","A"," ")</f>
        <v xml:space="preserve"> </v>
      </c>
      <c r="M113" s="247"/>
      <c r="N113" s="344" t="str">
        <f>'Council Own'!C97</f>
        <v>&lt;List Requirement Here&gt;</v>
      </c>
      <c r="O113" s="257" t="str">
        <f>IF('Council Own'!G97="A","A"," ")</f>
        <v xml:space="preserve"> </v>
      </c>
      <c r="Q113" s="247"/>
      <c r="R113" s="344" t="str">
        <f>'Council Own'!C145</f>
        <v>&lt;List Requirement Here&gt;</v>
      </c>
      <c r="S113" s="257" t="str">
        <f>IF('Council Own'!G145="A","A"," ")</f>
        <v xml:space="preserve"> </v>
      </c>
      <c r="U113" s="245"/>
      <c r="V113" s="245"/>
    </row>
    <row r="114" spans="9:22" x14ac:dyDescent="0.2">
      <c r="I114" s="247"/>
      <c r="J114" s="344" t="str">
        <f>'Council Own'!C50</f>
        <v>&lt;List Requirement Here&gt;</v>
      </c>
      <c r="K114" s="257" t="str">
        <f>IF('Council Own'!G50="A","A"," ")</f>
        <v xml:space="preserve"> </v>
      </c>
      <c r="M114" s="247"/>
      <c r="N114" s="344" t="str">
        <f>'Council Own'!C98</f>
        <v>&lt;List Requirement Here&gt;</v>
      </c>
      <c r="O114" s="257" t="str">
        <f>IF('Council Own'!G98="A","A"," ")</f>
        <v xml:space="preserve"> </v>
      </c>
      <c r="Q114" s="247"/>
      <c r="R114" s="344" t="str">
        <f>'Council Own'!C146</f>
        <v>&lt;List Requirement Here&gt;</v>
      </c>
      <c r="S114" s="257" t="str">
        <f>IF('Council Own'!G146="A","A","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row r="147" ht="12.75" customHeight="1" x14ac:dyDescent="0.2"/>
    <row r="148" ht="12.75" customHeight="1" x14ac:dyDescent="0.2"/>
    <row r="172" ht="12.75" customHeight="1" x14ac:dyDescent="0.2"/>
    <row r="173" ht="12.75" customHeight="1" x14ac:dyDescent="0.2"/>
  </sheetData>
  <sheetProtection password="9A15" sheet="1" objects="1" scenarios="1" selectLockedCells="1" selectUnlockedCells="1"/>
  <mergeCells count="113">
    <mergeCell ref="E102:F102"/>
    <mergeCell ref="E96:F96"/>
    <mergeCell ref="E97:F97"/>
    <mergeCell ref="A98:C98"/>
    <mergeCell ref="E98:F98"/>
    <mergeCell ref="A99:C99"/>
    <mergeCell ref="E99:F99"/>
    <mergeCell ref="A100:C100"/>
    <mergeCell ref="E100:F100"/>
    <mergeCell ref="A101:C101"/>
    <mergeCell ref="E101:F101"/>
    <mergeCell ref="E87:F87"/>
    <mergeCell ref="E88:F88"/>
    <mergeCell ref="E89:F89"/>
    <mergeCell ref="E90:F90"/>
    <mergeCell ref="E91:F91"/>
    <mergeCell ref="E92:F92"/>
    <mergeCell ref="E93:F93"/>
    <mergeCell ref="E94:F94"/>
    <mergeCell ref="E95:F95"/>
    <mergeCell ref="E78:F78"/>
    <mergeCell ref="E79:F79"/>
    <mergeCell ref="E80:F80"/>
    <mergeCell ref="E81:F81"/>
    <mergeCell ref="E82:F82"/>
    <mergeCell ref="E83:F83"/>
    <mergeCell ref="E84:F84"/>
    <mergeCell ref="E85:F85"/>
    <mergeCell ref="E86:F86"/>
    <mergeCell ref="A26:B26"/>
    <mergeCell ref="A28:C28"/>
    <mergeCell ref="Q28:R28"/>
    <mergeCell ref="B29:C29"/>
    <mergeCell ref="B30:C30"/>
    <mergeCell ref="B34:C34"/>
    <mergeCell ref="Q34:R34"/>
    <mergeCell ref="B35:C35"/>
    <mergeCell ref="B42:C42"/>
    <mergeCell ref="Q42:R42"/>
    <mergeCell ref="A8:B8"/>
    <mergeCell ref="A9:B9"/>
    <mergeCell ref="A11:B11"/>
    <mergeCell ref="A16:B16"/>
    <mergeCell ref="A18:B18"/>
    <mergeCell ref="A19:B19"/>
    <mergeCell ref="A20:B20"/>
    <mergeCell ref="A24:C24"/>
    <mergeCell ref="A25:B25"/>
    <mergeCell ref="Q1:S1"/>
    <mergeCell ref="E2:G2"/>
    <mergeCell ref="Q2:R2"/>
    <mergeCell ref="Q3:R3"/>
    <mergeCell ref="Q4:R4"/>
    <mergeCell ref="Q5:R5"/>
    <mergeCell ref="Q6:R6"/>
    <mergeCell ref="Q7:R7"/>
    <mergeCell ref="Q8:R8"/>
    <mergeCell ref="A3:B3"/>
    <mergeCell ref="A4:C4"/>
    <mergeCell ref="A5:B5"/>
    <mergeCell ref="A6:B6"/>
    <mergeCell ref="A7:B7"/>
    <mergeCell ref="A1:C1"/>
    <mergeCell ref="E1:G1"/>
    <mergeCell ref="I1:K1"/>
    <mergeCell ref="M1:O1"/>
    <mergeCell ref="Q9:R9"/>
    <mergeCell ref="A10:B10"/>
    <mergeCell ref="Q10:R10"/>
    <mergeCell ref="Q11:R11"/>
    <mergeCell ref="Q12:R12"/>
    <mergeCell ref="A13:C13"/>
    <mergeCell ref="Q13:R13"/>
    <mergeCell ref="Q14:R14"/>
    <mergeCell ref="Q15:R15"/>
    <mergeCell ref="A12:B12"/>
    <mergeCell ref="A14:B14"/>
    <mergeCell ref="A15:B15"/>
    <mergeCell ref="Q16:R16"/>
    <mergeCell ref="Q17:R17"/>
    <mergeCell ref="Q18:R18"/>
    <mergeCell ref="Q19:R19"/>
    <mergeCell ref="Q20:R20"/>
    <mergeCell ref="A21:C21"/>
    <mergeCell ref="Q21:R21"/>
    <mergeCell ref="A22:B22"/>
    <mergeCell ref="A23:B23"/>
    <mergeCell ref="E23:G23"/>
    <mergeCell ref="A17:B17"/>
    <mergeCell ref="E103:F103"/>
    <mergeCell ref="E104:F104"/>
    <mergeCell ref="E105:F105"/>
    <mergeCell ref="E106:F106"/>
    <mergeCell ref="B43:C43"/>
    <mergeCell ref="E45:G45"/>
    <mergeCell ref="A49:C49"/>
    <mergeCell ref="Q55:S55"/>
    <mergeCell ref="E72:G72"/>
    <mergeCell ref="I72:K72"/>
    <mergeCell ref="M72:O72"/>
    <mergeCell ref="Q72:S72"/>
    <mergeCell ref="E73:F73"/>
    <mergeCell ref="A72:C72"/>
    <mergeCell ref="A76:B76"/>
    <mergeCell ref="A77:B77"/>
    <mergeCell ref="A78:B78"/>
    <mergeCell ref="A73:B73"/>
    <mergeCell ref="A74:B74"/>
    <mergeCell ref="A75:B75"/>
    <mergeCell ref="E74:F74"/>
    <mergeCell ref="E75:F75"/>
    <mergeCell ref="E76:F76"/>
    <mergeCell ref="E77:F7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W173"/>
  <sheetViews>
    <sheetView showGridLines="0" zoomScale="90" zoomScaleNormal="90" workbookViewId="0">
      <selection activeCell="A13" sqref="A13:C13"/>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1" customHeight="1" x14ac:dyDescent="0.35">
      <c r="A1" s="512" t="str">
        <f ca="1">MID(CELL("filename",A1),FIND(IF(ISERROR(FIND("]",CELL("filename",A1))),"$","]"),CELL("filename",A1))+1,256)</f>
        <v>Ambassador 5</v>
      </c>
      <c r="B1" s="512"/>
      <c r="C1" s="512"/>
      <c r="D1" s="265"/>
      <c r="E1" s="506" t="s">
        <v>15</v>
      </c>
      <c r="F1" s="506"/>
      <c r="G1" s="506"/>
      <c r="I1" s="506" t="s">
        <v>15</v>
      </c>
      <c r="J1" s="506"/>
      <c r="K1" s="506"/>
      <c r="M1" s="506" t="s">
        <v>15</v>
      </c>
      <c r="N1" s="506"/>
      <c r="O1" s="506"/>
      <c r="Q1" s="506" t="s">
        <v>135</v>
      </c>
      <c r="R1" s="506"/>
      <c r="S1" s="506"/>
      <c r="T1" s="239"/>
      <c r="U1" s="239"/>
    </row>
    <row r="2" spans="1:21" s="245" customFormat="1" ht="13.5" thickBot="1" x14ac:dyDescent="0.25">
      <c r="A2" s="242"/>
      <c r="B2" s="243"/>
      <c r="C2" s="244" t="s">
        <v>16</v>
      </c>
      <c r="D2" s="243"/>
      <c r="E2" s="492" t="str">
        <f>Badges!B6</f>
        <v>Photography</v>
      </c>
      <c r="F2" s="492"/>
      <c r="G2" s="492"/>
      <c r="H2" s="241"/>
      <c r="I2" s="247">
        <v>3</v>
      </c>
      <c r="J2" s="248" t="str">
        <f>Badges!C61</f>
        <v>Dig into national or state public policy</v>
      </c>
      <c r="K2" s="249"/>
      <c r="L2" s="241"/>
      <c r="M2" s="247">
        <v>3</v>
      </c>
      <c r="N2" s="248" t="str">
        <f>Badges!C130</f>
        <v>Share sisterhood around the world</v>
      </c>
      <c r="O2" s="249"/>
      <c r="P2" s="241"/>
      <c r="Q2" s="493" t="str">
        <f>'Age-Level'!B5</f>
        <v>Gold Torch Award</v>
      </c>
      <c r="R2" s="494"/>
      <c r="S2" s="251" t="str">
        <f>IF('Age-Level'!H8="C","C",IF('Age-Level'!H8="P","P",""))</f>
        <v/>
      </c>
      <c r="T2" s="239"/>
      <c r="U2" s="239"/>
    </row>
    <row r="3" spans="1:21" x14ac:dyDescent="0.2">
      <c r="A3" s="510" t="s">
        <v>132</v>
      </c>
      <c r="B3" s="511"/>
      <c r="C3" s="246">
        <f>INT(COUNTIF(C5:C12,"C"))+INT(COUNTIF(C14:C26,"C"))</f>
        <v>0</v>
      </c>
      <c r="E3" s="247">
        <v>1</v>
      </c>
      <c r="F3" s="248" t="str">
        <f>Badges!C7</f>
        <v>Expore the power of photography</v>
      </c>
      <c r="G3" s="249"/>
      <c r="I3" s="247"/>
      <c r="J3" s="248" t="str">
        <f>Badges!C62</f>
        <v>Track your issue</v>
      </c>
      <c r="K3" s="250" t="str">
        <f>IF(Badges!H62="A","A"," ")</f>
        <v xml:space="preserve"> </v>
      </c>
      <c r="M3" s="247"/>
      <c r="N3" s="248" t="str">
        <f>Badges!C131</f>
        <v>Explore an issue affecting girls and</v>
      </c>
      <c r="O3" s="250" t="str">
        <f>IF(Badges!H131="A","A"," ")</f>
        <v xml:space="preserve"> </v>
      </c>
      <c r="Q3" s="471" t="str">
        <f>'Age-Level'!B9</f>
        <v>Ambassador Community Service bar</v>
      </c>
      <c r="R3" s="472"/>
      <c r="S3" s="251" t="str">
        <f>IF('Age-Level'!H9="C","C",IF('Age-Level'!H9="P","P",""))</f>
        <v/>
      </c>
      <c r="T3" s="239"/>
      <c r="U3" s="239"/>
    </row>
    <row r="4" spans="1:21" x14ac:dyDescent="0.2">
      <c r="A4" s="500" t="str">
        <f>Summary!A3</f>
        <v>Legacy</v>
      </c>
      <c r="B4" s="500"/>
      <c r="C4" s="500"/>
      <c r="E4" s="247"/>
      <c r="F4" s="248" t="str">
        <f>Badges!C8</f>
        <v>Go to a photography exhibit</v>
      </c>
      <c r="G4" s="250" t="str">
        <f>IF(Badges!H8="A","A"," ")</f>
        <v xml:space="preserve"> </v>
      </c>
      <c r="I4" s="247"/>
      <c r="J4" s="248" t="str">
        <f>Badges!C63</f>
        <v>Talk to an interest gorup that promotes</v>
      </c>
      <c r="K4" s="250" t="str">
        <f>IF(Badges!H63="A","A"," ")</f>
        <v xml:space="preserve"> </v>
      </c>
      <c r="M4" s="247"/>
      <c r="N4" s="248" t="str">
        <f>Badges!C132</f>
        <v>Organize an event on women and STEM</v>
      </c>
      <c r="O4" s="250" t="str">
        <f>IF(Badges!H132="A","A"," ")</f>
        <v xml:space="preserve"> </v>
      </c>
      <c r="Q4" s="471" t="str">
        <f>'Age-Level'!B12</f>
        <v>Ambassador Service to Girl Scouting bar</v>
      </c>
      <c r="R4" s="472"/>
      <c r="S4" s="251" t="str">
        <f>IF('Age-Level'!H10="C","C",IF('Age-Level'!H10="P","P",""))</f>
        <v/>
      </c>
      <c r="T4" s="239"/>
      <c r="U4" s="239"/>
    </row>
    <row r="5" spans="1:21" ht="12.75" customHeight="1" x14ac:dyDescent="0.2">
      <c r="A5" s="501" t="str">
        <f>Summary!A4</f>
        <v>Photography</v>
      </c>
      <c r="B5" s="502"/>
      <c r="C5" s="252" t="str">
        <f>IF(Badges!H28="C","C",IF(Badges!H28="P","P",""))</f>
        <v/>
      </c>
      <c r="E5" s="247"/>
      <c r="F5" s="248" t="str">
        <f>Badges!C9</f>
        <v>Create a photography timeline.</v>
      </c>
      <c r="G5" s="250" t="str">
        <f>IF(Badges!H9="A","A"," ")</f>
        <v xml:space="preserve"> </v>
      </c>
      <c r="I5" s="247"/>
      <c r="J5" s="248" t="str">
        <f>Badges!C64</f>
        <v>Compare three different states' positions</v>
      </c>
      <c r="K5" s="250" t="str">
        <f>IF(Badges!H64="A","A"," ")</f>
        <v xml:space="preserve"> </v>
      </c>
      <c r="M5" s="247"/>
      <c r="N5" s="248" t="str">
        <f>Badges!C133</f>
        <v>Interview a global citizen</v>
      </c>
      <c r="O5" s="250" t="str">
        <f>IF(Badges!H133="A","A"," ")</f>
        <v xml:space="preserve"> </v>
      </c>
      <c r="Q5" s="471" t="str">
        <f>'Age-Level'!B15</f>
        <v>Ambassador Volunteer in Training</v>
      </c>
      <c r="R5" s="472"/>
      <c r="S5" s="251" t="str">
        <f>IF('Age-Level'!H19="C","C",IF('Age-Level'!H19="P","P",""))</f>
        <v/>
      </c>
      <c r="T5" s="239"/>
      <c r="U5" s="239"/>
    </row>
    <row r="6" spans="1:21" ht="12.75" customHeight="1" x14ac:dyDescent="0.2">
      <c r="A6" s="490" t="str">
        <f>Summary!A5</f>
        <v>Coaching</v>
      </c>
      <c r="B6" s="491"/>
      <c r="C6" s="252" t="str">
        <f>IF(Badges!H51="C","C",IF(Badges!H51="P","P",""))</f>
        <v/>
      </c>
      <c r="E6" s="247"/>
      <c r="F6" s="248" t="str">
        <f>Badges!C10</f>
        <v>Make sticky-note comics</v>
      </c>
      <c r="G6" s="250" t="str">
        <f>IF(Badges!H10="A","A"," ")</f>
        <v xml:space="preserve"> </v>
      </c>
      <c r="I6" s="247">
        <v>4</v>
      </c>
      <c r="J6" s="248" t="str">
        <f>Badges!C65</f>
        <v>Explore local or community policy</v>
      </c>
      <c r="K6" s="249"/>
      <c r="M6" s="247">
        <v>4</v>
      </c>
      <c r="N6" s="248" t="str">
        <f>Badges!C134</f>
        <v>Leave your wolrd better than you found it</v>
      </c>
      <c r="O6" s="249"/>
      <c r="Q6" s="471" t="str">
        <f>'Age-Level'!B20</f>
        <v>Journey Summit Pin</v>
      </c>
      <c r="R6" s="472"/>
      <c r="S6" s="251" t="str">
        <f>IF('Age-Level'!H21="C","C",IF('Age-Level'!H21="P","P",""))</f>
        <v/>
      </c>
      <c r="T6" s="239"/>
      <c r="U6" s="239"/>
    </row>
    <row r="7" spans="1:21" x14ac:dyDescent="0.2">
      <c r="A7" s="490" t="str">
        <f>Summary!A6</f>
        <v>Public Policy</v>
      </c>
      <c r="B7" s="491"/>
      <c r="C7" s="252" t="str">
        <f>IF(Badges!H74="C","C",IF(Badges!H74="P","P",""))</f>
        <v/>
      </c>
      <c r="E7" s="247">
        <v>2</v>
      </c>
      <c r="F7" s="248" t="str">
        <f>Badges!C11</f>
        <v>Focus on composition</v>
      </c>
      <c r="G7" s="249"/>
      <c r="I7" s="247"/>
      <c r="J7" s="248" t="str">
        <f>Badges!C66</f>
        <v>Attend a meeting</v>
      </c>
      <c r="K7" s="250" t="str">
        <f>IF(Badges!H66="A","A"," ")</f>
        <v xml:space="preserve"> </v>
      </c>
      <c r="M7" s="247"/>
      <c r="N7" s="248" t="str">
        <f>Badges!C135</f>
        <v xml:space="preserve">Find ideas to use your leaderhship </v>
      </c>
      <c r="O7" s="250" t="str">
        <f>IF(Badges!H135="A","A"," ")</f>
        <v xml:space="preserve"> </v>
      </c>
      <c r="Q7" s="471" t="str">
        <f>'Age-Level'!C23</f>
        <v>Cookie Rally (Year 1)</v>
      </c>
      <c r="R7" s="472"/>
      <c r="S7" s="257" t="str">
        <f>IF('Age-Level'!H23="A","A"," ")</f>
        <v xml:space="preserve"> </v>
      </c>
    </row>
    <row r="8" spans="1:21" x14ac:dyDescent="0.2">
      <c r="A8" s="490" t="str">
        <f>Summary!A7</f>
        <v>Dinner Party</v>
      </c>
      <c r="B8" s="491"/>
      <c r="C8" s="252" t="str">
        <f>IF(Badges!H97="C","C",IF(Badges!H97="P","P",""))</f>
        <v/>
      </c>
      <c r="E8" s="247"/>
      <c r="F8" s="248" t="str">
        <f>Badges!C12</f>
        <v>Capture a day in the life</v>
      </c>
      <c r="G8" s="250" t="str">
        <f>IF(Badges!H12="A","A"," ")</f>
        <v xml:space="preserve"> </v>
      </c>
      <c r="I8" s="247"/>
      <c r="J8" s="248" t="str">
        <f>Badges!C67</f>
        <v>Compare different local positions</v>
      </c>
      <c r="K8" s="250" t="str">
        <f>IF(Badges!H67="A","A"," ")</f>
        <v xml:space="preserve"> </v>
      </c>
      <c r="M8" s="247"/>
      <c r="N8" s="248" t="str">
        <f>Badges!C136</f>
        <v>Gather ideas to work for a healthy</v>
      </c>
      <c r="O8" s="250" t="str">
        <f>IF(Badges!H136="A","A"," ")</f>
        <v xml:space="preserve"> </v>
      </c>
      <c r="Q8" s="471" t="str">
        <f>'Age-Level'!C24</f>
        <v>Cookie Sales (Year 1)</v>
      </c>
      <c r="R8" s="472"/>
      <c r="S8" s="257" t="str">
        <f>IF('Age-Level'!H24="A","A"," ")</f>
        <v xml:space="preserve"> </v>
      </c>
    </row>
    <row r="9" spans="1:21" x14ac:dyDescent="0.2">
      <c r="A9" s="490" t="str">
        <f>Summary!A8</f>
        <v>Ambassador First Aid</v>
      </c>
      <c r="B9" s="491"/>
      <c r="C9" s="252" t="str">
        <f>IF(Badges!H120="C","C",IF(Badges!H120="P","P",""))</f>
        <v/>
      </c>
      <c r="E9" s="247"/>
      <c r="F9" s="248" t="str">
        <f>Badges!C13</f>
        <v>Photograph weather patterns</v>
      </c>
      <c r="G9" s="250" t="str">
        <f>IF(Badges!H13="A","A"," ")</f>
        <v xml:space="preserve"> </v>
      </c>
      <c r="I9" s="247"/>
      <c r="J9" s="248" t="str">
        <f>Badges!C68</f>
        <v>Visit your local legislator's office</v>
      </c>
      <c r="K9" s="250" t="str">
        <f>IF(Badges!H68="A","A"," ")</f>
        <v xml:space="preserve"> </v>
      </c>
      <c r="M9" s="247"/>
      <c r="N9" s="248" t="str">
        <f>Badges!C137</f>
        <v>Brainstorm idea for social change</v>
      </c>
      <c r="O9" s="250" t="str">
        <f>IF(Badges!H137="A","A"," ")</f>
        <v xml:space="preserve"> </v>
      </c>
      <c r="Q9" s="471" t="str">
        <f>'Age-Level'!C25</f>
        <v>Cookie Pin (Year 1)</v>
      </c>
      <c r="R9" s="472"/>
      <c r="S9" s="257" t="str">
        <f>IF('Age-Level'!H25="A","A"," ")</f>
        <v xml:space="preserve"> </v>
      </c>
    </row>
    <row r="10" spans="1:21" x14ac:dyDescent="0.2">
      <c r="A10" s="490" t="str">
        <f>Summary!A9</f>
        <v>Ambassador Girl Scout Way</v>
      </c>
      <c r="B10" s="491"/>
      <c r="C10" s="253" t="str">
        <f>IF(Badges!H143="C","C",IF(Badges!H143="P","P",""))</f>
        <v/>
      </c>
      <c r="E10" s="247"/>
      <c r="F10" s="248" t="str">
        <f>Badges!C14</f>
        <v>Take 5 photos form a different</v>
      </c>
      <c r="G10" s="250" t="str">
        <f>IF(Badges!H14="A","A"," ")</f>
        <v xml:space="preserve"> </v>
      </c>
      <c r="I10" s="247">
        <v>5</v>
      </c>
      <c r="J10" s="248" t="str">
        <f>Badges!C69</f>
        <v>See public policy creation in action</v>
      </c>
      <c r="K10" s="249"/>
      <c r="M10" s="247">
        <v>5</v>
      </c>
      <c r="N10" s="248" t="str">
        <f>Badges!C138</f>
        <v>Enjoy Girl Scout traditions!</v>
      </c>
      <c r="O10" s="249"/>
      <c r="Q10" s="471" t="str">
        <f>'Age-Level'!C26</f>
        <v>Cookie Rally (Year 2)</v>
      </c>
      <c r="R10" s="472"/>
      <c r="S10" s="257" t="str">
        <f>IF('Age-Level'!H26="A","A"," ")</f>
        <v xml:space="preserve"> </v>
      </c>
    </row>
    <row r="11" spans="1:21" x14ac:dyDescent="0.2">
      <c r="A11" s="509" t="str">
        <f>Summary!A10</f>
        <v>Water</v>
      </c>
      <c r="B11" s="491"/>
      <c r="C11" s="252" t="str">
        <f>IF(Badges!H166="C","C",IF(Badges!H166="P","P",""))</f>
        <v/>
      </c>
      <c r="E11" s="247">
        <v>3</v>
      </c>
      <c r="F11" s="248" t="str">
        <f>Badges!C15</f>
        <v>Focus on light</v>
      </c>
      <c r="G11" s="249"/>
      <c r="I11" s="247"/>
      <c r="J11" s="248" t="str">
        <f>Badges!C70</f>
        <v>Shadow a policy-maker</v>
      </c>
      <c r="K11" s="250" t="str">
        <f>IF(Badges!H70="A","A"," ")</f>
        <v xml:space="preserve"> </v>
      </c>
      <c r="M11" s="247"/>
      <c r="N11" s="248" t="str">
        <f>Badges!C139</f>
        <v>Pass down a tradition</v>
      </c>
      <c r="O11" s="250" t="str">
        <f>IF(Badges!H139="A","A"," ")</f>
        <v xml:space="preserve"> </v>
      </c>
      <c r="Q11" s="471" t="str">
        <f>'Age-Level'!C27</f>
        <v>Cookie Sales (Year 2)</v>
      </c>
      <c r="R11" s="472"/>
      <c r="S11" s="257" t="str">
        <f>IF('Age-Level'!H27="A","A"," ")</f>
        <v xml:space="preserve"> </v>
      </c>
    </row>
    <row r="12" spans="1:21" x14ac:dyDescent="0.2">
      <c r="A12" s="507"/>
      <c r="B12" s="507"/>
      <c r="C12" s="336"/>
      <c r="E12" s="247"/>
      <c r="F12" s="248" t="str">
        <f>Badges!C16</f>
        <v>Invite friends to a shoot day</v>
      </c>
      <c r="G12" s="250" t="str">
        <f>IF(Badges!H16="A","A"," ")</f>
        <v xml:space="preserve"> </v>
      </c>
      <c r="I12" s="247"/>
      <c r="J12" s="248" t="str">
        <f>Badges!C71</f>
        <v>Volunteer at an office</v>
      </c>
      <c r="K12" s="250" t="str">
        <f>IF(Badges!H71="A","A"," ")</f>
        <v xml:space="preserve"> </v>
      </c>
      <c r="M12" s="247"/>
      <c r="N12" s="248" t="str">
        <f>Badges!C140</f>
        <v>Start a Girl Scout tradition of your own</v>
      </c>
      <c r="O12" s="250" t="str">
        <f>IF(Badges!H140="A","A"," ")</f>
        <v xml:space="preserve"> </v>
      </c>
      <c r="Q12" s="471" t="str">
        <f>'Age-Level'!C28</f>
        <v>Cookie Pin (Year 2)</v>
      </c>
      <c r="R12" s="472"/>
      <c r="S12" s="257" t="str">
        <f>IF('Age-Level'!H28="A","A"," ")</f>
        <v xml:space="preserve"> </v>
      </c>
    </row>
    <row r="13" spans="1:21" x14ac:dyDescent="0.2">
      <c r="A13" s="500" t="str">
        <f>Summary!A3</f>
        <v>Legacy</v>
      </c>
      <c r="B13" s="500"/>
      <c r="C13" s="500"/>
      <c r="E13" s="247"/>
      <c r="F13" s="248" t="str">
        <f>Badges!C17</f>
        <v>Capture the same person or object</v>
      </c>
      <c r="G13" s="250" t="str">
        <f>IF(Badges!H17="A","A"," ")</f>
        <v xml:space="preserve"> </v>
      </c>
      <c r="I13" s="247"/>
      <c r="J13" s="248" t="str">
        <f>Badges!C72</f>
        <v>Interview a policy-maker</v>
      </c>
      <c r="K13" s="250" t="str">
        <f>IF(Badges!H72="A","A"," ")</f>
        <v xml:space="preserve"> </v>
      </c>
      <c r="M13" s="247"/>
      <c r="N13" s="248" t="str">
        <f>Badges!C141</f>
        <v>Share the Girl Scout way by example</v>
      </c>
      <c r="O13" s="250" t="str">
        <f>IF(Badges!H141="A","A"," ")</f>
        <v xml:space="preserve"> </v>
      </c>
      <c r="Q13" s="471" t="str">
        <f>'Age-Level'!C30</f>
        <v>Fall Sales (Year 1)</v>
      </c>
      <c r="R13" s="472"/>
      <c r="S13" s="252" t="str">
        <f>IF('Age-Level'!H30="A","A","")</f>
        <v/>
      </c>
    </row>
    <row r="14" spans="1:21" x14ac:dyDescent="0.2">
      <c r="A14" s="501" t="str">
        <f>Summary!A4</f>
        <v>Photography</v>
      </c>
      <c r="B14" s="502"/>
      <c r="C14" s="251" t="str">
        <f>IF(Badges!H28="C","C",IF(Badges!H28="P","P",""))</f>
        <v/>
      </c>
      <c r="E14" s="247"/>
      <c r="F14" s="248" t="str">
        <f>Badges!C18</f>
        <v>Grow your image</v>
      </c>
      <c r="G14" s="250" t="str">
        <f>IF(Badges!H18="A","A"," ")</f>
        <v xml:space="preserve"> </v>
      </c>
      <c r="I14" s="339" t="str">
        <f>Badges!B75</f>
        <v>Dinner Party</v>
      </c>
      <c r="J14" s="340"/>
      <c r="K14" s="340"/>
      <c r="M14" s="339" t="str">
        <f>Badges!B144</f>
        <v>Water</v>
      </c>
      <c r="N14" s="340"/>
      <c r="O14" s="340"/>
      <c r="Q14" s="471" t="str">
        <f>'Age-Level'!C31</f>
        <v>Fall Sales (Year 2)</v>
      </c>
      <c r="R14" s="472"/>
      <c r="S14" s="252" t="str">
        <f>IF('Age-Level'!H31="A","A","")</f>
        <v/>
      </c>
    </row>
    <row r="15" spans="1:21" x14ac:dyDescent="0.2">
      <c r="A15" s="490" t="str">
        <f>Summary!A5</f>
        <v>Coaching</v>
      </c>
      <c r="B15" s="491"/>
      <c r="C15" s="252" t="str">
        <f>IF(Badges!H51="C","C",IF(Badges!H51="P","P",""))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471" t="str">
        <f>'Age-Level'!C33</f>
        <v>Thinking Day (Year 1)</v>
      </c>
      <c r="R15" s="472"/>
      <c r="S15" s="252" t="str">
        <f>IF('Age-Level'!H33="A","A","")</f>
        <v/>
      </c>
    </row>
    <row r="16" spans="1:21" x14ac:dyDescent="0.2">
      <c r="A16" s="490" t="str">
        <f>Summary!A6</f>
        <v>Public Policy</v>
      </c>
      <c r="B16" s="491"/>
      <c r="C16" s="252" t="str">
        <f>IF(Badges!H74="C","C",IF(Badges!H74="P","P",""))</f>
        <v/>
      </c>
      <c r="E16" s="247"/>
      <c r="F16" s="248" t="str">
        <f>Badges!C20</f>
        <v xml:space="preserve">Take photos of a group </v>
      </c>
      <c r="G16" s="250" t="str">
        <f>IF(Badges!H20="A","A"," ")</f>
        <v xml:space="preserve"> </v>
      </c>
      <c r="I16" s="247"/>
      <c r="J16" s="248" t="str">
        <f>Badges!C77</f>
        <v>Interview a caterer, event planner, chef</v>
      </c>
      <c r="K16" s="250" t="str">
        <f>IF(Badges!H77="A","A"," ")</f>
        <v xml:space="preserve"> </v>
      </c>
      <c r="M16" s="247"/>
      <c r="N16" s="248" t="str">
        <f>Badges!C146</f>
        <v>Visit water in its natural state</v>
      </c>
      <c r="O16" s="250" t="str">
        <f>IF(Badges!H146="A","A"," ")</f>
        <v xml:space="preserve"> </v>
      </c>
      <c r="Q16" s="471" t="str">
        <f>'Age-Level'!C34</f>
        <v>Thinking Day (Year 2)</v>
      </c>
      <c r="R16" s="472"/>
      <c r="S16" s="252" t="str">
        <f>IF('Age-Level'!H34="A","A","")</f>
        <v/>
      </c>
    </row>
    <row r="17" spans="1:19" x14ac:dyDescent="0.2">
      <c r="A17" s="490" t="str">
        <f>Summary!A7</f>
        <v>Dinner Party</v>
      </c>
      <c r="B17" s="491"/>
      <c r="C17" s="252" t="str">
        <f>IF(Badges!H97="C","C",IF(Badges!H97="P","P",""))</f>
        <v/>
      </c>
      <c r="E17" s="247"/>
      <c r="F17" s="248" t="str">
        <f>Badges!C21</f>
        <v>Take photos of faces in motion</v>
      </c>
      <c r="G17" s="250" t="str">
        <f>IF(Badges!H21="A","A"," ")</f>
        <v xml:space="preserve"> </v>
      </c>
      <c r="I17" s="247"/>
      <c r="J17" s="248" t="str">
        <f>Badges!C78</f>
        <v>Collect recipes from cooking shows</v>
      </c>
      <c r="K17" s="250" t="str">
        <f>IF(Badges!H78="A","A"," ")</f>
        <v xml:space="preserve"> </v>
      </c>
      <c r="M17" s="247"/>
      <c r="N17" s="248" t="str">
        <f>Badges!C147</f>
        <v>Try a new water skill</v>
      </c>
      <c r="O17" s="250" t="str">
        <f>IF(Badges!H147="A","A"," ")</f>
        <v xml:space="preserve"> </v>
      </c>
      <c r="Q17" s="471" t="str">
        <f>'Age-Level'!C36</f>
        <v>Global Action Award</v>
      </c>
      <c r="R17" s="472"/>
      <c r="S17" s="252" t="str">
        <f>IF('Age-Level'!H36="A","A","")</f>
        <v/>
      </c>
    </row>
    <row r="18" spans="1:19" x14ac:dyDescent="0.2">
      <c r="A18" s="490" t="str">
        <f>Summary!A8</f>
        <v>Ambassador First Aid</v>
      </c>
      <c r="B18" s="491"/>
      <c r="C18" s="252" t="str">
        <f>IF(Badges!H120="C","C",IF(Badges!H120="P","P",""))</f>
        <v/>
      </c>
      <c r="E18" s="247"/>
      <c r="F18" s="248" t="str">
        <f>Badges!C22</f>
        <v>Take photos of objects in motion</v>
      </c>
      <c r="G18" s="250" t="str">
        <f>IF(Badges!H22="A","A"," ")</f>
        <v xml:space="preserve"> </v>
      </c>
      <c r="I18" s="247"/>
      <c r="J18" s="248" t="str">
        <f>Badges!C79</f>
        <v>Build a men around your favorite</v>
      </c>
      <c r="K18" s="250" t="str">
        <f>IF(Badges!H79="A","A"," ")</f>
        <v xml:space="preserve"> </v>
      </c>
      <c r="M18" s="247"/>
      <c r="N18" s="248" t="str">
        <f>Badges!C148</f>
        <v>Enjoy a water activity you already know</v>
      </c>
      <c r="O18" s="250" t="str">
        <f>IF(Badges!H148="A","A"," ")</f>
        <v xml:space="preserve"> </v>
      </c>
      <c r="Q18" s="471" t="str">
        <f>'Age-Level'!C38</f>
        <v>International Friendship Recognition</v>
      </c>
      <c r="R18" s="472"/>
      <c r="S18" s="252" t="str">
        <f>IF('Age-Level'!H38="A","A","")</f>
        <v/>
      </c>
    </row>
    <row r="19" spans="1:19" x14ac:dyDescent="0.2">
      <c r="A19" s="490" t="str">
        <f>Summary!A9</f>
        <v>Ambassador Girl Scout Way</v>
      </c>
      <c r="B19" s="491"/>
      <c r="C19" s="252" t="str">
        <f>IF(Badges!H143="C","C",IF(Badges!H143="P","P",""))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471" t="str">
        <f>'Age-Level'!C40</f>
        <v>Investiture</v>
      </c>
      <c r="R19" s="472"/>
      <c r="S19" s="252" t="str">
        <f>IF('Age-Level'!H40="A","A","")</f>
        <v/>
      </c>
    </row>
    <row r="20" spans="1:19" x14ac:dyDescent="0.2">
      <c r="A20" s="507" t="str">
        <f>Summary!A10</f>
        <v>Water</v>
      </c>
      <c r="B20" s="508"/>
      <c r="C20" s="253" t="str">
        <f>IF(Badges!H166="C","C",IF(Badges!H166="P","P",""))</f>
        <v/>
      </c>
      <c r="E20" s="247"/>
      <c r="F20" s="248" t="str">
        <f>Badges!C24</f>
        <v>Stage a photo exhibit</v>
      </c>
      <c r="G20" s="250" t="str">
        <f>IF(Badges!H24="A","A"," ")</f>
        <v xml:space="preserve"> </v>
      </c>
      <c r="I20" s="247"/>
      <c r="J20" s="248" t="str">
        <f>Badges!C81</f>
        <v>Camparison shop</v>
      </c>
      <c r="K20" s="250" t="str">
        <f>IF(Badges!H81="A","A"," ")</f>
        <v xml:space="preserve"> </v>
      </c>
      <c r="M20" s="247"/>
      <c r="N20" s="248" t="str">
        <f>Badges!C150</f>
        <v>Delve into water literature</v>
      </c>
      <c r="O20" s="250" t="str">
        <f>IF(Badges!H150="A","A"," ")</f>
        <v xml:space="preserve"> </v>
      </c>
      <c r="Q20" s="471" t="str">
        <f>'Age-Level'!C41</f>
        <v>Rededication (1st year)</v>
      </c>
      <c r="R20" s="472"/>
      <c r="S20" s="262" t="str">
        <f>IF('Age-Level'!H41="C","C","")</f>
        <v/>
      </c>
    </row>
    <row r="21" spans="1:19" x14ac:dyDescent="0.2">
      <c r="A21" s="500" t="str">
        <f>Summary!A11</f>
        <v>Financial Literacy</v>
      </c>
      <c r="B21" s="500"/>
      <c r="C21" s="500"/>
      <c r="E21" s="247"/>
      <c r="F21" s="248" t="str">
        <f>Badges!C25</f>
        <v>Make a digital slide show</v>
      </c>
      <c r="G21" s="250" t="str">
        <f>IF(Badges!H25="A","A"," ")</f>
        <v xml:space="preserve"> </v>
      </c>
      <c r="I21" s="247"/>
      <c r="J21" s="248" t="str">
        <f>Badges!C82</f>
        <v>Consult with a professional chef</v>
      </c>
      <c r="K21" s="250" t="str">
        <f>IF(Badges!H82="A","A"," ")</f>
        <v xml:space="preserve"> </v>
      </c>
      <c r="M21" s="247"/>
      <c r="N21" s="248" t="str">
        <f>Badges!C151</f>
        <v xml:space="preserve">Enjoy an exhibit or event that features </v>
      </c>
      <c r="O21" s="250" t="str">
        <f>IF(Badges!H151="A","A"," ")</f>
        <v xml:space="preserve"> </v>
      </c>
      <c r="Q21" s="471" t="str">
        <f>'Age-Level'!C42</f>
        <v>Rededication (2nd year)</v>
      </c>
      <c r="R21" s="472"/>
      <c r="S21" s="262" t="str">
        <f>IF('Age-Level'!H42="C","C","")</f>
        <v/>
      </c>
    </row>
    <row r="22" spans="1:19" x14ac:dyDescent="0.2">
      <c r="A22" s="501" t="str">
        <f>Summary!A12</f>
        <v>On My Own</v>
      </c>
      <c r="B22" s="502"/>
      <c r="C22" s="251" t="str">
        <f>IF(Badges!H190="C","C",IF(Badges!H190="P","P",""))</f>
        <v/>
      </c>
      <c r="E22" s="247"/>
      <c r="F22" s="248" t="str">
        <f>Badges!C26</f>
        <v>Create a photo album or scrapbook</v>
      </c>
      <c r="G22" s="250" t="str">
        <f>IF(Badges!H26="A","A"," ")</f>
        <v xml:space="preserve"> </v>
      </c>
      <c r="I22" s="247"/>
      <c r="J22" s="248" t="str">
        <f>Badges!C83</f>
        <v>Learn about alternative ways to shop</v>
      </c>
      <c r="K22" s="250" t="str">
        <f>IF(Badges!H83="A","A"," ")</f>
        <v xml:space="preserve"> </v>
      </c>
      <c r="M22" s="247"/>
      <c r="N22" s="248" t="str">
        <f>Badges!C152</f>
        <v>Create your own water composition</v>
      </c>
      <c r="O22" s="250" t="str">
        <f>IF(Badges!H152="A","A"," ")</f>
        <v xml:space="preserve"> </v>
      </c>
      <c r="Q22" s="342" t="str">
        <f>'Age-Level'!B43</f>
        <v>My Promise, My Faith (Year 1)</v>
      </c>
      <c r="R22" s="343"/>
      <c r="S22" s="262"/>
    </row>
    <row r="23" spans="1:19" x14ac:dyDescent="0.2">
      <c r="A23" s="490" t="str">
        <f>Summary!A13</f>
        <v>Good Credit</v>
      </c>
      <c r="B23" s="491"/>
      <c r="C23" s="251" t="str">
        <f>IF(Badges!H213="C","C",IF(Badges!H213="P","P",""))</f>
        <v/>
      </c>
      <c r="E23" s="492" t="str">
        <f>Badges!B29</f>
        <v>Coaching</v>
      </c>
      <c r="F23" s="492"/>
      <c r="G23" s="492"/>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IF('Age-Level'!H44="A","A","")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IF(Badges!H85="A","A"," ")</f>
        <v xml:space="preserve"> </v>
      </c>
      <c r="M24" s="247"/>
      <c r="N24" s="248" t="str">
        <f>Badges!C154</f>
        <v>Visit a water facility and explore its</v>
      </c>
      <c r="O24" s="250" t="str">
        <f>IF(Badges!H154="A","A"," ")</f>
        <v xml:space="preserve"> </v>
      </c>
      <c r="Q24" s="267">
        <v>2</v>
      </c>
      <c r="R24" s="344" t="str">
        <f>'Age-Level'!C45</f>
        <v>Find a woman in your community</v>
      </c>
      <c r="S24" s="262" t="str">
        <f>IF('Age-Level'!H45="A","A","")</f>
        <v/>
      </c>
    </row>
    <row r="25" spans="1:19" x14ac:dyDescent="0.2">
      <c r="A25" s="490" t="str">
        <f>Summary!A15</f>
        <v>Research and Development</v>
      </c>
      <c r="B25" s="491"/>
      <c r="C25" s="252" t="str">
        <f>IF(Badges!H227="C","C",IF(Badges!H227="P","P",""))</f>
        <v/>
      </c>
      <c r="E25" s="247"/>
      <c r="F25" s="248" t="str">
        <f>Badges!C31</f>
        <v>Talk to a great coach</v>
      </c>
      <c r="G25" s="250" t="str">
        <f>IF(Badges!H31="A","A"," ")</f>
        <v xml:space="preserve"> </v>
      </c>
      <c r="I25" s="247"/>
      <c r="J25" s="248" t="str">
        <f>Badges!C86</f>
        <v>Make a menu timeline</v>
      </c>
      <c r="K25" s="250" t="str">
        <f>IF(Badges!H86="A","A"," ")</f>
        <v xml:space="preserve"> </v>
      </c>
      <c r="M25" s="247"/>
      <c r="N25" s="248" t="str">
        <f>Badges!C155</f>
        <v>Investigate endangered marine life</v>
      </c>
      <c r="O25" s="250" t="str">
        <f>IF(Badges!H155="A","A"," ")</f>
        <v xml:space="preserve"> </v>
      </c>
      <c r="Q25" s="267">
        <v>3</v>
      </c>
      <c r="R25" s="344" t="str">
        <f>'Age-Level'!C46</f>
        <v>Gather three inspirational quotes</v>
      </c>
      <c r="S25" s="262" t="str">
        <f>IF('Age-Level'!H46="A","A","")</f>
        <v/>
      </c>
    </row>
    <row r="26" spans="1:19" x14ac:dyDescent="0.2">
      <c r="A26" s="490" t="str">
        <f>Summary!A16</f>
        <v>P &amp; L</v>
      </c>
      <c r="B26" s="491"/>
      <c r="C26" s="252" t="str">
        <f>IF(Badges!H240="C","C",IF(Badges!H240="P","P",""))</f>
        <v/>
      </c>
      <c r="E26" s="247"/>
      <c r="F26" s="248" t="str">
        <f>Badges!C32</f>
        <v>Watch three sports documentaries</v>
      </c>
      <c r="G26" s="250" t="str">
        <f>IF(Badges!H32="A","A"," ")</f>
        <v xml:space="preserve"> </v>
      </c>
      <c r="I26" s="247"/>
      <c r="J26" s="248" t="str">
        <f>Badges!C87</f>
        <v>Prepare a test meal for family or friends</v>
      </c>
      <c r="K26" s="250" t="str">
        <f>IF(Badges!H87="A","A"," ")</f>
        <v xml:space="preserve"> </v>
      </c>
      <c r="M26" s="247"/>
      <c r="N26" s="248" t="str">
        <f>Badges!C156</f>
        <v>Investigate water as a hazard</v>
      </c>
      <c r="O26" s="250" t="str">
        <f>IF(Badges!H156="A","A"," ")</f>
        <v xml:space="preserve"> </v>
      </c>
      <c r="Q26" s="267">
        <v>4</v>
      </c>
      <c r="R26" s="344" t="str">
        <f>'Age-Level'!C47</f>
        <v>Make something to remind you</v>
      </c>
      <c r="S26" s="262" t="str">
        <f>IF('Age-Level'!H47="A","A","")</f>
        <v/>
      </c>
    </row>
    <row r="27" spans="1:19" x14ac:dyDescent="0.2">
      <c r="A27" s="346"/>
      <c r="B27" s="346"/>
      <c r="C27" s="266"/>
      <c r="E27" s="247"/>
      <c r="F27" s="248" t="str">
        <f>Badges!C33</f>
        <v>Attend a coaching clinic or seminar</v>
      </c>
      <c r="G27" s="250" t="str">
        <f>IF(Badges!H33="A","A","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IF('Age-Level'!H48="A","A","")</f>
        <v/>
      </c>
    </row>
    <row r="28" spans="1:19" x14ac:dyDescent="0.2">
      <c r="A28" s="484" t="s">
        <v>84</v>
      </c>
      <c r="B28" s="484"/>
      <c r="C28" s="484"/>
      <c r="E28" s="247">
        <v>2</v>
      </c>
      <c r="F28" s="248" t="str">
        <f>Badges!C34</f>
        <v>Conduct a first assessment</v>
      </c>
      <c r="G28" s="249"/>
      <c r="I28" s="247"/>
      <c r="J28" s="248" t="str">
        <f>Badges!C89</f>
        <v>Expreiment with garnishes</v>
      </c>
      <c r="K28" s="250" t="str">
        <f>IF(Badges!H89="A","A"," ")</f>
        <v xml:space="preserve"> </v>
      </c>
      <c r="M28" s="247"/>
      <c r="N28" s="248" t="str">
        <f>Badges!C158</f>
        <v>Interview a water scientist</v>
      </c>
      <c r="O28" s="250" t="str">
        <f>IF(Badges!H158="A","A","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IF(Badges!H35="A","A"," ")</f>
        <v xml:space="preserve"> </v>
      </c>
      <c r="I29" s="247"/>
      <c r="J29" s="248" t="str">
        <f>Badges!C90</f>
        <v>Present food in interesting shapes</v>
      </c>
      <c r="K29" s="250" t="str">
        <f>IF(Badges!H90="A","A"," ")</f>
        <v xml:space="preserve"> </v>
      </c>
      <c r="M29" s="247"/>
      <c r="N29" s="248" t="str">
        <f>Badges!C159</f>
        <v>Explore the world of hydroelectricity</v>
      </c>
      <c r="O29" s="250" t="str">
        <f>IF(Badges!H159="A","A"," ")</f>
        <v xml:space="preserve"> </v>
      </c>
      <c r="Q29" s="268">
        <v>1</v>
      </c>
      <c r="R29" s="344" t="str">
        <f>'Age-Level'!C51</f>
        <v>Choose one line from the Law</v>
      </c>
      <c r="S29" s="262" t="str">
        <f>IF('Age-Level'!H51="A","A","")</f>
        <v/>
      </c>
    </row>
    <row r="30" spans="1:19" x14ac:dyDescent="0.2">
      <c r="B30" s="477" t="str">
        <f>Journey!B7</f>
        <v>The Girl Scout Advocate Award</v>
      </c>
      <c r="C30" s="478"/>
      <c r="E30" s="247"/>
      <c r="F30" s="248" t="str">
        <f>Badges!C36</f>
        <v>Host an initial session</v>
      </c>
      <c r="G30" s="250" t="str">
        <f>IF(Badges!H36="A","A"," ")</f>
        <v xml:space="preserve"> </v>
      </c>
      <c r="I30" s="247"/>
      <c r="J30" s="248" t="str">
        <f>Badges!C91</f>
        <v>Use serving ware in unusual ways</v>
      </c>
      <c r="K30" s="250" t="str">
        <f>IF(Badges!H91="A","A"," ")</f>
        <v xml:space="preserve"> </v>
      </c>
      <c r="M30" s="247"/>
      <c r="N30" s="248" t="str">
        <f>Badges!C160</f>
        <v>Design your own water innovation</v>
      </c>
      <c r="O30" s="250" t="str">
        <f>IF(Badges!H160="A","A"," ")</f>
        <v xml:space="preserve"> </v>
      </c>
      <c r="Q30" s="267">
        <v>2</v>
      </c>
      <c r="R30" s="344" t="str">
        <f>'Age-Level'!C52</f>
        <v>Find a woman in your community</v>
      </c>
      <c r="S30" s="262" t="str">
        <f>IF('Age-Level'!H52="A","A","")</f>
        <v/>
      </c>
    </row>
    <row r="31" spans="1:19" x14ac:dyDescent="0.2">
      <c r="B31" s="256">
        <f>Journey!G8</f>
        <v>0</v>
      </c>
      <c r="C31" s="252" t="str">
        <f>IF(Journey!H8="C","C",IF(Journey!H8="P","P",""))</f>
        <v/>
      </c>
      <c r="E31" s="247"/>
      <c r="F31" s="248" t="str">
        <f>Badges!C37</f>
        <v>Prepare a goal chart together</v>
      </c>
      <c r="G31" s="250" t="str">
        <f>IF(Badges!H37="A","A","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IF('Age-Level'!H53="A","A","")</f>
        <v/>
      </c>
    </row>
    <row r="32" spans="1:19" x14ac:dyDescent="0.2">
      <c r="B32" s="256">
        <f>Journey!G9</f>
        <v>0</v>
      </c>
      <c r="C32" s="252" t="str">
        <f>IF(Journey!H9="C","C",IF(Journey!H9="P","P",""))</f>
        <v/>
      </c>
      <c r="E32" s="339" t="str">
        <f>Badges!B29</f>
        <v>Coaching</v>
      </c>
      <c r="F32" s="340"/>
      <c r="G32" s="340"/>
      <c r="I32" s="247"/>
      <c r="J32" s="248" t="str">
        <f>Badges!C93</f>
        <v>Decorate according to your menu theme</v>
      </c>
      <c r="K32" s="250" t="str">
        <f>IF(Badges!H93="A","A"," ")</f>
        <v xml:space="preserve"> </v>
      </c>
      <c r="M32" s="247"/>
      <c r="N32" s="248" t="str">
        <f>Badges!C162</f>
        <v>Celebrate water with younger Girl Scouts</v>
      </c>
      <c r="O32" s="250" t="str">
        <f>IF(Badges!H162="A","A"," ")</f>
        <v xml:space="preserve"> </v>
      </c>
      <c r="Q32" s="267">
        <v>4</v>
      </c>
      <c r="R32" s="344" t="str">
        <f>'Age-Level'!C54</f>
        <v>Make something to remind you</v>
      </c>
      <c r="S32" s="262" t="str">
        <f>IF('Age-Level'!H54="A","A","")</f>
        <v/>
      </c>
    </row>
    <row r="33" spans="1:19" x14ac:dyDescent="0.2">
      <c r="B33" s="256">
        <f>Journey!G10</f>
        <v>0</v>
      </c>
      <c r="C33" s="252" t="str">
        <f>IF(Journey!H10="C","C",IF(Journey!H10="P","P",""))</f>
        <v/>
      </c>
      <c r="E33" s="247">
        <v>3</v>
      </c>
      <c r="F33" s="248" t="str">
        <f>Badges!C38</f>
        <v>Design your coaching plan</v>
      </c>
      <c r="G33" s="249"/>
      <c r="I33" s="247"/>
      <c r="J33" s="248" t="str">
        <f>Badges!C94</f>
        <v>Celebrate a special occasion</v>
      </c>
      <c r="K33" s="250" t="str">
        <f>IF(Badges!H94="A","A"," ")</f>
        <v xml:space="preserve"> </v>
      </c>
      <c r="M33" s="247"/>
      <c r="N33" s="248" t="str">
        <f>Badges!C163</f>
        <v>Share a water issue that matters to you</v>
      </c>
      <c r="O33" s="250" t="str">
        <f>IF(Badges!H163="A","A"," ")</f>
        <v xml:space="preserve"> </v>
      </c>
      <c r="Q33" s="267">
        <v>5</v>
      </c>
      <c r="R33" s="344" t="str">
        <f>'Age-Level'!C55</f>
        <v xml:space="preserve">Make a commitment to live what </v>
      </c>
      <c r="S33" s="364" t="str">
        <f>IF('Age-Level'!H55="A","A","")</f>
        <v/>
      </c>
    </row>
    <row r="34" spans="1:19" x14ac:dyDescent="0.2">
      <c r="A34" s="284"/>
      <c r="B34" s="473" t="str">
        <f>Journey!A14</f>
        <v>JUSTICE</v>
      </c>
      <c r="C34" s="474"/>
      <c r="E34" s="247"/>
      <c r="F34" s="248" t="str">
        <f>Badges!C39</f>
        <v xml:space="preserve">Design a special warm-up </v>
      </c>
      <c r="G34" s="250" t="str">
        <f>IF(Badges!H39="A","A"," ")</f>
        <v xml:space="preserve"> </v>
      </c>
      <c r="I34" s="247"/>
      <c r="J34" s="248" t="str">
        <f>Badges!C95</f>
        <v>Use food and fun to forge new friendships</v>
      </c>
      <c r="K34" s="250" t="str">
        <f>IF(Badges!H95="A","A"," ")</f>
        <v xml:space="preserve"> </v>
      </c>
      <c r="M34" s="247"/>
      <c r="N34" s="248" t="str">
        <f>Badges!C164</f>
        <v>Guide a group to a water place</v>
      </c>
      <c r="O34" s="250" t="str">
        <f>IF(Badges!H164="A","A"," ")</f>
        <v xml:space="preserve"> </v>
      </c>
      <c r="Q34" s="471" t="str">
        <f>'Age-Level'!B57</f>
        <v>Safety Award</v>
      </c>
      <c r="R34" s="472"/>
      <c r="S34" s="364"/>
    </row>
    <row r="35" spans="1:19" x14ac:dyDescent="0.2">
      <c r="A35" s="284"/>
      <c r="B35" s="479" t="str">
        <f>Journey!B15</f>
        <v>Sage Award</v>
      </c>
      <c r="C35" s="480"/>
      <c r="E35" s="247"/>
      <c r="F35" s="248" t="str">
        <f>Badges!C40</f>
        <v>Research and choose</v>
      </c>
      <c r="G35" s="250" t="str">
        <f>IF(Badges!H40="A","A","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IF('Age-Level'!H58="A","A","")</f>
        <v/>
      </c>
    </row>
    <row r="36" spans="1:19" ht="12.75" customHeight="1" x14ac:dyDescent="0.2">
      <c r="A36" s="284"/>
      <c r="B36" s="256">
        <f>Journey!G16</f>
        <v>0</v>
      </c>
      <c r="C36" s="252" t="str">
        <f>IF(Journey!H16="C","C",IF(Journey!H16="P","P",""))</f>
        <v/>
      </c>
      <c r="E36" s="247"/>
      <c r="F36" s="248" t="str">
        <f>Badges!C41</f>
        <v>Open and close each session</v>
      </c>
      <c r="G36" s="250" t="str">
        <f>IF(Badges!H41="A","A","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IF('Age-Level'!H59="A","A","")</f>
        <v/>
      </c>
    </row>
    <row r="37" spans="1:19" ht="12.75" customHeight="1" x14ac:dyDescent="0.2">
      <c r="A37" s="284"/>
      <c r="B37" s="256">
        <f>Journey!G17</f>
        <v>0</v>
      </c>
      <c r="C37" s="252" t="str">
        <f>IF(Journey!H17="C","C",IF(Journey!H17="P","P",""))</f>
        <v/>
      </c>
      <c r="E37" s="247">
        <v>4</v>
      </c>
      <c r="F37" s="248" t="str">
        <f>Badges!C42</f>
        <v>Put your plan in action</v>
      </c>
      <c r="G37" s="249"/>
      <c r="I37" s="247"/>
      <c r="J37" s="248" t="str">
        <f>Badges!C100</f>
        <v>Backcountry</v>
      </c>
      <c r="K37" s="250" t="str">
        <f>IF(Badges!H100="A","A"," ")</f>
        <v xml:space="preserve"> </v>
      </c>
      <c r="M37" s="247"/>
      <c r="N37" s="248" t="str">
        <f>Badges!C170</f>
        <v>Take a tour</v>
      </c>
      <c r="O37" s="250" t="str">
        <f>IF(Badges!H170="A","A"," ")</f>
        <v xml:space="preserve"> </v>
      </c>
      <c r="Q37" s="267">
        <v>3</v>
      </c>
      <c r="R37" s="344" t="str">
        <f>'Age-Level'!C60</f>
        <v>Teach a Daisy or Brownie what to do if</v>
      </c>
      <c r="S37" s="262" t="str">
        <f>IF('Age-Level'!H60="A","A","")</f>
        <v/>
      </c>
    </row>
    <row r="38" spans="1:19" x14ac:dyDescent="0.2">
      <c r="A38" s="284"/>
      <c r="B38" s="256">
        <f>Journey!G18</f>
        <v>0</v>
      </c>
      <c r="C38" s="252" t="str">
        <f>IF(Journey!H18="C","C",IF(Journey!H18="P","P",""))</f>
        <v/>
      </c>
      <c r="E38" s="247"/>
      <c r="F38" s="248" t="str">
        <f>Badges!C43</f>
        <v>Add a morale-boosting time-out</v>
      </c>
      <c r="G38" s="250" t="str">
        <f>IF(Badges!H43="A","A"," ")</f>
        <v xml:space="preserve"> </v>
      </c>
      <c r="I38" s="247"/>
      <c r="J38" s="248" t="str">
        <f>Badges!C101</f>
        <v>Open water</v>
      </c>
      <c r="K38" s="250" t="str">
        <f>IF(Badges!H101="A","A"," ")</f>
        <v xml:space="preserve"> </v>
      </c>
      <c r="M38" s="247"/>
      <c r="N38" s="248" t="str">
        <f>Badges!C171</f>
        <v>Interview a new tenant or homeowner</v>
      </c>
      <c r="O38" s="250" t="str">
        <f>IF(Badges!H171="A","A"," ")</f>
        <v xml:space="preserve"> </v>
      </c>
      <c r="Q38" s="267">
        <v>4</v>
      </c>
      <c r="R38" s="344" t="str">
        <f>'Age-Level'!C61</f>
        <v>With your family, make sure you have</v>
      </c>
      <c r="S38" s="262" t="str">
        <f>IF('Age-Level'!H61="A","A","")</f>
        <v/>
      </c>
    </row>
    <row r="39" spans="1:19" x14ac:dyDescent="0.2">
      <c r="A39" s="284"/>
      <c r="B39" s="256">
        <f>Journey!G19</f>
        <v>0</v>
      </c>
      <c r="C39" s="252" t="str">
        <f>IF(Journey!H19="C","C",IF(Journey!H19="P","P",""))</f>
        <v/>
      </c>
      <c r="E39" s="247"/>
      <c r="F39" s="248" t="str">
        <f>Badges!C44</f>
        <v>Ask your players to coach you!</v>
      </c>
      <c r="G39" s="250" t="str">
        <f>IF(Badges!H44="A","A"," ")</f>
        <v xml:space="preserve"> </v>
      </c>
      <c r="I39" s="247"/>
      <c r="J39" s="248" t="str">
        <f>Badges!C102</f>
        <v>Mountains</v>
      </c>
      <c r="K39" s="250" t="str">
        <f>IF(Badges!H102="A","A"," ")</f>
        <v xml:space="preserve"> </v>
      </c>
      <c r="M39" s="247"/>
      <c r="N39" s="248" t="str">
        <f>Badges!C172</f>
        <v>Be chart smart</v>
      </c>
      <c r="O39" s="250" t="str">
        <f>IF(Badges!H172="A","A"," ")</f>
        <v xml:space="preserve"> </v>
      </c>
      <c r="Q39" s="267">
        <v>5</v>
      </c>
      <c r="R39" s="344" t="str">
        <f>'Age-Level'!C62</f>
        <v>Discuss bullying with your Girl Scout</v>
      </c>
      <c r="S39" s="262" t="str">
        <f>IF('Age-Level'!H62="A","A","")</f>
        <v/>
      </c>
    </row>
    <row r="40" spans="1:19" x14ac:dyDescent="0.2">
      <c r="A40" s="284"/>
      <c r="B40" s="256">
        <f>Journey!G20</f>
        <v>0</v>
      </c>
      <c r="C40" s="252" t="str">
        <f>IF(Journey!H20="C","C",IF(Journey!H20="P","P",""))</f>
        <v/>
      </c>
      <c r="E40" s="247"/>
      <c r="F40" s="248" t="str">
        <f>Badges!C45</f>
        <v xml:space="preserve">Bring in another coah to watch </v>
      </c>
      <c r="G40" s="250" t="str">
        <f>IF(Badges!H45="A","A","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Journey!G21</f>
        <v>0</v>
      </c>
      <c r="C41" s="252" t="str">
        <f>IF(Journey!H21="C","C",IF(Journey!H21="P","P",""))</f>
        <v/>
      </c>
      <c r="E41" s="247">
        <v>5</v>
      </c>
      <c r="F41" s="248" t="str">
        <f>Badges!C46</f>
        <v>Attend the big event</v>
      </c>
      <c r="G41" s="249"/>
      <c r="I41" s="247"/>
      <c r="J41" s="248" t="str">
        <f>Badges!C104</f>
        <v>Wilderness rescue</v>
      </c>
      <c r="K41" s="250" t="str">
        <f>IF(Badges!H104="A","A"," ")</f>
        <v xml:space="preserve"> </v>
      </c>
      <c r="M41" s="247"/>
      <c r="N41" s="248" t="str">
        <f>Badges!C174</f>
        <v>Focus on your finances</v>
      </c>
      <c r="O41" s="250" t="str">
        <f>IF(Badges!H174="A","A"," ")</f>
        <v xml:space="preserve"> </v>
      </c>
    </row>
    <row r="42" spans="1:19" ht="12.75" customHeight="1" x14ac:dyDescent="0.2">
      <c r="A42" s="254"/>
      <c r="B42" s="475" t="str">
        <f>Journey!A25</f>
        <v>BLISS: Live it! Give It!</v>
      </c>
      <c r="C42" s="476"/>
      <c r="E42" s="247"/>
      <c r="F42" s="248" t="str">
        <f>Badges!C47</f>
        <v>Meet with your players for a relaxing</v>
      </c>
      <c r="G42" s="250" t="str">
        <f>IF(Badges!H47="A","A"," ")</f>
        <v xml:space="preserve"> </v>
      </c>
      <c r="I42" s="247"/>
      <c r="J42" s="248" t="str">
        <f>Badges!C105</f>
        <v>Disaster preparedness</v>
      </c>
      <c r="K42" s="250" t="str">
        <f>IF(Badges!H105="A","A"," ")</f>
        <v xml:space="preserve"> </v>
      </c>
      <c r="M42" s="247"/>
      <c r="N42" s="248" t="str">
        <f>Badges!C175</f>
        <v>Shop talk</v>
      </c>
      <c r="O42" s="250" t="str">
        <f>IF(Badges!H175="A","A"," ")</f>
        <v xml:space="preserve"> </v>
      </c>
      <c r="Q42" s="505"/>
      <c r="R42" s="505"/>
      <c r="S42" s="240"/>
    </row>
    <row r="43" spans="1:19" ht="12.75" customHeight="1" x14ac:dyDescent="0.2">
      <c r="B43" s="477" t="str">
        <f>Journey!B26</f>
        <v>Dream Maker Award</v>
      </c>
      <c r="C43" s="478"/>
      <c r="E43" s="247"/>
      <c r="F43" s="248" t="str">
        <f>Badges!C48</f>
        <v>Host a celebration</v>
      </c>
      <c r="G43" s="250" t="str">
        <f>IF(Badges!H48="A","A"," ")</f>
        <v xml:space="preserve"> </v>
      </c>
      <c r="I43" s="247"/>
      <c r="J43" s="248" t="str">
        <f>Badges!C106</f>
        <v>Military medicine</v>
      </c>
      <c r="K43" s="250" t="str">
        <f>IF(Badges!H106="A","A"," ")</f>
        <v xml:space="preserve"> </v>
      </c>
      <c r="M43" s="247"/>
      <c r="N43" s="248" t="str">
        <f>Badges!C176</f>
        <v>Audit request</v>
      </c>
      <c r="O43" s="250" t="str">
        <f>IF(Badges!H176="A","A"," ")</f>
        <v xml:space="preserve"> </v>
      </c>
      <c r="Q43" s="267"/>
      <c r="R43" s="267"/>
      <c r="S43" s="240"/>
    </row>
    <row r="44" spans="1:19" x14ac:dyDescent="0.2">
      <c r="B44" s="256">
        <f>Journey!G27</f>
        <v>0</v>
      </c>
      <c r="C44" s="252" t="str">
        <f>IF(Journey!H27="C","C",IF(Journey!H27="P","P",""))</f>
        <v/>
      </c>
      <c r="E44" s="247"/>
      <c r="F44" s="248" t="str">
        <f>Badges!C49</f>
        <v>Make a "trading card" for each athlete</v>
      </c>
      <c r="G44" s="250" t="str">
        <f>IF(Badges!H49="A","A","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Journey!G28</f>
        <v>0</v>
      </c>
      <c r="C45" s="252" t="str">
        <f>IF(Journey!H28="C","C",IF(Journey!H28="P","P",""))</f>
        <v/>
      </c>
      <c r="E45" s="492" t="str">
        <f>Badges!B52</f>
        <v>Public Policy</v>
      </c>
      <c r="F45" s="492"/>
      <c r="G45" s="492"/>
      <c r="I45" s="247"/>
      <c r="J45" s="248" t="str">
        <f>Badges!C108</f>
        <v>Take a wilderness first aid course</v>
      </c>
      <c r="K45" s="250" t="str">
        <f>IF(Badges!H108="A","A"," ")</f>
        <v xml:space="preserve"> </v>
      </c>
      <c r="M45" s="247"/>
      <c r="N45" s="248" t="str">
        <f>Badges!C178</f>
        <v>Hooray for hobbies!</v>
      </c>
      <c r="O45" s="250" t="str">
        <f>IF(Badges!H178="A","A"," ")</f>
        <v xml:space="preserve"> </v>
      </c>
      <c r="Q45" s="267"/>
      <c r="R45" s="267"/>
      <c r="S45" s="240"/>
    </row>
    <row r="46" spans="1:19" x14ac:dyDescent="0.2">
      <c r="B46" s="256">
        <f>Journey!G29</f>
        <v>0</v>
      </c>
      <c r="C46" s="252" t="str">
        <f>IF(Journey!H29="C","C",IF(Journey!H29="P","P",""))</f>
        <v/>
      </c>
      <c r="E46" s="247">
        <v>1</v>
      </c>
      <c r="F46" s="248" t="str">
        <f>Badges!C53</f>
        <v>Find out how activitists advocate for change</v>
      </c>
      <c r="G46" s="249" t="s">
        <v>26</v>
      </c>
      <c r="I46" s="247"/>
      <c r="J46" s="248" t="str">
        <f>Badges!C109</f>
        <v>Interview a doctor, nurse, EMT, or first</v>
      </c>
      <c r="K46" s="250" t="str">
        <f>IF(Badges!H109="A","A"," ")</f>
        <v xml:space="preserve"> </v>
      </c>
      <c r="M46" s="247"/>
      <c r="N46" s="248" t="str">
        <f>Badges!C179</f>
        <v>Treat yourself</v>
      </c>
      <c r="O46" s="250" t="str">
        <f>IF(Badges!H179="A","A"," ")</f>
        <v xml:space="preserve"> </v>
      </c>
      <c r="Q46" s="267"/>
      <c r="R46" s="267"/>
      <c r="S46" s="240"/>
    </row>
    <row r="47" spans="1:19" x14ac:dyDescent="0.2">
      <c r="B47" s="256">
        <f>Journey!G30</f>
        <v>0</v>
      </c>
      <c r="C47" s="252" t="str">
        <f>IF(Journey!H30="C","C",IF(Journey!H30="P","P",""))</f>
        <v/>
      </c>
      <c r="E47" s="247"/>
      <c r="F47" s="248" t="str">
        <f>Badges!C54</f>
        <v>Interview an activist</v>
      </c>
      <c r="G47" s="250" t="str">
        <f>IF(Badges!H54="A","A"," ")</f>
        <v xml:space="preserve"> </v>
      </c>
      <c r="I47" s="247"/>
      <c r="J47" s="248" t="str">
        <f>Badges!C110</f>
        <v xml:space="preserve">Discover how to use what's on hand in </v>
      </c>
      <c r="K47" s="250" t="str">
        <f>IF(Badges!H110="A","A"," ")</f>
        <v xml:space="preserve"> </v>
      </c>
      <c r="M47" s="247"/>
      <c r="N47" s="248" t="str">
        <f>Badges!C180</f>
        <v>Class act</v>
      </c>
      <c r="O47" s="250" t="str">
        <f>IF(Badges!H180="A","A"," ")</f>
        <v xml:space="preserve"> </v>
      </c>
      <c r="Q47" s="267"/>
      <c r="R47" s="267"/>
      <c r="S47" s="240"/>
    </row>
    <row r="48" spans="1:19" x14ac:dyDescent="0.2">
      <c r="B48" s="264"/>
      <c r="C48" s="264"/>
      <c r="E48" s="247"/>
      <c r="F48" s="248" t="str">
        <f>Badges!C55</f>
        <v>Watch a documentary or movie</v>
      </c>
      <c r="G48" s="250" t="str">
        <f>IF(Badges!H55="A","A"," ")</f>
        <v xml:space="preserve"> </v>
      </c>
      <c r="I48" s="339" t="str">
        <f>Badges!B98</f>
        <v>Ambassador First Aid</v>
      </c>
      <c r="J48" s="340"/>
      <c r="K48" s="340"/>
      <c r="M48" s="247">
        <v>4</v>
      </c>
      <c r="N48" s="248" t="str">
        <f>Badges!C181</f>
        <v>Plan for the unexpected</v>
      </c>
      <c r="O48" s="249"/>
    </row>
    <row r="49" spans="1:19" x14ac:dyDescent="0.2">
      <c r="A49" s="484" t="s">
        <v>316</v>
      </c>
      <c r="B49" s="484"/>
      <c r="C49" s="484"/>
      <c r="E49" s="247"/>
      <c r="F49" s="248" t="str">
        <f>Badges!C56</f>
        <v xml:space="preserve">Read about women who change the </v>
      </c>
      <c r="G49" s="250" t="str">
        <f>IF(Badges!H56="A","A"," ")</f>
        <v xml:space="preserve"> </v>
      </c>
      <c r="I49" s="247">
        <v>4</v>
      </c>
      <c r="J49" s="248" t="str">
        <f>Badges!C111</f>
        <v>Know how to move an injured person</v>
      </c>
      <c r="K49" s="249"/>
      <c r="M49" s="247"/>
      <c r="N49" s="248" t="str">
        <f>Badges!C182</f>
        <v>Interview your network</v>
      </c>
      <c r="O49" s="250" t="str">
        <f>IF(Badges!H182="A","A"," ")</f>
        <v xml:space="preserve"> </v>
      </c>
    </row>
    <row r="50" spans="1:19" x14ac:dyDescent="0.2">
      <c r="A50" s="259"/>
      <c r="B50" s="345" t="str">
        <f>Bridging!B6</f>
        <v>Pass It On!</v>
      </c>
      <c r="C50" s="251" t="str">
        <f>IF(Bridging!H10="C","C",IF(Bridging!H10="P","P",""))</f>
        <v/>
      </c>
      <c r="E50" s="247">
        <v>2</v>
      </c>
      <c r="F50" s="248" t="str">
        <f>Badges!C57</f>
        <v>Engage as a global citizen</v>
      </c>
      <c r="G50" s="249"/>
      <c r="I50" s="247"/>
      <c r="J50" s="248" t="str">
        <f>Badges!C112</f>
        <v>Visit a medical school</v>
      </c>
      <c r="K50" s="250" t="str">
        <f>IF(Badges!H112="A","A"," ")</f>
        <v xml:space="preserve"> </v>
      </c>
      <c r="M50" s="247"/>
      <c r="N50" s="248" t="str">
        <f>Badges!C183</f>
        <v>Interview a Financial guru</v>
      </c>
      <c r="O50" s="250" t="str">
        <f>IF(Badges!H183="A","A"," ")</f>
        <v xml:space="preserve"> </v>
      </c>
    </row>
    <row r="51" spans="1:19" x14ac:dyDescent="0.2">
      <c r="A51" s="259"/>
      <c r="B51" s="260" t="str">
        <f>Bridging!B11</f>
        <v>Look Ahead!</v>
      </c>
      <c r="C51" s="251" t="str">
        <f>IF(Bridging!H15="C","C",IF(Bridging!H15="P","P",""))</f>
        <v/>
      </c>
      <c r="E51" s="247"/>
      <c r="F51" s="248" t="str">
        <f>Badges!C58</f>
        <v>Compare laws</v>
      </c>
      <c r="G51" s="250" t="str">
        <f>IF(Badges!H58="A","A"," ")</f>
        <v xml:space="preserve"> </v>
      </c>
      <c r="I51" s="247"/>
      <c r="J51" s="248" t="str">
        <f>Badges!C113</f>
        <v>Take a wilderness first aid course</v>
      </c>
      <c r="K51" s="250" t="str">
        <f>IF(Badges!H113="A","A"," ")</f>
        <v xml:space="preserve"> </v>
      </c>
      <c r="M51" s="247"/>
      <c r="N51" s="248" t="str">
        <f>Badges!C184</f>
        <v>Interview an insurance expert</v>
      </c>
      <c r="O51" s="250" t="str">
        <f>IF(Badges!H184="A","A"," ")</f>
        <v xml:space="preserve"> </v>
      </c>
    </row>
    <row r="52" spans="1:19" x14ac:dyDescent="0.2">
      <c r="A52" s="259"/>
      <c r="B52" s="344" t="str">
        <f>Bridging!C16</f>
        <v>Plan a Ceremony</v>
      </c>
      <c r="C52" s="251" t="str">
        <f>IF(Bridging!H17="C","C",IF(Bridging!H17="P","P",""))</f>
        <v/>
      </c>
      <c r="E52" s="247"/>
      <c r="F52" s="248" t="str">
        <f>Badges!C59</f>
        <v xml:space="preserve">Track a public-policy issue being </v>
      </c>
      <c r="G52" s="250" t="str">
        <f>IF(Badges!H59="A","A"," ")</f>
        <v xml:space="preserve"> </v>
      </c>
      <c r="I52" s="247"/>
      <c r="J52" s="248" t="str">
        <f>Badges!C114</f>
        <v>Organize a mock emergency drill</v>
      </c>
      <c r="K52" s="250" t="str">
        <f>IF(Badges!H114="A","A"," ")</f>
        <v xml:space="preserve"> </v>
      </c>
      <c r="M52" s="339" t="str">
        <f>Badges!B168</f>
        <v>On My Own</v>
      </c>
      <c r="N52" s="340"/>
      <c r="O52" s="340"/>
    </row>
    <row r="53" spans="1:19" x14ac:dyDescent="0.2">
      <c r="B53" s="261" t="s">
        <v>134</v>
      </c>
      <c r="C53" s="251" t="str">
        <f>IF(Bridging!H18="C","C",IF(Bridging!H18="P","P",""))</f>
        <v/>
      </c>
      <c r="E53" s="247"/>
      <c r="F53" s="248" t="str">
        <f>Badges!C60</f>
        <v>Explore an international NGO</v>
      </c>
      <c r="G53" s="250" t="str">
        <f>IF(Badges!H60="A","A","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IF(Badges!H116="A","A"," ")</f>
        <v xml:space="preserve"> </v>
      </c>
      <c r="M54" s="247"/>
      <c r="N54" s="248" t="str">
        <f>Badges!C186</f>
        <v>Plan for presents</v>
      </c>
      <c r="O54" s="250" t="str">
        <f>IF(Badges!H186="A","A"," ")</f>
        <v xml:space="preserve"> </v>
      </c>
      <c r="Q54" s="267"/>
      <c r="R54" s="267"/>
      <c r="S54" s="240"/>
    </row>
    <row r="55" spans="1:19" x14ac:dyDescent="0.2">
      <c r="I55" s="247"/>
      <c r="J55" s="248" t="str">
        <f>Badges!C117</f>
        <v>Investigate extreme first aid</v>
      </c>
      <c r="K55" s="250" t="str">
        <f>IF(Badges!H117="A","A"," ")</f>
        <v xml:space="preserve"> </v>
      </c>
      <c r="M55" s="247"/>
      <c r="N55" s="248" t="str">
        <f>Badges!C187</f>
        <v>Budget for your time</v>
      </c>
      <c r="O55" s="250" t="str">
        <f>IF(Badges!H187="A","A"," ")</f>
        <v xml:space="preserve"> </v>
      </c>
      <c r="Q55" s="496"/>
      <c r="R55" s="496"/>
      <c r="S55" s="496"/>
    </row>
    <row r="56" spans="1:19" x14ac:dyDescent="0.2">
      <c r="I56" s="247"/>
      <c r="J56" s="248" t="str">
        <f>Badges!C118</f>
        <v>Interview an everyday hero</v>
      </c>
      <c r="K56" s="250" t="str">
        <f>IF(Badges!H118="A","A"," ")</f>
        <v xml:space="preserve"> </v>
      </c>
      <c r="M56" s="247"/>
      <c r="N56" s="248" t="str">
        <f>Badges!C188</f>
        <v>Charity starts… with a budget</v>
      </c>
      <c r="O56" s="250" t="str">
        <f>IF(Badges!H188="A","A","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IF(Badges!H123="A","A"," ")</f>
        <v xml:space="preserve"> </v>
      </c>
      <c r="M59" s="247"/>
      <c r="N59" s="248" t="str">
        <f>Badges!C217</f>
        <v>Invest some R&amp;D</v>
      </c>
      <c r="O59" s="250" t="str">
        <f>IF(Badges!H217="A","A"," ")</f>
        <v xml:space="preserve"> </v>
      </c>
    </row>
    <row r="60" spans="1:19" x14ac:dyDescent="0.2">
      <c r="I60" s="247"/>
      <c r="J60" s="248" t="str">
        <f>Badges!C124</f>
        <v xml:space="preserve">Ogranize a songfest for younger </v>
      </c>
      <c r="K60" s="250" t="str">
        <f>IF(Badges!H124="A","A"," ")</f>
        <v xml:space="preserve"> </v>
      </c>
      <c r="M60" s="247">
        <v>2</v>
      </c>
      <c r="N60" s="248" t="str">
        <f>Badges!C218</f>
        <v>Reasearch how other companies innovate</v>
      </c>
      <c r="O60" s="249"/>
    </row>
    <row r="61" spans="1:19" ht="12.75" customHeight="1" x14ac:dyDescent="0.2">
      <c r="I61" s="247"/>
      <c r="J61" s="248" t="str">
        <f>Badges!C125</f>
        <v>Bring generations together in song</v>
      </c>
      <c r="K61" s="250" t="str">
        <f>IF(Badges!H125="A","A"," ")</f>
        <v xml:space="preserve"> </v>
      </c>
      <c r="M61" s="247"/>
      <c r="N61" s="248" t="str">
        <f>Badges!C219</f>
        <v>Find at least three other companies</v>
      </c>
      <c r="O61" s="250" t="str">
        <f>IF(Badges!H219="A","A"," ")</f>
        <v xml:space="preserve"> </v>
      </c>
    </row>
    <row r="62" spans="1:19" ht="12.75" customHeight="1"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IF(Badges!H127="A","A"," ")</f>
        <v xml:space="preserve"> </v>
      </c>
      <c r="M63" s="247"/>
      <c r="N63" s="248" t="str">
        <f>Badges!C221</f>
        <v>Developing a new product</v>
      </c>
      <c r="O63" s="250" t="str">
        <f>IF(Badges!H221="A","A"," ")</f>
        <v xml:space="preserve"> </v>
      </c>
    </row>
    <row r="64" spans="1:19" x14ac:dyDescent="0.2">
      <c r="I64" s="247"/>
      <c r="J64" s="248" t="str">
        <f>Badges!C128</f>
        <v>Make World Thinking Day cards</v>
      </c>
      <c r="K64" s="250" t="str">
        <f>IF(Badges!H128="A","A","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IF(Badges!H129="A","A"," ")</f>
        <v xml:space="preserve"> </v>
      </c>
      <c r="M65" s="247"/>
      <c r="N65" s="248" t="str">
        <f>Badges!C223</f>
        <v>If you're considering serveral</v>
      </c>
      <c r="O65" s="250" t="str">
        <f>IF(Badges!H223="A","A","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IF(Badges!H225="A","A","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484"/>
      <c r="G72" s="484"/>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Own'!H28="C","C",IF('Council Own'!H28="P","P",""))</f>
        <v/>
      </c>
      <c r="E73" s="493" t="str">
        <f>'Fun Patches'!C5</f>
        <v>&lt;LIST PATCH HERE&gt;</v>
      </c>
      <c r="F73" s="494"/>
      <c r="G73" s="250" t="str">
        <f>IF('Fun Patches'!H5="A","A","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Own'!H52="C","C",IF('Council Own'!H52="P","P",""))</f>
        <v/>
      </c>
      <c r="E74" s="471" t="str">
        <f>'Fun Patches'!C6</f>
        <v>&lt;LIST PATCH HERE&gt;</v>
      </c>
      <c r="F74" s="472"/>
      <c r="G74" s="257" t="str">
        <f>IF('Fun Patches'!H6="A","A"," ")</f>
        <v xml:space="preserve"> </v>
      </c>
      <c r="H74" s="254"/>
      <c r="I74" s="247">
        <v>1</v>
      </c>
      <c r="J74" s="344" t="str">
        <f>'Council Own'!C7</f>
        <v>&lt;List Requirement Here&gt;</v>
      </c>
      <c r="K74" s="257" t="str">
        <f>IF('Council Own'!H7="A","A"," ")</f>
        <v xml:space="preserve"> </v>
      </c>
      <c r="L74" s="254"/>
      <c r="M74" s="247">
        <v>1</v>
      </c>
      <c r="N74" s="344" t="str">
        <f>'Council Own'!C55</f>
        <v>&lt;List Requirement Here&gt;</v>
      </c>
      <c r="O74" s="257" t="str">
        <f>IF('Council Own'!H55="A","A"," ")</f>
        <v xml:space="preserve"> </v>
      </c>
      <c r="Q74" s="247">
        <v>1</v>
      </c>
      <c r="R74" s="344" t="str">
        <f>'Council Own'!C103</f>
        <v>&lt;List Requirement Here&gt;</v>
      </c>
      <c r="S74" s="257" t="str">
        <f>IF('Council Own'!H103="A","A"," ")</f>
        <v xml:space="preserve"> </v>
      </c>
    </row>
    <row r="75" spans="1:19" x14ac:dyDescent="0.2">
      <c r="A75" s="485" t="str">
        <f>'Council Own'!B54</f>
        <v>&lt;&lt;List Badge Here&gt;&gt;</v>
      </c>
      <c r="B75" s="486"/>
      <c r="C75" s="252" t="str">
        <f>IF('Council Own'!H76="C","C",IF('Council Own'!H76="P","P",""))</f>
        <v/>
      </c>
      <c r="E75" s="471" t="str">
        <f>'Fun Patches'!C7</f>
        <v>&lt;LIST PATCH HERE&gt;</v>
      </c>
      <c r="F75" s="472"/>
      <c r="G75" s="257" t="str">
        <f>IF('Fun Patches'!H7="A","A"," ")</f>
        <v xml:space="preserve"> </v>
      </c>
      <c r="H75" s="254"/>
      <c r="I75" s="247"/>
      <c r="J75" s="344" t="str">
        <f>'Council Own'!C8</f>
        <v>&lt;List Requirement Here&gt;</v>
      </c>
      <c r="K75" s="257" t="str">
        <f>IF('Council Own'!H8="A","A"," ")</f>
        <v xml:space="preserve"> </v>
      </c>
      <c r="L75" s="254"/>
      <c r="M75" s="247"/>
      <c r="N75" s="344" t="str">
        <f>'Council Own'!C56</f>
        <v>&lt;List Requirement Here&gt;</v>
      </c>
      <c r="O75" s="257" t="str">
        <f>IF('Council Own'!H56="A","A"," ")</f>
        <v xml:space="preserve"> </v>
      </c>
      <c r="Q75" s="247"/>
      <c r="R75" s="344" t="str">
        <f>'Council Own'!C104</f>
        <v>&lt;List Requirement Here&gt;</v>
      </c>
      <c r="S75" s="257" t="str">
        <f>IF('Council Own'!H104="A","A"," ")</f>
        <v xml:space="preserve"> </v>
      </c>
    </row>
    <row r="76" spans="1:19" x14ac:dyDescent="0.2">
      <c r="A76" s="485" t="str">
        <f>'Council Own'!B78</f>
        <v>&lt;&lt;List Badge Here&gt;&gt;</v>
      </c>
      <c r="B76" s="486"/>
      <c r="C76" s="252" t="str">
        <f>IF('Council Own'!H100="C","C",IF('Council Own'!H100="P","P",""))</f>
        <v/>
      </c>
      <c r="E76" s="471" t="str">
        <f>'Fun Patches'!C8</f>
        <v>&lt;LIST PATCH HERE&gt;</v>
      </c>
      <c r="F76" s="472"/>
      <c r="G76" s="257" t="str">
        <f>IF('Fun Patches'!H8="A","A"," ")</f>
        <v xml:space="preserve"> </v>
      </c>
      <c r="H76" s="254"/>
      <c r="I76" s="247"/>
      <c r="J76" s="344" t="str">
        <f>'Council Own'!C9</f>
        <v>&lt;List Requirement Here&gt;</v>
      </c>
      <c r="K76" s="257" t="str">
        <f>IF('Council Own'!H9="A","A"," ")</f>
        <v xml:space="preserve"> </v>
      </c>
      <c r="L76" s="254"/>
      <c r="M76" s="247"/>
      <c r="N76" s="344" t="str">
        <f>'Council Own'!C57</f>
        <v>&lt;List Requirement Here&gt;</v>
      </c>
      <c r="O76" s="257" t="str">
        <f>IF('Council Own'!H57="A","A"," ")</f>
        <v xml:space="preserve"> </v>
      </c>
      <c r="Q76" s="247"/>
      <c r="R76" s="344" t="str">
        <f>'Council Own'!C105</f>
        <v>&lt;List Requirement Here&gt;</v>
      </c>
      <c r="S76" s="257" t="str">
        <f>IF('Council Own'!H105="A","A"," ")</f>
        <v xml:space="preserve"> </v>
      </c>
    </row>
    <row r="77" spans="1:19" x14ac:dyDescent="0.2">
      <c r="A77" s="485" t="str">
        <f>'Council Own'!B102</f>
        <v>&lt;&lt;List Badge Here&gt;&gt;</v>
      </c>
      <c r="B77" s="486"/>
      <c r="C77" s="252" t="str">
        <f>IF('Council Own'!H124="C","C",IF('Council Own'!H124="P","P",""))</f>
        <v/>
      </c>
      <c r="E77" s="471" t="str">
        <f>'Fun Patches'!C9</f>
        <v>&lt;LIST PATCH HERE&gt;</v>
      </c>
      <c r="F77" s="472"/>
      <c r="G77" s="257" t="str">
        <f>IF('Fun Patches'!H9="A","A"," ")</f>
        <v xml:space="preserve"> </v>
      </c>
      <c r="H77" s="254"/>
      <c r="I77" s="247"/>
      <c r="J77" s="344" t="str">
        <f>'Council Own'!C10</f>
        <v>&lt;List Requirement Here&gt;</v>
      </c>
      <c r="K77" s="257" t="str">
        <f>IF('Council Own'!H10="A","A"," ")</f>
        <v xml:space="preserve"> </v>
      </c>
      <c r="L77" s="254"/>
      <c r="M77" s="247"/>
      <c r="N77" s="344" t="str">
        <f>'Council Own'!C58</f>
        <v>&lt;List Requirement Here&gt;</v>
      </c>
      <c r="O77" s="257" t="str">
        <f>IF('Council Own'!H58="A","A"," ")</f>
        <v xml:space="preserve"> </v>
      </c>
      <c r="Q77" s="247"/>
      <c r="R77" s="344" t="str">
        <f>'Council Own'!C106</f>
        <v>&lt;List Requirement Here&gt;</v>
      </c>
      <c r="S77" s="257" t="str">
        <f>IF('Council Own'!H106="A","A"," ")</f>
        <v xml:space="preserve"> </v>
      </c>
    </row>
    <row r="78" spans="1:19" x14ac:dyDescent="0.2">
      <c r="A78" s="485" t="str">
        <f>'Council Own'!B126</f>
        <v>&lt;&lt;List Badge Here&gt;&gt;</v>
      </c>
      <c r="B78" s="486"/>
      <c r="C78" s="252" t="str">
        <f>IF('Council Own'!H148="C","C",IF('Council Own'!H148="P","P",""))</f>
        <v/>
      </c>
      <c r="E78" s="471" t="str">
        <f>'Fun Patches'!C10</f>
        <v>&lt;LIST PATCH HERE&gt;</v>
      </c>
      <c r="F78" s="472"/>
      <c r="G78" s="257" t="str">
        <f>IF('Fun Patches'!H10="A","A"," ")</f>
        <v xml:space="preserve"> </v>
      </c>
      <c r="I78" s="247">
        <v>2</v>
      </c>
      <c r="J78" s="344" t="str">
        <f>'Council Own'!C11</f>
        <v>&lt;List Requirement Here&gt;</v>
      </c>
      <c r="K78" s="257" t="str">
        <f>IF('Council Own'!H11="A","A"," ")</f>
        <v xml:space="preserve"> </v>
      </c>
      <c r="M78" s="247">
        <v>2</v>
      </c>
      <c r="N78" s="344" t="str">
        <f>'Council Own'!C59</f>
        <v>&lt;List Requirement Here&gt;</v>
      </c>
      <c r="O78" s="257" t="str">
        <f>IF('Council Own'!H59="A","A"," ")</f>
        <v xml:space="preserve"> </v>
      </c>
      <c r="Q78" s="247">
        <v>2</v>
      </c>
      <c r="R78" s="344" t="str">
        <f>'Council Own'!C107</f>
        <v>&lt;List Requirement Here&gt;</v>
      </c>
      <c r="S78" s="257" t="str">
        <f>IF('Council Own'!H107="A","A"," ")</f>
        <v xml:space="preserve"> </v>
      </c>
    </row>
    <row r="79" spans="1:19" x14ac:dyDescent="0.2">
      <c r="E79" s="471" t="str">
        <f>'Fun Patches'!C11</f>
        <v>&lt;LIST PATCH HERE&gt;</v>
      </c>
      <c r="F79" s="472"/>
      <c r="G79" s="257" t="str">
        <f>IF('Fun Patches'!H11="A","A"," ")</f>
        <v xml:space="preserve"> </v>
      </c>
      <c r="I79" s="247"/>
      <c r="J79" s="344" t="str">
        <f>'Council Own'!C12</f>
        <v>&lt;List Requirement Here&gt;</v>
      </c>
      <c r="K79" s="257" t="str">
        <f>IF('Council Own'!H12="A","A"," ")</f>
        <v xml:space="preserve"> </v>
      </c>
      <c r="M79" s="247"/>
      <c r="N79" s="344" t="str">
        <f>'Council Own'!C60</f>
        <v>&lt;List Requirement Here&gt;</v>
      </c>
      <c r="O79" s="257" t="str">
        <f>IF('Council Own'!H60="A","A"," ")</f>
        <v xml:space="preserve"> </v>
      </c>
      <c r="Q79" s="247"/>
      <c r="R79" s="344" t="str">
        <f>'Council Own'!C108</f>
        <v>&lt;List Requirement Here&gt;</v>
      </c>
      <c r="S79" s="257" t="str">
        <f>IF('Council Own'!H108="A","A"," ")</f>
        <v xml:space="preserve"> </v>
      </c>
    </row>
    <row r="80" spans="1:19" x14ac:dyDescent="0.2">
      <c r="E80" s="471" t="str">
        <f>'Fun Patches'!C12</f>
        <v>&lt;LIST PATCH HERE&gt;</v>
      </c>
      <c r="F80" s="472"/>
      <c r="G80" s="257" t="str">
        <f>IF('Fun Patches'!H12="A","A"," ")</f>
        <v xml:space="preserve"> </v>
      </c>
      <c r="I80" s="247"/>
      <c r="J80" s="344" t="str">
        <f>'Council Own'!C13</f>
        <v>&lt;List Requirement Here&gt;</v>
      </c>
      <c r="K80" s="257" t="str">
        <f>IF('Council Own'!H13="A","A"," ")</f>
        <v xml:space="preserve"> </v>
      </c>
      <c r="M80" s="247"/>
      <c r="N80" s="344" t="str">
        <f>'Council Own'!C61</f>
        <v>&lt;List Requirement Here&gt;</v>
      </c>
      <c r="O80" s="257" t="str">
        <f>IF('Council Own'!H61="A","A"," ")</f>
        <v xml:space="preserve"> </v>
      </c>
      <c r="Q80" s="247"/>
      <c r="R80" s="344" t="str">
        <f>'Council Own'!C109</f>
        <v>&lt;List Requirement Here&gt;</v>
      </c>
      <c r="S80" s="257" t="str">
        <f>IF('Council Own'!H109="A","A"," ")</f>
        <v xml:space="preserve"> </v>
      </c>
    </row>
    <row r="81" spans="1:22" x14ac:dyDescent="0.2">
      <c r="E81" s="471" t="str">
        <f>'Fun Patches'!C13</f>
        <v>&lt;LIST PATCH HERE&gt;</v>
      </c>
      <c r="F81" s="472"/>
      <c r="G81" s="257" t="str">
        <f>IF('Fun Patches'!H13="A","A"," ")</f>
        <v xml:space="preserve"> </v>
      </c>
      <c r="I81" s="247"/>
      <c r="J81" s="344" t="str">
        <f>'Council Own'!C14</f>
        <v>&lt;List Requirement Here&gt;</v>
      </c>
      <c r="K81" s="257" t="str">
        <f>IF('Council Own'!H14="A","A"," ")</f>
        <v xml:space="preserve"> </v>
      </c>
      <c r="M81" s="247"/>
      <c r="N81" s="344" t="str">
        <f>'Council Own'!C62</f>
        <v>&lt;List Requirement Here&gt;</v>
      </c>
      <c r="O81" s="257" t="str">
        <f>IF('Council Own'!H62="A","A"," ")</f>
        <v xml:space="preserve"> </v>
      </c>
      <c r="Q81" s="247"/>
      <c r="R81" s="344" t="str">
        <f>'Council Own'!C110</f>
        <v>&lt;List Requirement Here&gt;</v>
      </c>
      <c r="S81" s="257" t="str">
        <f>IF('Council Own'!H110="A","A"," ")</f>
        <v xml:space="preserve"> </v>
      </c>
    </row>
    <row r="82" spans="1:22" x14ac:dyDescent="0.2">
      <c r="E82" s="471" t="str">
        <f>'Fun Patches'!C14</f>
        <v>&lt;LIST PATCH HERE&gt;</v>
      </c>
      <c r="F82" s="472"/>
      <c r="G82" s="257" t="str">
        <f>IF('Fun Patches'!H14="A","A"," ")</f>
        <v xml:space="preserve"> </v>
      </c>
      <c r="I82" s="247">
        <v>3</v>
      </c>
      <c r="J82" s="344" t="str">
        <f>'Council Own'!C15</f>
        <v>&lt;List Requirement Here&gt;</v>
      </c>
      <c r="K82" s="257" t="str">
        <f>IF('Council Own'!H15="A","A"," ")</f>
        <v xml:space="preserve"> </v>
      </c>
      <c r="M82" s="247">
        <v>3</v>
      </c>
      <c r="N82" s="344" t="str">
        <f>'Council Own'!C63</f>
        <v>&lt;List Requirement Here&gt;</v>
      </c>
      <c r="O82" s="257" t="str">
        <f>IF('Council Own'!H63="A","A"," ")</f>
        <v xml:space="preserve"> </v>
      </c>
      <c r="Q82" s="247">
        <v>3</v>
      </c>
      <c r="R82" s="344" t="str">
        <f>'Council Own'!C111</f>
        <v>&lt;List Requirement Here&gt;</v>
      </c>
      <c r="S82" s="257" t="str">
        <f>IF('Council Own'!H111="A","A"," ")</f>
        <v xml:space="preserve"> </v>
      </c>
    </row>
    <row r="83" spans="1:22" x14ac:dyDescent="0.2">
      <c r="E83" s="471" t="str">
        <f>'Fun Patches'!C15</f>
        <v>&lt;LIST PATCH HERE&gt;</v>
      </c>
      <c r="F83" s="472"/>
      <c r="G83" s="257" t="str">
        <f>IF('Fun Patches'!H15="A","A"," ")</f>
        <v xml:space="preserve"> </v>
      </c>
      <c r="I83" s="247"/>
      <c r="J83" s="344" t="str">
        <f>'Council Own'!C16</f>
        <v>&lt;List Requirement Here&gt;</v>
      </c>
      <c r="K83" s="257" t="str">
        <f>IF('Council Own'!H16="A","A"," ")</f>
        <v xml:space="preserve"> </v>
      </c>
      <c r="M83" s="247"/>
      <c r="N83" s="344" t="str">
        <f>'Council Own'!C64</f>
        <v>&lt;List Requirement Here&gt;</v>
      </c>
      <c r="O83" s="257" t="str">
        <f>IF('Council Own'!H64="A","A"," ")</f>
        <v xml:space="preserve"> </v>
      </c>
      <c r="Q83" s="247"/>
      <c r="R83" s="344" t="str">
        <f>'Council Own'!C112</f>
        <v>&lt;List Requirement Here&gt;</v>
      </c>
      <c r="S83" s="257" t="str">
        <f>IF('Council Own'!H112="A","A"," ")</f>
        <v xml:space="preserve"> </v>
      </c>
    </row>
    <row r="84" spans="1:22" x14ac:dyDescent="0.2">
      <c r="E84" s="471" t="str">
        <f>'Fun Patches'!C16</f>
        <v>&lt;LIST PATCH HERE&gt;</v>
      </c>
      <c r="F84" s="472"/>
      <c r="G84" s="257" t="str">
        <f>IF('Fun Patches'!H16="A","A"," ")</f>
        <v xml:space="preserve"> </v>
      </c>
      <c r="I84" s="247"/>
      <c r="J84" s="344" t="str">
        <f>'Council Own'!C17</f>
        <v>&lt;List Requirement Here&gt;</v>
      </c>
      <c r="K84" s="257" t="str">
        <f>IF('Council Own'!H17="A","A"," ")</f>
        <v xml:space="preserve"> </v>
      </c>
      <c r="M84" s="247"/>
      <c r="N84" s="344" t="str">
        <f>'Council Own'!C65</f>
        <v>&lt;List Requirement Here&gt;</v>
      </c>
      <c r="O84" s="257" t="str">
        <f>IF('Council Own'!H65="A","A"," ")</f>
        <v xml:space="preserve"> </v>
      </c>
      <c r="Q84" s="247"/>
      <c r="R84" s="344" t="str">
        <f>'Council Own'!C113</f>
        <v>&lt;List Requirement Here&gt;</v>
      </c>
      <c r="S84" s="257" t="str">
        <f>IF('Council Own'!H113="A","A"," ")</f>
        <v xml:space="preserve"> </v>
      </c>
    </row>
    <row r="85" spans="1:22" x14ac:dyDescent="0.2">
      <c r="E85" s="471" t="str">
        <f>'Fun Patches'!C17</f>
        <v>&lt;LIST PATCH HERE&gt;</v>
      </c>
      <c r="F85" s="472"/>
      <c r="G85" s="250" t="str">
        <f>IF('Fun Patches'!H17="A","A"," ")</f>
        <v xml:space="preserve"> </v>
      </c>
      <c r="I85" s="247"/>
      <c r="J85" s="344" t="str">
        <f>'Council Own'!C18</f>
        <v>&lt;List Requirement Here&gt;</v>
      </c>
      <c r="K85" s="257" t="str">
        <f>IF('Council Own'!H18="A","A"," ")</f>
        <v xml:space="preserve"> </v>
      </c>
      <c r="M85" s="247"/>
      <c r="N85" s="344" t="str">
        <f>'Council Own'!C66</f>
        <v>&lt;List Requirement Here&gt;</v>
      </c>
      <c r="O85" s="257" t="str">
        <f>IF('Council Own'!H66="A","A"," ")</f>
        <v xml:space="preserve"> </v>
      </c>
      <c r="Q85" s="247"/>
      <c r="R85" s="344" t="str">
        <f>'Council Own'!C114</f>
        <v>&lt;List Requirement Here&gt;</v>
      </c>
      <c r="S85" s="257" t="str">
        <f>IF('Council Own'!H114="A","A"," ")</f>
        <v xml:space="preserve"> </v>
      </c>
    </row>
    <row r="86" spans="1:22" x14ac:dyDescent="0.2">
      <c r="A86" s="242"/>
      <c r="B86" s="243"/>
      <c r="C86" s="244"/>
      <c r="E86" s="471" t="str">
        <f>'Fun Patches'!C18</f>
        <v>&lt;LIST PATCH HERE&gt;</v>
      </c>
      <c r="F86" s="472"/>
      <c r="G86" s="257" t="str">
        <f>IF('Fun Patches'!H18="A","A"," ")</f>
        <v xml:space="preserve"> </v>
      </c>
      <c r="I86" s="247">
        <v>4</v>
      </c>
      <c r="J86" s="344" t="str">
        <f>'Council Own'!C19</f>
        <v>&lt;List Requirement Here&gt;</v>
      </c>
      <c r="K86" s="257" t="str">
        <f>IF('Council Own'!H19="A","A"," ")</f>
        <v xml:space="preserve"> </v>
      </c>
      <c r="M86" s="247">
        <v>4</v>
      </c>
      <c r="N86" s="344" t="str">
        <f>'Council Own'!C67</f>
        <v>&lt;List Requirement Here&gt;</v>
      </c>
      <c r="O86" s="257" t="str">
        <f>IF('Council Own'!H67="A","A"," ")</f>
        <v xml:space="preserve"> </v>
      </c>
      <c r="Q86" s="247">
        <v>4</v>
      </c>
      <c r="R86" s="344" t="str">
        <f>'Council Own'!C115</f>
        <v>&lt;List Requirement Here&gt;</v>
      </c>
      <c r="S86" s="257" t="str">
        <f>IF('Council Own'!H115="A","A"," ")</f>
        <v xml:space="preserve"> </v>
      </c>
    </row>
    <row r="87" spans="1:22" x14ac:dyDescent="0.2">
      <c r="E87" s="471" t="str">
        <f>'Fun Patches'!C19</f>
        <v>&lt;LIST PATCH HERE&gt;</v>
      </c>
      <c r="F87" s="472"/>
      <c r="G87" s="257" t="str">
        <f>IF('Fun Patches'!H19="A","A"," ")</f>
        <v xml:space="preserve"> </v>
      </c>
      <c r="I87" s="247"/>
      <c r="J87" s="344" t="str">
        <f>'Council Own'!C20</f>
        <v>&lt;List Requirement Here&gt;</v>
      </c>
      <c r="K87" s="257" t="str">
        <f>IF('Council Own'!H20="A","A"," ")</f>
        <v xml:space="preserve"> </v>
      </c>
      <c r="M87" s="247"/>
      <c r="N87" s="344" t="str">
        <f>'Council Own'!C68</f>
        <v>&lt;List Requirement Here&gt;</v>
      </c>
      <c r="O87" s="257" t="str">
        <f>IF('Council Own'!H68="A","A"," ")</f>
        <v xml:space="preserve"> </v>
      </c>
      <c r="Q87" s="247"/>
      <c r="R87" s="344" t="str">
        <f>'Council Own'!C116</f>
        <v>&lt;List Requirement Here&gt;</v>
      </c>
      <c r="S87" s="257" t="str">
        <f>IF('Council Own'!H116="A","A"," ")</f>
        <v xml:space="preserve"> </v>
      </c>
    </row>
    <row r="88" spans="1:22" x14ac:dyDescent="0.2">
      <c r="E88" s="471" t="str">
        <f>'Fun Patches'!C20</f>
        <v>&lt;LIST PATCH HERE&gt;</v>
      </c>
      <c r="F88" s="472"/>
      <c r="G88" s="257" t="str">
        <f>IF('Fun Patches'!H20="A","A"," ")</f>
        <v xml:space="preserve"> </v>
      </c>
      <c r="I88" s="247"/>
      <c r="J88" s="344" t="str">
        <f>'Council Own'!C21</f>
        <v>&lt;List Requirement Here&gt;</v>
      </c>
      <c r="K88" s="257" t="str">
        <f>IF('Council Own'!H21="A","A"," ")</f>
        <v xml:space="preserve"> </v>
      </c>
      <c r="M88" s="247"/>
      <c r="N88" s="344" t="str">
        <f>'Council Own'!C69</f>
        <v>&lt;List Requirement Here&gt;</v>
      </c>
      <c r="O88" s="257" t="str">
        <f>IF('Council Own'!H69="A","A"," ")</f>
        <v xml:space="preserve"> </v>
      </c>
      <c r="Q88" s="247"/>
      <c r="R88" s="344" t="str">
        <f>'Council Own'!C117</f>
        <v>&lt;List Requirement Here&gt;</v>
      </c>
      <c r="S88" s="257" t="str">
        <f>IF('Council Own'!H117="A","A"," ")</f>
        <v xml:space="preserve"> </v>
      </c>
    </row>
    <row r="89" spans="1:22" x14ac:dyDescent="0.2">
      <c r="E89" s="471" t="str">
        <f>'Fun Patches'!C21</f>
        <v>&lt;LIST PATCH HERE&gt;</v>
      </c>
      <c r="F89" s="472"/>
      <c r="G89" s="257" t="str">
        <f>IF('Fun Patches'!H21="A","A"," ")</f>
        <v xml:space="preserve"> </v>
      </c>
      <c r="I89" s="247"/>
      <c r="J89" s="344" t="str">
        <f>'Council Own'!C22</f>
        <v>&lt;List Requirement Here&gt;</v>
      </c>
      <c r="K89" s="257" t="str">
        <f>IF('Council Own'!H22="A","A"," ")</f>
        <v xml:space="preserve"> </v>
      </c>
      <c r="M89" s="247"/>
      <c r="N89" s="344" t="str">
        <f>'Council Own'!C70</f>
        <v>&lt;List Requirement Here&gt;</v>
      </c>
      <c r="O89" s="257" t="str">
        <f>IF('Council Own'!H70="A","A"," ")</f>
        <v xml:space="preserve"> </v>
      </c>
      <c r="Q89" s="247"/>
      <c r="R89" s="344" t="str">
        <f>'Council Own'!C118</f>
        <v>&lt;List Requirement Here&gt;</v>
      </c>
      <c r="S89" s="257" t="str">
        <f>IF('Council Own'!H118="A","A"," ")</f>
        <v xml:space="preserve"> </v>
      </c>
    </row>
    <row r="90" spans="1:22" x14ac:dyDescent="0.2">
      <c r="E90" s="471" t="str">
        <f>'Fun Patches'!C22</f>
        <v>&lt;LIST PATCH HERE&gt;</v>
      </c>
      <c r="F90" s="472"/>
      <c r="G90" s="257" t="str">
        <f>IF('Fun Patches'!H22="A","A"," ")</f>
        <v xml:space="preserve"> </v>
      </c>
      <c r="I90" s="247">
        <v>5</v>
      </c>
      <c r="J90" s="344" t="str">
        <f>'Council Own'!C23</f>
        <v>&lt;List Requirement Here&gt;</v>
      </c>
      <c r="K90" s="257" t="str">
        <f>IF('Council Own'!H23="A","A"," ")</f>
        <v xml:space="preserve"> </v>
      </c>
      <c r="M90" s="247">
        <v>5</v>
      </c>
      <c r="N90" s="344" t="str">
        <f>'Council Own'!C71</f>
        <v>&lt;List Requirement Here&gt;</v>
      </c>
      <c r="O90" s="257" t="str">
        <f>IF('Council Own'!H71="A","A"," ")</f>
        <v xml:space="preserve"> </v>
      </c>
      <c r="Q90" s="247">
        <v>5</v>
      </c>
      <c r="R90" s="344" t="str">
        <f>'Council Own'!C119</f>
        <v>&lt;List Requirement Here&gt;</v>
      </c>
      <c r="S90" s="257" t="str">
        <f>IF('Council Own'!H119="A","A"," ")</f>
        <v xml:space="preserve"> </v>
      </c>
    </row>
    <row r="91" spans="1:22" x14ac:dyDescent="0.2">
      <c r="E91" s="471" t="str">
        <f>'Fun Patches'!C23</f>
        <v>&lt;LIST PATCH HERE&gt;</v>
      </c>
      <c r="F91" s="472"/>
      <c r="G91" s="257" t="str">
        <f>IF('Fun Patches'!H23="A","A"," ")</f>
        <v xml:space="preserve"> </v>
      </c>
      <c r="I91" s="247"/>
      <c r="J91" s="344" t="str">
        <f>'Council Own'!C24</f>
        <v>&lt;List Requirement Here&gt;</v>
      </c>
      <c r="K91" s="257" t="str">
        <f>IF('Council Own'!H24="A","A"," ")</f>
        <v xml:space="preserve"> </v>
      </c>
      <c r="M91" s="247"/>
      <c r="N91" s="344" t="str">
        <f>'Council Own'!C72</f>
        <v>&lt;List Requirement Here&gt;</v>
      </c>
      <c r="O91" s="257" t="str">
        <f>IF('Council Own'!H72="A","A"," ")</f>
        <v xml:space="preserve"> </v>
      </c>
      <c r="Q91" s="247"/>
      <c r="R91" s="344" t="str">
        <f>'Council Own'!C120</f>
        <v>&lt;List Requirement Here&gt;</v>
      </c>
      <c r="S91" s="257" t="str">
        <f>IF('Council Own'!H120="A","A"," ")</f>
        <v xml:space="preserve"> </v>
      </c>
    </row>
    <row r="92" spans="1:22" x14ac:dyDescent="0.2">
      <c r="E92" s="471" t="str">
        <f>'Fun Patches'!C24</f>
        <v>&lt;LIST PATCH HERE&gt;</v>
      </c>
      <c r="F92" s="472"/>
      <c r="G92" s="257" t="str">
        <f>IF('Fun Patches'!H24="A","A"," ")</f>
        <v xml:space="preserve"> </v>
      </c>
      <c r="I92" s="247"/>
      <c r="J92" s="344" t="str">
        <f>'Council Own'!C25</f>
        <v>&lt;List Requirement Here&gt;</v>
      </c>
      <c r="K92" s="257" t="str">
        <f>IF('Council Own'!H25="A","A"," ")</f>
        <v xml:space="preserve"> </v>
      </c>
      <c r="M92" s="247"/>
      <c r="N92" s="344" t="str">
        <f>'Council Own'!C73</f>
        <v>&lt;List Requirement Here&gt;</v>
      </c>
      <c r="O92" s="257" t="str">
        <f>IF('Council Own'!H73="A","A"," ")</f>
        <v xml:space="preserve"> </v>
      </c>
      <c r="Q92" s="247"/>
      <c r="R92" s="344" t="str">
        <f>'Council Own'!C121</f>
        <v>&lt;List Requirement Here&gt;</v>
      </c>
      <c r="S92" s="257" t="str">
        <f>IF('Council Own'!H121="A","A"," ")</f>
        <v xml:space="preserve"> </v>
      </c>
    </row>
    <row r="93" spans="1:22" x14ac:dyDescent="0.2">
      <c r="E93" s="471" t="str">
        <f>'Fun Patches'!C25</f>
        <v>&lt;LIST PATCH HERE&gt;</v>
      </c>
      <c r="F93" s="472"/>
      <c r="G93" s="257" t="str">
        <f>IF('Fun Patches'!H25="A","A"," ")</f>
        <v xml:space="preserve"> </v>
      </c>
      <c r="I93" s="247"/>
      <c r="J93" s="344" t="str">
        <f>'Council Own'!C26</f>
        <v>&lt;List Requirement Here&gt;</v>
      </c>
      <c r="K93" s="257" t="str">
        <f>IF('Council Own'!H26="A","A"," ")</f>
        <v xml:space="preserve"> </v>
      </c>
      <c r="M93" s="247"/>
      <c r="N93" s="344" t="str">
        <f>'Council Own'!C74</f>
        <v>&lt;List Requirement Here&gt;</v>
      </c>
      <c r="O93" s="257" t="str">
        <f>IF('Council Own'!H68="A","A"," ")</f>
        <v xml:space="preserve"> </v>
      </c>
      <c r="Q93" s="247"/>
      <c r="R93" s="344" t="str">
        <f>'Council Own'!C122</f>
        <v>&lt;List Requirement Here&gt;</v>
      </c>
      <c r="S93" s="257" t="str">
        <f>IF('Council Own'!H122="A","A"," ")</f>
        <v xml:space="preserve"> </v>
      </c>
    </row>
    <row r="94" spans="1:22" x14ac:dyDescent="0.2">
      <c r="E94" s="471" t="str">
        <f>'Fun Patches'!C26</f>
        <v>&lt;LIST PATCH HERE&gt;</v>
      </c>
      <c r="F94" s="472"/>
      <c r="G94" s="257" t="str">
        <f>IF('Fun Patches'!H26="A","A","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Patches'!H27="A","A"," ")</f>
        <v xml:space="preserve"> </v>
      </c>
      <c r="I95" s="247">
        <v>1</v>
      </c>
      <c r="J95" s="344" t="str">
        <f>'Council Own'!C31</f>
        <v>&lt;List Requirement Here&gt;</v>
      </c>
      <c r="K95" s="257" t="str">
        <f>IF('Council Own'!H31="A","A"," ")</f>
        <v xml:space="preserve"> </v>
      </c>
      <c r="M95" s="247">
        <v>1</v>
      </c>
      <c r="N95" s="344" t="str">
        <f>'Council Own'!C79</f>
        <v>&lt;List Requirement Here&gt;</v>
      </c>
      <c r="O95" s="257" t="str">
        <f>IF('Council Own'!H79="A","A"," ")</f>
        <v xml:space="preserve"> </v>
      </c>
      <c r="Q95" s="247">
        <v>1</v>
      </c>
      <c r="R95" s="344" t="str">
        <f>'Council Own'!C127</f>
        <v>&lt;List Requirement Here&gt;</v>
      </c>
      <c r="S95" s="257" t="str">
        <f>IF('Council Own'!H127="A","A"," ")</f>
        <v xml:space="preserve"> </v>
      </c>
    </row>
    <row r="96" spans="1:22" x14ac:dyDescent="0.2">
      <c r="E96" s="471" t="str">
        <f>'Fun Patches'!C28</f>
        <v>&lt;LIST PATCH HERE&gt;</v>
      </c>
      <c r="F96" s="472"/>
      <c r="G96" s="257" t="str">
        <f>IF('Fun Patches'!H28="A","A"," ")</f>
        <v xml:space="preserve"> </v>
      </c>
      <c r="I96" s="247"/>
      <c r="J96" s="344" t="str">
        <f>'Council Own'!C32</f>
        <v>&lt;List Requirement Here&gt;</v>
      </c>
      <c r="K96" s="257" t="str">
        <f>IF('Council Own'!H32="A","A"," ")</f>
        <v xml:space="preserve"> </v>
      </c>
      <c r="M96" s="247"/>
      <c r="N96" s="344" t="str">
        <f>'Council Own'!C80</f>
        <v>&lt;List Requirement Here&gt;</v>
      </c>
      <c r="O96" s="257" t="str">
        <f>IF('Council Own'!H80="A","A"," ")</f>
        <v xml:space="preserve"> </v>
      </c>
      <c r="Q96" s="247"/>
      <c r="R96" s="344" t="str">
        <f>'Council Own'!C128</f>
        <v>&lt;List Requirement Here&gt;</v>
      </c>
      <c r="S96" s="257" t="str">
        <f>IF('Council Own'!H128="A","A"," ")</f>
        <v xml:space="preserve"> </v>
      </c>
      <c r="U96" s="245"/>
      <c r="V96" s="245"/>
    </row>
    <row r="97" spans="1:23" x14ac:dyDescent="0.2">
      <c r="E97" s="471" t="str">
        <f>'Fun Patches'!C29</f>
        <v>&lt;LIST PATCH HERE&gt;</v>
      </c>
      <c r="F97" s="472"/>
      <c r="G97" s="257" t="str">
        <f>IF('Fun Patches'!H29="A","A"," ")</f>
        <v xml:space="preserve"> </v>
      </c>
      <c r="I97" s="247"/>
      <c r="J97" s="344" t="str">
        <f>'Council Own'!C33</f>
        <v>&lt;List Requirement Here&gt;</v>
      </c>
      <c r="K97" s="257" t="str">
        <f>IF('Council Own'!H33="A","A"," ")</f>
        <v xml:space="preserve"> </v>
      </c>
      <c r="M97" s="247"/>
      <c r="N97" s="344" t="str">
        <f>'Council Own'!C81</f>
        <v>&lt;List Requirement Here&gt;</v>
      </c>
      <c r="O97" s="257" t="str">
        <f>IF('Council Own'!H81="A","A"," ")</f>
        <v xml:space="preserve"> </v>
      </c>
      <c r="Q97" s="247"/>
      <c r="R97" s="344" t="str">
        <f>'Council Own'!C129</f>
        <v>&lt;List Requirement Here&gt;</v>
      </c>
      <c r="S97" s="257" t="str">
        <f>IF('Council Own'!H129="A","A"," ")</f>
        <v xml:space="preserve"> </v>
      </c>
      <c r="U97" s="245"/>
      <c r="V97" s="245"/>
    </row>
    <row r="98" spans="1:23" x14ac:dyDescent="0.2">
      <c r="A98" s="484" t="s">
        <v>75</v>
      </c>
      <c r="B98" s="484"/>
      <c r="C98" s="484"/>
      <c r="E98" s="471" t="str">
        <f>'Fun Patches'!C30</f>
        <v>&lt;LIST PATCH HERE&gt;</v>
      </c>
      <c r="F98" s="472"/>
      <c r="G98" s="257" t="str">
        <f>IF('Fun Patches'!H30="A","A"," ")</f>
        <v xml:space="preserve"> </v>
      </c>
      <c r="I98" s="247"/>
      <c r="J98" s="344" t="str">
        <f>'Council Own'!C34</f>
        <v>&lt;List Requirement Here&gt;</v>
      </c>
      <c r="K98" s="257" t="str">
        <f>IF('Council Own'!H34="A","A"," ")</f>
        <v xml:space="preserve"> </v>
      </c>
      <c r="M98" s="247"/>
      <c r="N98" s="344" t="str">
        <f>'Council Own'!C82</f>
        <v>&lt;List Requirement Here&gt;</v>
      </c>
      <c r="O98" s="257" t="str">
        <f>IF('Council Own'!H82="A","A"," ")</f>
        <v xml:space="preserve"> </v>
      </c>
      <c r="Q98" s="247"/>
      <c r="R98" s="344" t="str">
        <f>'Council Own'!C130</f>
        <v>&lt;List Requirement Here&gt;</v>
      </c>
      <c r="S98" s="257" t="str">
        <f>IF('Council Own'!H130="A","A"," ")</f>
        <v xml:space="preserve"> </v>
      </c>
      <c r="U98" s="245"/>
      <c r="V98" s="245"/>
    </row>
    <row r="99" spans="1:23" ht="14.25" customHeight="1" x14ac:dyDescent="0.2">
      <c r="A99" s="481" t="s">
        <v>72</v>
      </c>
      <c r="B99" s="482"/>
      <c r="C99" s="483"/>
      <c r="E99" s="471" t="str">
        <f>'Fun Patches'!C31</f>
        <v>&lt;LIST PATCH HERE&gt;</v>
      </c>
      <c r="F99" s="472"/>
      <c r="G99" s="257" t="str">
        <f>IF('Fun Patches'!H31="A","A"," ")</f>
        <v xml:space="preserve"> </v>
      </c>
      <c r="I99" s="247">
        <v>2</v>
      </c>
      <c r="J99" s="344" t="str">
        <f>'Council Own'!C35</f>
        <v>&lt;List Requirement Here&gt;</v>
      </c>
      <c r="K99" s="257" t="str">
        <f>IF('Council Own'!H35="A","A"," ")</f>
        <v xml:space="preserve"> </v>
      </c>
      <c r="M99" s="247">
        <v>2</v>
      </c>
      <c r="N99" s="344" t="str">
        <f>'Council Own'!C83</f>
        <v>&lt;List Requirement Here&gt;</v>
      </c>
      <c r="O99" s="257" t="str">
        <f>IF('Council Own'!H83="A","A"," ")</f>
        <v xml:space="preserve"> </v>
      </c>
      <c r="Q99" s="247">
        <v>2</v>
      </c>
      <c r="R99" s="344" t="str">
        <f>'Council Own'!C131</f>
        <v>&lt;List Requirement Here&gt;</v>
      </c>
      <c r="S99" s="257" t="str">
        <f>IF('Council Own'!H131="A","A"," ")</f>
        <v xml:space="preserve"> </v>
      </c>
      <c r="U99" s="245"/>
      <c r="V99" s="245"/>
    </row>
    <row r="100" spans="1:23" x14ac:dyDescent="0.2">
      <c r="A100" s="481" t="s">
        <v>73</v>
      </c>
      <c r="B100" s="482"/>
      <c r="C100" s="483"/>
      <c r="E100" s="471" t="str">
        <f>'Fun Patches'!C32</f>
        <v>&lt;LIST PATCH HERE&gt;</v>
      </c>
      <c r="F100" s="472"/>
      <c r="G100" s="257" t="str">
        <f>IF('Fun Patches'!H32="A","A"," ")</f>
        <v xml:space="preserve"> </v>
      </c>
      <c r="I100" s="247"/>
      <c r="J100" s="344" t="str">
        <f>'Council Own'!C36</f>
        <v>&lt;List Requirement Here&gt;</v>
      </c>
      <c r="K100" s="257" t="str">
        <f>IF('Council Own'!H36="A","A"," ")</f>
        <v xml:space="preserve"> </v>
      </c>
      <c r="M100" s="247"/>
      <c r="N100" s="344" t="str">
        <f>'Council Own'!C84</f>
        <v>&lt;List Requirement Here&gt;</v>
      </c>
      <c r="O100" s="257" t="str">
        <f>IF('Council Own'!H84="A","A"," ")</f>
        <v xml:space="preserve"> </v>
      </c>
      <c r="Q100" s="247"/>
      <c r="R100" s="344" t="str">
        <f>'Council Own'!C132</f>
        <v>&lt;List Requirement Here&gt;</v>
      </c>
      <c r="S100" s="257" t="str">
        <f>IF('Council Own'!H132="A","A"," ")</f>
        <v xml:space="preserve"> </v>
      </c>
      <c r="U100" s="337"/>
      <c r="V100" s="338"/>
      <c r="W100" s="341"/>
    </row>
    <row r="101" spans="1:23" x14ac:dyDescent="0.2">
      <c r="A101" s="468" t="s">
        <v>74</v>
      </c>
      <c r="B101" s="469"/>
      <c r="C101" s="470"/>
      <c r="E101" s="471" t="str">
        <f>'Fun Patches'!C33</f>
        <v>&lt;LIST PATCH HERE&gt;</v>
      </c>
      <c r="F101" s="472"/>
      <c r="G101" s="257" t="str">
        <f>IF('Fun Patches'!H33="A","A"," ")</f>
        <v xml:space="preserve"> </v>
      </c>
      <c r="I101" s="247"/>
      <c r="J101" s="344" t="str">
        <f>'Council Own'!C37</f>
        <v>&lt;List Requirement Here&gt;</v>
      </c>
      <c r="K101" s="257" t="str">
        <f>IF('Council Own'!H37="A","A"," ")</f>
        <v xml:space="preserve"> </v>
      </c>
      <c r="M101" s="247"/>
      <c r="N101" s="344" t="str">
        <f>'Council Own'!C85</f>
        <v>&lt;List Requirement Here&gt;</v>
      </c>
      <c r="O101" s="257" t="str">
        <f>IF('Council Own'!H85="A","A"," ")</f>
        <v xml:space="preserve"> </v>
      </c>
      <c r="Q101" s="247"/>
      <c r="R101" s="344" t="str">
        <f>'Council Own'!C133</f>
        <v>&lt;List Requirement Here&gt;</v>
      </c>
      <c r="S101" s="257" t="str">
        <f>IF('Council Own'!H133="A","A"," ")</f>
        <v xml:space="preserve"> </v>
      </c>
      <c r="U101" s="245"/>
      <c r="V101" s="245"/>
    </row>
    <row r="102" spans="1:23" x14ac:dyDescent="0.2">
      <c r="E102" s="471" t="str">
        <f>'Fun Patches'!C34</f>
        <v>&lt;LIST PATCH HERE&gt;</v>
      </c>
      <c r="F102" s="472"/>
      <c r="G102" s="257" t="str">
        <f>IF('Fun Patches'!H34="A","A"," ")</f>
        <v xml:space="preserve"> </v>
      </c>
      <c r="I102" s="247"/>
      <c r="J102" s="344" t="str">
        <f>'Council Own'!C38</f>
        <v>&lt;List Requirement Here&gt;</v>
      </c>
      <c r="K102" s="257" t="str">
        <f>IF('Council Own'!H38="A","A"," ")</f>
        <v xml:space="preserve"> </v>
      </c>
      <c r="M102" s="247"/>
      <c r="N102" s="344" t="str">
        <f>'Council Own'!C86</f>
        <v>&lt;List Requirement Here&gt;</v>
      </c>
      <c r="O102" s="257" t="str">
        <f>IF('Council Own'!H86="A","A"," ")</f>
        <v xml:space="preserve"> </v>
      </c>
      <c r="Q102" s="247"/>
      <c r="R102" s="344" t="str">
        <f>'Council Own'!C134</f>
        <v>&lt;List Requirement Here&gt;</v>
      </c>
      <c r="S102" s="257" t="str">
        <f>IF('Council Own'!H134="A","A"," ")</f>
        <v xml:space="preserve"> </v>
      </c>
      <c r="U102" s="245"/>
      <c r="V102" s="245"/>
    </row>
    <row r="103" spans="1:23" x14ac:dyDescent="0.2">
      <c r="E103" s="471" t="str">
        <f>'Fun Patches'!C35</f>
        <v>&lt;LIST PATCH HERE&gt;</v>
      </c>
      <c r="F103" s="472"/>
      <c r="G103" s="257" t="str">
        <f>IF('Fun Patches'!H35="A","A"," ")</f>
        <v xml:space="preserve"> </v>
      </c>
      <c r="I103" s="247">
        <v>3</v>
      </c>
      <c r="J103" s="344" t="str">
        <f>'Council Own'!C39</f>
        <v>&lt;List Requirement Here&gt;</v>
      </c>
      <c r="K103" s="257" t="str">
        <f>IF('Council Own'!H39="A","A"," ")</f>
        <v xml:space="preserve"> </v>
      </c>
      <c r="M103" s="247">
        <v>3</v>
      </c>
      <c r="N103" s="344" t="str">
        <f>'Council Own'!C87</f>
        <v>&lt;List Requirement Here&gt;</v>
      </c>
      <c r="O103" s="257" t="str">
        <f>IF('Council Own'!H87="A","A"," ")</f>
        <v xml:space="preserve"> </v>
      </c>
      <c r="Q103" s="247">
        <v>3</v>
      </c>
      <c r="R103" s="344" t="str">
        <f>'Council Own'!C135</f>
        <v>&lt;List Requirement Here&gt;</v>
      </c>
      <c r="S103" s="257" t="str">
        <f>IF('Council Own'!H135="A","A"," ")</f>
        <v xml:space="preserve"> </v>
      </c>
      <c r="U103" s="245"/>
      <c r="V103" s="245"/>
    </row>
    <row r="104" spans="1:23" x14ac:dyDescent="0.2">
      <c r="E104" s="471" t="str">
        <f>'Fun Patches'!C36</f>
        <v>&lt;LIST PATCH HERE&gt;</v>
      </c>
      <c r="F104" s="472"/>
      <c r="G104" s="257" t="str">
        <f>IF('Fun Patches'!H36="A","A"," ")</f>
        <v xml:space="preserve"> </v>
      </c>
      <c r="I104" s="247"/>
      <c r="J104" s="344" t="str">
        <f>'Council Own'!C40</f>
        <v>&lt;List Requirement Here&gt;</v>
      </c>
      <c r="K104" s="257" t="str">
        <f>IF('Council Own'!H40="A","A"," ")</f>
        <v xml:space="preserve"> </v>
      </c>
      <c r="M104" s="247"/>
      <c r="N104" s="344" t="str">
        <f>'Council Own'!C88</f>
        <v>&lt;List Requirement Here&gt;</v>
      </c>
      <c r="O104" s="257" t="str">
        <f>IF('Council Own'!H88="A","A"," ")</f>
        <v xml:space="preserve"> </v>
      </c>
      <c r="Q104" s="247"/>
      <c r="R104" s="344" t="str">
        <f>'Council Own'!C136</f>
        <v>&lt;List Requirement Here&gt;</v>
      </c>
      <c r="S104" s="257" t="str">
        <f>IF('Council Own'!H136="A","A"," ")</f>
        <v xml:space="preserve"> </v>
      </c>
      <c r="U104" s="245"/>
      <c r="V104" s="245"/>
    </row>
    <row r="105" spans="1:23" x14ac:dyDescent="0.2">
      <c r="E105" s="471" t="str">
        <f>'Fun Patches'!C37</f>
        <v>&lt;LIST PATCH HERE&gt;</v>
      </c>
      <c r="F105" s="472"/>
      <c r="G105" s="257" t="str">
        <f>IF('Fun Patches'!H37="A","A"," ")</f>
        <v xml:space="preserve"> </v>
      </c>
      <c r="I105" s="247"/>
      <c r="J105" s="344" t="str">
        <f>'Council Own'!C41</f>
        <v>&lt;List Requirement Here&gt;</v>
      </c>
      <c r="K105" s="257" t="str">
        <f>IF('Council Own'!H41="A","A"," ")</f>
        <v xml:space="preserve"> </v>
      </c>
      <c r="M105" s="247"/>
      <c r="N105" s="344" t="str">
        <f>'Council Own'!C89</f>
        <v>&lt;List Requirement Here&gt;</v>
      </c>
      <c r="O105" s="257" t="str">
        <f>IF('Council Own'!H89="A","A"," ")</f>
        <v xml:space="preserve"> </v>
      </c>
      <c r="Q105" s="247"/>
      <c r="R105" s="344" t="str">
        <f>'Council Own'!C137</f>
        <v>&lt;List Requirement Here&gt;</v>
      </c>
      <c r="S105" s="257" t="str">
        <f>IF('Council Own'!H137="A","A"," ")</f>
        <v xml:space="preserve"> </v>
      </c>
      <c r="U105" s="245"/>
      <c r="V105" s="245"/>
    </row>
    <row r="106" spans="1:23" x14ac:dyDescent="0.2">
      <c r="E106" s="471" t="str">
        <f>'Fun Patches'!C38</f>
        <v>&lt;LIST PATCH HERE&gt;</v>
      </c>
      <c r="F106" s="472"/>
      <c r="G106" s="257" t="str">
        <f>IF('Fun Patches'!H38="A","A"," ")</f>
        <v xml:space="preserve"> </v>
      </c>
      <c r="I106" s="247"/>
      <c r="J106" s="344" t="str">
        <f>'Council Own'!C42</f>
        <v>&lt;List Requirement Here&gt;</v>
      </c>
      <c r="K106" s="257" t="str">
        <f>IF('Council Own'!H42="A","A"," ")</f>
        <v xml:space="preserve"> </v>
      </c>
      <c r="M106" s="247"/>
      <c r="N106" s="344" t="str">
        <f>'Council Own'!C90</f>
        <v>&lt;List Requirement Here&gt;</v>
      </c>
      <c r="O106" s="257" t="str">
        <f>IF('Council Own'!H90="A","A"," ")</f>
        <v xml:space="preserve"> </v>
      </c>
      <c r="Q106" s="247"/>
      <c r="R106" s="344" t="str">
        <f>'Council Own'!C138</f>
        <v>&lt;List Requirement Here&gt;</v>
      </c>
      <c r="S106" s="257" t="str">
        <f>IF('Council Own'!H138="A","A"," ")</f>
        <v xml:space="preserve"> </v>
      </c>
      <c r="U106" s="245"/>
      <c r="V106" s="245"/>
    </row>
    <row r="107" spans="1:23" x14ac:dyDescent="0.2">
      <c r="E107" s="284"/>
      <c r="F107" s="263"/>
      <c r="G107" s="341"/>
      <c r="I107" s="247">
        <v>4</v>
      </c>
      <c r="J107" s="344" t="str">
        <f>'Council Own'!C43</f>
        <v>&lt;List Requirement Here&gt;</v>
      </c>
      <c r="K107" s="257" t="str">
        <f>IF('Council Own'!H43="A","A"," ")</f>
        <v xml:space="preserve"> </v>
      </c>
      <c r="M107" s="247">
        <v>4</v>
      </c>
      <c r="N107" s="344" t="str">
        <f>'Council Own'!C91</f>
        <v>&lt;List Requirement Here&gt;</v>
      </c>
      <c r="O107" s="257" t="str">
        <f>IF('Council Own'!H91="A","A"," ")</f>
        <v xml:space="preserve"> </v>
      </c>
      <c r="Q107" s="247">
        <v>4</v>
      </c>
      <c r="R107" s="344" t="str">
        <f>'Council Own'!C139</f>
        <v>&lt;List Requirement Here&gt;</v>
      </c>
      <c r="S107" s="257" t="str">
        <f>IF('Council Own'!H139="A","A"," ")</f>
        <v xml:space="preserve"> </v>
      </c>
      <c r="U107" s="245"/>
      <c r="V107" s="245"/>
    </row>
    <row r="108" spans="1:23" x14ac:dyDescent="0.2">
      <c r="I108" s="247"/>
      <c r="J108" s="344" t="str">
        <f>'Council Own'!C44</f>
        <v>&lt;List Requirement Here&gt;</v>
      </c>
      <c r="K108" s="257" t="str">
        <f>IF('Council Own'!H44="A","A"," ")</f>
        <v xml:space="preserve"> </v>
      </c>
      <c r="M108" s="247"/>
      <c r="N108" s="344" t="str">
        <f>'Council Own'!C92</f>
        <v>&lt;List Requirement Here&gt;</v>
      </c>
      <c r="O108" s="257" t="str">
        <f>IF('Council Own'!H92="A","A"," ")</f>
        <v xml:space="preserve"> </v>
      </c>
      <c r="Q108" s="247"/>
      <c r="R108" s="344" t="str">
        <f>'Council Own'!C140</f>
        <v>&lt;List Requirement Here&gt;</v>
      </c>
      <c r="S108" s="257" t="str">
        <f>IF('Council Own'!H140="A","A"," ")</f>
        <v xml:space="preserve"> </v>
      </c>
      <c r="U108" s="245"/>
      <c r="V108" s="245"/>
    </row>
    <row r="109" spans="1:23" x14ac:dyDescent="0.2">
      <c r="I109" s="247"/>
      <c r="J109" s="344" t="str">
        <f>'Council Own'!C45</f>
        <v>&lt;List Requirement Here&gt;</v>
      </c>
      <c r="K109" s="257" t="str">
        <f>IF('Council Own'!H45="A","A"," ")</f>
        <v xml:space="preserve"> </v>
      </c>
      <c r="M109" s="247"/>
      <c r="N109" s="344" t="str">
        <f>'Council Own'!C93</f>
        <v>&lt;List Requirement Here&gt;</v>
      </c>
      <c r="O109" s="257" t="str">
        <f>IF('Council Own'!H93="A","A"," ")</f>
        <v xml:space="preserve"> </v>
      </c>
      <c r="Q109" s="247"/>
      <c r="R109" s="344" t="str">
        <f>'Council Own'!C141</f>
        <v>&lt;List Requirement Here&gt;</v>
      </c>
      <c r="S109" s="257" t="str">
        <f>IF('Council Own'!H141="A","A"," ")</f>
        <v xml:space="preserve"> </v>
      </c>
      <c r="U109" s="245"/>
      <c r="V109" s="245"/>
    </row>
    <row r="110" spans="1:23" x14ac:dyDescent="0.2">
      <c r="I110" s="247"/>
      <c r="J110" s="344" t="str">
        <f>'Council Own'!C46</f>
        <v>&lt;List Requirement Here&gt;</v>
      </c>
      <c r="K110" s="257" t="str">
        <f>IF('Council Own'!H46="A","A"," ")</f>
        <v xml:space="preserve"> </v>
      </c>
      <c r="M110" s="247"/>
      <c r="N110" s="344" t="str">
        <f>'Council Own'!C94</f>
        <v>&lt;List Requirement Here&gt;</v>
      </c>
      <c r="O110" s="257" t="str">
        <f>IF('Council Own'!H94="A","A"," ")</f>
        <v xml:space="preserve"> </v>
      </c>
      <c r="Q110" s="247"/>
      <c r="R110" s="344" t="str">
        <f>'Council Own'!C142</f>
        <v>&lt;List Requirement Here&gt;</v>
      </c>
      <c r="S110" s="257" t="str">
        <f>IF('Council Own'!H142="A","A"," ")</f>
        <v xml:space="preserve"> </v>
      </c>
      <c r="U110" s="245"/>
      <c r="V110" s="245"/>
    </row>
    <row r="111" spans="1:23" x14ac:dyDescent="0.2">
      <c r="I111" s="247">
        <v>5</v>
      </c>
      <c r="J111" s="344" t="str">
        <f>'Council Own'!C47</f>
        <v>&lt;List Requirement Here&gt;</v>
      </c>
      <c r="K111" s="257" t="str">
        <f>IF('Council Own'!H47="A","A"," ")</f>
        <v xml:space="preserve"> </v>
      </c>
      <c r="M111" s="247">
        <v>5</v>
      </c>
      <c r="N111" s="344" t="str">
        <f>'Council Own'!C95</f>
        <v>&lt;List Requirement Here&gt;</v>
      </c>
      <c r="O111" s="257" t="str">
        <f>IF('Council Own'!H95="A","A"," ")</f>
        <v xml:space="preserve"> </v>
      </c>
      <c r="Q111" s="247">
        <v>5</v>
      </c>
      <c r="R111" s="344" t="str">
        <f>'Council Own'!C143</f>
        <v>&lt;List Requirement Here&gt;</v>
      </c>
      <c r="S111" s="257" t="str">
        <f>IF('Council Own'!H143="A","A"," ")</f>
        <v xml:space="preserve"> </v>
      </c>
      <c r="U111" s="338"/>
      <c r="V111" s="338"/>
      <c r="W111" s="341"/>
    </row>
    <row r="112" spans="1:23" x14ac:dyDescent="0.2">
      <c r="I112" s="247"/>
      <c r="J112" s="344" t="str">
        <f>'Council Own'!C48</f>
        <v>&lt;List Requirement Here&gt;</v>
      </c>
      <c r="K112" s="257" t="str">
        <f>IF('Council Own'!H48="A","A"," ")</f>
        <v xml:space="preserve"> </v>
      </c>
      <c r="M112" s="247"/>
      <c r="N112" s="344" t="str">
        <f>'Council Own'!C96</f>
        <v>&lt;List Requirement Here&gt;</v>
      </c>
      <c r="O112" s="257" t="str">
        <f>IF('Council Own'!H96="A","A"," ")</f>
        <v xml:space="preserve"> </v>
      </c>
      <c r="Q112" s="247"/>
      <c r="R112" s="344" t="str">
        <f>'Council Own'!C144</f>
        <v>&lt;List Requirement Here&gt;</v>
      </c>
      <c r="S112" s="257" t="str">
        <f>IF('Council Own'!H144="A","A"," ")</f>
        <v xml:space="preserve"> </v>
      </c>
      <c r="U112" s="245"/>
      <c r="V112" s="245"/>
    </row>
    <row r="113" spans="9:22" x14ac:dyDescent="0.2">
      <c r="I113" s="247"/>
      <c r="J113" s="344" t="str">
        <f>'Council Own'!C49</f>
        <v>&lt;List Requirement Here&gt;</v>
      </c>
      <c r="K113" s="257" t="str">
        <f>IF('Council Own'!H49="A","A"," ")</f>
        <v xml:space="preserve"> </v>
      </c>
      <c r="M113" s="247"/>
      <c r="N113" s="344" t="str">
        <f>'Council Own'!C97</f>
        <v>&lt;List Requirement Here&gt;</v>
      </c>
      <c r="O113" s="257" t="str">
        <f>IF('Council Own'!H97="A","A"," ")</f>
        <v xml:space="preserve"> </v>
      </c>
      <c r="Q113" s="247"/>
      <c r="R113" s="344" t="str">
        <f>'Council Own'!C145</f>
        <v>&lt;List Requirement Here&gt;</v>
      </c>
      <c r="S113" s="257" t="str">
        <f>IF('Council Own'!H145="A","A"," ")</f>
        <v xml:space="preserve"> </v>
      </c>
      <c r="U113" s="245"/>
      <c r="V113" s="245"/>
    </row>
    <row r="114" spans="9:22" x14ac:dyDescent="0.2">
      <c r="I114" s="247"/>
      <c r="J114" s="344" t="str">
        <f>'Council Own'!C50</f>
        <v>&lt;List Requirement Here&gt;</v>
      </c>
      <c r="K114" s="257" t="str">
        <f>IF('Council Own'!H50="A","A"," ")</f>
        <v xml:space="preserve"> </v>
      </c>
      <c r="M114" s="247"/>
      <c r="N114" s="344" t="str">
        <f>'Council Own'!C98</f>
        <v>&lt;List Requirement Here&gt;</v>
      </c>
      <c r="O114" s="257" t="str">
        <f>IF('Council Own'!H98="A","A"," ")</f>
        <v xml:space="preserve"> </v>
      </c>
      <c r="Q114" s="247"/>
      <c r="R114" s="344" t="str">
        <f>'Council Own'!C146</f>
        <v>&lt;List Requirement Here&gt;</v>
      </c>
      <c r="S114" s="257" t="str">
        <f>IF('Council Own'!H146="A","A","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row r="147" ht="12.75" customHeight="1" x14ac:dyDescent="0.2"/>
    <row r="148" ht="12.75" customHeight="1" x14ac:dyDescent="0.2"/>
    <row r="172" ht="12.75" customHeight="1" x14ac:dyDescent="0.2"/>
    <row r="173" ht="12.75" customHeight="1" x14ac:dyDescent="0.2"/>
  </sheetData>
  <sheetProtection password="9A15" sheet="1" objects="1" scenarios="1" selectLockedCells="1" selectUnlockedCells="1"/>
  <mergeCells count="113">
    <mergeCell ref="E102:F102"/>
    <mergeCell ref="E96:F96"/>
    <mergeCell ref="E97:F97"/>
    <mergeCell ref="A98:C98"/>
    <mergeCell ref="E98:F98"/>
    <mergeCell ref="A99:C99"/>
    <mergeCell ref="E99:F99"/>
    <mergeCell ref="A100:C100"/>
    <mergeCell ref="E100:F100"/>
    <mergeCell ref="A101:C101"/>
    <mergeCell ref="E101:F101"/>
    <mergeCell ref="E87:F87"/>
    <mergeCell ref="E88:F88"/>
    <mergeCell ref="E89:F89"/>
    <mergeCell ref="E90:F90"/>
    <mergeCell ref="E91:F91"/>
    <mergeCell ref="E92:F92"/>
    <mergeCell ref="E93:F93"/>
    <mergeCell ref="E94:F94"/>
    <mergeCell ref="E95:F95"/>
    <mergeCell ref="E78:F78"/>
    <mergeCell ref="E79:F79"/>
    <mergeCell ref="E80:F80"/>
    <mergeCell ref="E81:F81"/>
    <mergeCell ref="E82:F82"/>
    <mergeCell ref="E83:F83"/>
    <mergeCell ref="E84:F84"/>
    <mergeCell ref="E85:F85"/>
    <mergeCell ref="E86:F86"/>
    <mergeCell ref="A26:B26"/>
    <mergeCell ref="A28:C28"/>
    <mergeCell ref="Q28:R28"/>
    <mergeCell ref="B29:C29"/>
    <mergeCell ref="B30:C30"/>
    <mergeCell ref="B34:C34"/>
    <mergeCell ref="Q34:R34"/>
    <mergeCell ref="B35:C35"/>
    <mergeCell ref="B42:C42"/>
    <mergeCell ref="Q42:R42"/>
    <mergeCell ref="A8:B8"/>
    <mergeCell ref="A9:B9"/>
    <mergeCell ref="A11:B11"/>
    <mergeCell ref="A16:B16"/>
    <mergeCell ref="A18:B18"/>
    <mergeCell ref="A19:B19"/>
    <mergeCell ref="A20:B20"/>
    <mergeCell ref="A24:C24"/>
    <mergeCell ref="A25:B25"/>
    <mergeCell ref="Q1:S1"/>
    <mergeCell ref="E2:G2"/>
    <mergeCell ref="Q2:R2"/>
    <mergeCell ref="Q3:R3"/>
    <mergeCell ref="Q4:R4"/>
    <mergeCell ref="Q5:R5"/>
    <mergeCell ref="Q6:R6"/>
    <mergeCell ref="Q7:R7"/>
    <mergeCell ref="Q8:R8"/>
    <mergeCell ref="A3:B3"/>
    <mergeCell ref="A4:C4"/>
    <mergeCell ref="A5:B5"/>
    <mergeCell ref="A6:B6"/>
    <mergeCell ref="A7:B7"/>
    <mergeCell ref="A1:C1"/>
    <mergeCell ref="E1:G1"/>
    <mergeCell ref="I1:K1"/>
    <mergeCell ref="M1:O1"/>
    <mergeCell ref="Q9:R9"/>
    <mergeCell ref="A10:B10"/>
    <mergeCell ref="Q10:R10"/>
    <mergeCell ref="Q11:R11"/>
    <mergeCell ref="Q12:R12"/>
    <mergeCell ref="A13:C13"/>
    <mergeCell ref="Q13:R13"/>
    <mergeCell ref="Q14:R14"/>
    <mergeCell ref="Q15:R15"/>
    <mergeCell ref="A12:B12"/>
    <mergeCell ref="A14:B14"/>
    <mergeCell ref="A15:B15"/>
    <mergeCell ref="Q16:R16"/>
    <mergeCell ref="Q17:R17"/>
    <mergeCell ref="Q18:R18"/>
    <mergeCell ref="Q19:R19"/>
    <mergeCell ref="Q20:R20"/>
    <mergeCell ref="A21:C21"/>
    <mergeCell ref="Q21:R21"/>
    <mergeCell ref="A22:B22"/>
    <mergeCell ref="A23:B23"/>
    <mergeCell ref="E23:G23"/>
    <mergeCell ref="A17:B17"/>
    <mergeCell ref="E103:F103"/>
    <mergeCell ref="E104:F104"/>
    <mergeCell ref="E105:F105"/>
    <mergeCell ref="E106:F106"/>
    <mergeCell ref="B43:C43"/>
    <mergeCell ref="E45:G45"/>
    <mergeCell ref="A49:C49"/>
    <mergeCell ref="Q55:S55"/>
    <mergeCell ref="E72:G72"/>
    <mergeCell ref="I72:K72"/>
    <mergeCell ref="M72:O72"/>
    <mergeCell ref="Q72:S72"/>
    <mergeCell ref="E73:F73"/>
    <mergeCell ref="A72:C72"/>
    <mergeCell ref="A76:B76"/>
    <mergeCell ref="A77:B77"/>
    <mergeCell ref="A78:B78"/>
    <mergeCell ref="A73:B73"/>
    <mergeCell ref="A74:B74"/>
    <mergeCell ref="A75:B75"/>
    <mergeCell ref="E74:F74"/>
    <mergeCell ref="E75:F75"/>
    <mergeCell ref="E76:F76"/>
    <mergeCell ref="E77:F7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W173"/>
  <sheetViews>
    <sheetView showGridLines="0" zoomScale="90" zoomScaleNormal="90" workbookViewId="0">
      <selection sqref="A1:XFD1048576"/>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1" customHeight="1" x14ac:dyDescent="0.35">
      <c r="A1" s="512" t="str">
        <f ca="1">MID(CELL("filename",A1),FIND(IF(ISERROR(FIND("]",CELL("filename",A1))),"$","]"),CELL("filename",A1))+1,256)</f>
        <v>Ambassador 6</v>
      </c>
      <c r="B1" s="512"/>
      <c r="C1" s="512"/>
      <c r="D1" s="265"/>
      <c r="E1" s="506" t="s">
        <v>15</v>
      </c>
      <c r="F1" s="506"/>
      <c r="G1" s="506"/>
      <c r="I1" s="506" t="s">
        <v>15</v>
      </c>
      <c r="J1" s="506"/>
      <c r="K1" s="506"/>
      <c r="M1" s="506" t="s">
        <v>15</v>
      </c>
      <c r="N1" s="506"/>
      <c r="O1" s="506"/>
      <c r="Q1" s="506" t="s">
        <v>135</v>
      </c>
      <c r="R1" s="506"/>
      <c r="S1" s="506"/>
      <c r="T1" s="239"/>
      <c r="U1" s="239"/>
    </row>
    <row r="2" spans="1:21" s="245" customFormat="1" ht="13.5" thickBot="1" x14ac:dyDescent="0.25">
      <c r="A2" s="242"/>
      <c r="B2" s="243"/>
      <c r="C2" s="244" t="s">
        <v>16</v>
      </c>
      <c r="D2" s="243"/>
      <c r="E2" s="492" t="str">
        <f>Badges!B6</f>
        <v>Photography</v>
      </c>
      <c r="F2" s="492"/>
      <c r="G2" s="492"/>
      <c r="H2" s="241"/>
      <c r="I2" s="247">
        <v>3</v>
      </c>
      <c r="J2" s="248" t="str">
        <f>Badges!C61</f>
        <v>Dig into national or state public policy</v>
      </c>
      <c r="K2" s="249"/>
      <c r="L2" s="241"/>
      <c r="M2" s="247">
        <v>3</v>
      </c>
      <c r="N2" s="248" t="str">
        <f>Badges!C130</f>
        <v>Share sisterhood around the world</v>
      </c>
      <c r="O2" s="249"/>
      <c r="P2" s="241"/>
      <c r="Q2" s="493" t="str">
        <f>'Age-Level'!B5</f>
        <v>Gold Torch Award</v>
      </c>
      <c r="R2" s="494"/>
      <c r="S2" s="251" t="str">
        <f>IF('Age-Level'!I8="C","C",IF('Age-Level'!I8="P","P",""))</f>
        <v/>
      </c>
      <c r="T2" s="239"/>
      <c r="U2" s="239"/>
    </row>
    <row r="3" spans="1:21" x14ac:dyDescent="0.2">
      <c r="A3" s="510" t="s">
        <v>132</v>
      </c>
      <c r="B3" s="511"/>
      <c r="C3" s="246">
        <f>INT(COUNTIF(C5:C12,"C"))+INT(COUNTIF(C14:C26,"C"))</f>
        <v>0</v>
      </c>
      <c r="E3" s="247">
        <v>1</v>
      </c>
      <c r="F3" s="248" t="str">
        <f>Badges!C7</f>
        <v>Expore the power of photography</v>
      </c>
      <c r="G3" s="249"/>
      <c r="I3" s="247"/>
      <c r="J3" s="248" t="str">
        <f>Badges!C62</f>
        <v>Track your issue</v>
      </c>
      <c r="K3" s="250" t="str">
        <f>IF(Badges!I62="A","A"," ")</f>
        <v xml:space="preserve"> </v>
      </c>
      <c r="M3" s="247"/>
      <c r="N3" s="248" t="str">
        <f>Badges!C131</f>
        <v>Explore an issue affecting girls and</v>
      </c>
      <c r="O3" s="250" t="str">
        <f>IF(Badges!I131="A","A"," ")</f>
        <v xml:space="preserve"> </v>
      </c>
      <c r="Q3" s="471" t="str">
        <f>'Age-Level'!B9</f>
        <v>Ambassador Community Service bar</v>
      </c>
      <c r="R3" s="472"/>
      <c r="S3" s="251" t="str">
        <f>IF('Age-Level'!I9="C","C",IF('Age-Level'!I9="P","P",""))</f>
        <v/>
      </c>
      <c r="T3" s="239"/>
      <c r="U3" s="239"/>
    </row>
    <row r="4" spans="1:21" x14ac:dyDescent="0.2">
      <c r="A4" s="500" t="str">
        <f>Summary!A3</f>
        <v>Legacy</v>
      </c>
      <c r="B4" s="500"/>
      <c r="C4" s="500"/>
      <c r="E4" s="247"/>
      <c r="F4" s="248" t="str">
        <f>Badges!C8</f>
        <v>Go to a photography exhibit</v>
      </c>
      <c r="G4" s="250" t="str">
        <f>IF(Badges!I8="A","A"," ")</f>
        <v xml:space="preserve"> </v>
      </c>
      <c r="I4" s="247"/>
      <c r="J4" s="248" t="str">
        <f>Badges!C63</f>
        <v>Talk to an interest gorup that promotes</v>
      </c>
      <c r="K4" s="250" t="str">
        <f>IF(Badges!I63="A","A"," ")</f>
        <v xml:space="preserve"> </v>
      </c>
      <c r="M4" s="247"/>
      <c r="N4" s="248" t="str">
        <f>Badges!C132</f>
        <v>Organize an event on women and STEM</v>
      </c>
      <c r="O4" s="250" t="str">
        <f>IF(Badges!I132="A","A"," ")</f>
        <v xml:space="preserve"> </v>
      </c>
      <c r="Q4" s="471" t="str">
        <f>'Age-Level'!B12</f>
        <v>Ambassador Service to Girl Scouting bar</v>
      </c>
      <c r="R4" s="472"/>
      <c r="S4" s="251" t="str">
        <f>IF('Age-Level'!I10="C","C",IF('Age-Level'!I10="P","P",""))</f>
        <v/>
      </c>
      <c r="T4" s="239"/>
      <c r="U4" s="239"/>
    </row>
    <row r="5" spans="1:21" ht="12.75" customHeight="1" x14ac:dyDescent="0.2">
      <c r="A5" s="501" t="str">
        <f>Summary!A4</f>
        <v>Photography</v>
      </c>
      <c r="B5" s="502"/>
      <c r="C5" s="252" t="str">
        <f>IF(Badges!I28="C","C",IF(Badges!I28="P","P",""))</f>
        <v/>
      </c>
      <c r="E5" s="247"/>
      <c r="F5" s="248" t="str">
        <f>Badges!C9</f>
        <v>Create a photography timeline.</v>
      </c>
      <c r="G5" s="250" t="str">
        <f>IF(Badges!I9="A","A"," ")</f>
        <v xml:space="preserve"> </v>
      </c>
      <c r="I5" s="247"/>
      <c r="J5" s="248" t="str">
        <f>Badges!C64</f>
        <v>Compare three different states' positions</v>
      </c>
      <c r="K5" s="250" t="str">
        <f>IF(Badges!I64="A","A"," ")</f>
        <v xml:space="preserve"> </v>
      </c>
      <c r="M5" s="247"/>
      <c r="N5" s="248" t="str">
        <f>Badges!C133</f>
        <v>Interview a global citizen</v>
      </c>
      <c r="O5" s="250" t="str">
        <f>IF(Badges!I133="A","A"," ")</f>
        <v xml:space="preserve"> </v>
      </c>
      <c r="Q5" s="471" t="str">
        <f>'Age-Level'!B15</f>
        <v>Ambassador Volunteer in Training</v>
      </c>
      <c r="R5" s="472"/>
      <c r="S5" s="251" t="str">
        <f>IF('Age-Level'!I19="C","C",IF('Age-Level'!I19="P","P",""))</f>
        <v/>
      </c>
      <c r="T5" s="239"/>
      <c r="U5" s="239"/>
    </row>
    <row r="6" spans="1:21" ht="12.75" customHeight="1" x14ac:dyDescent="0.2">
      <c r="A6" s="490" t="str">
        <f>Summary!A5</f>
        <v>Coaching</v>
      </c>
      <c r="B6" s="491"/>
      <c r="C6" s="252" t="str">
        <f>IF(Badges!I51="C","C",IF(Badges!I51="P","P",""))</f>
        <v/>
      </c>
      <c r="E6" s="247"/>
      <c r="F6" s="248" t="str">
        <f>Badges!C10</f>
        <v>Make sticky-note comics</v>
      </c>
      <c r="G6" s="250" t="str">
        <f>IF(Badges!I10="A","A"," ")</f>
        <v xml:space="preserve"> </v>
      </c>
      <c r="I6" s="247">
        <v>4</v>
      </c>
      <c r="J6" s="248" t="str">
        <f>Badges!C65</f>
        <v>Explore local or community policy</v>
      </c>
      <c r="K6" s="249"/>
      <c r="M6" s="247">
        <v>4</v>
      </c>
      <c r="N6" s="248" t="str">
        <f>Badges!C134</f>
        <v>Leave your wolrd better than you found it</v>
      </c>
      <c r="O6" s="249"/>
      <c r="Q6" s="471" t="str">
        <f>'Age-Level'!B20</f>
        <v>Journey Summit Pin</v>
      </c>
      <c r="R6" s="472"/>
      <c r="S6" s="251" t="str">
        <f>IF('Age-Level'!I21="C","C",IF('Age-Level'!I21="P","P",""))</f>
        <v/>
      </c>
      <c r="T6" s="239"/>
      <c r="U6" s="239"/>
    </row>
    <row r="7" spans="1:21" x14ac:dyDescent="0.2">
      <c r="A7" s="490" t="str">
        <f>Summary!A6</f>
        <v>Public Policy</v>
      </c>
      <c r="B7" s="491"/>
      <c r="C7" s="252" t="str">
        <f>IF(Badges!I74="C","C",IF(Badges!I74="P","P",""))</f>
        <v/>
      </c>
      <c r="E7" s="247">
        <v>2</v>
      </c>
      <c r="F7" s="248" t="str">
        <f>Badges!C11</f>
        <v>Focus on composition</v>
      </c>
      <c r="G7" s="249"/>
      <c r="I7" s="247"/>
      <c r="J7" s="248" t="str">
        <f>Badges!C66</f>
        <v>Attend a meeting</v>
      </c>
      <c r="K7" s="250" t="str">
        <f>IF(Badges!I66="A","A"," ")</f>
        <v xml:space="preserve"> </v>
      </c>
      <c r="M7" s="247"/>
      <c r="N7" s="248" t="str">
        <f>Badges!C135</f>
        <v xml:space="preserve">Find ideas to use your leaderhship </v>
      </c>
      <c r="O7" s="250" t="str">
        <f>IF(Badges!I135="A","A"," ")</f>
        <v xml:space="preserve"> </v>
      </c>
      <c r="Q7" s="471" t="str">
        <f>'Age-Level'!C23</f>
        <v>Cookie Rally (Year 1)</v>
      </c>
      <c r="R7" s="472"/>
      <c r="S7" s="257" t="str">
        <f>IF('Age-Level'!I23="A","A"," ")</f>
        <v xml:space="preserve"> </v>
      </c>
    </row>
    <row r="8" spans="1:21" x14ac:dyDescent="0.2">
      <c r="A8" s="490" t="str">
        <f>Summary!A7</f>
        <v>Dinner Party</v>
      </c>
      <c r="B8" s="491"/>
      <c r="C8" s="252" t="str">
        <f>IF(Badges!I97="C","C",IF(Badges!I97="P","P",""))</f>
        <v/>
      </c>
      <c r="E8" s="247"/>
      <c r="F8" s="248" t="str">
        <f>Badges!C12</f>
        <v>Capture a day in the life</v>
      </c>
      <c r="G8" s="250" t="str">
        <f>IF(Badges!I12="A","A"," ")</f>
        <v xml:space="preserve"> </v>
      </c>
      <c r="I8" s="247"/>
      <c r="J8" s="248" t="str">
        <f>Badges!C67</f>
        <v>Compare different local positions</v>
      </c>
      <c r="K8" s="250" t="str">
        <f>IF(Badges!I67="A","A"," ")</f>
        <v xml:space="preserve"> </v>
      </c>
      <c r="M8" s="247"/>
      <c r="N8" s="248" t="str">
        <f>Badges!C136</f>
        <v>Gather ideas to work for a healthy</v>
      </c>
      <c r="O8" s="250" t="str">
        <f>IF(Badges!I136="A","A"," ")</f>
        <v xml:space="preserve"> </v>
      </c>
      <c r="Q8" s="471" t="str">
        <f>'Age-Level'!C24</f>
        <v>Cookie Sales (Year 1)</v>
      </c>
      <c r="R8" s="472"/>
      <c r="S8" s="257" t="str">
        <f>IF('Age-Level'!I24="A","A"," ")</f>
        <v xml:space="preserve"> </v>
      </c>
    </row>
    <row r="9" spans="1:21" x14ac:dyDescent="0.2">
      <c r="A9" s="490" t="str">
        <f>Summary!A8</f>
        <v>Ambassador First Aid</v>
      </c>
      <c r="B9" s="491"/>
      <c r="C9" s="252" t="str">
        <f>IF(Badges!I120="C","C",IF(Badges!I120="P","P",""))</f>
        <v/>
      </c>
      <c r="E9" s="247"/>
      <c r="F9" s="248" t="str">
        <f>Badges!C13</f>
        <v>Photograph weather patterns</v>
      </c>
      <c r="G9" s="250" t="str">
        <f>IF(Badges!I13="A","A"," ")</f>
        <v xml:space="preserve"> </v>
      </c>
      <c r="I9" s="247"/>
      <c r="J9" s="248" t="str">
        <f>Badges!C68</f>
        <v>Visit your local legislator's office</v>
      </c>
      <c r="K9" s="250" t="str">
        <f>IF(Badges!I68="A","A"," ")</f>
        <v xml:space="preserve"> </v>
      </c>
      <c r="M9" s="247"/>
      <c r="N9" s="248" t="str">
        <f>Badges!C137</f>
        <v>Brainstorm idea for social change</v>
      </c>
      <c r="O9" s="250" t="str">
        <f>IF(Badges!I137="A","A"," ")</f>
        <v xml:space="preserve"> </v>
      </c>
      <c r="Q9" s="471" t="str">
        <f>'Age-Level'!C25</f>
        <v>Cookie Pin (Year 1)</v>
      </c>
      <c r="R9" s="472"/>
      <c r="S9" s="257" t="str">
        <f>IF('Age-Level'!I25="A","A"," ")</f>
        <v xml:space="preserve"> </v>
      </c>
    </row>
    <row r="10" spans="1:21" x14ac:dyDescent="0.2">
      <c r="A10" s="490" t="str">
        <f>Summary!A9</f>
        <v>Ambassador Girl Scout Way</v>
      </c>
      <c r="B10" s="491"/>
      <c r="C10" s="253" t="str">
        <f>IF(Badges!I143="C","C",IF(Badges!I143="P","P",""))</f>
        <v/>
      </c>
      <c r="E10" s="247"/>
      <c r="F10" s="248" t="str">
        <f>Badges!C14</f>
        <v>Take 5 photos form a different</v>
      </c>
      <c r="G10" s="250" t="str">
        <f>IF(Badges!I14="A","A"," ")</f>
        <v xml:space="preserve"> </v>
      </c>
      <c r="I10" s="247">
        <v>5</v>
      </c>
      <c r="J10" s="248" t="str">
        <f>Badges!C69</f>
        <v>See public policy creation in action</v>
      </c>
      <c r="K10" s="249"/>
      <c r="M10" s="247">
        <v>5</v>
      </c>
      <c r="N10" s="248" t="str">
        <f>Badges!C138</f>
        <v>Enjoy Girl Scout traditions!</v>
      </c>
      <c r="O10" s="249"/>
      <c r="Q10" s="471" t="str">
        <f>'Age-Level'!C26</f>
        <v>Cookie Rally (Year 2)</v>
      </c>
      <c r="R10" s="472"/>
      <c r="S10" s="257" t="str">
        <f>IF('Age-Level'!I26="A","A"," ")</f>
        <v xml:space="preserve"> </v>
      </c>
    </row>
    <row r="11" spans="1:21" x14ac:dyDescent="0.2">
      <c r="A11" s="509" t="str">
        <f>Summary!A10</f>
        <v>Water</v>
      </c>
      <c r="B11" s="491"/>
      <c r="C11" s="252" t="str">
        <f>IF(Badges!I166="C","C",IF(Badges!I166="P","P",""))</f>
        <v/>
      </c>
      <c r="E11" s="247">
        <v>3</v>
      </c>
      <c r="F11" s="248" t="str">
        <f>Badges!C15</f>
        <v>Focus on light</v>
      </c>
      <c r="G11" s="249"/>
      <c r="I11" s="247"/>
      <c r="J11" s="248" t="str">
        <f>Badges!C70</f>
        <v>Shadow a policy-maker</v>
      </c>
      <c r="K11" s="250" t="str">
        <f>IF(Badges!I70="A","A"," ")</f>
        <v xml:space="preserve"> </v>
      </c>
      <c r="M11" s="247"/>
      <c r="N11" s="248" t="str">
        <f>Badges!C139</f>
        <v>Pass down a tradition</v>
      </c>
      <c r="O11" s="250" t="str">
        <f>IF(Badges!I139="A","A"," ")</f>
        <v xml:space="preserve"> </v>
      </c>
      <c r="Q11" s="471" t="str">
        <f>'Age-Level'!C27</f>
        <v>Cookie Sales (Year 2)</v>
      </c>
      <c r="R11" s="472"/>
      <c r="S11" s="257" t="str">
        <f>IF('Age-Level'!I27="A","A"," ")</f>
        <v xml:space="preserve"> </v>
      </c>
    </row>
    <row r="12" spans="1:21" x14ac:dyDescent="0.2">
      <c r="A12" s="507"/>
      <c r="B12" s="507"/>
      <c r="C12" s="336"/>
      <c r="E12" s="247"/>
      <c r="F12" s="248" t="str">
        <f>Badges!C16</f>
        <v>Invite friends to a shoot day</v>
      </c>
      <c r="G12" s="250" t="str">
        <f>IF(Badges!I16="A","A"," ")</f>
        <v xml:space="preserve"> </v>
      </c>
      <c r="I12" s="247"/>
      <c r="J12" s="248" t="str">
        <f>Badges!C71</f>
        <v>Volunteer at an office</v>
      </c>
      <c r="K12" s="250" t="str">
        <f>IF(Badges!I71="A","A"," ")</f>
        <v xml:space="preserve"> </v>
      </c>
      <c r="M12" s="247"/>
      <c r="N12" s="248" t="str">
        <f>Badges!C140</f>
        <v>Start a Girl Scout tradition of your own</v>
      </c>
      <c r="O12" s="250" t="str">
        <f>IF(Badges!I140="A","A"," ")</f>
        <v xml:space="preserve"> </v>
      </c>
      <c r="Q12" s="471" t="str">
        <f>'Age-Level'!C28</f>
        <v>Cookie Pin (Year 2)</v>
      </c>
      <c r="R12" s="472"/>
      <c r="S12" s="257" t="str">
        <f>IF('Age-Level'!I28="A","A"," ")</f>
        <v xml:space="preserve"> </v>
      </c>
    </row>
    <row r="13" spans="1:21" x14ac:dyDescent="0.2">
      <c r="A13" s="500" t="str">
        <f>Summary!A3</f>
        <v>Legacy</v>
      </c>
      <c r="B13" s="500"/>
      <c r="C13" s="500"/>
      <c r="E13" s="247"/>
      <c r="F13" s="248" t="str">
        <f>Badges!C17</f>
        <v>Capture the same person or object</v>
      </c>
      <c r="G13" s="250" t="str">
        <f>IF(Badges!I17="A","A"," ")</f>
        <v xml:space="preserve"> </v>
      </c>
      <c r="I13" s="247"/>
      <c r="J13" s="248" t="str">
        <f>Badges!C72</f>
        <v>Interview a policy-maker</v>
      </c>
      <c r="K13" s="250" t="str">
        <f>IF(Badges!I72="A","A"," ")</f>
        <v xml:space="preserve"> </v>
      </c>
      <c r="M13" s="247"/>
      <c r="N13" s="248" t="str">
        <f>Badges!C141</f>
        <v>Share the Girl Scout way by example</v>
      </c>
      <c r="O13" s="250" t="str">
        <f>IF(Badges!I141="A","A"," ")</f>
        <v xml:space="preserve"> </v>
      </c>
      <c r="Q13" s="471" t="str">
        <f>'Age-Level'!C30</f>
        <v>Fall Sales (Year 1)</v>
      </c>
      <c r="R13" s="472"/>
      <c r="S13" s="252" t="str">
        <f>IF('Age-Level'!I30="A","A","")</f>
        <v/>
      </c>
    </row>
    <row r="14" spans="1:21" x14ac:dyDescent="0.2">
      <c r="A14" s="501" t="str">
        <f>Summary!A4</f>
        <v>Photography</v>
      </c>
      <c r="B14" s="502"/>
      <c r="C14" s="251" t="str">
        <f>IF(Badges!I28="C","C",IF(Badges!I28="P","P",""))</f>
        <v/>
      </c>
      <c r="E14" s="247"/>
      <c r="F14" s="248" t="str">
        <f>Badges!C18</f>
        <v>Grow your image</v>
      </c>
      <c r="G14" s="250" t="str">
        <f>IF(Badges!I18="A","A"," ")</f>
        <v xml:space="preserve"> </v>
      </c>
      <c r="I14" s="339" t="str">
        <f>Badges!B75</f>
        <v>Dinner Party</v>
      </c>
      <c r="J14" s="340"/>
      <c r="K14" s="340"/>
      <c r="M14" s="339" t="str">
        <f>Badges!B144</f>
        <v>Water</v>
      </c>
      <c r="N14" s="340"/>
      <c r="O14" s="340"/>
      <c r="Q14" s="471" t="str">
        <f>'Age-Level'!C31</f>
        <v>Fall Sales (Year 2)</v>
      </c>
      <c r="R14" s="472"/>
      <c r="S14" s="252" t="str">
        <f>IF('Age-Level'!I31="A","A","")</f>
        <v/>
      </c>
    </row>
    <row r="15" spans="1:21" x14ac:dyDescent="0.2">
      <c r="A15" s="490" t="str">
        <f>Summary!A5</f>
        <v>Coaching</v>
      </c>
      <c r="B15" s="491"/>
      <c r="C15" s="252" t="str">
        <f>IF(Badges!I51="C","C",IF(Badges!I51="P","P",""))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471" t="str">
        <f>'Age-Level'!C33</f>
        <v>Thinking Day (Year 1)</v>
      </c>
      <c r="R15" s="472"/>
      <c r="S15" s="252" t="str">
        <f>IF('Age-Level'!I33="A","A","")</f>
        <v/>
      </c>
    </row>
    <row r="16" spans="1:21" x14ac:dyDescent="0.2">
      <c r="A16" s="490" t="str">
        <f>Summary!A6</f>
        <v>Public Policy</v>
      </c>
      <c r="B16" s="491"/>
      <c r="C16" s="252" t="str">
        <f>IF(Badges!I74="C","C",IF(Badges!I74="P","P",""))</f>
        <v/>
      </c>
      <c r="E16" s="247"/>
      <c r="F16" s="248" t="str">
        <f>Badges!C20</f>
        <v xml:space="preserve">Take photos of a group </v>
      </c>
      <c r="G16" s="250" t="str">
        <f>IF(Badges!I20="A","A"," ")</f>
        <v xml:space="preserve"> </v>
      </c>
      <c r="I16" s="247"/>
      <c r="J16" s="248" t="str">
        <f>Badges!C77</f>
        <v>Interview a caterer, event planner, chef</v>
      </c>
      <c r="K16" s="250" t="str">
        <f>IF(Badges!I77="A","A"," ")</f>
        <v xml:space="preserve"> </v>
      </c>
      <c r="M16" s="247"/>
      <c r="N16" s="248" t="str">
        <f>Badges!C146</f>
        <v>Visit water in its natural state</v>
      </c>
      <c r="O16" s="250" t="str">
        <f>IF(Badges!I146="A","A"," ")</f>
        <v xml:space="preserve"> </v>
      </c>
      <c r="Q16" s="471" t="str">
        <f>'Age-Level'!C34</f>
        <v>Thinking Day (Year 2)</v>
      </c>
      <c r="R16" s="472"/>
      <c r="S16" s="252" t="str">
        <f>IF('Age-Level'!I34="A","A","")</f>
        <v/>
      </c>
    </row>
    <row r="17" spans="1:19" x14ac:dyDescent="0.2">
      <c r="A17" s="490" t="str">
        <f>Summary!A7</f>
        <v>Dinner Party</v>
      </c>
      <c r="B17" s="491"/>
      <c r="C17" s="252" t="str">
        <f>IF(Badges!I97="C","C",IF(Badges!I97="P","P",""))</f>
        <v/>
      </c>
      <c r="E17" s="247"/>
      <c r="F17" s="248" t="str">
        <f>Badges!C21</f>
        <v>Take photos of faces in motion</v>
      </c>
      <c r="G17" s="250" t="str">
        <f>IF(Badges!I21="A","A"," ")</f>
        <v xml:space="preserve"> </v>
      </c>
      <c r="I17" s="247"/>
      <c r="J17" s="248" t="str">
        <f>Badges!C78</f>
        <v>Collect recipes from cooking shows</v>
      </c>
      <c r="K17" s="250" t="str">
        <f>IF(Badges!I78="A","A"," ")</f>
        <v xml:space="preserve"> </v>
      </c>
      <c r="M17" s="247"/>
      <c r="N17" s="248" t="str">
        <f>Badges!C147</f>
        <v>Try a new water skill</v>
      </c>
      <c r="O17" s="250" t="str">
        <f>IF(Badges!I147="A","A"," ")</f>
        <v xml:space="preserve"> </v>
      </c>
      <c r="Q17" s="471" t="str">
        <f>'Age-Level'!C36</f>
        <v>Global Action Award</v>
      </c>
      <c r="R17" s="472"/>
      <c r="S17" s="252" t="str">
        <f>IF('Age-Level'!I36="A","A","")</f>
        <v/>
      </c>
    </row>
    <row r="18" spans="1:19" x14ac:dyDescent="0.2">
      <c r="A18" s="490" t="str">
        <f>Summary!A8</f>
        <v>Ambassador First Aid</v>
      </c>
      <c r="B18" s="491"/>
      <c r="C18" s="252" t="str">
        <f>IF(Badges!I120="C","C",IF(Badges!I120="P","P",""))</f>
        <v/>
      </c>
      <c r="E18" s="247"/>
      <c r="F18" s="248" t="str">
        <f>Badges!C22</f>
        <v>Take photos of objects in motion</v>
      </c>
      <c r="G18" s="250" t="str">
        <f>IF(Badges!I22="A","A"," ")</f>
        <v xml:space="preserve"> </v>
      </c>
      <c r="I18" s="247"/>
      <c r="J18" s="248" t="str">
        <f>Badges!C79</f>
        <v>Build a men around your favorite</v>
      </c>
      <c r="K18" s="250" t="str">
        <f>IF(Badges!I79="A","A"," ")</f>
        <v xml:space="preserve"> </v>
      </c>
      <c r="M18" s="247"/>
      <c r="N18" s="248" t="str">
        <f>Badges!C148</f>
        <v>Enjoy a water activity you already know</v>
      </c>
      <c r="O18" s="250" t="str">
        <f>IF(Badges!I148="A","A"," ")</f>
        <v xml:space="preserve"> </v>
      </c>
      <c r="Q18" s="471" t="str">
        <f>'Age-Level'!C38</f>
        <v>International Friendship Recognition</v>
      </c>
      <c r="R18" s="472"/>
      <c r="S18" s="252" t="str">
        <f>IF('Age-Level'!I38="A","A","")</f>
        <v/>
      </c>
    </row>
    <row r="19" spans="1:19" x14ac:dyDescent="0.2">
      <c r="A19" s="490" t="str">
        <f>Summary!A9</f>
        <v>Ambassador Girl Scout Way</v>
      </c>
      <c r="B19" s="491"/>
      <c r="C19" s="252" t="str">
        <f>IF(Badges!I143="C","C",IF(Badges!I143="P","P",""))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471" t="str">
        <f>'Age-Level'!C40</f>
        <v>Investiture</v>
      </c>
      <c r="R19" s="472"/>
      <c r="S19" s="252" t="str">
        <f>IF('Age-Level'!I40="A","A","")</f>
        <v/>
      </c>
    </row>
    <row r="20" spans="1:19" x14ac:dyDescent="0.2">
      <c r="A20" s="507" t="str">
        <f>Summary!A10</f>
        <v>Water</v>
      </c>
      <c r="B20" s="508"/>
      <c r="C20" s="253" t="str">
        <f>IF(Badges!I166="C","C",IF(Badges!I166="P","P",""))</f>
        <v/>
      </c>
      <c r="E20" s="247"/>
      <c r="F20" s="248" t="str">
        <f>Badges!C24</f>
        <v>Stage a photo exhibit</v>
      </c>
      <c r="G20" s="250" t="str">
        <f>IF(Badges!I24="A","A"," ")</f>
        <v xml:space="preserve"> </v>
      </c>
      <c r="I20" s="247"/>
      <c r="J20" s="248" t="str">
        <f>Badges!C81</f>
        <v>Camparison shop</v>
      </c>
      <c r="K20" s="250" t="str">
        <f>IF(Badges!I81="A","A"," ")</f>
        <v xml:space="preserve"> </v>
      </c>
      <c r="M20" s="247"/>
      <c r="N20" s="248" t="str">
        <f>Badges!C150</f>
        <v>Delve into water literature</v>
      </c>
      <c r="O20" s="250" t="str">
        <f>IF(Badges!I150="A","A"," ")</f>
        <v xml:space="preserve"> </v>
      </c>
      <c r="Q20" s="471" t="str">
        <f>'Age-Level'!C41</f>
        <v>Rededication (1st year)</v>
      </c>
      <c r="R20" s="472"/>
      <c r="S20" s="262" t="str">
        <f>IF('Age-Level'!I41="C","C","")</f>
        <v/>
      </c>
    </row>
    <row r="21" spans="1:19" x14ac:dyDescent="0.2">
      <c r="A21" s="500" t="str">
        <f>Summary!A11</f>
        <v>Financial Literacy</v>
      </c>
      <c r="B21" s="500"/>
      <c r="C21" s="500"/>
      <c r="E21" s="247"/>
      <c r="F21" s="248" t="str">
        <f>Badges!C25</f>
        <v>Make a digital slide show</v>
      </c>
      <c r="G21" s="250" t="str">
        <f>IF(Badges!I25="A","A"," ")</f>
        <v xml:space="preserve"> </v>
      </c>
      <c r="I21" s="247"/>
      <c r="J21" s="248" t="str">
        <f>Badges!C82</f>
        <v>Consult with a professional chef</v>
      </c>
      <c r="K21" s="250" t="str">
        <f>IF(Badges!I82="A","A"," ")</f>
        <v xml:space="preserve"> </v>
      </c>
      <c r="M21" s="247"/>
      <c r="N21" s="248" t="str">
        <f>Badges!C151</f>
        <v xml:space="preserve">Enjoy an exhibit or event that features </v>
      </c>
      <c r="O21" s="250" t="str">
        <f>IF(Badges!I151="A","A"," ")</f>
        <v xml:space="preserve"> </v>
      </c>
      <c r="Q21" s="471" t="str">
        <f>'Age-Level'!C42</f>
        <v>Rededication (2nd year)</v>
      </c>
      <c r="R21" s="472"/>
      <c r="S21" s="262" t="str">
        <f>IF('Age-Level'!I42="C","C","")</f>
        <v/>
      </c>
    </row>
    <row r="22" spans="1:19" x14ac:dyDescent="0.2">
      <c r="A22" s="501" t="str">
        <f>Summary!A12</f>
        <v>On My Own</v>
      </c>
      <c r="B22" s="502"/>
      <c r="C22" s="251" t="str">
        <f>IF(Badges!I190="C","C",IF(Badges!I190="P","P",""))</f>
        <v/>
      </c>
      <c r="E22" s="247"/>
      <c r="F22" s="248" t="str">
        <f>Badges!C26</f>
        <v>Create a photo album or scrapbook</v>
      </c>
      <c r="G22" s="250" t="str">
        <f>IF(Badges!I26="A","A"," ")</f>
        <v xml:space="preserve"> </v>
      </c>
      <c r="I22" s="247"/>
      <c r="J22" s="248" t="str">
        <f>Badges!C83</f>
        <v>Learn about alternative ways to shop</v>
      </c>
      <c r="K22" s="250" t="str">
        <f>IF(Badges!I83="A","A"," ")</f>
        <v xml:space="preserve"> </v>
      </c>
      <c r="M22" s="247"/>
      <c r="N22" s="248" t="str">
        <f>Badges!C152</f>
        <v>Create your own water composition</v>
      </c>
      <c r="O22" s="250" t="str">
        <f>IF(Badges!I152="A","A"," ")</f>
        <v xml:space="preserve"> </v>
      </c>
      <c r="Q22" s="342" t="str">
        <f>'Age-Level'!B43</f>
        <v>My Promise, My Faith (Year 1)</v>
      </c>
      <c r="R22" s="343"/>
      <c r="S22" s="262"/>
    </row>
    <row r="23" spans="1:19" x14ac:dyDescent="0.2">
      <c r="A23" s="490" t="str">
        <f>Summary!A13</f>
        <v>Good Credit</v>
      </c>
      <c r="B23" s="491"/>
      <c r="C23" s="251" t="str">
        <f>IF(Badges!I213="C","C",IF(Badges!I213="P","P",""))</f>
        <v/>
      </c>
      <c r="E23" s="492" t="str">
        <f>Badges!B29</f>
        <v>Coaching</v>
      </c>
      <c r="F23" s="492"/>
      <c r="G23" s="492"/>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IF('Age-Level'!I44="A","A","")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IF(Badges!I85="A","A"," ")</f>
        <v xml:space="preserve"> </v>
      </c>
      <c r="M24" s="247"/>
      <c r="N24" s="248" t="str">
        <f>Badges!C154</f>
        <v>Visit a water facility and explore its</v>
      </c>
      <c r="O24" s="250" t="str">
        <f>IF(Badges!I154="A","A"," ")</f>
        <v xml:space="preserve"> </v>
      </c>
      <c r="Q24" s="267">
        <v>2</v>
      </c>
      <c r="R24" s="344" t="str">
        <f>'Age-Level'!C45</f>
        <v>Find a woman in your community</v>
      </c>
      <c r="S24" s="262" t="str">
        <f>IF('Age-Level'!I45="A","A","")</f>
        <v/>
      </c>
    </row>
    <row r="25" spans="1:19" x14ac:dyDescent="0.2">
      <c r="A25" s="490" t="str">
        <f>Summary!A15</f>
        <v>Research and Development</v>
      </c>
      <c r="B25" s="491"/>
      <c r="C25" s="252" t="str">
        <f>IF(Badges!I227="C","C",IF(Badges!I227="P","P",""))</f>
        <v/>
      </c>
      <c r="E25" s="247"/>
      <c r="F25" s="248" t="str">
        <f>Badges!C31</f>
        <v>Talk to a great coach</v>
      </c>
      <c r="G25" s="250" t="str">
        <f>IF(Badges!I31="A","A"," ")</f>
        <v xml:space="preserve"> </v>
      </c>
      <c r="I25" s="247"/>
      <c r="J25" s="248" t="str">
        <f>Badges!C86</f>
        <v>Make a menu timeline</v>
      </c>
      <c r="K25" s="250" t="str">
        <f>IF(Badges!I86="A","A"," ")</f>
        <v xml:space="preserve"> </v>
      </c>
      <c r="M25" s="247"/>
      <c r="N25" s="248" t="str">
        <f>Badges!C155</f>
        <v>Investigate endangered marine life</v>
      </c>
      <c r="O25" s="250" t="str">
        <f>IF(Badges!I155="A","A"," ")</f>
        <v xml:space="preserve"> </v>
      </c>
      <c r="Q25" s="267">
        <v>3</v>
      </c>
      <c r="R25" s="344" t="str">
        <f>'Age-Level'!C46</f>
        <v>Gather three inspirational quotes</v>
      </c>
      <c r="S25" s="262" t="str">
        <f>IF('Age-Level'!I46="A","A","")</f>
        <v/>
      </c>
    </row>
    <row r="26" spans="1:19" x14ac:dyDescent="0.2">
      <c r="A26" s="490" t="str">
        <f>Summary!A16</f>
        <v>P &amp; L</v>
      </c>
      <c r="B26" s="491"/>
      <c r="C26" s="252" t="str">
        <f>IF(Badges!I240="C","C",IF(Badges!I240="P","P",""))</f>
        <v/>
      </c>
      <c r="E26" s="247"/>
      <c r="F26" s="248" t="str">
        <f>Badges!C32</f>
        <v>Watch three sports documentaries</v>
      </c>
      <c r="G26" s="250" t="str">
        <f>IF(Badges!I32="A","A"," ")</f>
        <v xml:space="preserve"> </v>
      </c>
      <c r="I26" s="247"/>
      <c r="J26" s="248" t="str">
        <f>Badges!C87</f>
        <v>Prepare a test meal for family or friends</v>
      </c>
      <c r="K26" s="250" t="str">
        <f>IF(Badges!I87="A","A"," ")</f>
        <v xml:space="preserve"> </v>
      </c>
      <c r="M26" s="247"/>
      <c r="N26" s="248" t="str">
        <f>Badges!C156</f>
        <v>Investigate water as a hazard</v>
      </c>
      <c r="O26" s="250" t="str">
        <f>IF(Badges!I156="A","A"," ")</f>
        <v xml:space="preserve"> </v>
      </c>
      <c r="Q26" s="267">
        <v>4</v>
      </c>
      <c r="R26" s="344" t="str">
        <f>'Age-Level'!C47</f>
        <v>Make something to remind you</v>
      </c>
      <c r="S26" s="262" t="str">
        <f>IF('Age-Level'!I47="A","A","")</f>
        <v/>
      </c>
    </row>
    <row r="27" spans="1:19" x14ac:dyDescent="0.2">
      <c r="A27" s="346"/>
      <c r="B27" s="346"/>
      <c r="C27" s="266"/>
      <c r="E27" s="247"/>
      <c r="F27" s="248" t="str">
        <f>Badges!C33</f>
        <v>Attend a coaching clinic or seminar</v>
      </c>
      <c r="G27" s="250" t="str">
        <f>IF(Badges!I33="A","A","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IF('Age-Level'!I48="A","A","")</f>
        <v/>
      </c>
    </row>
    <row r="28" spans="1:19" x14ac:dyDescent="0.2">
      <c r="A28" s="484" t="s">
        <v>84</v>
      </c>
      <c r="B28" s="484"/>
      <c r="C28" s="484"/>
      <c r="E28" s="247">
        <v>2</v>
      </c>
      <c r="F28" s="248" t="str">
        <f>Badges!C34</f>
        <v>Conduct a first assessment</v>
      </c>
      <c r="G28" s="249"/>
      <c r="I28" s="247"/>
      <c r="J28" s="248" t="str">
        <f>Badges!C89</f>
        <v>Expreiment with garnishes</v>
      </c>
      <c r="K28" s="250" t="str">
        <f>IF(Badges!I89="A","A"," ")</f>
        <v xml:space="preserve"> </v>
      </c>
      <c r="M28" s="247"/>
      <c r="N28" s="248" t="str">
        <f>Badges!C158</f>
        <v>Interview a water scientist</v>
      </c>
      <c r="O28" s="250" t="str">
        <f>IF(Badges!I158="A","A","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IF(Badges!I35="A","A"," ")</f>
        <v xml:space="preserve"> </v>
      </c>
      <c r="I29" s="247"/>
      <c r="J29" s="248" t="str">
        <f>Badges!C90</f>
        <v>Present food in interesting shapes</v>
      </c>
      <c r="K29" s="250" t="str">
        <f>IF(Badges!I90="A","A"," ")</f>
        <v xml:space="preserve"> </v>
      </c>
      <c r="M29" s="247"/>
      <c r="N29" s="248" t="str">
        <f>Badges!C159</f>
        <v>Explore the world of hydroelectricity</v>
      </c>
      <c r="O29" s="250" t="str">
        <f>IF(Badges!I159="A","A"," ")</f>
        <v xml:space="preserve"> </v>
      </c>
      <c r="Q29" s="268">
        <v>1</v>
      </c>
      <c r="R29" s="344" t="str">
        <f>'Age-Level'!C51</f>
        <v>Choose one line from the Law</v>
      </c>
      <c r="S29" s="262" t="str">
        <f>IF('Age-Level'!I51="A","A","")</f>
        <v/>
      </c>
    </row>
    <row r="30" spans="1:19" x14ac:dyDescent="0.2">
      <c r="B30" s="477" t="str">
        <f>Journey!B7</f>
        <v>The Girl Scout Advocate Award</v>
      </c>
      <c r="C30" s="478"/>
      <c r="E30" s="247"/>
      <c r="F30" s="248" t="str">
        <f>Badges!C36</f>
        <v>Host an initial session</v>
      </c>
      <c r="G30" s="250" t="str">
        <f>IF(Badges!I36="A","A"," ")</f>
        <v xml:space="preserve"> </v>
      </c>
      <c r="I30" s="247"/>
      <c r="J30" s="248" t="str">
        <f>Badges!C91</f>
        <v>Use serving ware in unusual ways</v>
      </c>
      <c r="K30" s="250" t="str">
        <f>IF(Badges!I91="A","A"," ")</f>
        <v xml:space="preserve"> </v>
      </c>
      <c r="M30" s="247"/>
      <c r="N30" s="248" t="str">
        <f>Badges!C160</f>
        <v>Design your own water innovation</v>
      </c>
      <c r="O30" s="250" t="str">
        <f>IF(Badges!I160="A","A"," ")</f>
        <v xml:space="preserve"> </v>
      </c>
      <c r="Q30" s="267">
        <v>2</v>
      </c>
      <c r="R30" s="344" t="str">
        <f>'Age-Level'!C52</f>
        <v>Find a woman in your community</v>
      </c>
      <c r="S30" s="262" t="str">
        <f>IF('Age-Level'!I52="A","A","")</f>
        <v/>
      </c>
    </row>
    <row r="31" spans="1:19" x14ac:dyDescent="0.2">
      <c r="B31" s="256">
        <f>Journey!H8</f>
        <v>0</v>
      </c>
      <c r="C31" s="252" t="str">
        <f>IF(Journey!I8="C","C",IF(Journey!I8="P","P",""))</f>
        <v/>
      </c>
      <c r="E31" s="247"/>
      <c r="F31" s="248" t="str">
        <f>Badges!C37</f>
        <v>Prepare a goal chart together</v>
      </c>
      <c r="G31" s="250" t="str">
        <f>IF(Badges!I37="A","A","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IF('Age-Level'!I53="A","A","")</f>
        <v/>
      </c>
    </row>
    <row r="32" spans="1:19" x14ac:dyDescent="0.2">
      <c r="B32" s="256">
        <f>Journey!H9</f>
        <v>0</v>
      </c>
      <c r="C32" s="252" t="str">
        <f>IF(Journey!I9="C","C",IF(Journey!I9="P","P",""))</f>
        <v/>
      </c>
      <c r="E32" s="339" t="str">
        <f>Badges!B29</f>
        <v>Coaching</v>
      </c>
      <c r="F32" s="340"/>
      <c r="G32" s="340"/>
      <c r="I32" s="247"/>
      <c r="J32" s="248" t="str">
        <f>Badges!C93</f>
        <v>Decorate according to your menu theme</v>
      </c>
      <c r="K32" s="250" t="str">
        <f>IF(Badges!I93="A","A"," ")</f>
        <v xml:space="preserve"> </v>
      </c>
      <c r="M32" s="247"/>
      <c r="N32" s="248" t="str">
        <f>Badges!C162</f>
        <v>Celebrate water with younger Girl Scouts</v>
      </c>
      <c r="O32" s="250" t="str">
        <f>IF(Badges!I162="A","A"," ")</f>
        <v xml:space="preserve"> </v>
      </c>
      <c r="Q32" s="267">
        <v>4</v>
      </c>
      <c r="R32" s="344" t="str">
        <f>'Age-Level'!C54</f>
        <v>Make something to remind you</v>
      </c>
      <c r="S32" s="262" t="str">
        <f>IF('Age-Level'!I54="A","A","")</f>
        <v/>
      </c>
    </row>
    <row r="33" spans="1:19" x14ac:dyDescent="0.2">
      <c r="B33" s="256">
        <f>Journey!H10</f>
        <v>0</v>
      </c>
      <c r="C33" s="252" t="str">
        <f>IF(Journey!I10="C","C",IF(Journey!I10="P","P",""))</f>
        <v/>
      </c>
      <c r="E33" s="247">
        <v>3</v>
      </c>
      <c r="F33" s="248" t="str">
        <f>Badges!C38</f>
        <v>Design your coaching plan</v>
      </c>
      <c r="G33" s="249"/>
      <c r="I33" s="247"/>
      <c r="J33" s="248" t="str">
        <f>Badges!C94</f>
        <v>Celebrate a special occasion</v>
      </c>
      <c r="K33" s="250" t="str">
        <f>IF(Badges!I94="A","A"," ")</f>
        <v xml:space="preserve"> </v>
      </c>
      <c r="M33" s="247"/>
      <c r="N33" s="248" t="str">
        <f>Badges!C163</f>
        <v>Share a water issue that matters to you</v>
      </c>
      <c r="O33" s="250" t="str">
        <f>IF(Badges!I163="A","A"," ")</f>
        <v xml:space="preserve"> </v>
      </c>
      <c r="Q33" s="267">
        <v>5</v>
      </c>
      <c r="R33" s="344" t="str">
        <f>'Age-Level'!C55</f>
        <v xml:space="preserve">Make a commitment to live what </v>
      </c>
      <c r="S33" s="364" t="str">
        <f>IF('Age-Level'!I55="A","A","")</f>
        <v/>
      </c>
    </row>
    <row r="34" spans="1:19" x14ac:dyDescent="0.2">
      <c r="A34" s="284"/>
      <c r="B34" s="473" t="str">
        <f>Journey!A14</f>
        <v>JUSTICE</v>
      </c>
      <c r="C34" s="474"/>
      <c r="E34" s="247"/>
      <c r="F34" s="248" t="str">
        <f>Badges!C39</f>
        <v xml:space="preserve">Design a special warm-up </v>
      </c>
      <c r="G34" s="250" t="str">
        <f>IF(Badges!I39="A","A"," ")</f>
        <v xml:space="preserve"> </v>
      </c>
      <c r="I34" s="247"/>
      <c r="J34" s="248" t="str">
        <f>Badges!C95</f>
        <v>Use food and fun to forge new friendships</v>
      </c>
      <c r="K34" s="250" t="str">
        <f>IF(Badges!I95="A","A"," ")</f>
        <v xml:space="preserve"> </v>
      </c>
      <c r="M34" s="247"/>
      <c r="N34" s="248" t="str">
        <f>Badges!C164</f>
        <v>Guide a group to a water place</v>
      </c>
      <c r="O34" s="250" t="str">
        <f>IF(Badges!I164="A","A"," ")</f>
        <v xml:space="preserve"> </v>
      </c>
      <c r="Q34" s="471" t="str">
        <f>'Age-Level'!B57</f>
        <v>Safety Award</v>
      </c>
      <c r="R34" s="472"/>
      <c r="S34" s="364"/>
    </row>
    <row r="35" spans="1:19" x14ac:dyDescent="0.2">
      <c r="A35" s="284"/>
      <c r="B35" s="479" t="str">
        <f>Journey!B15</f>
        <v>Sage Award</v>
      </c>
      <c r="C35" s="480"/>
      <c r="E35" s="247"/>
      <c r="F35" s="248" t="str">
        <f>Badges!C40</f>
        <v>Research and choose</v>
      </c>
      <c r="G35" s="250" t="str">
        <f>IF(Badges!I40="A","A","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IF('Age-Level'!I58="A","A","")</f>
        <v/>
      </c>
    </row>
    <row r="36" spans="1:19" ht="12.75" customHeight="1" x14ac:dyDescent="0.2">
      <c r="A36" s="284"/>
      <c r="B36" s="256">
        <f>Journey!H16</f>
        <v>0</v>
      </c>
      <c r="C36" s="252" t="str">
        <f>IF(Journey!I16="C","C",IF(Journey!I16="P","P",""))</f>
        <v/>
      </c>
      <c r="E36" s="247"/>
      <c r="F36" s="248" t="str">
        <f>Badges!C41</f>
        <v>Open and close each session</v>
      </c>
      <c r="G36" s="250" t="str">
        <f>IF(Badges!I41="A","A","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IF('Age-Level'!I59="A","A","")</f>
        <v/>
      </c>
    </row>
    <row r="37" spans="1:19" ht="12.75" customHeight="1" x14ac:dyDescent="0.2">
      <c r="A37" s="284"/>
      <c r="B37" s="256">
        <f>Journey!H17</f>
        <v>0</v>
      </c>
      <c r="C37" s="252" t="str">
        <f>IF(Journey!I17="C","C",IF(Journey!I17="P","P",""))</f>
        <v/>
      </c>
      <c r="E37" s="247">
        <v>4</v>
      </c>
      <c r="F37" s="248" t="str">
        <f>Badges!C42</f>
        <v>Put your plan in action</v>
      </c>
      <c r="G37" s="249"/>
      <c r="I37" s="247"/>
      <c r="J37" s="248" t="str">
        <f>Badges!C100</f>
        <v>Backcountry</v>
      </c>
      <c r="K37" s="250" t="str">
        <f>IF(Badges!I100="A","A"," ")</f>
        <v xml:space="preserve"> </v>
      </c>
      <c r="M37" s="247"/>
      <c r="N37" s="248" t="str">
        <f>Badges!C170</f>
        <v>Take a tour</v>
      </c>
      <c r="O37" s="250" t="str">
        <f>IF(Badges!I170="A","A"," ")</f>
        <v xml:space="preserve"> </v>
      </c>
      <c r="Q37" s="267">
        <v>3</v>
      </c>
      <c r="R37" s="344" t="str">
        <f>'Age-Level'!C60</f>
        <v>Teach a Daisy or Brownie what to do if</v>
      </c>
      <c r="S37" s="262" t="str">
        <f>IF('Age-Level'!I60="A","A","")</f>
        <v/>
      </c>
    </row>
    <row r="38" spans="1:19" x14ac:dyDescent="0.2">
      <c r="A38" s="284"/>
      <c r="B38" s="256">
        <f>Journey!H18</f>
        <v>0</v>
      </c>
      <c r="C38" s="252" t="str">
        <f>IF(Journey!I18="C","C",IF(Journey!I18="P","P",""))</f>
        <v/>
      </c>
      <c r="E38" s="247"/>
      <c r="F38" s="248" t="str">
        <f>Badges!C43</f>
        <v>Add a morale-boosting time-out</v>
      </c>
      <c r="G38" s="250" t="str">
        <f>IF(Badges!I43="A","A"," ")</f>
        <v xml:space="preserve"> </v>
      </c>
      <c r="I38" s="247"/>
      <c r="J38" s="248" t="str">
        <f>Badges!C101</f>
        <v>Open water</v>
      </c>
      <c r="K38" s="250" t="str">
        <f>IF(Badges!I101="A","A"," ")</f>
        <v xml:space="preserve"> </v>
      </c>
      <c r="M38" s="247"/>
      <c r="N38" s="248" t="str">
        <f>Badges!C171</f>
        <v>Interview a new tenant or homeowner</v>
      </c>
      <c r="O38" s="250" t="str">
        <f>IF(Badges!I171="A","A"," ")</f>
        <v xml:space="preserve"> </v>
      </c>
      <c r="Q38" s="267">
        <v>4</v>
      </c>
      <c r="R38" s="344" t="str">
        <f>'Age-Level'!C61</f>
        <v>With your family, make sure you have</v>
      </c>
      <c r="S38" s="262" t="str">
        <f>IF('Age-Level'!I61="A","A","")</f>
        <v/>
      </c>
    </row>
    <row r="39" spans="1:19" x14ac:dyDescent="0.2">
      <c r="A39" s="284"/>
      <c r="B39" s="256">
        <f>Journey!H19</f>
        <v>0</v>
      </c>
      <c r="C39" s="252" t="str">
        <f>IF(Journey!I19="C","C",IF(Journey!I19="P","P",""))</f>
        <v/>
      </c>
      <c r="E39" s="247"/>
      <c r="F39" s="248" t="str">
        <f>Badges!C44</f>
        <v>Ask your players to coach you!</v>
      </c>
      <c r="G39" s="250" t="str">
        <f>IF(Badges!I44="A","A"," ")</f>
        <v xml:space="preserve"> </v>
      </c>
      <c r="I39" s="247"/>
      <c r="J39" s="248" t="str">
        <f>Badges!C102</f>
        <v>Mountains</v>
      </c>
      <c r="K39" s="250" t="str">
        <f>IF(Badges!I102="A","A"," ")</f>
        <v xml:space="preserve"> </v>
      </c>
      <c r="M39" s="247"/>
      <c r="N39" s="248" t="str">
        <f>Badges!C172</f>
        <v>Be chart smart</v>
      </c>
      <c r="O39" s="250" t="str">
        <f>IF(Badges!I172="A","A"," ")</f>
        <v xml:space="preserve"> </v>
      </c>
      <c r="Q39" s="267">
        <v>5</v>
      </c>
      <c r="R39" s="344" t="str">
        <f>'Age-Level'!C62</f>
        <v>Discuss bullying with your Girl Scout</v>
      </c>
      <c r="S39" s="262" t="str">
        <f>IF('Age-Level'!I62="A","A","")</f>
        <v/>
      </c>
    </row>
    <row r="40" spans="1:19" x14ac:dyDescent="0.2">
      <c r="A40" s="284"/>
      <c r="B40" s="256">
        <f>Journey!H20</f>
        <v>0</v>
      </c>
      <c r="C40" s="252" t="str">
        <f>IF(Journey!I20="C","C",IF(Journey!I20="P","P",""))</f>
        <v/>
      </c>
      <c r="E40" s="247"/>
      <c r="F40" s="248" t="str">
        <f>Badges!C45</f>
        <v xml:space="preserve">Bring in another coah to watch </v>
      </c>
      <c r="G40" s="250" t="str">
        <f>IF(Badges!I45="A","A","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Journey!H21</f>
        <v>0</v>
      </c>
      <c r="C41" s="252" t="str">
        <f>IF(Journey!I21="C","C",IF(Journey!I21="P","P",""))</f>
        <v/>
      </c>
      <c r="E41" s="247">
        <v>5</v>
      </c>
      <c r="F41" s="248" t="str">
        <f>Badges!C46</f>
        <v>Attend the big event</v>
      </c>
      <c r="G41" s="249"/>
      <c r="I41" s="247"/>
      <c r="J41" s="248" t="str">
        <f>Badges!C104</f>
        <v>Wilderness rescue</v>
      </c>
      <c r="K41" s="250" t="str">
        <f>IF(Badges!I104="A","A"," ")</f>
        <v xml:space="preserve"> </v>
      </c>
      <c r="M41" s="247"/>
      <c r="N41" s="248" t="str">
        <f>Badges!C174</f>
        <v>Focus on your finances</v>
      </c>
      <c r="O41" s="250" t="str">
        <f>IF(Badges!I174="A","A"," ")</f>
        <v xml:space="preserve"> </v>
      </c>
    </row>
    <row r="42" spans="1:19" ht="12.75" customHeight="1" x14ac:dyDescent="0.2">
      <c r="A42" s="254"/>
      <c r="B42" s="475" t="str">
        <f>Journey!A25</f>
        <v>BLISS: Live it! Give It!</v>
      </c>
      <c r="C42" s="476"/>
      <c r="E42" s="247"/>
      <c r="F42" s="248" t="str">
        <f>Badges!C47</f>
        <v>Meet with your players for a relaxing</v>
      </c>
      <c r="G42" s="250" t="str">
        <f>IF(Badges!I47="A","A"," ")</f>
        <v xml:space="preserve"> </v>
      </c>
      <c r="I42" s="247"/>
      <c r="J42" s="248" t="str">
        <f>Badges!C105</f>
        <v>Disaster preparedness</v>
      </c>
      <c r="K42" s="250" t="str">
        <f>IF(Badges!I105="A","A"," ")</f>
        <v xml:space="preserve"> </v>
      </c>
      <c r="M42" s="247"/>
      <c r="N42" s="248" t="str">
        <f>Badges!C175</f>
        <v>Shop talk</v>
      </c>
      <c r="O42" s="250" t="str">
        <f>IF(Badges!I175="A","A"," ")</f>
        <v xml:space="preserve"> </v>
      </c>
      <c r="Q42" s="505"/>
      <c r="R42" s="505"/>
      <c r="S42" s="240"/>
    </row>
    <row r="43" spans="1:19" ht="12.75" customHeight="1" x14ac:dyDescent="0.2">
      <c r="B43" s="477" t="str">
        <f>Journey!B26</f>
        <v>Dream Maker Award</v>
      </c>
      <c r="C43" s="478"/>
      <c r="E43" s="247"/>
      <c r="F43" s="248" t="str">
        <f>Badges!C48</f>
        <v>Host a celebration</v>
      </c>
      <c r="G43" s="250" t="str">
        <f>IF(Badges!I48="A","A"," ")</f>
        <v xml:space="preserve"> </v>
      </c>
      <c r="I43" s="247"/>
      <c r="J43" s="248" t="str">
        <f>Badges!C106</f>
        <v>Military medicine</v>
      </c>
      <c r="K43" s="250" t="str">
        <f>IF(Badges!I106="A","A"," ")</f>
        <v xml:space="preserve"> </v>
      </c>
      <c r="M43" s="247"/>
      <c r="N43" s="248" t="str">
        <f>Badges!C176</f>
        <v>Audit request</v>
      </c>
      <c r="O43" s="250" t="str">
        <f>IF(Badges!I176="A","A"," ")</f>
        <v xml:space="preserve"> </v>
      </c>
      <c r="Q43" s="267"/>
      <c r="R43" s="267"/>
      <c r="S43" s="240"/>
    </row>
    <row r="44" spans="1:19" x14ac:dyDescent="0.2">
      <c r="B44" s="256">
        <f>Journey!H27</f>
        <v>0</v>
      </c>
      <c r="C44" s="252" t="str">
        <f>IF(Journey!I27="C","C",IF(Journey!I27="P","P",""))</f>
        <v/>
      </c>
      <c r="E44" s="247"/>
      <c r="F44" s="248" t="str">
        <f>Badges!C49</f>
        <v>Make a "trading card" for each athlete</v>
      </c>
      <c r="G44" s="250" t="str">
        <f>IF(Badges!I49="A","A","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Journey!H28</f>
        <v>0</v>
      </c>
      <c r="C45" s="252" t="str">
        <f>IF(Journey!I28="C","C",IF(Journey!I28="P","P",""))</f>
        <v/>
      </c>
      <c r="E45" s="492" t="str">
        <f>Badges!B52</f>
        <v>Public Policy</v>
      </c>
      <c r="F45" s="492"/>
      <c r="G45" s="492"/>
      <c r="I45" s="247"/>
      <c r="J45" s="248" t="str">
        <f>Badges!C108</f>
        <v>Take a wilderness first aid course</v>
      </c>
      <c r="K45" s="250" t="str">
        <f>IF(Badges!I108="A","A"," ")</f>
        <v xml:space="preserve"> </v>
      </c>
      <c r="M45" s="247"/>
      <c r="N45" s="248" t="str">
        <f>Badges!C178</f>
        <v>Hooray for hobbies!</v>
      </c>
      <c r="O45" s="250" t="str">
        <f>IF(Badges!I178="A","A"," ")</f>
        <v xml:space="preserve"> </v>
      </c>
      <c r="Q45" s="267"/>
      <c r="R45" s="267"/>
      <c r="S45" s="240"/>
    </row>
    <row r="46" spans="1:19" x14ac:dyDescent="0.2">
      <c r="B46" s="256">
        <f>Journey!H29</f>
        <v>0</v>
      </c>
      <c r="C46" s="252" t="str">
        <f>IF(Journey!I29="C","C",IF(Journey!I29="P","P",""))</f>
        <v/>
      </c>
      <c r="E46" s="247">
        <v>1</v>
      </c>
      <c r="F46" s="248" t="str">
        <f>Badges!C53</f>
        <v>Find out how activitists advocate for change</v>
      </c>
      <c r="G46" s="249" t="s">
        <v>26</v>
      </c>
      <c r="I46" s="247"/>
      <c r="J46" s="248" t="str">
        <f>Badges!C109</f>
        <v>Interview a doctor, nurse, EMT, or first</v>
      </c>
      <c r="K46" s="250" t="str">
        <f>IF(Badges!I109="A","A"," ")</f>
        <v xml:space="preserve"> </v>
      </c>
      <c r="M46" s="247"/>
      <c r="N46" s="248" t="str">
        <f>Badges!C179</f>
        <v>Treat yourself</v>
      </c>
      <c r="O46" s="250" t="str">
        <f>IF(Badges!I179="A","A"," ")</f>
        <v xml:space="preserve"> </v>
      </c>
      <c r="Q46" s="267"/>
      <c r="R46" s="267"/>
      <c r="S46" s="240"/>
    </row>
    <row r="47" spans="1:19" x14ac:dyDescent="0.2">
      <c r="B47" s="256">
        <f>Journey!H30</f>
        <v>0</v>
      </c>
      <c r="C47" s="252" t="str">
        <f>IF(Journey!I30="C","C",IF(Journey!I30="P","P",""))</f>
        <v/>
      </c>
      <c r="E47" s="247"/>
      <c r="F47" s="248" t="str">
        <f>Badges!C54</f>
        <v>Interview an activist</v>
      </c>
      <c r="G47" s="250" t="str">
        <f>IF(Badges!I54="A","A"," ")</f>
        <v xml:space="preserve"> </v>
      </c>
      <c r="I47" s="247"/>
      <c r="J47" s="248" t="str">
        <f>Badges!C110</f>
        <v xml:space="preserve">Discover how to use what's on hand in </v>
      </c>
      <c r="K47" s="250" t="str">
        <f>IF(Badges!I110="A","A"," ")</f>
        <v xml:space="preserve"> </v>
      </c>
      <c r="M47" s="247"/>
      <c r="N47" s="248" t="str">
        <f>Badges!C180</f>
        <v>Class act</v>
      </c>
      <c r="O47" s="250" t="str">
        <f>IF(Badges!I180="A","A"," ")</f>
        <v xml:space="preserve"> </v>
      </c>
      <c r="Q47" s="267"/>
      <c r="R47" s="267"/>
      <c r="S47" s="240"/>
    </row>
    <row r="48" spans="1:19" x14ac:dyDescent="0.2">
      <c r="B48" s="264"/>
      <c r="C48" s="264"/>
      <c r="E48" s="247"/>
      <c r="F48" s="248" t="str">
        <f>Badges!C55</f>
        <v>Watch a documentary or movie</v>
      </c>
      <c r="G48" s="250" t="str">
        <f>IF(Badges!I55="A","A"," ")</f>
        <v xml:space="preserve"> </v>
      </c>
      <c r="I48" s="339" t="str">
        <f>Badges!B98</f>
        <v>Ambassador First Aid</v>
      </c>
      <c r="J48" s="340"/>
      <c r="K48" s="340"/>
      <c r="M48" s="247">
        <v>4</v>
      </c>
      <c r="N48" s="248" t="str">
        <f>Badges!C181</f>
        <v>Plan for the unexpected</v>
      </c>
      <c r="O48" s="249"/>
    </row>
    <row r="49" spans="1:19" x14ac:dyDescent="0.2">
      <c r="A49" s="484" t="s">
        <v>316</v>
      </c>
      <c r="B49" s="484"/>
      <c r="C49" s="484"/>
      <c r="E49" s="247"/>
      <c r="F49" s="248" t="str">
        <f>Badges!C56</f>
        <v xml:space="preserve">Read about women who change the </v>
      </c>
      <c r="G49" s="250" t="str">
        <f>IF(Badges!I56="A","A"," ")</f>
        <v xml:space="preserve"> </v>
      </c>
      <c r="I49" s="247">
        <v>4</v>
      </c>
      <c r="J49" s="248" t="str">
        <f>Badges!C111</f>
        <v>Know how to move an injured person</v>
      </c>
      <c r="K49" s="249"/>
      <c r="M49" s="247"/>
      <c r="N49" s="248" t="str">
        <f>Badges!C182</f>
        <v>Interview your network</v>
      </c>
      <c r="O49" s="250" t="str">
        <f>IF(Badges!I182="A","A"," ")</f>
        <v xml:space="preserve"> </v>
      </c>
    </row>
    <row r="50" spans="1:19" x14ac:dyDescent="0.2">
      <c r="A50" s="259"/>
      <c r="B50" s="345" t="str">
        <f>Bridging!B6</f>
        <v>Pass It On!</v>
      </c>
      <c r="C50" s="251" t="str">
        <f>IF(Bridging!I10="C","C",IF(Bridging!I10="P","P",""))</f>
        <v/>
      </c>
      <c r="E50" s="247">
        <v>2</v>
      </c>
      <c r="F50" s="248" t="str">
        <f>Badges!C57</f>
        <v>Engage as a global citizen</v>
      </c>
      <c r="G50" s="249"/>
      <c r="I50" s="247"/>
      <c r="J50" s="248" t="str">
        <f>Badges!C112</f>
        <v>Visit a medical school</v>
      </c>
      <c r="K50" s="250" t="str">
        <f>IF(Badges!I112="A","A"," ")</f>
        <v xml:space="preserve"> </v>
      </c>
      <c r="M50" s="247"/>
      <c r="N50" s="248" t="str">
        <f>Badges!C183</f>
        <v>Interview a Financial guru</v>
      </c>
      <c r="O50" s="250" t="str">
        <f>IF(Badges!I183="A","A"," ")</f>
        <v xml:space="preserve"> </v>
      </c>
    </row>
    <row r="51" spans="1:19" x14ac:dyDescent="0.2">
      <c r="A51" s="259"/>
      <c r="B51" s="260" t="str">
        <f>Bridging!B11</f>
        <v>Look Ahead!</v>
      </c>
      <c r="C51" s="251" t="str">
        <f>IF(Bridging!I15="C","C",IF(Bridging!I15="P","P",""))</f>
        <v/>
      </c>
      <c r="E51" s="247"/>
      <c r="F51" s="248" t="str">
        <f>Badges!C58</f>
        <v>Compare laws</v>
      </c>
      <c r="G51" s="250" t="str">
        <f>IF(Badges!I58="A","A"," ")</f>
        <v xml:space="preserve"> </v>
      </c>
      <c r="I51" s="247"/>
      <c r="J51" s="248" t="str">
        <f>Badges!C113</f>
        <v>Take a wilderness first aid course</v>
      </c>
      <c r="K51" s="250" t="str">
        <f>IF(Badges!I113="A","A"," ")</f>
        <v xml:space="preserve"> </v>
      </c>
      <c r="M51" s="247"/>
      <c r="N51" s="248" t="str">
        <f>Badges!C184</f>
        <v>Interview an insurance expert</v>
      </c>
      <c r="O51" s="250" t="str">
        <f>IF(Badges!I184="A","A"," ")</f>
        <v xml:space="preserve"> </v>
      </c>
    </row>
    <row r="52" spans="1:19" x14ac:dyDescent="0.2">
      <c r="A52" s="259"/>
      <c r="B52" s="344" t="str">
        <f>Bridging!C16</f>
        <v>Plan a Ceremony</v>
      </c>
      <c r="C52" s="251" t="str">
        <f>IF(Bridging!I17="C","C",IF(Bridging!I17="P","P",""))</f>
        <v/>
      </c>
      <c r="E52" s="247"/>
      <c r="F52" s="248" t="str">
        <f>Badges!C59</f>
        <v xml:space="preserve">Track a public-policy issue being </v>
      </c>
      <c r="G52" s="250" t="str">
        <f>IF(Badges!I59="A","A"," ")</f>
        <v xml:space="preserve"> </v>
      </c>
      <c r="I52" s="247"/>
      <c r="J52" s="248" t="str">
        <f>Badges!C114</f>
        <v>Organize a mock emergency drill</v>
      </c>
      <c r="K52" s="250" t="str">
        <f>IF(Badges!I114="A","A"," ")</f>
        <v xml:space="preserve"> </v>
      </c>
      <c r="M52" s="339" t="str">
        <f>Badges!B168</f>
        <v>On My Own</v>
      </c>
      <c r="N52" s="340"/>
      <c r="O52" s="340"/>
    </row>
    <row r="53" spans="1:19" x14ac:dyDescent="0.2">
      <c r="B53" s="261" t="s">
        <v>134</v>
      </c>
      <c r="C53" s="251" t="str">
        <f>IF(Bridging!I18="C","C",IF(Bridging!I18="P","P",""))</f>
        <v/>
      </c>
      <c r="E53" s="247"/>
      <c r="F53" s="248" t="str">
        <f>Badges!C60</f>
        <v>Explore an international NGO</v>
      </c>
      <c r="G53" s="250" t="str">
        <f>IF(Badges!I60="A","A","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IF(Badges!I116="A","A"," ")</f>
        <v xml:space="preserve"> </v>
      </c>
      <c r="M54" s="247"/>
      <c r="N54" s="248" t="str">
        <f>Badges!C186</f>
        <v>Plan for presents</v>
      </c>
      <c r="O54" s="250" t="str">
        <f>IF(Badges!I186="A","A"," ")</f>
        <v xml:space="preserve"> </v>
      </c>
      <c r="Q54" s="267"/>
      <c r="R54" s="267"/>
      <c r="S54" s="240"/>
    </row>
    <row r="55" spans="1:19" x14ac:dyDescent="0.2">
      <c r="I55" s="247"/>
      <c r="J55" s="248" t="str">
        <f>Badges!C117</f>
        <v>Investigate extreme first aid</v>
      </c>
      <c r="K55" s="250" t="str">
        <f>IF(Badges!I117="A","A"," ")</f>
        <v xml:space="preserve"> </v>
      </c>
      <c r="M55" s="247"/>
      <c r="N55" s="248" t="str">
        <f>Badges!C187</f>
        <v>Budget for your time</v>
      </c>
      <c r="O55" s="250" t="str">
        <f>IF(Badges!I187="A","A"," ")</f>
        <v xml:space="preserve"> </v>
      </c>
      <c r="Q55" s="496"/>
      <c r="R55" s="496"/>
      <c r="S55" s="496"/>
    </row>
    <row r="56" spans="1:19" x14ac:dyDescent="0.2">
      <c r="I56" s="247"/>
      <c r="J56" s="248" t="str">
        <f>Badges!C118</f>
        <v>Interview an everyday hero</v>
      </c>
      <c r="K56" s="250" t="str">
        <f>IF(Badges!I118="A","A"," ")</f>
        <v xml:space="preserve"> </v>
      </c>
      <c r="M56" s="247"/>
      <c r="N56" s="248" t="str">
        <f>Badges!C188</f>
        <v>Charity starts… with a budget</v>
      </c>
      <c r="O56" s="250" t="str">
        <f>IF(Badges!I188="A","A","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IF(Badges!I123="A","A"," ")</f>
        <v xml:space="preserve"> </v>
      </c>
      <c r="M59" s="247"/>
      <c r="N59" s="248" t="str">
        <f>Badges!C217</f>
        <v>Invest some R&amp;D</v>
      </c>
      <c r="O59" s="250" t="str">
        <f>IF(Badges!I217="A","A"," ")</f>
        <v xml:space="preserve"> </v>
      </c>
    </row>
    <row r="60" spans="1:19" x14ac:dyDescent="0.2">
      <c r="I60" s="247"/>
      <c r="J60" s="248" t="str">
        <f>Badges!C124</f>
        <v xml:space="preserve">Ogranize a songfest for younger </v>
      </c>
      <c r="K60" s="250" t="str">
        <f>IF(Badges!I124="A","A"," ")</f>
        <v xml:space="preserve"> </v>
      </c>
      <c r="M60" s="247">
        <v>2</v>
      </c>
      <c r="N60" s="248" t="str">
        <f>Badges!C218</f>
        <v>Reasearch how other companies innovate</v>
      </c>
      <c r="O60" s="249"/>
    </row>
    <row r="61" spans="1:19" ht="12.75" customHeight="1" x14ac:dyDescent="0.2">
      <c r="I61" s="247"/>
      <c r="J61" s="248" t="str">
        <f>Badges!C125</f>
        <v>Bring generations together in song</v>
      </c>
      <c r="K61" s="250" t="str">
        <f>IF(Badges!I125="A","A"," ")</f>
        <v xml:space="preserve"> </v>
      </c>
      <c r="M61" s="247"/>
      <c r="N61" s="248" t="str">
        <f>Badges!C219</f>
        <v>Find at least three other companies</v>
      </c>
      <c r="O61" s="250" t="str">
        <f>IF(Badges!I219="A","A"," ")</f>
        <v xml:space="preserve"> </v>
      </c>
    </row>
    <row r="62" spans="1:19" ht="12.75" customHeight="1"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IF(Badges!I127="A","A"," ")</f>
        <v xml:space="preserve"> </v>
      </c>
      <c r="M63" s="247"/>
      <c r="N63" s="248" t="str">
        <f>Badges!C221</f>
        <v>Developing a new product</v>
      </c>
      <c r="O63" s="250" t="str">
        <f>IF(Badges!I221="A","A"," ")</f>
        <v xml:space="preserve"> </v>
      </c>
    </row>
    <row r="64" spans="1:19" x14ac:dyDescent="0.2">
      <c r="I64" s="247"/>
      <c r="J64" s="248" t="str">
        <f>Badges!C128</f>
        <v>Make World Thinking Day cards</v>
      </c>
      <c r="K64" s="250" t="str">
        <f>IF(Badges!I128="A","A","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IF(Badges!I129="A","A"," ")</f>
        <v xml:space="preserve"> </v>
      </c>
      <c r="M65" s="247"/>
      <c r="N65" s="248" t="str">
        <f>Badges!C223</f>
        <v>If you're considering serveral</v>
      </c>
      <c r="O65" s="250" t="str">
        <f>IF(Badges!I223="A","A","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IF(Badges!I225="A","A","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484"/>
      <c r="G72" s="484"/>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Own'!I28="C","C",IF('Council Own'!I28="P","P",""))</f>
        <v/>
      </c>
      <c r="E73" s="493" t="str">
        <f>'Fun Patches'!C5</f>
        <v>&lt;LIST PATCH HERE&gt;</v>
      </c>
      <c r="F73" s="494"/>
      <c r="G73" s="250" t="str">
        <f>IF('Fun Patches'!I5="A","A","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Own'!I52="C","C",IF('Council Own'!I52="P","P",""))</f>
        <v/>
      </c>
      <c r="E74" s="471" t="str">
        <f>'Fun Patches'!C6</f>
        <v>&lt;LIST PATCH HERE&gt;</v>
      </c>
      <c r="F74" s="472"/>
      <c r="G74" s="257" t="str">
        <f>IF('Fun Patches'!I6="A","A"," ")</f>
        <v xml:space="preserve"> </v>
      </c>
      <c r="H74" s="254"/>
      <c r="I74" s="247">
        <v>1</v>
      </c>
      <c r="J74" s="344" t="str">
        <f>'Council Own'!C7</f>
        <v>&lt;List Requirement Here&gt;</v>
      </c>
      <c r="K74" s="257" t="str">
        <f>IF('Council Own'!I7="A","A"," ")</f>
        <v xml:space="preserve"> </v>
      </c>
      <c r="L74" s="254"/>
      <c r="M74" s="247">
        <v>1</v>
      </c>
      <c r="N74" s="344" t="str">
        <f>'Council Own'!C55</f>
        <v>&lt;List Requirement Here&gt;</v>
      </c>
      <c r="O74" s="257" t="str">
        <f>IF('Council Own'!I55="A","A"," ")</f>
        <v xml:space="preserve"> </v>
      </c>
      <c r="Q74" s="247">
        <v>1</v>
      </c>
      <c r="R74" s="344" t="str">
        <f>'Council Own'!C103</f>
        <v>&lt;List Requirement Here&gt;</v>
      </c>
      <c r="S74" s="257" t="str">
        <f>IF('Council Own'!I103="A","A"," ")</f>
        <v xml:space="preserve"> </v>
      </c>
    </row>
    <row r="75" spans="1:19" x14ac:dyDescent="0.2">
      <c r="A75" s="485" t="str">
        <f>'Council Own'!B54</f>
        <v>&lt;&lt;List Badge Here&gt;&gt;</v>
      </c>
      <c r="B75" s="486"/>
      <c r="C75" s="252" t="str">
        <f>IF('Council Own'!I76="C","C",IF('Council Own'!I76="P","P",""))</f>
        <v/>
      </c>
      <c r="E75" s="471" t="str">
        <f>'Fun Patches'!C7</f>
        <v>&lt;LIST PATCH HERE&gt;</v>
      </c>
      <c r="F75" s="472"/>
      <c r="G75" s="257" t="str">
        <f>IF('Fun Patches'!I7="A","A"," ")</f>
        <v xml:space="preserve"> </v>
      </c>
      <c r="H75" s="254"/>
      <c r="I75" s="247"/>
      <c r="J75" s="344" t="str">
        <f>'Council Own'!C8</f>
        <v>&lt;List Requirement Here&gt;</v>
      </c>
      <c r="K75" s="257" t="str">
        <f>IF('Council Own'!I8="A","A"," ")</f>
        <v xml:space="preserve"> </v>
      </c>
      <c r="L75" s="254"/>
      <c r="M75" s="247"/>
      <c r="N75" s="344" t="str">
        <f>'Council Own'!C56</f>
        <v>&lt;List Requirement Here&gt;</v>
      </c>
      <c r="O75" s="257" t="str">
        <f>IF('Council Own'!I56="A","A"," ")</f>
        <v xml:space="preserve"> </v>
      </c>
      <c r="Q75" s="247"/>
      <c r="R75" s="344" t="str">
        <f>'Council Own'!C104</f>
        <v>&lt;List Requirement Here&gt;</v>
      </c>
      <c r="S75" s="257" t="str">
        <f>IF('Council Own'!I104="A","A"," ")</f>
        <v xml:space="preserve"> </v>
      </c>
    </row>
    <row r="76" spans="1:19" x14ac:dyDescent="0.2">
      <c r="A76" s="485" t="str">
        <f>'Council Own'!B78</f>
        <v>&lt;&lt;List Badge Here&gt;&gt;</v>
      </c>
      <c r="B76" s="486"/>
      <c r="C76" s="252" t="str">
        <f>IF('Council Own'!I100="C","C",IF('Council Own'!I100="P","P",""))</f>
        <v/>
      </c>
      <c r="E76" s="471" t="str">
        <f>'Fun Patches'!C8</f>
        <v>&lt;LIST PATCH HERE&gt;</v>
      </c>
      <c r="F76" s="472"/>
      <c r="G76" s="257" t="str">
        <f>IF('Fun Patches'!I8="A","A"," ")</f>
        <v xml:space="preserve"> </v>
      </c>
      <c r="H76" s="254"/>
      <c r="I76" s="247"/>
      <c r="J76" s="344" t="str">
        <f>'Council Own'!C9</f>
        <v>&lt;List Requirement Here&gt;</v>
      </c>
      <c r="K76" s="257" t="str">
        <f>IF('Council Own'!I9="A","A"," ")</f>
        <v xml:space="preserve"> </v>
      </c>
      <c r="L76" s="254"/>
      <c r="M76" s="247"/>
      <c r="N76" s="344" t="str">
        <f>'Council Own'!C57</f>
        <v>&lt;List Requirement Here&gt;</v>
      </c>
      <c r="O76" s="257" t="str">
        <f>IF('Council Own'!I57="A","A"," ")</f>
        <v xml:space="preserve"> </v>
      </c>
      <c r="Q76" s="247"/>
      <c r="R76" s="344" t="str">
        <f>'Council Own'!C105</f>
        <v>&lt;List Requirement Here&gt;</v>
      </c>
      <c r="S76" s="257" t="str">
        <f>IF('Council Own'!I105="A","A"," ")</f>
        <v xml:space="preserve"> </v>
      </c>
    </row>
    <row r="77" spans="1:19" x14ac:dyDescent="0.2">
      <c r="A77" s="485" t="str">
        <f>'Council Own'!B102</f>
        <v>&lt;&lt;List Badge Here&gt;&gt;</v>
      </c>
      <c r="B77" s="486"/>
      <c r="C77" s="252" t="str">
        <f>IF('Council Own'!I124="C","C",IF('Council Own'!I124="P","P",""))</f>
        <v/>
      </c>
      <c r="E77" s="471" t="str">
        <f>'Fun Patches'!C9</f>
        <v>&lt;LIST PATCH HERE&gt;</v>
      </c>
      <c r="F77" s="472"/>
      <c r="G77" s="257" t="str">
        <f>IF('Fun Patches'!I9="A","A"," ")</f>
        <v xml:space="preserve"> </v>
      </c>
      <c r="H77" s="254"/>
      <c r="I77" s="247"/>
      <c r="J77" s="344" t="str">
        <f>'Council Own'!C10</f>
        <v>&lt;List Requirement Here&gt;</v>
      </c>
      <c r="K77" s="257" t="str">
        <f>IF('Council Own'!I10="A","A"," ")</f>
        <v xml:space="preserve"> </v>
      </c>
      <c r="L77" s="254"/>
      <c r="M77" s="247"/>
      <c r="N77" s="344" t="str">
        <f>'Council Own'!C58</f>
        <v>&lt;List Requirement Here&gt;</v>
      </c>
      <c r="O77" s="257" t="str">
        <f>IF('Council Own'!I58="A","A"," ")</f>
        <v xml:space="preserve"> </v>
      </c>
      <c r="Q77" s="247"/>
      <c r="R77" s="344" t="str">
        <f>'Council Own'!C106</f>
        <v>&lt;List Requirement Here&gt;</v>
      </c>
      <c r="S77" s="257" t="str">
        <f>IF('Council Own'!I106="A","A"," ")</f>
        <v xml:space="preserve"> </v>
      </c>
    </row>
    <row r="78" spans="1:19" x14ac:dyDescent="0.2">
      <c r="A78" s="485" t="str">
        <f>'Council Own'!B126</f>
        <v>&lt;&lt;List Badge Here&gt;&gt;</v>
      </c>
      <c r="B78" s="486"/>
      <c r="C78" s="252" t="str">
        <f>IF('Council Own'!I148="C","C",IF('Council Own'!I148="P","P",""))</f>
        <v/>
      </c>
      <c r="E78" s="471" t="str">
        <f>'Fun Patches'!C10</f>
        <v>&lt;LIST PATCH HERE&gt;</v>
      </c>
      <c r="F78" s="472"/>
      <c r="G78" s="257" t="str">
        <f>IF('Fun Patches'!I10="A","A"," ")</f>
        <v xml:space="preserve"> </v>
      </c>
      <c r="I78" s="247">
        <v>2</v>
      </c>
      <c r="J78" s="344" t="str">
        <f>'Council Own'!C11</f>
        <v>&lt;List Requirement Here&gt;</v>
      </c>
      <c r="K78" s="257" t="str">
        <f>IF('Council Own'!I11="A","A"," ")</f>
        <v xml:space="preserve"> </v>
      </c>
      <c r="M78" s="247">
        <v>2</v>
      </c>
      <c r="N78" s="344" t="str">
        <f>'Council Own'!C59</f>
        <v>&lt;List Requirement Here&gt;</v>
      </c>
      <c r="O78" s="257" t="str">
        <f>IF('Council Own'!I59="A","A"," ")</f>
        <v xml:space="preserve"> </v>
      </c>
      <c r="Q78" s="247">
        <v>2</v>
      </c>
      <c r="R78" s="344" t="str">
        <f>'Council Own'!C107</f>
        <v>&lt;List Requirement Here&gt;</v>
      </c>
      <c r="S78" s="257" t="str">
        <f>IF('Council Own'!I107="A","A"," ")</f>
        <v xml:space="preserve"> </v>
      </c>
    </row>
    <row r="79" spans="1:19" x14ac:dyDescent="0.2">
      <c r="E79" s="471" t="str">
        <f>'Fun Patches'!C11</f>
        <v>&lt;LIST PATCH HERE&gt;</v>
      </c>
      <c r="F79" s="472"/>
      <c r="G79" s="257" t="str">
        <f>IF('Fun Patches'!I11="A","A"," ")</f>
        <v xml:space="preserve"> </v>
      </c>
      <c r="I79" s="247"/>
      <c r="J79" s="344" t="str">
        <f>'Council Own'!C12</f>
        <v>&lt;List Requirement Here&gt;</v>
      </c>
      <c r="K79" s="257" t="str">
        <f>IF('Council Own'!I12="A","A"," ")</f>
        <v xml:space="preserve"> </v>
      </c>
      <c r="M79" s="247"/>
      <c r="N79" s="344" t="str">
        <f>'Council Own'!C60</f>
        <v>&lt;List Requirement Here&gt;</v>
      </c>
      <c r="O79" s="257" t="str">
        <f>IF('Council Own'!I60="A","A"," ")</f>
        <v xml:space="preserve"> </v>
      </c>
      <c r="Q79" s="247"/>
      <c r="R79" s="344" t="str">
        <f>'Council Own'!C108</f>
        <v>&lt;List Requirement Here&gt;</v>
      </c>
      <c r="S79" s="257" t="str">
        <f>IF('Council Own'!I108="A","A"," ")</f>
        <v xml:space="preserve"> </v>
      </c>
    </row>
    <row r="80" spans="1:19" x14ac:dyDescent="0.2">
      <c r="E80" s="471" t="str">
        <f>'Fun Patches'!C12</f>
        <v>&lt;LIST PATCH HERE&gt;</v>
      </c>
      <c r="F80" s="472"/>
      <c r="G80" s="257" t="str">
        <f>IF('Fun Patches'!I12="A","A"," ")</f>
        <v xml:space="preserve"> </v>
      </c>
      <c r="I80" s="247"/>
      <c r="J80" s="344" t="str">
        <f>'Council Own'!C13</f>
        <v>&lt;List Requirement Here&gt;</v>
      </c>
      <c r="K80" s="257" t="str">
        <f>IF('Council Own'!I13="A","A"," ")</f>
        <v xml:space="preserve"> </v>
      </c>
      <c r="M80" s="247"/>
      <c r="N80" s="344" t="str">
        <f>'Council Own'!C61</f>
        <v>&lt;List Requirement Here&gt;</v>
      </c>
      <c r="O80" s="257" t="str">
        <f>IF('Council Own'!I61="A","A"," ")</f>
        <v xml:space="preserve"> </v>
      </c>
      <c r="Q80" s="247"/>
      <c r="R80" s="344" t="str">
        <f>'Council Own'!C109</f>
        <v>&lt;List Requirement Here&gt;</v>
      </c>
      <c r="S80" s="257" t="str">
        <f>IF('Council Own'!I109="A","A"," ")</f>
        <v xml:space="preserve"> </v>
      </c>
    </row>
    <row r="81" spans="1:22" x14ac:dyDescent="0.2">
      <c r="E81" s="471" t="str">
        <f>'Fun Patches'!C13</f>
        <v>&lt;LIST PATCH HERE&gt;</v>
      </c>
      <c r="F81" s="472"/>
      <c r="G81" s="257" t="str">
        <f>IF('Fun Patches'!I13="A","A"," ")</f>
        <v xml:space="preserve"> </v>
      </c>
      <c r="I81" s="247"/>
      <c r="J81" s="344" t="str">
        <f>'Council Own'!C14</f>
        <v>&lt;List Requirement Here&gt;</v>
      </c>
      <c r="K81" s="257" t="str">
        <f>IF('Council Own'!I14="A","A"," ")</f>
        <v xml:space="preserve"> </v>
      </c>
      <c r="M81" s="247"/>
      <c r="N81" s="344" t="str">
        <f>'Council Own'!C62</f>
        <v>&lt;List Requirement Here&gt;</v>
      </c>
      <c r="O81" s="257" t="str">
        <f>IF('Council Own'!I62="A","A"," ")</f>
        <v xml:space="preserve"> </v>
      </c>
      <c r="Q81" s="247"/>
      <c r="R81" s="344" t="str">
        <f>'Council Own'!C110</f>
        <v>&lt;List Requirement Here&gt;</v>
      </c>
      <c r="S81" s="257" t="str">
        <f>IF('Council Own'!I110="A","A"," ")</f>
        <v xml:space="preserve"> </v>
      </c>
    </row>
    <row r="82" spans="1:22" x14ac:dyDescent="0.2">
      <c r="E82" s="471" t="str">
        <f>'Fun Patches'!C14</f>
        <v>&lt;LIST PATCH HERE&gt;</v>
      </c>
      <c r="F82" s="472"/>
      <c r="G82" s="257" t="str">
        <f>IF('Fun Patches'!I14="A","A"," ")</f>
        <v xml:space="preserve"> </v>
      </c>
      <c r="I82" s="247">
        <v>3</v>
      </c>
      <c r="J82" s="344" t="str">
        <f>'Council Own'!C15</f>
        <v>&lt;List Requirement Here&gt;</v>
      </c>
      <c r="K82" s="257" t="str">
        <f>IF('Council Own'!I15="A","A"," ")</f>
        <v xml:space="preserve"> </v>
      </c>
      <c r="M82" s="247">
        <v>3</v>
      </c>
      <c r="N82" s="344" t="str">
        <f>'Council Own'!C63</f>
        <v>&lt;List Requirement Here&gt;</v>
      </c>
      <c r="O82" s="257" t="str">
        <f>IF('Council Own'!I63="A","A"," ")</f>
        <v xml:space="preserve"> </v>
      </c>
      <c r="Q82" s="247">
        <v>3</v>
      </c>
      <c r="R82" s="344" t="str">
        <f>'Council Own'!C111</f>
        <v>&lt;List Requirement Here&gt;</v>
      </c>
      <c r="S82" s="257" t="str">
        <f>IF('Council Own'!I111="A","A"," ")</f>
        <v xml:space="preserve"> </v>
      </c>
    </row>
    <row r="83" spans="1:22" x14ac:dyDescent="0.2">
      <c r="E83" s="471" t="str">
        <f>'Fun Patches'!C15</f>
        <v>&lt;LIST PATCH HERE&gt;</v>
      </c>
      <c r="F83" s="472"/>
      <c r="G83" s="257" t="str">
        <f>IF('Fun Patches'!I15="A","A"," ")</f>
        <v xml:space="preserve"> </v>
      </c>
      <c r="I83" s="247"/>
      <c r="J83" s="344" t="str">
        <f>'Council Own'!C16</f>
        <v>&lt;List Requirement Here&gt;</v>
      </c>
      <c r="K83" s="257" t="str">
        <f>IF('Council Own'!I16="A","A"," ")</f>
        <v xml:space="preserve"> </v>
      </c>
      <c r="M83" s="247"/>
      <c r="N83" s="344" t="str">
        <f>'Council Own'!C64</f>
        <v>&lt;List Requirement Here&gt;</v>
      </c>
      <c r="O83" s="257" t="str">
        <f>IF('Council Own'!I64="A","A"," ")</f>
        <v xml:space="preserve"> </v>
      </c>
      <c r="Q83" s="247"/>
      <c r="R83" s="344" t="str">
        <f>'Council Own'!C112</f>
        <v>&lt;List Requirement Here&gt;</v>
      </c>
      <c r="S83" s="257" t="str">
        <f>IF('Council Own'!I112="A","A"," ")</f>
        <v xml:space="preserve"> </v>
      </c>
    </row>
    <row r="84" spans="1:22" x14ac:dyDescent="0.2">
      <c r="E84" s="471" t="str">
        <f>'Fun Patches'!C16</f>
        <v>&lt;LIST PATCH HERE&gt;</v>
      </c>
      <c r="F84" s="472"/>
      <c r="G84" s="257" t="str">
        <f>IF('Fun Patches'!I16="A","A"," ")</f>
        <v xml:space="preserve"> </v>
      </c>
      <c r="I84" s="247"/>
      <c r="J84" s="344" t="str">
        <f>'Council Own'!C17</f>
        <v>&lt;List Requirement Here&gt;</v>
      </c>
      <c r="K84" s="257" t="str">
        <f>IF('Council Own'!I17="A","A"," ")</f>
        <v xml:space="preserve"> </v>
      </c>
      <c r="M84" s="247"/>
      <c r="N84" s="344" t="str">
        <f>'Council Own'!C65</f>
        <v>&lt;List Requirement Here&gt;</v>
      </c>
      <c r="O84" s="257" t="str">
        <f>IF('Council Own'!I65="A","A"," ")</f>
        <v xml:space="preserve"> </v>
      </c>
      <c r="Q84" s="247"/>
      <c r="R84" s="344" t="str">
        <f>'Council Own'!C113</f>
        <v>&lt;List Requirement Here&gt;</v>
      </c>
      <c r="S84" s="257" t="str">
        <f>IF('Council Own'!I113="A","A"," ")</f>
        <v xml:space="preserve"> </v>
      </c>
    </row>
    <row r="85" spans="1:22" x14ac:dyDescent="0.2">
      <c r="E85" s="471" t="str">
        <f>'Fun Patches'!C17</f>
        <v>&lt;LIST PATCH HERE&gt;</v>
      </c>
      <c r="F85" s="472"/>
      <c r="G85" s="250" t="str">
        <f>IF('Fun Patches'!I17="A","A"," ")</f>
        <v xml:space="preserve"> </v>
      </c>
      <c r="I85" s="247"/>
      <c r="J85" s="344" t="str">
        <f>'Council Own'!C18</f>
        <v>&lt;List Requirement Here&gt;</v>
      </c>
      <c r="K85" s="257" t="str">
        <f>IF('Council Own'!I18="A","A"," ")</f>
        <v xml:space="preserve"> </v>
      </c>
      <c r="M85" s="247"/>
      <c r="N85" s="344" t="str">
        <f>'Council Own'!C66</f>
        <v>&lt;List Requirement Here&gt;</v>
      </c>
      <c r="O85" s="257" t="str">
        <f>IF('Council Own'!I66="A","A"," ")</f>
        <v xml:space="preserve"> </v>
      </c>
      <c r="Q85" s="247"/>
      <c r="R85" s="344" t="str">
        <f>'Council Own'!C114</f>
        <v>&lt;List Requirement Here&gt;</v>
      </c>
      <c r="S85" s="257" t="str">
        <f>IF('Council Own'!I114="A","A"," ")</f>
        <v xml:space="preserve"> </v>
      </c>
    </row>
    <row r="86" spans="1:22" x14ac:dyDescent="0.2">
      <c r="A86" s="242"/>
      <c r="B86" s="243"/>
      <c r="C86" s="244"/>
      <c r="E86" s="471" t="str">
        <f>'Fun Patches'!C18</f>
        <v>&lt;LIST PATCH HERE&gt;</v>
      </c>
      <c r="F86" s="472"/>
      <c r="G86" s="257" t="str">
        <f>IF('Fun Patches'!I18="A","A"," ")</f>
        <v xml:space="preserve"> </v>
      </c>
      <c r="I86" s="247">
        <v>4</v>
      </c>
      <c r="J86" s="344" t="str">
        <f>'Council Own'!C19</f>
        <v>&lt;List Requirement Here&gt;</v>
      </c>
      <c r="K86" s="257" t="str">
        <f>IF('Council Own'!I19="A","A"," ")</f>
        <v xml:space="preserve"> </v>
      </c>
      <c r="M86" s="247">
        <v>4</v>
      </c>
      <c r="N86" s="344" t="str">
        <f>'Council Own'!C67</f>
        <v>&lt;List Requirement Here&gt;</v>
      </c>
      <c r="O86" s="257" t="str">
        <f>IF('Council Own'!I67="A","A"," ")</f>
        <v xml:space="preserve"> </v>
      </c>
      <c r="Q86" s="247">
        <v>4</v>
      </c>
      <c r="R86" s="344" t="str">
        <f>'Council Own'!C115</f>
        <v>&lt;List Requirement Here&gt;</v>
      </c>
      <c r="S86" s="257" t="str">
        <f>IF('Council Own'!I115="A","A"," ")</f>
        <v xml:space="preserve"> </v>
      </c>
    </row>
    <row r="87" spans="1:22" x14ac:dyDescent="0.2">
      <c r="E87" s="471" t="str">
        <f>'Fun Patches'!C19</f>
        <v>&lt;LIST PATCH HERE&gt;</v>
      </c>
      <c r="F87" s="472"/>
      <c r="G87" s="257" t="str">
        <f>IF('Fun Patches'!I19="A","A"," ")</f>
        <v xml:space="preserve"> </v>
      </c>
      <c r="I87" s="247"/>
      <c r="J87" s="344" t="str">
        <f>'Council Own'!C20</f>
        <v>&lt;List Requirement Here&gt;</v>
      </c>
      <c r="K87" s="257" t="str">
        <f>IF('Council Own'!I20="A","A"," ")</f>
        <v xml:space="preserve"> </v>
      </c>
      <c r="M87" s="247"/>
      <c r="N87" s="344" t="str">
        <f>'Council Own'!C68</f>
        <v>&lt;List Requirement Here&gt;</v>
      </c>
      <c r="O87" s="257" t="str">
        <f>IF('Council Own'!I68="A","A"," ")</f>
        <v xml:space="preserve"> </v>
      </c>
      <c r="Q87" s="247"/>
      <c r="R87" s="344" t="str">
        <f>'Council Own'!C116</f>
        <v>&lt;List Requirement Here&gt;</v>
      </c>
      <c r="S87" s="257" t="str">
        <f>IF('Council Own'!I116="A","A"," ")</f>
        <v xml:space="preserve"> </v>
      </c>
    </row>
    <row r="88" spans="1:22" x14ac:dyDescent="0.2">
      <c r="E88" s="471" t="str">
        <f>'Fun Patches'!C20</f>
        <v>&lt;LIST PATCH HERE&gt;</v>
      </c>
      <c r="F88" s="472"/>
      <c r="G88" s="257" t="str">
        <f>IF('Fun Patches'!I20="A","A"," ")</f>
        <v xml:space="preserve"> </v>
      </c>
      <c r="I88" s="247"/>
      <c r="J88" s="344" t="str">
        <f>'Council Own'!C21</f>
        <v>&lt;List Requirement Here&gt;</v>
      </c>
      <c r="K88" s="257" t="str">
        <f>IF('Council Own'!I21="A","A"," ")</f>
        <v xml:space="preserve"> </v>
      </c>
      <c r="M88" s="247"/>
      <c r="N88" s="344" t="str">
        <f>'Council Own'!C69</f>
        <v>&lt;List Requirement Here&gt;</v>
      </c>
      <c r="O88" s="257" t="str">
        <f>IF('Council Own'!I69="A","A"," ")</f>
        <v xml:space="preserve"> </v>
      </c>
      <c r="Q88" s="247"/>
      <c r="R88" s="344" t="str">
        <f>'Council Own'!C117</f>
        <v>&lt;List Requirement Here&gt;</v>
      </c>
      <c r="S88" s="257" t="str">
        <f>IF('Council Own'!I117="A","A"," ")</f>
        <v xml:space="preserve"> </v>
      </c>
    </row>
    <row r="89" spans="1:22" x14ac:dyDescent="0.2">
      <c r="E89" s="471" t="str">
        <f>'Fun Patches'!C21</f>
        <v>&lt;LIST PATCH HERE&gt;</v>
      </c>
      <c r="F89" s="472"/>
      <c r="G89" s="257" t="str">
        <f>IF('Fun Patches'!I21="A","A"," ")</f>
        <v xml:space="preserve"> </v>
      </c>
      <c r="I89" s="247"/>
      <c r="J89" s="344" t="str">
        <f>'Council Own'!C22</f>
        <v>&lt;List Requirement Here&gt;</v>
      </c>
      <c r="K89" s="257" t="str">
        <f>IF('Council Own'!I22="A","A"," ")</f>
        <v xml:space="preserve"> </v>
      </c>
      <c r="M89" s="247"/>
      <c r="N89" s="344" t="str">
        <f>'Council Own'!C70</f>
        <v>&lt;List Requirement Here&gt;</v>
      </c>
      <c r="O89" s="257" t="str">
        <f>IF('Council Own'!I70="A","A"," ")</f>
        <v xml:space="preserve"> </v>
      </c>
      <c r="Q89" s="247"/>
      <c r="R89" s="344" t="str">
        <f>'Council Own'!C118</f>
        <v>&lt;List Requirement Here&gt;</v>
      </c>
      <c r="S89" s="257" t="str">
        <f>IF('Council Own'!I118="A","A"," ")</f>
        <v xml:space="preserve"> </v>
      </c>
    </row>
    <row r="90" spans="1:22" x14ac:dyDescent="0.2">
      <c r="E90" s="471" t="str">
        <f>'Fun Patches'!C22</f>
        <v>&lt;LIST PATCH HERE&gt;</v>
      </c>
      <c r="F90" s="472"/>
      <c r="G90" s="257" t="str">
        <f>IF('Fun Patches'!I22="A","A"," ")</f>
        <v xml:space="preserve"> </v>
      </c>
      <c r="I90" s="247">
        <v>5</v>
      </c>
      <c r="J90" s="344" t="str">
        <f>'Council Own'!C23</f>
        <v>&lt;List Requirement Here&gt;</v>
      </c>
      <c r="K90" s="257" t="str">
        <f>IF('Council Own'!I23="A","A"," ")</f>
        <v xml:space="preserve"> </v>
      </c>
      <c r="M90" s="247">
        <v>5</v>
      </c>
      <c r="N90" s="344" t="str">
        <f>'Council Own'!C71</f>
        <v>&lt;List Requirement Here&gt;</v>
      </c>
      <c r="O90" s="257" t="str">
        <f>IF('Council Own'!I71="A","A"," ")</f>
        <v xml:space="preserve"> </v>
      </c>
      <c r="Q90" s="247">
        <v>5</v>
      </c>
      <c r="R90" s="344" t="str">
        <f>'Council Own'!C119</f>
        <v>&lt;List Requirement Here&gt;</v>
      </c>
      <c r="S90" s="257" t="str">
        <f>IF('Council Own'!I119="A","A"," ")</f>
        <v xml:space="preserve"> </v>
      </c>
    </row>
    <row r="91" spans="1:22" x14ac:dyDescent="0.2">
      <c r="E91" s="471" t="str">
        <f>'Fun Patches'!C23</f>
        <v>&lt;LIST PATCH HERE&gt;</v>
      </c>
      <c r="F91" s="472"/>
      <c r="G91" s="257" t="str">
        <f>IF('Fun Patches'!I23="A","A"," ")</f>
        <v xml:space="preserve"> </v>
      </c>
      <c r="I91" s="247"/>
      <c r="J91" s="344" t="str">
        <f>'Council Own'!C24</f>
        <v>&lt;List Requirement Here&gt;</v>
      </c>
      <c r="K91" s="257" t="str">
        <f>IF('Council Own'!I24="A","A"," ")</f>
        <v xml:space="preserve"> </v>
      </c>
      <c r="M91" s="247"/>
      <c r="N91" s="344" t="str">
        <f>'Council Own'!C72</f>
        <v>&lt;List Requirement Here&gt;</v>
      </c>
      <c r="O91" s="257" t="str">
        <f>IF('Council Own'!I72="A","A"," ")</f>
        <v xml:space="preserve"> </v>
      </c>
      <c r="Q91" s="247"/>
      <c r="R91" s="344" t="str">
        <f>'Council Own'!C120</f>
        <v>&lt;List Requirement Here&gt;</v>
      </c>
      <c r="S91" s="257" t="str">
        <f>IF('Council Own'!I120="A","A"," ")</f>
        <v xml:space="preserve"> </v>
      </c>
    </row>
    <row r="92" spans="1:22" x14ac:dyDescent="0.2">
      <c r="E92" s="471" t="str">
        <f>'Fun Patches'!C24</f>
        <v>&lt;LIST PATCH HERE&gt;</v>
      </c>
      <c r="F92" s="472"/>
      <c r="G92" s="257" t="str">
        <f>IF('Fun Patches'!I24="A","A"," ")</f>
        <v xml:space="preserve"> </v>
      </c>
      <c r="I92" s="247"/>
      <c r="J92" s="344" t="str">
        <f>'Council Own'!C25</f>
        <v>&lt;List Requirement Here&gt;</v>
      </c>
      <c r="K92" s="257" t="str">
        <f>IF('Council Own'!I25="A","A"," ")</f>
        <v xml:space="preserve"> </v>
      </c>
      <c r="M92" s="247"/>
      <c r="N92" s="344" t="str">
        <f>'Council Own'!C73</f>
        <v>&lt;List Requirement Here&gt;</v>
      </c>
      <c r="O92" s="257" t="str">
        <f>IF('Council Own'!I73="A","A"," ")</f>
        <v xml:space="preserve"> </v>
      </c>
      <c r="Q92" s="247"/>
      <c r="R92" s="344" t="str">
        <f>'Council Own'!C121</f>
        <v>&lt;List Requirement Here&gt;</v>
      </c>
      <c r="S92" s="257" t="str">
        <f>IF('Council Own'!I121="A","A"," ")</f>
        <v xml:space="preserve"> </v>
      </c>
    </row>
    <row r="93" spans="1:22" x14ac:dyDescent="0.2">
      <c r="E93" s="471" t="str">
        <f>'Fun Patches'!C25</f>
        <v>&lt;LIST PATCH HERE&gt;</v>
      </c>
      <c r="F93" s="472"/>
      <c r="G93" s="257" t="str">
        <f>IF('Fun Patches'!I25="A","A"," ")</f>
        <v xml:space="preserve"> </v>
      </c>
      <c r="I93" s="247"/>
      <c r="J93" s="344" t="str">
        <f>'Council Own'!C26</f>
        <v>&lt;List Requirement Here&gt;</v>
      </c>
      <c r="K93" s="257" t="str">
        <f>IF('Council Own'!I26="A","A"," ")</f>
        <v xml:space="preserve"> </v>
      </c>
      <c r="M93" s="247"/>
      <c r="N93" s="344" t="str">
        <f>'Council Own'!C74</f>
        <v>&lt;List Requirement Here&gt;</v>
      </c>
      <c r="O93" s="257" t="str">
        <f>IF('Council Own'!I68="A","A"," ")</f>
        <v xml:space="preserve"> </v>
      </c>
      <c r="Q93" s="247"/>
      <c r="R93" s="344" t="str">
        <f>'Council Own'!C122</f>
        <v>&lt;List Requirement Here&gt;</v>
      </c>
      <c r="S93" s="257" t="str">
        <f>IF('Council Own'!I122="A","A"," ")</f>
        <v xml:space="preserve"> </v>
      </c>
    </row>
    <row r="94" spans="1:22" x14ac:dyDescent="0.2">
      <c r="E94" s="471" t="str">
        <f>'Fun Patches'!C26</f>
        <v>&lt;LIST PATCH HERE&gt;</v>
      </c>
      <c r="F94" s="472"/>
      <c r="G94" s="257" t="str">
        <f>IF('Fun Patches'!I26="A","A","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Patches'!I27="A","A"," ")</f>
        <v xml:space="preserve"> </v>
      </c>
      <c r="I95" s="247">
        <v>1</v>
      </c>
      <c r="J95" s="344" t="str">
        <f>'Council Own'!C31</f>
        <v>&lt;List Requirement Here&gt;</v>
      </c>
      <c r="K95" s="257" t="str">
        <f>IF('Council Own'!I31="A","A"," ")</f>
        <v xml:space="preserve"> </v>
      </c>
      <c r="M95" s="247">
        <v>1</v>
      </c>
      <c r="N95" s="344" t="str">
        <f>'Council Own'!C79</f>
        <v>&lt;List Requirement Here&gt;</v>
      </c>
      <c r="O95" s="257" t="str">
        <f>IF('Council Own'!I79="A","A"," ")</f>
        <v xml:space="preserve"> </v>
      </c>
      <c r="Q95" s="247">
        <v>1</v>
      </c>
      <c r="R95" s="344" t="str">
        <f>'Council Own'!C127</f>
        <v>&lt;List Requirement Here&gt;</v>
      </c>
      <c r="S95" s="257" t="str">
        <f>IF('Council Own'!I127="A","A"," ")</f>
        <v xml:space="preserve"> </v>
      </c>
    </row>
    <row r="96" spans="1:22" x14ac:dyDescent="0.2">
      <c r="E96" s="471" t="str">
        <f>'Fun Patches'!C28</f>
        <v>&lt;LIST PATCH HERE&gt;</v>
      </c>
      <c r="F96" s="472"/>
      <c r="G96" s="257" t="str">
        <f>IF('Fun Patches'!I28="A","A"," ")</f>
        <v xml:space="preserve"> </v>
      </c>
      <c r="I96" s="247"/>
      <c r="J96" s="344" t="str">
        <f>'Council Own'!C32</f>
        <v>&lt;List Requirement Here&gt;</v>
      </c>
      <c r="K96" s="257" t="str">
        <f>IF('Council Own'!I32="A","A"," ")</f>
        <v xml:space="preserve"> </v>
      </c>
      <c r="M96" s="247"/>
      <c r="N96" s="344" t="str">
        <f>'Council Own'!C80</f>
        <v>&lt;List Requirement Here&gt;</v>
      </c>
      <c r="O96" s="257" t="str">
        <f>IF('Council Own'!I80="A","A"," ")</f>
        <v xml:space="preserve"> </v>
      </c>
      <c r="Q96" s="247"/>
      <c r="R96" s="344" t="str">
        <f>'Council Own'!C128</f>
        <v>&lt;List Requirement Here&gt;</v>
      </c>
      <c r="S96" s="257" t="str">
        <f>IF('Council Own'!I128="A","A"," ")</f>
        <v xml:space="preserve"> </v>
      </c>
      <c r="U96" s="245"/>
      <c r="V96" s="245"/>
    </row>
    <row r="97" spans="1:23" x14ac:dyDescent="0.2">
      <c r="E97" s="471" t="str">
        <f>'Fun Patches'!C29</f>
        <v>&lt;LIST PATCH HERE&gt;</v>
      </c>
      <c r="F97" s="472"/>
      <c r="G97" s="257" t="str">
        <f>IF('Fun Patches'!I29="A","A"," ")</f>
        <v xml:space="preserve"> </v>
      </c>
      <c r="I97" s="247"/>
      <c r="J97" s="344" t="str">
        <f>'Council Own'!C33</f>
        <v>&lt;List Requirement Here&gt;</v>
      </c>
      <c r="K97" s="257" t="str">
        <f>IF('Council Own'!I33="A","A"," ")</f>
        <v xml:space="preserve"> </v>
      </c>
      <c r="M97" s="247"/>
      <c r="N97" s="344" t="str">
        <f>'Council Own'!C81</f>
        <v>&lt;List Requirement Here&gt;</v>
      </c>
      <c r="O97" s="257" t="str">
        <f>IF('Council Own'!I81="A","A"," ")</f>
        <v xml:space="preserve"> </v>
      </c>
      <c r="Q97" s="247"/>
      <c r="R97" s="344" t="str">
        <f>'Council Own'!C129</f>
        <v>&lt;List Requirement Here&gt;</v>
      </c>
      <c r="S97" s="257" t="str">
        <f>IF('Council Own'!I129="A","A"," ")</f>
        <v xml:space="preserve"> </v>
      </c>
      <c r="U97" s="245"/>
      <c r="V97" s="245"/>
    </row>
    <row r="98" spans="1:23" x14ac:dyDescent="0.2">
      <c r="A98" s="484" t="s">
        <v>75</v>
      </c>
      <c r="B98" s="484"/>
      <c r="C98" s="484"/>
      <c r="E98" s="471" t="str">
        <f>'Fun Patches'!C30</f>
        <v>&lt;LIST PATCH HERE&gt;</v>
      </c>
      <c r="F98" s="472"/>
      <c r="G98" s="257" t="str">
        <f>IF('Fun Patches'!I30="A","A"," ")</f>
        <v xml:space="preserve"> </v>
      </c>
      <c r="I98" s="247"/>
      <c r="J98" s="344" t="str">
        <f>'Council Own'!C34</f>
        <v>&lt;List Requirement Here&gt;</v>
      </c>
      <c r="K98" s="257" t="str">
        <f>IF('Council Own'!I34="A","A"," ")</f>
        <v xml:space="preserve"> </v>
      </c>
      <c r="M98" s="247"/>
      <c r="N98" s="344" t="str">
        <f>'Council Own'!C82</f>
        <v>&lt;List Requirement Here&gt;</v>
      </c>
      <c r="O98" s="257" t="str">
        <f>IF('Council Own'!I82="A","A"," ")</f>
        <v xml:space="preserve"> </v>
      </c>
      <c r="Q98" s="247"/>
      <c r="R98" s="344" t="str">
        <f>'Council Own'!C130</f>
        <v>&lt;List Requirement Here&gt;</v>
      </c>
      <c r="S98" s="257" t="str">
        <f>IF('Council Own'!I130="A","A"," ")</f>
        <v xml:space="preserve"> </v>
      </c>
      <c r="U98" s="245"/>
      <c r="V98" s="245"/>
    </row>
    <row r="99" spans="1:23" ht="14.25" customHeight="1" x14ac:dyDescent="0.2">
      <c r="A99" s="481" t="s">
        <v>72</v>
      </c>
      <c r="B99" s="482"/>
      <c r="C99" s="483"/>
      <c r="E99" s="471" t="str">
        <f>'Fun Patches'!C31</f>
        <v>&lt;LIST PATCH HERE&gt;</v>
      </c>
      <c r="F99" s="472"/>
      <c r="G99" s="257" t="str">
        <f>IF('Fun Patches'!I31="A","A"," ")</f>
        <v xml:space="preserve"> </v>
      </c>
      <c r="I99" s="247">
        <v>2</v>
      </c>
      <c r="J99" s="344" t="str">
        <f>'Council Own'!C35</f>
        <v>&lt;List Requirement Here&gt;</v>
      </c>
      <c r="K99" s="257" t="str">
        <f>IF('Council Own'!I35="A","A"," ")</f>
        <v xml:space="preserve"> </v>
      </c>
      <c r="M99" s="247">
        <v>2</v>
      </c>
      <c r="N99" s="344" t="str">
        <f>'Council Own'!C83</f>
        <v>&lt;List Requirement Here&gt;</v>
      </c>
      <c r="O99" s="257" t="str">
        <f>IF('Council Own'!I83="A","A"," ")</f>
        <v xml:space="preserve"> </v>
      </c>
      <c r="Q99" s="247">
        <v>2</v>
      </c>
      <c r="R99" s="344" t="str">
        <f>'Council Own'!C131</f>
        <v>&lt;List Requirement Here&gt;</v>
      </c>
      <c r="S99" s="257" t="str">
        <f>IF('Council Own'!I131="A","A"," ")</f>
        <v xml:space="preserve"> </v>
      </c>
      <c r="U99" s="245"/>
      <c r="V99" s="245"/>
    </row>
    <row r="100" spans="1:23" x14ac:dyDescent="0.2">
      <c r="A100" s="481" t="s">
        <v>73</v>
      </c>
      <c r="B100" s="482"/>
      <c r="C100" s="483"/>
      <c r="E100" s="471" t="str">
        <f>'Fun Patches'!C32</f>
        <v>&lt;LIST PATCH HERE&gt;</v>
      </c>
      <c r="F100" s="472"/>
      <c r="G100" s="257" t="str">
        <f>IF('Fun Patches'!I32="A","A"," ")</f>
        <v xml:space="preserve"> </v>
      </c>
      <c r="I100" s="247"/>
      <c r="J100" s="344" t="str">
        <f>'Council Own'!C36</f>
        <v>&lt;List Requirement Here&gt;</v>
      </c>
      <c r="K100" s="257" t="str">
        <f>IF('Council Own'!I36="A","A"," ")</f>
        <v xml:space="preserve"> </v>
      </c>
      <c r="M100" s="247"/>
      <c r="N100" s="344" t="str">
        <f>'Council Own'!C84</f>
        <v>&lt;List Requirement Here&gt;</v>
      </c>
      <c r="O100" s="257" t="str">
        <f>IF('Council Own'!I84="A","A"," ")</f>
        <v xml:space="preserve"> </v>
      </c>
      <c r="Q100" s="247"/>
      <c r="R100" s="344" t="str">
        <f>'Council Own'!C132</f>
        <v>&lt;List Requirement Here&gt;</v>
      </c>
      <c r="S100" s="257" t="str">
        <f>IF('Council Own'!I132="A","A"," ")</f>
        <v xml:space="preserve"> </v>
      </c>
      <c r="U100" s="337"/>
      <c r="V100" s="338"/>
      <c r="W100" s="341"/>
    </row>
    <row r="101" spans="1:23" x14ac:dyDescent="0.2">
      <c r="A101" s="468" t="s">
        <v>74</v>
      </c>
      <c r="B101" s="469"/>
      <c r="C101" s="470"/>
      <c r="E101" s="471" t="str">
        <f>'Fun Patches'!C33</f>
        <v>&lt;LIST PATCH HERE&gt;</v>
      </c>
      <c r="F101" s="472"/>
      <c r="G101" s="257" t="str">
        <f>IF('Fun Patches'!I33="A","A"," ")</f>
        <v xml:space="preserve"> </v>
      </c>
      <c r="I101" s="247"/>
      <c r="J101" s="344" t="str">
        <f>'Council Own'!C37</f>
        <v>&lt;List Requirement Here&gt;</v>
      </c>
      <c r="K101" s="257" t="str">
        <f>IF('Council Own'!I37="A","A"," ")</f>
        <v xml:space="preserve"> </v>
      </c>
      <c r="M101" s="247"/>
      <c r="N101" s="344" t="str">
        <f>'Council Own'!C85</f>
        <v>&lt;List Requirement Here&gt;</v>
      </c>
      <c r="O101" s="257" t="str">
        <f>IF('Council Own'!I85="A","A"," ")</f>
        <v xml:space="preserve"> </v>
      </c>
      <c r="Q101" s="247"/>
      <c r="R101" s="344" t="str">
        <f>'Council Own'!C133</f>
        <v>&lt;List Requirement Here&gt;</v>
      </c>
      <c r="S101" s="257" t="str">
        <f>IF('Council Own'!I133="A","A"," ")</f>
        <v xml:space="preserve"> </v>
      </c>
      <c r="U101" s="245"/>
      <c r="V101" s="245"/>
    </row>
    <row r="102" spans="1:23" x14ac:dyDescent="0.2">
      <c r="E102" s="471" t="str">
        <f>'Fun Patches'!C34</f>
        <v>&lt;LIST PATCH HERE&gt;</v>
      </c>
      <c r="F102" s="472"/>
      <c r="G102" s="257" t="str">
        <f>IF('Fun Patches'!I34="A","A"," ")</f>
        <v xml:space="preserve"> </v>
      </c>
      <c r="I102" s="247"/>
      <c r="J102" s="344" t="str">
        <f>'Council Own'!C38</f>
        <v>&lt;List Requirement Here&gt;</v>
      </c>
      <c r="K102" s="257" t="str">
        <f>IF('Council Own'!I38="A","A"," ")</f>
        <v xml:space="preserve"> </v>
      </c>
      <c r="M102" s="247"/>
      <c r="N102" s="344" t="str">
        <f>'Council Own'!C86</f>
        <v>&lt;List Requirement Here&gt;</v>
      </c>
      <c r="O102" s="257" t="str">
        <f>IF('Council Own'!I86="A","A"," ")</f>
        <v xml:space="preserve"> </v>
      </c>
      <c r="Q102" s="247"/>
      <c r="R102" s="344" t="str">
        <f>'Council Own'!C134</f>
        <v>&lt;List Requirement Here&gt;</v>
      </c>
      <c r="S102" s="257" t="str">
        <f>IF('Council Own'!I134="A","A"," ")</f>
        <v xml:space="preserve"> </v>
      </c>
      <c r="U102" s="245"/>
      <c r="V102" s="245"/>
    </row>
    <row r="103" spans="1:23" x14ac:dyDescent="0.2">
      <c r="E103" s="471" t="str">
        <f>'Fun Patches'!C35</f>
        <v>&lt;LIST PATCH HERE&gt;</v>
      </c>
      <c r="F103" s="472"/>
      <c r="G103" s="257" t="str">
        <f>IF('Fun Patches'!I35="A","A"," ")</f>
        <v xml:space="preserve"> </v>
      </c>
      <c r="I103" s="247">
        <v>3</v>
      </c>
      <c r="J103" s="344" t="str">
        <f>'Council Own'!C39</f>
        <v>&lt;List Requirement Here&gt;</v>
      </c>
      <c r="K103" s="257" t="str">
        <f>IF('Council Own'!I39="A","A"," ")</f>
        <v xml:space="preserve"> </v>
      </c>
      <c r="M103" s="247">
        <v>3</v>
      </c>
      <c r="N103" s="344" t="str">
        <f>'Council Own'!C87</f>
        <v>&lt;List Requirement Here&gt;</v>
      </c>
      <c r="O103" s="257" t="str">
        <f>IF('Council Own'!I87="A","A"," ")</f>
        <v xml:space="preserve"> </v>
      </c>
      <c r="Q103" s="247">
        <v>3</v>
      </c>
      <c r="R103" s="344" t="str">
        <f>'Council Own'!C135</f>
        <v>&lt;List Requirement Here&gt;</v>
      </c>
      <c r="S103" s="257" t="str">
        <f>IF('Council Own'!I135="A","A"," ")</f>
        <v xml:space="preserve"> </v>
      </c>
      <c r="U103" s="245"/>
      <c r="V103" s="245"/>
    </row>
    <row r="104" spans="1:23" x14ac:dyDescent="0.2">
      <c r="E104" s="471" t="str">
        <f>'Fun Patches'!C36</f>
        <v>&lt;LIST PATCH HERE&gt;</v>
      </c>
      <c r="F104" s="472"/>
      <c r="G104" s="257" t="str">
        <f>IF('Fun Patches'!I36="A","A"," ")</f>
        <v xml:space="preserve"> </v>
      </c>
      <c r="I104" s="247"/>
      <c r="J104" s="344" t="str">
        <f>'Council Own'!C40</f>
        <v>&lt;List Requirement Here&gt;</v>
      </c>
      <c r="K104" s="257" t="str">
        <f>IF('Council Own'!I40="A","A"," ")</f>
        <v xml:space="preserve"> </v>
      </c>
      <c r="M104" s="247"/>
      <c r="N104" s="344" t="str">
        <f>'Council Own'!C88</f>
        <v>&lt;List Requirement Here&gt;</v>
      </c>
      <c r="O104" s="257" t="str">
        <f>IF('Council Own'!I88="A","A"," ")</f>
        <v xml:space="preserve"> </v>
      </c>
      <c r="Q104" s="247"/>
      <c r="R104" s="344" t="str">
        <f>'Council Own'!C136</f>
        <v>&lt;List Requirement Here&gt;</v>
      </c>
      <c r="S104" s="257" t="str">
        <f>IF('Council Own'!I136="A","A"," ")</f>
        <v xml:space="preserve"> </v>
      </c>
      <c r="U104" s="245"/>
      <c r="V104" s="245"/>
    </row>
    <row r="105" spans="1:23" x14ac:dyDescent="0.2">
      <c r="E105" s="471" t="str">
        <f>'Fun Patches'!C37</f>
        <v>&lt;LIST PATCH HERE&gt;</v>
      </c>
      <c r="F105" s="472"/>
      <c r="G105" s="257" t="str">
        <f>IF('Fun Patches'!I37="A","A"," ")</f>
        <v xml:space="preserve"> </v>
      </c>
      <c r="I105" s="247"/>
      <c r="J105" s="344" t="str">
        <f>'Council Own'!C41</f>
        <v>&lt;List Requirement Here&gt;</v>
      </c>
      <c r="K105" s="257" t="str">
        <f>IF('Council Own'!I41="A","A"," ")</f>
        <v xml:space="preserve"> </v>
      </c>
      <c r="M105" s="247"/>
      <c r="N105" s="344" t="str">
        <f>'Council Own'!C89</f>
        <v>&lt;List Requirement Here&gt;</v>
      </c>
      <c r="O105" s="257" t="str">
        <f>IF('Council Own'!I89="A","A"," ")</f>
        <v xml:space="preserve"> </v>
      </c>
      <c r="Q105" s="247"/>
      <c r="R105" s="344" t="str">
        <f>'Council Own'!C137</f>
        <v>&lt;List Requirement Here&gt;</v>
      </c>
      <c r="S105" s="257" t="str">
        <f>IF('Council Own'!I137="A","A"," ")</f>
        <v xml:space="preserve"> </v>
      </c>
      <c r="U105" s="245"/>
      <c r="V105" s="245"/>
    </row>
    <row r="106" spans="1:23" x14ac:dyDescent="0.2">
      <c r="E106" s="471" t="str">
        <f>'Fun Patches'!C38</f>
        <v>&lt;LIST PATCH HERE&gt;</v>
      </c>
      <c r="F106" s="472"/>
      <c r="G106" s="257" t="str">
        <f>IF('Fun Patches'!I38="A","A"," ")</f>
        <v xml:space="preserve"> </v>
      </c>
      <c r="I106" s="247"/>
      <c r="J106" s="344" t="str">
        <f>'Council Own'!C42</f>
        <v>&lt;List Requirement Here&gt;</v>
      </c>
      <c r="K106" s="257" t="str">
        <f>IF('Council Own'!I42="A","A"," ")</f>
        <v xml:space="preserve"> </v>
      </c>
      <c r="M106" s="247"/>
      <c r="N106" s="344" t="str">
        <f>'Council Own'!C90</f>
        <v>&lt;List Requirement Here&gt;</v>
      </c>
      <c r="O106" s="257" t="str">
        <f>IF('Council Own'!I90="A","A"," ")</f>
        <v xml:space="preserve"> </v>
      </c>
      <c r="Q106" s="247"/>
      <c r="R106" s="344" t="str">
        <f>'Council Own'!C138</f>
        <v>&lt;List Requirement Here&gt;</v>
      </c>
      <c r="S106" s="257" t="str">
        <f>IF('Council Own'!I138="A","A"," ")</f>
        <v xml:space="preserve"> </v>
      </c>
      <c r="U106" s="245"/>
      <c r="V106" s="245"/>
    </row>
    <row r="107" spans="1:23" x14ac:dyDescent="0.2">
      <c r="E107" s="284"/>
      <c r="F107" s="263"/>
      <c r="G107" s="341"/>
      <c r="I107" s="247">
        <v>4</v>
      </c>
      <c r="J107" s="344" t="str">
        <f>'Council Own'!C43</f>
        <v>&lt;List Requirement Here&gt;</v>
      </c>
      <c r="K107" s="257" t="str">
        <f>IF('Council Own'!I43="A","A"," ")</f>
        <v xml:space="preserve"> </v>
      </c>
      <c r="M107" s="247">
        <v>4</v>
      </c>
      <c r="N107" s="344" t="str">
        <f>'Council Own'!C91</f>
        <v>&lt;List Requirement Here&gt;</v>
      </c>
      <c r="O107" s="257" t="str">
        <f>IF('Council Own'!I91="A","A"," ")</f>
        <v xml:space="preserve"> </v>
      </c>
      <c r="Q107" s="247">
        <v>4</v>
      </c>
      <c r="R107" s="344" t="str">
        <f>'Council Own'!C139</f>
        <v>&lt;List Requirement Here&gt;</v>
      </c>
      <c r="S107" s="257" t="str">
        <f>IF('Council Own'!I139="A","A"," ")</f>
        <v xml:space="preserve"> </v>
      </c>
      <c r="U107" s="245"/>
      <c r="V107" s="245"/>
    </row>
    <row r="108" spans="1:23" x14ac:dyDescent="0.2">
      <c r="I108" s="247"/>
      <c r="J108" s="344" t="str">
        <f>'Council Own'!C44</f>
        <v>&lt;List Requirement Here&gt;</v>
      </c>
      <c r="K108" s="257" t="str">
        <f>IF('Council Own'!I44="A","A"," ")</f>
        <v xml:space="preserve"> </v>
      </c>
      <c r="M108" s="247"/>
      <c r="N108" s="344" t="str">
        <f>'Council Own'!C92</f>
        <v>&lt;List Requirement Here&gt;</v>
      </c>
      <c r="O108" s="257" t="str">
        <f>IF('Council Own'!I92="A","A"," ")</f>
        <v xml:space="preserve"> </v>
      </c>
      <c r="Q108" s="247"/>
      <c r="R108" s="344" t="str">
        <f>'Council Own'!C140</f>
        <v>&lt;List Requirement Here&gt;</v>
      </c>
      <c r="S108" s="257" t="str">
        <f>IF('Council Own'!I140="A","A"," ")</f>
        <v xml:space="preserve"> </v>
      </c>
      <c r="U108" s="245"/>
      <c r="V108" s="245"/>
    </row>
    <row r="109" spans="1:23" x14ac:dyDescent="0.2">
      <c r="I109" s="247"/>
      <c r="J109" s="344" t="str">
        <f>'Council Own'!C45</f>
        <v>&lt;List Requirement Here&gt;</v>
      </c>
      <c r="K109" s="257" t="str">
        <f>IF('Council Own'!I45="A","A"," ")</f>
        <v xml:space="preserve"> </v>
      </c>
      <c r="M109" s="247"/>
      <c r="N109" s="344" t="str">
        <f>'Council Own'!C93</f>
        <v>&lt;List Requirement Here&gt;</v>
      </c>
      <c r="O109" s="257" t="str">
        <f>IF('Council Own'!I93="A","A"," ")</f>
        <v xml:space="preserve"> </v>
      </c>
      <c r="Q109" s="247"/>
      <c r="R109" s="344" t="str">
        <f>'Council Own'!C141</f>
        <v>&lt;List Requirement Here&gt;</v>
      </c>
      <c r="S109" s="257" t="str">
        <f>IF('Council Own'!I141="A","A"," ")</f>
        <v xml:space="preserve"> </v>
      </c>
      <c r="U109" s="245"/>
      <c r="V109" s="245"/>
    </row>
    <row r="110" spans="1:23" x14ac:dyDescent="0.2">
      <c r="I110" s="247"/>
      <c r="J110" s="344" t="str">
        <f>'Council Own'!C46</f>
        <v>&lt;List Requirement Here&gt;</v>
      </c>
      <c r="K110" s="257" t="str">
        <f>IF('Council Own'!I46="A","A"," ")</f>
        <v xml:space="preserve"> </v>
      </c>
      <c r="M110" s="247"/>
      <c r="N110" s="344" t="str">
        <f>'Council Own'!C94</f>
        <v>&lt;List Requirement Here&gt;</v>
      </c>
      <c r="O110" s="257" t="str">
        <f>IF('Council Own'!I94="A","A"," ")</f>
        <v xml:space="preserve"> </v>
      </c>
      <c r="Q110" s="247"/>
      <c r="R110" s="344" t="str">
        <f>'Council Own'!C142</f>
        <v>&lt;List Requirement Here&gt;</v>
      </c>
      <c r="S110" s="257" t="str">
        <f>IF('Council Own'!I142="A","A"," ")</f>
        <v xml:space="preserve"> </v>
      </c>
      <c r="U110" s="245"/>
      <c r="V110" s="245"/>
    </row>
    <row r="111" spans="1:23" x14ac:dyDescent="0.2">
      <c r="I111" s="247">
        <v>5</v>
      </c>
      <c r="J111" s="344" t="str">
        <f>'Council Own'!C47</f>
        <v>&lt;List Requirement Here&gt;</v>
      </c>
      <c r="K111" s="257" t="str">
        <f>IF('Council Own'!I47="A","A"," ")</f>
        <v xml:space="preserve"> </v>
      </c>
      <c r="M111" s="247">
        <v>5</v>
      </c>
      <c r="N111" s="344" t="str">
        <f>'Council Own'!C95</f>
        <v>&lt;List Requirement Here&gt;</v>
      </c>
      <c r="O111" s="257" t="str">
        <f>IF('Council Own'!I95="A","A"," ")</f>
        <v xml:space="preserve"> </v>
      </c>
      <c r="Q111" s="247">
        <v>5</v>
      </c>
      <c r="R111" s="344" t="str">
        <f>'Council Own'!C143</f>
        <v>&lt;List Requirement Here&gt;</v>
      </c>
      <c r="S111" s="257" t="str">
        <f>IF('Council Own'!I143="A","A"," ")</f>
        <v xml:space="preserve"> </v>
      </c>
      <c r="U111" s="338"/>
      <c r="V111" s="338"/>
      <c r="W111" s="341"/>
    </row>
    <row r="112" spans="1:23" x14ac:dyDescent="0.2">
      <c r="I112" s="247"/>
      <c r="J112" s="344" t="str">
        <f>'Council Own'!C48</f>
        <v>&lt;List Requirement Here&gt;</v>
      </c>
      <c r="K112" s="257" t="str">
        <f>IF('Council Own'!I48="A","A"," ")</f>
        <v xml:space="preserve"> </v>
      </c>
      <c r="M112" s="247"/>
      <c r="N112" s="344" t="str">
        <f>'Council Own'!C96</f>
        <v>&lt;List Requirement Here&gt;</v>
      </c>
      <c r="O112" s="257" t="str">
        <f>IF('Council Own'!I96="A","A"," ")</f>
        <v xml:space="preserve"> </v>
      </c>
      <c r="Q112" s="247"/>
      <c r="R112" s="344" t="str">
        <f>'Council Own'!C144</f>
        <v>&lt;List Requirement Here&gt;</v>
      </c>
      <c r="S112" s="257" t="str">
        <f>IF('Council Own'!I144="A","A"," ")</f>
        <v xml:space="preserve"> </v>
      </c>
      <c r="U112" s="245"/>
      <c r="V112" s="245"/>
    </row>
    <row r="113" spans="9:22" x14ac:dyDescent="0.2">
      <c r="I113" s="247"/>
      <c r="J113" s="344" t="str">
        <f>'Council Own'!C49</f>
        <v>&lt;List Requirement Here&gt;</v>
      </c>
      <c r="K113" s="257" t="str">
        <f>IF('Council Own'!I49="A","A"," ")</f>
        <v xml:space="preserve"> </v>
      </c>
      <c r="M113" s="247"/>
      <c r="N113" s="344" t="str">
        <f>'Council Own'!C97</f>
        <v>&lt;List Requirement Here&gt;</v>
      </c>
      <c r="O113" s="257" t="str">
        <f>IF('Council Own'!I97="A","A"," ")</f>
        <v xml:space="preserve"> </v>
      </c>
      <c r="Q113" s="247"/>
      <c r="R113" s="344" t="str">
        <f>'Council Own'!C145</f>
        <v>&lt;List Requirement Here&gt;</v>
      </c>
      <c r="S113" s="257" t="str">
        <f>IF('Council Own'!I145="A","A"," ")</f>
        <v xml:space="preserve"> </v>
      </c>
      <c r="U113" s="245"/>
      <c r="V113" s="245"/>
    </row>
    <row r="114" spans="9:22" x14ac:dyDescent="0.2">
      <c r="I114" s="247"/>
      <c r="J114" s="344" t="str">
        <f>'Council Own'!C50</f>
        <v>&lt;List Requirement Here&gt;</v>
      </c>
      <c r="K114" s="257" t="str">
        <f>IF('Council Own'!I50="A","A"," ")</f>
        <v xml:space="preserve"> </v>
      </c>
      <c r="M114" s="247"/>
      <c r="N114" s="344" t="str">
        <f>'Council Own'!C98</f>
        <v>&lt;List Requirement Here&gt;</v>
      </c>
      <c r="O114" s="257" t="str">
        <f>IF('Council Own'!I98="A","A"," ")</f>
        <v xml:space="preserve"> </v>
      </c>
      <c r="Q114" s="247"/>
      <c r="R114" s="344" t="str">
        <f>'Council Own'!C146</f>
        <v>&lt;List Requirement Here&gt;</v>
      </c>
      <c r="S114" s="257" t="str">
        <f>IF('Council Own'!I146="A","A","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row r="147" ht="12.75" customHeight="1" x14ac:dyDescent="0.2"/>
    <row r="148" ht="12.75" customHeight="1" x14ac:dyDescent="0.2"/>
    <row r="172" ht="12.75" customHeight="1" x14ac:dyDescent="0.2"/>
    <row r="173" ht="12.75" customHeight="1" x14ac:dyDescent="0.2"/>
  </sheetData>
  <sheetProtection password="9A15" sheet="1" objects="1" scenarios="1" selectLockedCells="1" selectUnlockedCells="1"/>
  <mergeCells count="113">
    <mergeCell ref="E102:F102"/>
    <mergeCell ref="E96:F96"/>
    <mergeCell ref="E97:F97"/>
    <mergeCell ref="A98:C98"/>
    <mergeCell ref="E98:F98"/>
    <mergeCell ref="A99:C99"/>
    <mergeCell ref="E99:F99"/>
    <mergeCell ref="A100:C100"/>
    <mergeCell ref="E100:F100"/>
    <mergeCell ref="A101:C101"/>
    <mergeCell ref="E101:F101"/>
    <mergeCell ref="E87:F87"/>
    <mergeCell ref="E88:F88"/>
    <mergeCell ref="E89:F89"/>
    <mergeCell ref="E90:F90"/>
    <mergeCell ref="E91:F91"/>
    <mergeCell ref="E92:F92"/>
    <mergeCell ref="E93:F93"/>
    <mergeCell ref="E94:F94"/>
    <mergeCell ref="E95:F95"/>
    <mergeCell ref="E78:F78"/>
    <mergeCell ref="E79:F79"/>
    <mergeCell ref="E80:F80"/>
    <mergeCell ref="E81:F81"/>
    <mergeCell ref="E82:F82"/>
    <mergeCell ref="E83:F83"/>
    <mergeCell ref="E84:F84"/>
    <mergeCell ref="E85:F85"/>
    <mergeCell ref="E86:F86"/>
    <mergeCell ref="A26:B26"/>
    <mergeCell ref="A28:C28"/>
    <mergeCell ref="Q28:R28"/>
    <mergeCell ref="B29:C29"/>
    <mergeCell ref="B30:C30"/>
    <mergeCell ref="B34:C34"/>
    <mergeCell ref="Q34:R34"/>
    <mergeCell ref="B35:C35"/>
    <mergeCell ref="B42:C42"/>
    <mergeCell ref="Q42:R42"/>
    <mergeCell ref="A8:B8"/>
    <mergeCell ref="A9:B9"/>
    <mergeCell ref="A11:B11"/>
    <mergeCell ref="A16:B16"/>
    <mergeCell ref="A18:B18"/>
    <mergeCell ref="A19:B19"/>
    <mergeCell ref="A20:B20"/>
    <mergeCell ref="A24:C24"/>
    <mergeCell ref="A25:B25"/>
    <mergeCell ref="Q1:S1"/>
    <mergeCell ref="E2:G2"/>
    <mergeCell ref="Q2:R2"/>
    <mergeCell ref="Q3:R3"/>
    <mergeCell ref="Q4:R4"/>
    <mergeCell ref="Q5:R5"/>
    <mergeCell ref="Q6:R6"/>
    <mergeCell ref="Q7:R7"/>
    <mergeCell ref="Q8:R8"/>
    <mergeCell ref="A3:B3"/>
    <mergeCell ref="A4:C4"/>
    <mergeCell ref="A5:B5"/>
    <mergeCell ref="A6:B6"/>
    <mergeCell ref="A7:B7"/>
    <mergeCell ref="A1:C1"/>
    <mergeCell ref="E1:G1"/>
    <mergeCell ref="I1:K1"/>
    <mergeCell ref="M1:O1"/>
    <mergeCell ref="Q9:R9"/>
    <mergeCell ref="A10:B10"/>
    <mergeCell ref="Q10:R10"/>
    <mergeCell ref="Q11:R11"/>
    <mergeCell ref="Q12:R12"/>
    <mergeCell ref="A13:C13"/>
    <mergeCell ref="Q13:R13"/>
    <mergeCell ref="Q14:R14"/>
    <mergeCell ref="Q15:R15"/>
    <mergeCell ref="A12:B12"/>
    <mergeCell ref="A14:B14"/>
    <mergeCell ref="A15:B15"/>
    <mergeCell ref="Q16:R16"/>
    <mergeCell ref="Q17:R17"/>
    <mergeCell ref="Q18:R18"/>
    <mergeCell ref="Q19:R19"/>
    <mergeCell ref="Q20:R20"/>
    <mergeCell ref="A21:C21"/>
    <mergeCell ref="Q21:R21"/>
    <mergeCell ref="A22:B22"/>
    <mergeCell ref="A23:B23"/>
    <mergeCell ref="E23:G23"/>
    <mergeCell ref="A17:B17"/>
    <mergeCell ref="E103:F103"/>
    <mergeCell ref="E104:F104"/>
    <mergeCell ref="E105:F105"/>
    <mergeCell ref="E106:F106"/>
    <mergeCell ref="B43:C43"/>
    <mergeCell ref="E45:G45"/>
    <mergeCell ref="A49:C49"/>
    <mergeCell ref="Q55:S55"/>
    <mergeCell ref="E72:G72"/>
    <mergeCell ref="I72:K72"/>
    <mergeCell ref="M72:O72"/>
    <mergeCell ref="Q72:S72"/>
    <mergeCell ref="E73:F73"/>
    <mergeCell ref="A72:C72"/>
    <mergeCell ref="A76:B76"/>
    <mergeCell ref="A77:B77"/>
    <mergeCell ref="A78:B78"/>
    <mergeCell ref="A73:B73"/>
    <mergeCell ref="A74:B74"/>
    <mergeCell ref="A75:B75"/>
    <mergeCell ref="E74:F74"/>
    <mergeCell ref="E75:F75"/>
    <mergeCell ref="E76:F76"/>
    <mergeCell ref="E77:F7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W173"/>
  <sheetViews>
    <sheetView showGridLines="0" zoomScale="90" zoomScaleNormal="90" workbookViewId="0">
      <selection activeCell="D1" sqref="D1"/>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1" customHeight="1" x14ac:dyDescent="0.35">
      <c r="A1" s="512" t="str">
        <f ca="1">MID(CELL("filename",A1),FIND(IF(ISERROR(FIND("]",CELL("filename",A1))),"$","]"),CELL("filename",A1))+1,256)</f>
        <v>Ambassador 7</v>
      </c>
      <c r="B1" s="512"/>
      <c r="C1" s="512"/>
      <c r="D1" s="265"/>
      <c r="E1" s="506" t="s">
        <v>15</v>
      </c>
      <c r="F1" s="506"/>
      <c r="G1" s="506"/>
      <c r="I1" s="506" t="s">
        <v>15</v>
      </c>
      <c r="J1" s="506"/>
      <c r="K1" s="506"/>
      <c r="M1" s="506" t="s">
        <v>15</v>
      </c>
      <c r="N1" s="506"/>
      <c r="O1" s="506"/>
      <c r="Q1" s="506" t="s">
        <v>135</v>
      </c>
      <c r="R1" s="506"/>
      <c r="S1" s="506"/>
      <c r="T1" s="239"/>
      <c r="U1" s="239"/>
    </row>
    <row r="2" spans="1:21" s="245" customFormat="1" ht="13.5" thickBot="1" x14ac:dyDescent="0.25">
      <c r="A2" s="242"/>
      <c r="B2" s="243"/>
      <c r="C2" s="244" t="s">
        <v>16</v>
      </c>
      <c r="D2" s="243"/>
      <c r="E2" s="492" t="str">
        <f>Badges!B6</f>
        <v>Photography</v>
      </c>
      <c r="F2" s="492"/>
      <c r="G2" s="492"/>
      <c r="H2" s="241"/>
      <c r="I2" s="247">
        <v>3</v>
      </c>
      <c r="J2" s="248" t="str">
        <f>Badges!C61</f>
        <v>Dig into national or state public policy</v>
      </c>
      <c r="K2" s="249"/>
      <c r="L2" s="241"/>
      <c r="M2" s="247">
        <v>3</v>
      </c>
      <c r="N2" s="248" t="str">
        <f>Badges!C130</f>
        <v>Share sisterhood around the world</v>
      </c>
      <c r="O2" s="249"/>
      <c r="P2" s="241"/>
      <c r="Q2" s="493" t="str">
        <f>'Age-Level'!B5</f>
        <v>Gold Torch Award</v>
      </c>
      <c r="R2" s="494"/>
      <c r="S2" s="251" t="str">
        <f>IF('Age-Level'!J8="C","C",IF('Age-Level'!J8="P","P",""))</f>
        <v/>
      </c>
      <c r="T2" s="239"/>
      <c r="U2" s="239"/>
    </row>
    <row r="3" spans="1:21" x14ac:dyDescent="0.2">
      <c r="A3" s="510" t="s">
        <v>132</v>
      </c>
      <c r="B3" s="511"/>
      <c r="C3" s="246">
        <f>INT(COUNTIF(C5:C12,"C"))+INT(COUNTIF(C14:C26,"C"))</f>
        <v>0</v>
      </c>
      <c r="E3" s="247">
        <v>1</v>
      </c>
      <c r="F3" s="248" t="str">
        <f>Badges!C7</f>
        <v>Expore the power of photography</v>
      </c>
      <c r="G3" s="249"/>
      <c r="I3" s="247"/>
      <c r="J3" s="248" t="str">
        <f>Badges!C62</f>
        <v>Track your issue</v>
      </c>
      <c r="K3" s="250" t="str">
        <f>IF(Badges!J62="A","A"," ")</f>
        <v xml:space="preserve"> </v>
      </c>
      <c r="M3" s="247"/>
      <c r="N3" s="248" t="str">
        <f>Badges!C131</f>
        <v>Explore an issue affecting girls and</v>
      </c>
      <c r="O3" s="250" t="str">
        <f>IF(Badges!J131="A","A"," ")</f>
        <v xml:space="preserve"> </v>
      </c>
      <c r="Q3" s="471" t="str">
        <f>'Age-Level'!B9</f>
        <v>Ambassador Community Service bar</v>
      </c>
      <c r="R3" s="472"/>
      <c r="S3" s="251" t="str">
        <f>IF('Age-Level'!J9="C","C",IF('Age-Level'!J9="P","P",""))</f>
        <v/>
      </c>
      <c r="T3" s="239"/>
      <c r="U3" s="239"/>
    </row>
    <row r="4" spans="1:21" x14ac:dyDescent="0.2">
      <c r="A4" s="500" t="str">
        <f>Summary!A3</f>
        <v>Legacy</v>
      </c>
      <c r="B4" s="500"/>
      <c r="C4" s="500"/>
      <c r="E4" s="247"/>
      <c r="F4" s="248" t="str">
        <f>Badges!C8</f>
        <v>Go to a photography exhibit</v>
      </c>
      <c r="G4" s="250" t="str">
        <f>IF(Badges!J8="A","A"," ")</f>
        <v xml:space="preserve"> </v>
      </c>
      <c r="I4" s="247"/>
      <c r="J4" s="248" t="str">
        <f>Badges!C63</f>
        <v>Talk to an interest gorup that promotes</v>
      </c>
      <c r="K4" s="250" t="str">
        <f>IF(Badges!J63="A","A"," ")</f>
        <v xml:space="preserve"> </v>
      </c>
      <c r="M4" s="247"/>
      <c r="N4" s="248" t="str">
        <f>Badges!C132</f>
        <v>Organize an event on women and STEM</v>
      </c>
      <c r="O4" s="250" t="str">
        <f>IF(Badges!J132="A","A"," ")</f>
        <v xml:space="preserve"> </v>
      </c>
      <c r="Q4" s="471" t="str">
        <f>'Age-Level'!B12</f>
        <v>Ambassador Service to Girl Scouting bar</v>
      </c>
      <c r="R4" s="472"/>
      <c r="S4" s="251" t="str">
        <f>IF('Age-Level'!J10="C","C",IF('Age-Level'!J10="P","P",""))</f>
        <v/>
      </c>
      <c r="T4" s="239"/>
      <c r="U4" s="239"/>
    </row>
    <row r="5" spans="1:21" ht="12.75" customHeight="1" x14ac:dyDescent="0.2">
      <c r="A5" s="501" t="str">
        <f>Summary!A4</f>
        <v>Photography</v>
      </c>
      <c r="B5" s="502"/>
      <c r="C5" s="252" t="str">
        <f>IF(Badges!J28="C","C",IF(Badges!J28="P","P",""))</f>
        <v/>
      </c>
      <c r="E5" s="247"/>
      <c r="F5" s="248" t="str">
        <f>Badges!C9</f>
        <v>Create a photography timeline.</v>
      </c>
      <c r="G5" s="250" t="str">
        <f>IF(Badges!J9="A","A"," ")</f>
        <v xml:space="preserve"> </v>
      </c>
      <c r="I5" s="247"/>
      <c r="J5" s="248" t="str">
        <f>Badges!C64</f>
        <v>Compare three different states' positions</v>
      </c>
      <c r="K5" s="250" t="str">
        <f>IF(Badges!J64="A","A"," ")</f>
        <v xml:space="preserve"> </v>
      </c>
      <c r="M5" s="247"/>
      <c r="N5" s="248" t="str">
        <f>Badges!C133</f>
        <v>Interview a global citizen</v>
      </c>
      <c r="O5" s="250" t="str">
        <f>IF(Badges!J133="A","A"," ")</f>
        <v xml:space="preserve"> </v>
      </c>
      <c r="Q5" s="471" t="str">
        <f>'Age-Level'!B15</f>
        <v>Ambassador Volunteer in Training</v>
      </c>
      <c r="R5" s="472"/>
      <c r="S5" s="251" t="str">
        <f>IF('Age-Level'!J19="C","C",IF('Age-Level'!J19="P","P",""))</f>
        <v/>
      </c>
      <c r="T5" s="239"/>
      <c r="U5" s="239"/>
    </row>
    <row r="6" spans="1:21" ht="12.75" customHeight="1" x14ac:dyDescent="0.2">
      <c r="A6" s="490" t="str">
        <f>Summary!A5</f>
        <v>Coaching</v>
      </c>
      <c r="B6" s="491"/>
      <c r="C6" s="252" t="str">
        <f>IF(Badges!J51="C","C",IF(Badges!J51="P","P",""))</f>
        <v/>
      </c>
      <c r="E6" s="247"/>
      <c r="F6" s="248" t="str">
        <f>Badges!C10</f>
        <v>Make sticky-note comics</v>
      </c>
      <c r="G6" s="250" t="str">
        <f>IF(Badges!J10="A","A"," ")</f>
        <v xml:space="preserve"> </v>
      </c>
      <c r="I6" s="247">
        <v>4</v>
      </c>
      <c r="J6" s="248" t="str">
        <f>Badges!C65</f>
        <v>Explore local or community policy</v>
      </c>
      <c r="K6" s="249"/>
      <c r="M6" s="247">
        <v>4</v>
      </c>
      <c r="N6" s="248" t="str">
        <f>Badges!C134</f>
        <v>Leave your wolrd better than you found it</v>
      </c>
      <c r="O6" s="249"/>
      <c r="Q6" s="471" t="str">
        <f>'Age-Level'!B20</f>
        <v>Journey Summit Pin</v>
      </c>
      <c r="R6" s="472"/>
      <c r="S6" s="251" t="str">
        <f>IF('Age-Level'!J21="C","C",IF('Age-Level'!J21="P","P",""))</f>
        <v/>
      </c>
      <c r="T6" s="239"/>
      <c r="U6" s="239"/>
    </row>
    <row r="7" spans="1:21" x14ac:dyDescent="0.2">
      <c r="A7" s="490" t="str">
        <f>Summary!A6</f>
        <v>Public Policy</v>
      </c>
      <c r="B7" s="491"/>
      <c r="C7" s="252" t="str">
        <f>IF(Badges!J74="C","C",IF(Badges!J74="P","P",""))</f>
        <v/>
      </c>
      <c r="E7" s="247">
        <v>2</v>
      </c>
      <c r="F7" s="248" t="str">
        <f>Badges!C11</f>
        <v>Focus on composition</v>
      </c>
      <c r="G7" s="249"/>
      <c r="I7" s="247"/>
      <c r="J7" s="248" t="str">
        <f>Badges!C66</f>
        <v>Attend a meeting</v>
      </c>
      <c r="K7" s="250" t="str">
        <f>IF(Badges!J66="A","A"," ")</f>
        <v xml:space="preserve"> </v>
      </c>
      <c r="M7" s="247"/>
      <c r="N7" s="248" t="str">
        <f>Badges!C135</f>
        <v xml:space="preserve">Find ideas to use your leaderhship </v>
      </c>
      <c r="O7" s="250" t="str">
        <f>IF(Badges!J135="A","A"," ")</f>
        <v xml:space="preserve"> </v>
      </c>
      <c r="Q7" s="471" t="str">
        <f>'Age-Level'!C23</f>
        <v>Cookie Rally (Year 1)</v>
      </c>
      <c r="R7" s="472"/>
      <c r="S7" s="257" t="str">
        <f>IF('Age-Level'!J23="A","A"," ")</f>
        <v xml:space="preserve"> </v>
      </c>
    </row>
    <row r="8" spans="1:21" x14ac:dyDescent="0.2">
      <c r="A8" s="490" t="str">
        <f>Summary!A7</f>
        <v>Dinner Party</v>
      </c>
      <c r="B8" s="491"/>
      <c r="C8" s="252" t="str">
        <f>IF(Badges!J97="C","C",IF(Badges!J97="P","P",""))</f>
        <v/>
      </c>
      <c r="E8" s="247"/>
      <c r="F8" s="248" t="str">
        <f>Badges!C12</f>
        <v>Capture a day in the life</v>
      </c>
      <c r="G8" s="250" t="str">
        <f>IF(Badges!J12="A","A"," ")</f>
        <v xml:space="preserve"> </v>
      </c>
      <c r="I8" s="247"/>
      <c r="J8" s="248" t="str">
        <f>Badges!C67</f>
        <v>Compare different local positions</v>
      </c>
      <c r="K8" s="250" t="str">
        <f>IF(Badges!J67="A","A"," ")</f>
        <v xml:space="preserve"> </v>
      </c>
      <c r="M8" s="247"/>
      <c r="N8" s="248" t="str">
        <f>Badges!C136</f>
        <v>Gather ideas to work for a healthy</v>
      </c>
      <c r="O8" s="250" t="str">
        <f>IF(Badges!J136="A","A"," ")</f>
        <v xml:space="preserve"> </v>
      </c>
      <c r="Q8" s="471" t="str">
        <f>'Age-Level'!C24</f>
        <v>Cookie Sales (Year 1)</v>
      </c>
      <c r="R8" s="472"/>
      <c r="S8" s="257" t="str">
        <f>IF('Age-Level'!J24="A","A"," ")</f>
        <v xml:space="preserve"> </v>
      </c>
    </row>
    <row r="9" spans="1:21" x14ac:dyDescent="0.2">
      <c r="A9" s="490" t="str">
        <f>Summary!A8</f>
        <v>Ambassador First Aid</v>
      </c>
      <c r="B9" s="491"/>
      <c r="C9" s="252" t="str">
        <f>IF(Badges!J120="C","C",IF(Badges!J120="P","P",""))</f>
        <v/>
      </c>
      <c r="E9" s="247"/>
      <c r="F9" s="248" t="str">
        <f>Badges!C13</f>
        <v>Photograph weather patterns</v>
      </c>
      <c r="G9" s="250" t="str">
        <f>IF(Badges!J13="A","A"," ")</f>
        <v xml:space="preserve"> </v>
      </c>
      <c r="I9" s="247"/>
      <c r="J9" s="248" t="str">
        <f>Badges!C68</f>
        <v>Visit your local legislator's office</v>
      </c>
      <c r="K9" s="250" t="str">
        <f>IF(Badges!J68="A","A"," ")</f>
        <v xml:space="preserve"> </v>
      </c>
      <c r="M9" s="247"/>
      <c r="N9" s="248" t="str">
        <f>Badges!C137</f>
        <v>Brainstorm idea for social change</v>
      </c>
      <c r="O9" s="250" t="str">
        <f>IF(Badges!J137="A","A"," ")</f>
        <v xml:space="preserve"> </v>
      </c>
      <c r="Q9" s="471" t="str">
        <f>'Age-Level'!C25</f>
        <v>Cookie Pin (Year 1)</v>
      </c>
      <c r="R9" s="472"/>
      <c r="S9" s="257" t="str">
        <f>IF('Age-Level'!J25="A","A"," ")</f>
        <v xml:space="preserve"> </v>
      </c>
    </row>
    <row r="10" spans="1:21" x14ac:dyDescent="0.2">
      <c r="A10" s="490" t="str">
        <f>Summary!A9</f>
        <v>Ambassador Girl Scout Way</v>
      </c>
      <c r="B10" s="491"/>
      <c r="C10" s="253" t="str">
        <f>IF(Badges!J143="C","C",IF(Badges!J143="P","P",""))</f>
        <v/>
      </c>
      <c r="E10" s="247"/>
      <c r="F10" s="248" t="str">
        <f>Badges!C14</f>
        <v>Take 5 photos form a different</v>
      </c>
      <c r="G10" s="250" t="str">
        <f>IF(Badges!J14="A","A"," ")</f>
        <v xml:space="preserve"> </v>
      </c>
      <c r="I10" s="247">
        <v>5</v>
      </c>
      <c r="J10" s="248" t="str">
        <f>Badges!C69</f>
        <v>See public policy creation in action</v>
      </c>
      <c r="K10" s="249"/>
      <c r="M10" s="247">
        <v>5</v>
      </c>
      <c r="N10" s="248" t="str">
        <f>Badges!C138</f>
        <v>Enjoy Girl Scout traditions!</v>
      </c>
      <c r="O10" s="249"/>
      <c r="Q10" s="471" t="str">
        <f>'Age-Level'!C26</f>
        <v>Cookie Rally (Year 2)</v>
      </c>
      <c r="R10" s="472"/>
      <c r="S10" s="257" t="str">
        <f>IF('Age-Level'!J26="A","A"," ")</f>
        <v xml:space="preserve"> </v>
      </c>
    </row>
    <row r="11" spans="1:21" x14ac:dyDescent="0.2">
      <c r="A11" s="509" t="str">
        <f>Summary!A10</f>
        <v>Water</v>
      </c>
      <c r="B11" s="491"/>
      <c r="C11" s="252" t="str">
        <f>IF(Badges!J166="C","C",IF(Badges!J166="P","P",""))</f>
        <v/>
      </c>
      <c r="E11" s="247">
        <v>3</v>
      </c>
      <c r="F11" s="248" t="str">
        <f>Badges!C15</f>
        <v>Focus on light</v>
      </c>
      <c r="G11" s="249"/>
      <c r="I11" s="247"/>
      <c r="J11" s="248" t="str">
        <f>Badges!C70</f>
        <v>Shadow a policy-maker</v>
      </c>
      <c r="K11" s="250" t="str">
        <f>IF(Badges!J70="A","A"," ")</f>
        <v xml:space="preserve"> </v>
      </c>
      <c r="M11" s="247"/>
      <c r="N11" s="248" t="str">
        <f>Badges!C139</f>
        <v>Pass down a tradition</v>
      </c>
      <c r="O11" s="250" t="str">
        <f>IF(Badges!J139="A","A"," ")</f>
        <v xml:space="preserve"> </v>
      </c>
      <c r="Q11" s="471" t="str">
        <f>'Age-Level'!C27</f>
        <v>Cookie Sales (Year 2)</v>
      </c>
      <c r="R11" s="472"/>
      <c r="S11" s="257" t="str">
        <f>IF('Age-Level'!J27="A","A"," ")</f>
        <v xml:space="preserve"> </v>
      </c>
    </row>
    <row r="12" spans="1:21" x14ac:dyDescent="0.2">
      <c r="A12" s="507"/>
      <c r="B12" s="507"/>
      <c r="C12" s="336"/>
      <c r="E12" s="247"/>
      <c r="F12" s="248" t="str">
        <f>Badges!C16</f>
        <v>Invite friends to a shoot day</v>
      </c>
      <c r="G12" s="250" t="str">
        <f>IF(Badges!J16="A","A"," ")</f>
        <v xml:space="preserve"> </v>
      </c>
      <c r="I12" s="247"/>
      <c r="J12" s="248" t="str">
        <f>Badges!C71</f>
        <v>Volunteer at an office</v>
      </c>
      <c r="K12" s="250" t="str">
        <f>IF(Badges!J71="A","A"," ")</f>
        <v xml:space="preserve"> </v>
      </c>
      <c r="M12" s="247"/>
      <c r="N12" s="248" t="str">
        <f>Badges!C140</f>
        <v>Start a Girl Scout tradition of your own</v>
      </c>
      <c r="O12" s="250" t="str">
        <f>IF(Badges!J140="A","A"," ")</f>
        <v xml:space="preserve"> </v>
      </c>
      <c r="Q12" s="471" t="str">
        <f>'Age-Level'!C28</f>
        <v>Cookie Pin (Year 2)</v>
      </c>
      <c r="R12" s="472"/>
      <c r="S12" s="257" t="str">
        <f>IF('Age-Level'!J28="A","A"," ")</f>
        <v xml:space="preserve"> </v>
      </c>
    </row>
    <row r="13" spans="1:21" x14ac:dyDescent="0.2">
      <c r="A13" s="500" t="str">
        <f>Summary!A3</f>
        <v>Legacy</v>
      </c>
      <c r="B13" s="500"/>
      <c r="C13" s="500"/>
      <c r="E13" s="247"/>
      <c r="F13" s="248" t="str">
        <f>Badges!C17</f>
        <v>Capture the same person or object</v>
      </c>
      <c r="G13" s="250" t="str">
        <f>IF(Badges!J17="A","A"," ")</f>
        <v xml:space="preserve"> </v>
      </c>
      <c r="I13" s="247"/>
      <c r="J13" s="248" t="str">
        <f>Badges!C72</f>
        <v>Interview a policy-maker</v>
      </c>
      <c r="K13" s="250" t="str">
        <f>IF(Badges!J72="A","A"," ")</f>
        <v xml:space="preserve"> </v>
      </c>
      <c r="M13" s="247"/>
      <c r="N13" s="248" t="str">
        <f>Badges!C141</f>
        <v>Share the Girl Scout way by example</v>
      </c>
      <c r="O13" s="250" t="str">
        <f>IF(Badges!J141="A","A"," ")</f>
        <v xml:space="preserve"> </v>
      </c>
      <c r="Q13" s="471" t="str">
        <f>'Age-Level'!C30</f>
        <v>Fall Sales (Year 1)</v>
      </c>
      <c r="R13" s="472"/>
      <c r="S13" s="252" t="str">
        <f>IF('Age-Level'!J30="A","A","")</f>
        <v/>
      </c>
    </row>
    <row r="14" spans="1:21" x14ac:dyDescent="0.2">
      <c r="A14" s="501" t="str">
        <f>Summary!A4</f>
        <v>Photography</v>
      </c>
      <c r="B14" s="502"/>
      <c r="C14" s="251" t="str">
        <f>IF(Badges!J28="C","C",IF(Badges!J28="P","P",""))</f>
        <v/>
      </c>
      <c r="E14" s="247"/>
      <c r="F14" s="248" t="str">
        <f>Badges!C18</f>
        <v>Grow your image</v>
      </c>
      <c r="G14" s="250" t="str">
        <f>IF(Badges!J18="A","A"," ")</f>
        <v xml:space="preserve"> </v>
      </c>
      <c r="I14" s="339" t="str">
        <f>Badges!B75</f>
        <v>Dinner Party</v>
      </c>
      <c r="J14" s="340"/>
      <c r="K14" s="340"/>
      <c r="M14" s="339" t="str">
        <f>Badges!B144</f>
        <v>Water</v>
      </c>
      <c r="N14" s="340"/>
      <c r="O14" s="340"/>
      <c r="Q14" s="471" t="str">
        <f>'Age-Level'!C31</f>
        <v>Fall Sales (Year 2)</v>
      </c>
      <c r="R14" s="472"/>
      <c r="S14" s="252" t="str">
        <f>IF('Age-Level'!J31="A","A","")</f>
        <v/>
      </c>
    </row>
    <row r="15" spans="1:21" x14ac:dyDescent="0.2">
      <c r="A15" s="490" t="str">
        <f>Summary!A5</f>
        <v>Coaching</v>
      </c>
      <c r="B15" s="491"/>
      <c r="C15" s="252" t="str">
        <f>IF(Badges!J51="C","C",IF(Badges!J51="P","P",""))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471" t="str">
        <f>'Age-Level'!C33</f>
        <v>Thinking Day (Year 1)</v>
      </c>
      <c r="R15" s="472"/>
      <c r="S15" s="252" t="str">
        <f>IF('Age-Level'!J33="A","A","")</f>
        <v/>
      </c>
    </row>
    <row r="16" spans="1:21" x14ac:dyDescent="0.2">
      <c r="A16" s="490" t="str">
        <f>Summary!A6</f>
        <v>Public Policy</v>
      </c>
      <c r="B16" s="491"/>
      <c r="C16" s="252" t="str">
        <f>IF(Badges!J74="C","C",IF(Badges!J74="P","P",""))</f>
        <v/>
      </c>
      <c r="E16" s="247"/>
      <c r="F16" s="248" t="str">
        <f>Badges!C20</f>
        <v xml:space="preserve">Take photos of a group </v>
      </c>
      <c r="G16" s="250" t="str">
        <f>IF(Badges!J20="A","A"," ")</f>
        <v xml:space="preserve"> </v>
      </c>
      <c r="I16" s="247"/>
      <c r="J16" s="248" t="str">
        <f>Badges!C77</f>
        <v>Interview a caterer, event planner, chef</v>
      </c>
      <c r="K16" s="250" t="str">
        <f>IF(Badges!J77="A","A"," ")</f>
        <v xml:space="preserve"> </v>
      </c>
      <c r="M16" s="247"/>
      <c r="N16" s="248" t="str">
        <f>Badges!C146</f>
        <v>Visit water in its natural state</v>
      </c>
      <c r="O16" s="250" t="str">
        <f>IF(Badges!J146="A","A"," ")</f>
        <v xml:space="preserve"> </v>
      </c>
      <c r="Q16" s="471" t="str">
        <f>'Age-Level'!C34</f>
        <v>Thinking Day (Year 2)</v>
      </c>
      <c r="R16" s="472"/>
      <c r="S16" s="252" t="str">
        <f>IF('Age-Level'!J34="A","A","")</f>
        <v/>
      </c>
    </row>
    <row r="17" spans="1:19" x14ac:dyDescent="0.2">
      <c r="A17" s="490" t="str">
        <f>Summary!A7</f>
        <v>Dinner Party</v>
      </c>
      <c r="B17" s="491"/>
      <c r="C17" s="252" t="str">
        <f>IF(Badges!J97="C","C",IF(Badges!J97="P","P",""))</f>
        <v/>
      </c>
      <c r="E17" s="247"/>
      <c r="F17" s="248" t="str">
        <f>Badges!C21</f>
        <v>Take photos of faces in motion</v>
      </c>
      <c r="G17" s="250" t="str">
        <f>IF(Badges!J21="A","A"," ")</f>
        <v xml:space="preserve"> </v>
      </c>
      <c r="I17" s="247"/>
      <c r="J17" s="248" t="str">
        <f>Badges!C78</f>
        <v>Collect recipes from cooking shows</v>
      </c>
      <c r="K17" s="250" t="str">
        <f>IF(Badges!J78="A","A"," ")</f>
        <v xml:space="preserve"> </v>
      </c>
      <c r="M17" s="247"/>
      <c r="N17" s="248" t="str">
        <f>Badges!C147</f>
        <v>Try a new water skill</v>
      </c>
      <c r="O17" s="250" t="str">
        <f>IF(Badges!J147="A","A"," ")</f>
        <v xml:space="preserve"> </v>
      </c>
      <c r="Q17" s="471" t="str">
        <f>'Age-Level'!C36</f>
        <v>Global Action Award</v>
      </c>
      <c r="R17" s="472"/>
      <c r="S17" s="252" t="str">
        <f>IF('Age-Level'!J36="A","A","")</f>
        <v/>
      </c>
    </row>
    <row r="18" spans="1:19" x14ac:dyDescent="0.2">
      <c r="A18" s="490" t="str">
        <f>Summary!A8</f>
        <v>Ambassador First Aid</v>
      </c>
      <c r="B18" s="491"/>
      <c r="C18" s="252" t="str">
        <f>IF(Badges!J120="C","C",IF(Badges!J120="P","P",""))</f>
        <v/>
      </c>
      <c r="E18" s="247"/>
      <c r="F18" s="248" t="str">
        <f>Badges!C22</f>
        <v>Take photos of objects in motion</v>
      </c>
      <c r="G18" s="250" t="str">
        <f>IF(Badges!J22="A","A"," ")</f>
        <v xml:space="preserve"> </v>
      </c>
      <c r="I18" s="247"/>
      <c r="J18" s="248" t="str">
        <f>Badges!C79</f>
        <v>Build a men around your favorite</v>
      </c>
      <c r="K18" s="250" t="str">
        <f>IF(Badges!J79="A","A"," ")</f>
        <v xml:space="preserve"> </v>
      </c>
      <c r="M18" s="247"/>
      <c r="N18" s="248" t="str">
        <f>Badges!C148</f>
        <v>Enjoy a water activity you already know</v>
      </c>
      <c r="O18" s="250" t="str">
        <f>IF(Badges!J148="A","A"," ")</f>
        <v xml:space="preserve"> </v>
      </c>
      <c r="Q18" s="471" t="str">
        <f>'Age-Level'!C38</f>
        <v>International Friendship Recognition</v>
      </c>
      <c r="R18" s="472"/>
      <c r="S18" s="252" t="str">
        <f>IF('Age-Level'!J38="A","A","")</f>
        <v/>
      </c>
    </row>
    <row r="19" spans="1:19" x14ac:dyDescent="0.2">
      <c r="A19" s="490" t="str">
        <f>Summary!A9</f>
        <v>Ambassador Girl Scout Way</v>
      </c>
      <c r="B19" s="491"/>
      <c r="C19" s="252" t="str">
        <f>IF(Badges!J143="C","C",IF(Badges!J143="P","P",""))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471" t="str">
        <f>'Age-Level'!C40</f>
        <v>Investiture</v>
      </c>
      <c r="R19" s="472"/>
      <c r="S19" s="252" t="str">
        <f>IF('Age-Level'!J40="A","A","")</f>
        <v/>
      </c>
    </row>
    <row r="20" spans="1:19" x14ac:dyDescent="0.2">
      <c r="A20" s="507" t="str">
        <f>Summary!A10</f>
        <v>Water</v>
      </c>
      <c r="B20" s="508"/>
      <c r="C20" s="253" t="str">
        <f>IF(Badges!J166="C","C",IF(Badges!J166="P","P",""))</f>
        <v/>
      </c>
      <c r="E20" s="247"/>
      <c r="F20" s="248" t="str">
        <f>Badges!C24</f>
        <v>Stage a photo exhibit</v>
      </c>
      <c r="G20" s="250" t="str">
        <f>IF(Badges!J24="A","A"," ")</f>
        <v xml:space="preserve"> </v>
      </c>
      <c r="I20" s="247"/>
      <c r="J20" s="248" t="str">
        <f>Badges!C81</f>
        <v>Camparison shop</v>
      </c>
      <c r="K20" s="250" t="str">
        <f>IF(Badges!J81="A","A"," ")</f>
        <v xml:space="preserve"> </v>
      </c>
      <c r="M20" s="247"/>
      <c r="N20" s="248" t="str">
        <f>Badges!C150</f>
        <v>Delve into water literature</v>
      </c>
      <c r="O20" s="250" t="str">
        <f>IF(Badges!J150="A","A"," ")</f>
        <v xml:space="preserve"> </v>
      </c>
      <c r="Q20" s="471" t="str">
        <f>'Age-Level'!C41</f>
        <v>Rededication (1st year)</v>
      </c>
      <c r="R20" s="472"/>
      <c r="S20" s="262" t="str">
        <f>IF('Age-Level'!J41="C","C","")</f>
        <v/>
      </c>
    </row>
    <row r="21" spans="1:19" x14ac:dyDescent="0.2">
      <c r="A21" s="500" t="str">
        <f>Summary!A11</f>
        <v>Financial Literacy</v>
      </c>
      <c r="B21" s="500"/>
      <c r="C21" s="500"/>
      <c r="E21" s="247"/>
      <c r="F21" s="248" t="str">
        <f>Badges!C25</f>
        <v>Make a digital slide show</v>
      </c>
      <c r="G21" s="250" t="str">
        <f>IF(Badges!J25="A","A"," ")</f>
        <v xml:space="preserve"> </v>
      </c>
      <c r="I21" s="247"/>
      <c r="J21" s="248" t="str">
        <f>Badges!C82</f>
        <v>Consult with a professional chef</v>
      </c>
      <c r="K21" s="250" t="str">
        <f>IF(Badges!J82="A","A"," ")</f>
        <v xml:space="preserve"> </v>
      </c>
      <c r="M21" s="247"/>
      <c r="N21" s="248" t="str">
        <f>Badges!C151</f>
        <v xml:space="preserve">Enjoy an exhibit or event that features </v>
      </c>
      <c r="O21" s="250" t="str">
        <f>IF(Badges!J151="A","A"," ")</f>
        <v xml:space="preserve"> </v>
      </c>
      <c r="Q21" s="471" t="str">
        <f>'Age-Level'!C42</f>
        <v>Rededication (2nd year)</v>
      </c>
      <c r="R21" s="472"/>
      <c r="S21" s="262" t="str">
        <f>IF('Age-Level'!J42="C","C","")</f>
        <v/>
      </c>
    </row>
    <row r="22" spans="1:19" x14ac:dyDescent="0.2">
      <c r="A22" s="501" t="str">
        <f>Summary!A12</f>
        <v>On My Own</v>
      </c>
      <c r="B22" s="502"/>
      <c r="C22" s="251" t="str">
        <f>IF(Badges!J190="C","C",IF(Badges!J190="P","P",""))</f>
        <v/>
      </c>
      <c r="E22" s="247"/>
      <c r="F22" s="248" t="str">
        <f>Badges!C26</f>
        <v>Create a photo album or scrapbook</v>
      </c>
      <c r="G22" s="250" t="str">
        <f>IF(Badges!J26="A","A"," ")</f>
        <v xml:space="preserve"> </v>
      </c>
      <c r="I22" s="247"/>
      <c r="J22" s="248" t="str">
        <f>Badges!C83</f>
        <v>Learn about alternative ways to shop</v>
      </c>
      <c r="K22" s="250" t="str">
        <f>IF(Badges!J83="A","A"," ")</f>
        <v xml:space="preserve"> </v>
      </c>
      <c r="M22" s="247"/>
      <c r="N22" s="248" t="str">
        <f>Badges!C152</f>
        <v>Create your own water composition</v>
      </c>
      <c r="O22" s="250" t="str">
        <f>IF(Badges!J152="A","A"," ")</f>
        <v xml:space="preserve"> </v>
      </c>
      <c r="Q22" s="342" t="str">
        <f>'Age-Level'!B43</f>
        <v>My Promise, My Faith (Year 1)</v>
      </c>
      <c r="R22" s="343"/>
      <c r="S22" s="262"/>
    </row>
    <row r="23" spans="1:19" x14ac:dyDescent="0.2">
      <c r="A23" s="490" t="str">
        <f>Summary!A13</f>
        <v>Good Credit</v>
      </c>
      <c r="B23" s="491"/>
      <c r="C23" s="251" t="str">
        <f>IF(Badges!J213="C","C",IF(Badges!J213="P","P",""))</f>
        <v/>
      </c>
      <c r="E23" s="492" t="str">
        <f>Badges!B29</f>
        <v>Coaching</v>
      </c>
      <c r="F23" s="492"/>
      <c r="G23" s="492"/>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IF('Age-Level'!J44="A","A","")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IF(Badges!J85="A","A"," ")</f>
        <v xml:space="preserve"> </v>
      </c>
      <c r="M24" s="247"/>
      <c r="N24" s="248" t="str">
        <f>Badges!C154</f>
        <v>Visit a water facility and explore its</v>
      </c>
      <c r="O24" s="250" t="str">
        <f>IF(Badges!J154="A","A"," ")</f>
        <v xml:space="preserve"> </v>
      </c>
      <c r="Q24" s="267">
        <v>2</v>
      </c>
      <c r="R24" s="344" t="str">
        <f>'Age-Level'!C45</f>
        <v>Find a woman in your community</v>
      </c>
      <c r="S24" s="262" t="str">
        <f>IF('Age-Level'!J45="A","A","")</f>
        <v/>
      </c>
    </row>
    <row r="25" spans="1:19" x14ac:dyDescent="0.2">
      <c r="A25" s="490" t="str">
        <f>Summary!A15</f>
        <v>Research and Development</v>
      </c>
      <c r="B25" s="491"/>
      <c r="C25" s="252" t="str">
        <f>IF(Badges!J227="C","C",IF(Badges!J227="P","P",""))</f>
        <v/>
      </c>
      <c r="E25" s="247"/>
      <c r="F25" s="248" t="str">
        <f>Badges!C31</f>
        <v>Talk to a great coach</v>
      </c>
      <c r="G25" s="250" t="str">
        <f>IF(Badges!J31="A","A"," ")</f>
        <v xml:space="preserve"> </v>
      </c>
      <c r="I25" s="247"/>
      <c r="J25" s="248" t="str">
        <f>Badges!C86</f>
        <v>Make a menu timeline</v>
      </c>
      <c r="K25" s="250" t="str">
        <f>IF(Badges!J86="A","A"," ")</f>
        <v xml:space="preserve"> </v>
      </c>
      <c r="M25" s="247"/>
      <c r="N25" s="248" t="str">
        <f>Badges!C155</f>
        <v>Investigate endangered marine life</v>
      </c>
      <c r="O25" s="250" t="str">
        <f>IF(Badges!J155="A","A"," ")</f>
        <v xml:space="preserve"> </v>
      </c>
      <c r="Q25" s="267">
        <v>3</v>
      </c>
      <c r="R25" s="344" t="str">
        <f>'Age-Level'!C46</f>
        <v>Gather three inspirational quotes</v>
      </c>
      <c r="S25" s="262" t="str">
        <f>IF('Age-Level'!J46="A","A","")</f>
        <v/>
      </c>
    </row>
    <row r="26" spans="1:19" x14ac:dyDescent="0.2">
      <c r="A26" s="490" t="str">
        <f>Summary!A16</f>
        <v>P &amp; L</v>
      </c>
      <c r="B26" s="491"/>
      <c r="C26" s="252" t="str">
        <f>IF(Badges!J240="C","C",IF(Badges!J240="P","P",""))</f>
        <v/>
      </c>
      <c r="E26" s="247"/>
      <c r="F26" s="248" t="str">
        <f>Badges!C32</f>
        <v>Watch three sports documentaries</v>
      </c>
      <c r="G26" s="250" t="str">
        <f>IF(Badges!J32="A","A"," ")</f>
        <v xml:space="preserve"> </v>
      </c>
      <c r="I26" s="247"/>
      <c r="J26" s="248" t="str">
        <f>Badges!C87</f>
        <v>Prepare a test meal for family or friends</v>
      </c>
      <c r="K26" s="250" t="str">
        <f>IF(Badges!J87="A","A"," ")</f>
        <v xml:space="preserve"> </v>
      </c>
      <c r="M26" s="247"/>
      <c r="N26" s="248" t="str">
        <f>Badges!C156</f>
        <v>Investigate water as a hazard</v>
      </c>
      <c r="O26" s="250" t="str">
        <f>IF(Badges!J156="A","A"," ")</f>
        <v xml:space="preserve"> </v>
      </c>
      <c r="Q26" s="267">
        <v>4</v>
      </c>
      <c r="R26" s="344" t="str">
        <f>'Age-Level'!C47</f>
        <v>Make something to remind you</v>
      </c>
      <c r="S26" s="262" t="str">
        <f>IF('Age-Level'!J47="A","A","")</f>
        <v/>
      </c>
    </row>
    <row r="27" spans="1:19" x14ac:dyDescent="0.2">
      <c r="A27" s="346"/>
      <c r="B27" s="346"/>
      <c r="C27" s="266"/>
      <c r="E27" s="247"/>
      <c r="F27" s="248" t="str">
        <f>Badges!C33</f>
        <v>Attend a coaching clinic or seminar</v>
      </c>
      <c r="G27" s="250" t="str">
        <f>IF(Badges!J33="A","A","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IF('Age-Level'!J48="A","A","")</f>
        <v/>
      </c>
    </row>
    <row r="28" spans="1:19" x14ac:dyDescent="0.2">
      <c r="A28" s="484" t="s">
        <v>84</v>
      </c>
      <c r="B28" s="484"/>
      <c r="C28" s="484"/>
      <c r="E28" s="247">
        <v>2</v>
      </c>
      <c r="F28" s="248" t="str">
        <f>Badges!C34</f>
        <v>Conduct a first assessment</v>
      </c>
      <c r="G28" s="249"/>
      <c r="I28" s="247"/>
      <c r="J28" s="248" t="str">
        <f>Badges!C89</f>
        <v>Expreiment with garnishes</v>
      </c>
      <c r="K28" s="250" t="str">
        <f>IF(Badges!J89="A","A"," ")</f>
        <v xml:space="preserve"> </v>
      </c>
      <c r="M28" s="247"/>
      <c r="N28" s="248" t="str">
        <f>Badges!C158</f>
        <v>Interview a water scientist</v>
      </c>
      <c r="O28" s="250" t="str">
        <f>IF(Badges!J158="A","A","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IF(Badges!J35="A","A"," ")</f>
        <v xml:space="preserve"> </v>
      </c>
      <c r="I29" s="247"/>
      <c r="J29" s="248" t="str">
        <f>Badges!C90</f>
        <v>Present food in interesting shapes</v>
      </c>
      <c r="K29" s="250" t="str">
        <f>IF(Badges!J90="A","A"," ")</f>
        <v xml:space="preserve"> </v>
      </c>
      <c r="M29" s="247"/>
      <c r="N29" s="248" t="str">
        <f>Badges!C159</f>
        <v>Explore the world of hydroelectricity</v>
      </c>
      <c r="O29" s="250" t="str">
        <f>IF(Badges!J159="A","A"," ")</f>
        <v xml:space="preserve"> </v>
      </c>
      <c r="Q29" s="268">
        <v>1</v>
      </c>
      <c r="R29" s="344" t="str">
        <f>'Age-Level'!C51</f>
        <v>Choose one line from the Law</v>
      </c>
      <c r="S29" s="262" t="str">
        <f>IF('Age-Level'!J51="A","A","")</f>
        <v/>
      </c>
    </row>
    <row r="30" spans="1:19" x14ac:dyDescent="0.2">
      <c r="B30" s="477" t="str">
        <f>Journey!B7</f>
        <v>The Girl Scout Advocate Award</v>
      </c>
      <c r="C30" s="478"/>
      <c r="E30" s="247"/>
      <c r="F30" s="248" t="str">
        <f>Badges!C36</f>
        <v>Host an initial session</v>
      </c>
      <c r="G30" s="250" t="str">
        <f>IF(Badges!J36="A","A"," ")</f>
        <v xml:space="preserve"> </v>
      </c>
      <c r="I30" s="247"/>
      <c r="J30" s="248" t="str">
        <f>Badges!C91</f>
        <v>Use serving ware in unusual ways</v>
      </c>
      <c r="K30" s="250" t="str">
        <f>IF(Badges!J91="A","A"," ")</f>
        <v xml:space="preserve"> </v>
      </c>
      <c r="M30" s="247"/>
      <c r="N30" s="248" t="str">
        <f>Badges!C160</f>
        <v>Design your own water innovation</v>
      </c>
      <c r="O30" s="250" t="str">
        <f>IF(Badges!J160="A","A"," ")</f>
        <v xml:space="preserve"> </v>
      </c>
      <c r="Q30" s="267">
        <v>2</v>
      </c>
      <c r="R30" s="344" t="str">
        <f>'Age-Level'!C52</f>
        <v>Find a woman in your community</v>
      </c>
      <c r="S30" s="262" t="str">
        <f>IF('Age-Level'!J52="A","A","")</f>
        <v/>
      </c>
    </row>
    <row r="31" spans="1:19" x14ac:dyDescent="0.2">
      <c r="B31" s="256">
        <f>Journey!I8</f>
        <v>0</v>
      </c>
      <c r="C31" s="252" t="str">
        <f>IF(Journey!J8="C","C",IF(Journey!J8="P","P",""))</f>
        <v/>
      </c>
      <c r="E31" s="247"/>
      <c r="F31" s="248" t="str">
        <f>Badges!C37</f>
        <v>Prepare a goal chart together</v>
      </c>
      <c r="G31" s="250" t="str">
        <f>IF(Badges!J37="A","A","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IF('Age-Level'!J53="A","A","")</f>
        <v/>
      </c>
    </row>
    <row r="32" spans="1:19" x14ac:dyDescent="0.2">
      <c r="B32" s="256">
        <f>Journey!I9</f>
        <v>0</v>
      </c>
      <c r="C32" s="252" t="str">
        <f>IF(Journey!J9="C","C",IF(Journey!J9="P","P",""))</f>
        <v/>
      </c>
      <c r="E32" s="339" t="str">
        <f>Badges!B29</f>
        <v>Coaching</v>
      </c>
      <c r="F32" s="340"/>
      <c r="G32" s="340"/>
      <c r="I32" s="247"/>
      <c r="J32" s="248" t="str">
        <f>Badges!C93</f>
        <v>Decorate according to your menu theme</v>
      </c>
      <c r="K32" s="250" t="str">
        <f>IF(Badges!J93="A","A"," ")</f>
        <v xml:space="preserve"> </v>
      </c>
      <c r="M32" s="247"/>
      <c r="N32" s="248" t="str">
        <f>Badges!C162</f>
        <v>Celebrate water with younger Girl Scouts</v>
      </c>
      <c r="O32" s="250" t="str">
        <f>IF(Badges!J162="A","A"," ")</f>
        <v xml:space="preserve"> </v>
      </c>
      <c r="Q32" s="267">
        <v>4</v>
      </c>
      <c r="R32" s="344" t="str">
        <f>'Age-Level'!C54</f>
        <v>Make something to remind you</v>
      </c>
      <c r="S32" s="262" t="str">
        <f>IF('Age-Level'!J54="A","A","")</f>
        <v/>
      </c>
    </row>
    <row r="33" spans="1:19" x14ac:dyDescent="0.2">
      <c r="B33" s="256">
        <f>Journey!I10</f>
        <v>0</v>
      </c>
      <c r="C33" s="252" t="str">
        <f>IF(Journey!J10="C","C",IF(Journey!J10="P","P",""))</f>
        <v/>
      </c>
      <c r="E33" s="247">
        <v>3</v>
      </c>
      <c r="F33" s="248" t="str">
        <f>Badges!C38</f>
        <v>Design your coaching plan</v>
      </c>
      <c r="G33" s="249"/>
      <c r="I33" s="247"/>
      <c r="J33" s="248" t="str">
        <f>Badges!C94</f>
        <v>Celebrate a special occasion</v>
      </c>
      <c r="K33" s="250" t="str">
        <f>IF(Badges!J94="A","A"," ")</f>
        <v xml:space="preserve"> </v>
      </c>
      <c r="M33" s="247"/>
      <c r="N33" s="248" t="str">
        <f>Badges!C163</f>
        <v>Share a water issue that matters to you</v>
      </c>
      <c r="O33" s="250" t="str">
        <f>IF(Badges!J163="A","A"," ")</f>
        <v xml:space="preserve"> </v>
      </c>
      <c r="Q33" s="267">
        <v>5</v>
      </c>
      <c r="R33" s="344" t="str">
        <f>'Age-Level'!C55</f>
        <v xml:space="preserve">Make a commitment to live what </v>
      </c>
      <c r="S33" s="364" t="str">
        <f>IF('Age-Level'!J55="A","A","")</f>
        <v/>
      </c>
    </row>
    <row r="34" spans="1:19" x14ac:dyDescent="0.2">
      <c r="A34" s="284"/>
      <c r="B34" s="473" t="str">
        <f>Journey!A14</f>
        <v>JUSTICE</v>
      </c>
      <c r="C34" s="474"/>
      <c r="E34" s="247"/>
      <c r="F34" s="248" t="str">
        <f>Badges!C39</f>
        <v xml:space="preserve">Design a special warm-up </v>
      </c>
      <c r="G34" s="250" t="str">
        <f>IF(Badges!J39="A","A"," ")</f>
        <v xml:space="preserve"> </v>
      </c>
      <c r="I34" s="247"/>
      <c r="J34" s="248" t="str">
        <f>Badges!C95</f>
        <v>Use food and fun to forge new friendships</v>
      </c>
      <c r="K34" s="250" t="str">
        <f>IF(Badges!J95="A","A"," ")</f>
        <v xml:space="preserve"> </v>
      </c>
      <c r="M34" s="247"/>
      <c r="N34" s="248" t="str">
        <f>Badges!C164</f>
        <v>Guide a group to a water place</v>
      </c>
      <c r="O34" s="250" t="str">
        <f>IF(Badges!J164="A","A"," ")</f>
        <v xml:space="preserve"> </v>
      </c>
      <c r="Q34" s="471" t="str">
        <f>'Age-Level'!B57</f>
        <v>Safety Award</v>
      </c>
      <c r="R34" s="472"/>
      <c r="S34" s="364"/>
    </row>
    <row r="35" spans="1:19" x14ac:dyDescent="0.2">
      <c r="A35" s="284"/>
      <c r="B35" s="479" t="str">
        <f>Journey!B15</f>
        <v>Sage Award</v>
      </c>
      <c r="C35" s="480"/>
      <c r="E35" s="247"/>
      <c r="F35" s="248" t="str">
        <f>Badges!C40</f>
        <v>Research and choose</v>
      </c>
      <c r="G35" s="250" t="str">
        <f>IF(Badges!J40="A","A","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IF('Age-Level'!J58="A","A","")</f>
        <v/>
      </c>
    </row>
    <row r="36" spans="1:19" ht="12.75" customHeight="1" x14ac:dyDescent="0.2">
      <c r="A36" s="284"/>
      <c r="B36" s="256">
        <f>Journey!I16</f>
        <v>0</v>
      </c>
      <c r="C36" s="252" t="str">
        <f>IF(Journey!J16="C","C",IF(Journey!J16="P","P",""))</f>
        <v/>
      </c>
      <c r="E36" s="247"/>
      <c r="F36" s="248" t="str">
        <f>Badges!C41</f>
        <v>Open and close each session</v>
      </c>
      <c r="G36" s="250" t="str">
        <f>IF(Badges!J41="A","A","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IF('Age-Level'!J59="A","A","")</f>
        <v/>
      </c>
    </row>
    <row r="37" spans="1:19" ht="12.75" customHeight="1" x14ac:dyDescent="0.2">
      <c r="A37" s="284"/>
      <c r="B37" s="256">
        <f>Journey!I17</f>
        <v>0</v>
      </c>
      <c r="C37" s="252" t="str">
        <f>IF(Journey!J17="C","C",IF(Journey!J17="P","P",""))</f>
        <v/>
      </c>
      <c r="E37" s="247">
        <v>4</v>
      </c>
      <c r="F37" s="248" t="str">
        <f>Badges!C42</f>
        <v>Put your plan in action</v>
      </c>
      <c r="G37" s="249"/>
      <c r="I37" s="247"/>
      <c r="J37" s="248" t="str">
        <f>Badges!C100</f>
        <v>Backcountry</v>
      </c>
      <c r="K37" s="250" t="str">
        <f>IF(Badges!J100="A","A"," ")</f>
        <v xml:space="preserve"> </v>
      </c>
      <c r="M37" s="247"/>
      <c r="N37" s="248" t="str">
        <f>Badges!C170</f>
        <v>Take a tour</v>
      </c>
      <c r="O37" s="250" t="str">
        <f>IF(Badges!J170="A","A"," ")</f>
        <v xml:space="preserve"> </v>
      </c>
      <c r="Q37" s="267">
        <v>3</v>
      </c>
      <c r="R37" s="344" t="str">
        <f>'Age-Level'!C60</f>
        <v>Teach a Daisy or Brownie what to do if</v>
      </c>
      <c r="S37" s="262" t="str">
        <f>IF('Age-Level'!J60="A","A","")</f>
        <v/>
      </c>
    </row>
    <row r="38" spans="1:19" x14ac:dyDescent="0.2">
      <c r="A38" s="284"/>
      <c r="B38" s="256">
        <f>Journey!I18</f>
        <v>0</v>
      </c>
      <c r="C38" s="252" t="str">
        <f>IF(Journey!J18="C","C",IF(Journey!J18="P","P",""))</f>
        <v/>
      </c>
      <c r="E38" s="247"/>
      <c r="F38" s="248" t="str">
        <f>Badges!C43</f>
        <v>Add a morale-boosting time-out</v>
      </c>
      <c r="G38" s="250" t="str">
        <f>IF(Badges!J43="A","A"," ")</f>
        <v xml:space="preserve"> </v>
      </c>
      <c r="I38" s="247"/>
      <c r="J38" s="248" t="str">
        <f>Badges!C101</f>
        <v>Open water</v>
      </c>
      <c r="K38" s="250" t="str">
        <f>IF(Badges!J101="A","A"," ")</f>
        <v xml:space="preserve"> </v>
      </c>
      <c r="M38" s="247"/>
      <c r="N38" s="248" t="str">
        <f>Badges!C171</f>
        <v>Interview a new tenant or homeowner</v>
      </c>
      <c r="O38" s="250" t="str">
        <f>IF(Badges!J171="A","A"," ")</f>
        <v xml:space="preserve"> </v>
      </c>
      <c r="Q38" s="267">
        <v>4</v>
      </c>
      <c r="R38" s="344" t="str">
        <f>'Age-Level'!C61</f>
        <v>With your family, make sure you have</v>
      </c>
      <c r="S38" s="262" t="str">
        <f>IF('Age-Level'!J61="A","A","")</f>
        <v/>
      </c>
    </row>
    <row r="39" spans="1:19" x14ac:dyDescent="0.2">
      <c r="A39" s="284"/>
      <c r="B39" s="256">
        <f>Journey!I19</f>
        <v>0</v>
      </c>
      <c r="C39" s="252" t="str">
        <f>IF(Journey!J19="C","C",IF(Journey!J19="P","P",""))</f>
        <v/>
      </c>
      <c r="E39" s="247"/>
      <c r="F39" s="248" t="str">
        <f>Badges!C44</f>
        <v>Ask your players to coach you!</v>
      </c>
      <c r="G39" s="250" t="str">
        <f>IF(Badges!J44="A","A"," ")</f>
        <v xml:space="preserve"> </v>
      </c>
      <c r="I39" s="247"/>
      <c r="J39" s="248" t="str">
        <f>Badges!C102</f>
        <v>Mountains</v>
      </c>
      <c r="K39" s="250" t="str">
        <f>IF(Badges!J102="A","A"," ")</f>
        <v xml:space="preserve"> </v>
      </c>
      <c r="M39" s="247"/>
      <c r="N39" s="248" t="str">
        <f>Badges!C172</f>
        <v>Be chart smart</v>
      </c>
      <c r="O39" s="250" t="str">
        <f>IF(Badges!J172="A","A"," ")</f>
        <v xml:space="preserve"> </v>
      </c>
      <c r="Q39" s="267">
        <v>5</v>
      </c>
      <c r="R39" s="344" t="str">
        <f>'Age-Level'!C62</f>
        <v>Discuss bullying with your Girl Scout</v>
      </c>
      <c r="S39" s="262" t="str">
        <f>IF('Age-Level'!J62="A","A","")</f>
        <v/>
      </c>
    </row>
    <row r="40" spans="1:19" x14ac:dyDescent="0.2">
      <c r="A40" s="284"/>
      <c r="B40" s="256">
        <f>Journey!I20</f>
        <v>0</v>
      </c>
      <c r="C40" s="252" t="str">
        <f>IF(Journey!J20="C","C",IF(Journey!J20="P","P",""))</f>
        <v/>
      </c>
      <c r="E40" s="247"/>
      <c r="F40" s="248" t="str">
        <f>Badges!C45</f>
        <v xml:space="preserve">Bring in another coah to watch </v>
      </c>
      <c r="G40" s="250" t="str">
        <f>IF(Badges!J45="A","A","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Journey!I21</f>
        <v>0</v>
      </c>
      <c r="C41" s="252" t="str">
        <f>IF(Journey!J21="C","C",IF(Journey!J21="P","P",""))</f>
        <v/>
      </c>
      <c r="E41" s="247">
        <v>5</v>
      </c>
      <c r="F41" s="248" t="str">
        <f>Badges!C46</f>
        <v>Attend the big event</v>
      </c>
      <c r="G41" s="249"/>
      <c r="I41" s="247"/>
      <c r="J41" s="248" t="str">
        <f>Badges!C104</f>
        <v>Wilderness rescue</v>
      </c>
      <c r="K41" s="250" t="str">
        <f>IF(Badges!J104="A","A"," ")</f>
        <v xml:space="preserve"> </v>
      </c>
      <c r="M41" s="247"/>
      <c r="N41" s="248" t="str">
        <f>Badges!C174</f>
        <v>Focus on your finances</v>
      </c>
      <c r="O41" s="250" t="str">
        <f>IF(Badges!J174="A","A"," ")</f>
        <v xml:space="preserve"> </v>
      </c>
    </row>
    <row r="42" spans="1:19" ht="12.75" customHeight="1" x14ac:dyDescent="0.2">
      <c r="A42" s="254"/>
      <c r="B42" s="475" t="str">
        <f>Journey!A25</f>
        <v>BLISS: Live it! Give It!</v>
      </c>
      <c r="C42" s="476"/>
      <c r="E42" s="247"/>
      <c r="F42" s="248" t="str">
        <f>Badges!C47</f>
        <v>Meet with your players for a relaxing</v>
      </c>
      <c r="G42" s="250" t="str">
        <f>IF(Badges!J47="A","A"," ")</f>
        <v xml:space="preserve"> </v>
      </c>
      <c r="I42" s="247"/>
      <c r="J42" s="248" t="str">
        <f>Badges!C105</f>
        <v>Disaster preparedness</v>
      </c>
      <c r="K42" s="250" t="str">
        <f>IF(Badges!J105="A","A"," ")</f>
        <v xml:space="preserve"> </v>
      </c>
      <c r="M42" s="247"/>
      <c r="N42" s="248" t="str">
        <f>Badges!C175</f>
        <v>Shop talk</v>
      </c>
      <c r="O42" s="250" t="str">
        <f>IF(Badges!J175="A","A"," ")</f>
        <v xml:space="preserve"> </v>
      </c>
      <c r="Q42" s="505"/>
      <c r="R42" s="505"/>
      <c r="S42" s="240"/>
    </row>
    <row r="43" spans="1:19" ht="12.75" customHeight="1" x14ac:dyDescent="0.2">
      <c r="B43" s="477" t="str">
        <f>Journey!B26</f>
        <v>Dream Maker Award</v>
      </c>
      <c r="C43" s="478"/>
      <c r="E43" s="247"/>
      <c r="F43" s="248" t="str">
        <f>Badges!C48</f>
        <v>Host a celebration</v>
      </c>
      <c r="G43" s="250" t="str">
        <f>IF(Badges!J48="A","A"," ")</f>
        <v xml:space="preserve"> </v>
      </c>
      <c r="I43" s="247"/>
      <c r="J43" s="248" t="str">
        <f>Badges!C106</f>
        <v>Military medicine</v>
      </c>
      <c r="K43" s="250" t="str">
        <f>IF(Badges!J106="A","A"," ")</f>
        <v xml:space="preserve"> </v>
      </c>
      <c r="M43" s="247"/>
      <c r="N43" s="248" t="str">
        <f>Badges!C176</f>
        <v>Audit request</v>
      </c>
      <c r="O43" s="250" t="str">
        <f>IF(Badges!J176="A","A"," ")</f>
        <v xml:space="preserve"> </v>
      </c>
      <c r="Q43" s="267"/>
      <c r="R43" s="267"/>
      <c r="S43" s="240"/>
    </row>
    <row r="44" spans="1:19" x14ac:dyDescent="0.2">
      <c r="B44" s="256">
        <f>Journey!I27</f>
        <v>0</v>
      </c>
      <c r="C44" s="252" t="str">
        <f>IF(Journey!J27="C","C",IF(Journey!J27="P","P",""))</f>
        <v/>
      </c>
      <c r="E44" s="247"/>
      <c r="F44" s="248" t="str">
        <f>Badges!C49</f>
        <v>Make a "trading card" for each athlete</v>
      </c>
      <c r="G44" s="250" t="str">
        <f>IF(Badges!J49="A","A","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Journey!I28</f>
        <v>0</v>
      </c>
      <c r="C45" s="252" t="str">
        <f>IF(Journey!J28="C","C",IF(Journey!J28="P","P",""))</f>
        <v/>
      </c>
      <c r="E45" s="492" t="str">
        <f>Badges!B52</f>
        <v>Public Policy</v>
      </c>
      <c r="F45" s="492"/>
      <c r="G45" s="492"/>
      <c r="I45" s="247"/>
      <c r="J45" s="248" t="str">
        <f>Badges!C108</f>
        <v>Take a wilderness first aid course</v>
      </c>
      <c r="K45" s="250" t="str">
        <f>IF(Badges!J108="A","A"," ")</f>
        <v xml:space="preserve"> </v>
      </c>
      <c r="M45" s="247"/>
      <c r="N45" s="248" t="str">
        <f>Badges!C178</f>
        <v>Hooray for hobbies!</v>
      </c>
      <c r="O45" s="250" t="str">
        <f>IF(Badges!J178="A","A"," ")</f>
        <v xml:space="preserve"> </v>
      </c>
      <c r="Q45" s="267"/>
      <c r="R45" s="267"/>
      <c r="S45" s="240"/>
    </row>
    <row r="46" spans="1:19" x14ac:dyDescent="0.2">
      <c r="B46" s="256">
        <f>Journey!I29</f>
        <v>0</v>
      </c>
      <c r="C46" s="252" t="str">
        <f>IF(Journey!J29="C","C",IF(Journey!J29="P","P",""))</f>
        <v/>
      </c>
      <c r="E46" s="247">
        <v>1</v>
      </c>
      <c r="F46" s="248" t="str">
        <f>Badges!C53</f>
        <v>Find out how activitists advocate for change</v>
      </c>
      <c r="G46" s="249" t="s">
        <v>26</v>
      </c>
      <c r="I46" s="247"/>
      <c r="J46" s="248" t="str">
        <f>Badges!C109</f>
        <v>Interview a doctor, nurse, EMT, or first</v>
      </c>
      <c r="K46" s="250" t="str">
        <f>IF(Badges!J109="A","A"," ")</f>
        <v xml:space="preserve"> </v>
      </c>
      <c r="M46" s="247"/>
      <c r="N46" s="248" t="str">
        <f>Badges!C179</f>
        <v>Treat yourself</v>
      </c>
      <c r="O46" s="250" t="str">
        <f>IF(Badges!J179="A","A"," ")</f>
        <v xml:space="preserve"> </v>
      </c>
      <c r="Q46" s="267"/>
      <c r="R46" s="267"/>
      <c r="S46" s="240"/>
    </row>
    <row r="47" spans="1:19" x14ac:dyDescent="0.2">
      <c r="B47" s="256">
        <f>Journey!I30</f>
        <v>0</v>
      </c>
      <c r="C47" s="252" t="str">
        <f>IF(Journey!J30="C","C",IF(Journey!J30="P","P",""))</f>
        <v/>
      </c>
      <c r="E47" s="247"/>
      <c r="F47" s="248" t="str">
        <f>Badges!C54</f>
        <v>Interview an activist</v>
      </c>
      <c r="G47" s="250" t="str">
        <f>IF(Badges!J54="A","A"," ")</f>
        <v xml:space="preserve"> </v>
      </c>
      <c r="I47" s="247"/>
      <c r="J47" s="248" t="str">
        <f>Badges!C110</f>
        <v xml:space="preserve">Discover how to use what's on hand in </v>
      </c>
      <c r="K47" s="250" t="str">
        <f>IF(Badges!J110="A","A"," ")</f>
        <v xml:space="preserve"> </v>
      </c>
      <c r="M47" s="247"/>
      <c r="N47" s="248" t="str">
        <f>Badges!C180</f>
        <v>Class act</v>
      </c>
      <c r="O47" s="250" t="str">
        <f>IF(Badges!J180="A","A"," ")</f>
        <v xml:space="preserve"> </v>
      </c>
      <c r="Q47" s="267"/>
      <c r="R47" s="267"/>
      <c r="S47" s="240"/>
    </row>
    <row r="48" spans="1:19" x14ac:dyDescent="0.2">
      <c r="B48" s="264"/>
      <c r="C48" s="264"/>
      <c r="E48" s="247"/>
      <c r="F48" s="248" t="str">
        <f>Badges!C55</f>
        <v>Watch a documentary or movie</v>
      </c>
      <c r="G48" s="250" t="str">
        <f>IF(Badges!J55="A","A"," ")</f>
        <v xml:space="preserve"> </v>
      </c>
      <c r="I48" s="339" t="str">
        <f>Badges!B98</f>
        <v>Ambassador First Aid</v>
      </c>
      <c r="J48" s="340"/>
      <c r="K48" s="340"/>
      <c r="M48" s="247">
        <v>4</v>
      </c>
      <c r="N48" s="248" t="str">
        <f>Badges!C181</f>
        <v>Plan for the unexpected</v>
      </c>
      <c r="O48" s="249"/>
    </row>
    <row r="49" spans="1:19" x14ac:dyDescent="0.2">
      <c r="A49" s="484" t="s">
        <v>316</v>
      </c>
      <c r="B49" s="484"/>
      <c r="C49" s="484"/>
      <c r="E49" s="247"/>
      <c r="F49" s="248" t="str">
        <f>Badges!C56</f>
        <v xml:space="preserve">Read about women who change the </v>
      </c>
      <c r="G49" s="250" t="str">
        <f>IF(Badges!J56="A","A"," ")</f>
        <v xml:space="preserve"> </v>
      </c>
      <c r="I49" s="247">
        <v>4</v>
      </c>
      <c r="J49" s="248" t="str">
        <f>Badges!C111</f>
        <v>Know how to move an injured person</v>
      </c>
      <c r="K49" s="249"/>
      <c r="M49" s="247"/>
      <c r="N49" s="248" t="str">
        <f>Badges!C182</f>
        <v>Interview your network</v>
      </c>
      <c r="O49" s="250" t="str">
        <f>IF(Badges!J182="A","A"," ")</f>
        <v xml:space="preserve"> </v>
      </c>
    </row>
    <row r="50" spans="1:19" x14ac:dyDescent="0.2">
      <c r="A50" s="259"/>
      <c r="B50" s="345" t="str">
        <f>Bridging!B6</f>
        <v>Pass It On!</v>
      </c>
      <c r="C50" s="251" t="str">
        <f>IF(Bridging!J10="C","C",IF(Bridging!J10="P","P",""))</f>
        <v/>
      </c>
      <c r="E50" s="247">
        <v>2</v>
      </c>
      <c r="F50" s="248" t="str">
        <f>Badges!C57</f>
        <v>Engage as a global citizen</v>
      </c>
      <c r="G50" s="249"/>
      <c r="I50" s="247"/>
      <c r="J50" s="248" t="str">
        <f>Badges!C112</f>
        <v>Visit a medical school</v>
      </c>
      <c r="K50" s="250" t="str">
        <f>IF(Badges!J112="A","A"," ")</f>
        <v xml:space="preserve"> </v>
      </c>
      <c r="M50" s="247"/>
      <c r="N50" s="248" t="str">
        <f>Badges!C183</f>
        <v>Interview a Financial guru</v>
      </c>
      <c r="O50" s="250" t="str">
        <f>IF(Badges!J183="A","A"," ")</f>
        <v xml:space="preserve"> </v>
      </c>
    </row>
    <row r="51" spans="1:19" x14ac:dyDescent="0.2">
      <c r="A51" s="259"/>
      <c r="B51" s="260" t="str">
        <f>Bridging!B11</f>
        <v>Look Ahead!</v>
      </c>
      <c r="C51" s="251" t="str">
        <f>IF(Bridging!J15="C","C",IF(Bridging!J15="P","P",""))</f>
        <v/>
      </c>
      <c r="E51" s="247"/>
      <c r="F51" s="248" t="str">
        <f>Badges!C58</f>
        <v>Compare laws</v>
      </c>
      <c r="G51" s="250" t="str">
        <f>IF(Badges!J58="A","A"," ")</f>
        <v xml:space="preserve"> </v>
      </c>
      <c r="I51" s="247"/>
      <c r="J51" s="248" t="str">
        <f>Badges!C113</f>
        <v>Take a wilderness first aid course</v>
      </c>
      <c r="K51" s="250" t="str">
        <f>IF(Badges!J113="A","A"," ")</f>
        <v xml:space="preserve"> </v>
      </c>
      <c r="M51" s="247"/>
      <c r="N51" s="248" t="str">
        <f>Badges!C184</f>
        <v>Interview an insurance expert</v>
      </c>
      <c r="O51" s="250" t="str">
        <f>IF(Badges!J184="A","A"," ")</f>
        <v xml:space="preserve"> </v>
      </c>
    </row>
    <row r="52" spans="1:19" x14ac:dyDescent="0.2">
      <c r="A52" s="259"/>
      <c r="B52" s="344" t="str">
        <f>Bridging!C16</f>
        <v>Plan a Ceremony</v>
      </c>
      <c r="C52" s="251" t="str">
        <f>IF(Bridging!J17="C","C",IF(Bridging!J17="P","P",""))</f>
        <v/>
      </c>
      <c r="E52" s="247"/>
      <c r="F52" s="248" t="str">
        <f>Badges!C59</f>
        <v xml:space="preserve">Track a public-policy issue being </v>
      </c>
      <c r="G52" s="250" t="str">
        <f>IF(Badges!J59="A","A"," ")</f>
        <v xml:space="preserve"> </v>
      </c>
      <c r="I52" s="247"/>
      <c r="J52" s="248" t="str">
        <f>Badges!C114</f>
        <v>Organize a mock emergency drill</v>
      </c>
      <c r="K52" s="250" t="str">
        <f>IF(Badges!J114="A","A"," ")</f>
        <v xml:space="preserve"> </v>
      </c>
      <c r="M52" s="339" t="str">
        <f>Badges!B168</f>
        <v>On My Own</v>
      </c>
      <c r="N52" s="340"/>
      <c r="O52" s="340"/>
    </row>
    <row r="53" spans="1:19" x14ac:dyDescent="0.2">
      <c r="B53" s="261" t="s">
        <v>134</v>
      </c>
      <c r="C53" s="251" t="str">
        <f>IF(Bridging!J18="C","C",IF(Bridging!J18="P","P",""))</f>
        <v/>
      </c>
      <c r="E53" s="247"/>
      <c r="F53" s="248" t="str">
        <f>Badges!C60</f>
        <v>Explore an international NGO</v>
      </c>
      <c r="G53" s="250" t="str">
        <f>IF(Badges!J60="A","A","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IF(Badges!J116="A","A"," ")</f>
        <v xml:space="preserve"> </v>
      </c>
      <c r="M54" s="247"/>
      <c r="N54" s="248" t="str">
        <f>Badges!C186</f>
        <v>Plan for presents</v>
      </c>
      <c r="O54" s="250" t="str">
        <f>IF(Badges!J186="A","A"," ")</f>
        <v xml:space="preserve"> </v>
      </c>
      <c r="Q54" s="267"/>
      <c r="R54" s="267"/>
      <c r="S54" s="240"/>
    </row>
    <row r="55" spans="1:19" x14ac:dyDescent="0.2">
      <c r="I55" s="247"/>
      <c r="J55" s="248" t="str">
        <f>Badges!C117</f>
        <v>Investigate extreme first aid</v>
      </c>
      <c r="K55" s="250" t="str">
        <f>IF(Badges!J117="A","A"," ")</f>
        <v xml:space="preserve"> </v>
      </c>
      <c r="M55" s="247"/>
      <c r="N55" s="248" t="str">
        <f>Badges!C187</f>
        <v>Budget for your time</v>
      </c>
      <c r="O55" s="250" t="str">
        <f>IF(Badges!J187="A","A"," ")</f>
        <v xml:space="preserve"> </v>
      </c>
      <c r="Q55" s="496"/>
      <c r="R55" s="496"/>
      <c r="S55" s="496"/>
    </row>
    <row r="56" spans="1:19" x14ac:dyDescent="0.2">
      <c r="I56" s="247"/>
      <c r="J56" s="248" t="str">
        <f>Badges!C118</f>
        <v>Interview an everyday hero</v>
      </c>
      <c r="K56" s="250" t="str">
        <f>IF(Badges!J118="A","A"," ")</f>
        <v xml:space="preserve"> </v>
      </c>
      <c r="M56" s="247"/>
      <c r="N56" s="248" t="str">
        <f>Badges!C188</f>
        <v>Charity starts… with a budget</v>
      </c>
      <c r="O56" s="250" t="str">
        <f>IF(Badges!J188="A","A","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IF(Badges!J123="A","A"," ")</f>
        <v xml:space="preserve"> </v>
      </c>
      <c r="M59" s="247"/>
      <c r="N59" s="248" t="str">
        <f>Badges!C217</f>
        <v>Invest some R&amp;D</v>
      </c>
      <c r="O59" s="250" t="str">
        <f>IF(Badges!J217="A","A"," ")</f>
        <v xml:space="preserve"> </v>
      </c>
    </row>
    <row r="60" spans="1:19" x14ac:dyDescent="0.2">
      <c r="I60" s="247"/>
      <c r="J60" s="248" t="str">
        <f>Badges!C124</f>
        <v xml:space="preserve">Ogranize a songfest for younger </v>
      </c>
      <c r="K60" s="250" t="str">
        <f>IF(Badges!J124="A","A"," ")</f>
        <v xml:space="preserve"> </v>
      </c>
      <c r="M60" s="247">
        <v>2</v>
      </c>
      <c r="N60" s="248" t="str">
        <f>Badges!C218</f>
        <v>Reasearch how other companies innovate</v>
      </c>
      <c r="O60" s="249"/>
    </row>
    <row r="61" spans="1:19" ht="12.75" customHeight="1" x14ac:dyDescent="0.2">
      <c r="I61" s="247"/>
      <c r="J61" s="248" t="str">
        <f>Badges!C125</f>
        <v>Bring generations together in song</v>
      </c>
      <c r="K61" s="250" t="str">
        <f>IF(Badges!J125="A","A"," ")</f>
        <v xml:space="preserve"> </v>
      </c>
      <c r="M61" s="247"/>
      <c r="N61" s="248" t="str">
        <f>Badges!C219</f>
        <v>Find at least three other companies</v>
      </c>
      <c r="O61" s="250" t="str">
        <f>IF(Badges!J219="A","A"," ")</f>
        <v xml:space="preserve"> </v>
      </c>
    </row>
    <row r="62" spans="1:19" ht="12.75" customHeight="1"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IF(Badges!J127="A","A"," ")</f>
        <v xml:space="preserve"> </v>
      </c>
      <c r="M63" s="247"/>
      <c r="N63" s="248" t="str">
        <f>Badges!C221</f>
        <v>Developing a new product</v>
      </c>
      <c r="O63" s="250" t="str">
        <f>IF(Badges!J221="A","A"," ")</f>
        <v xml:space="preserve"> </v>
      </c>
    </row>
    <row r="64" spans="1:19" x14ac:dyDescent="0.2">
      <c r="I64" s="247"/>
      <c r="J64" s="248" t="str">
        <f>Badges!C128</f>
        <v>Make World Thinking Day cards</v>
      </c>
      <c r="K64" s="250" t="str">
        <f>IF(Badges!J128="A","A","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IF(Badges!J129="A","A"," ")</f>
        <v xml:space="preserve"> </v>
      </c>
      <c r="M65" s="247"/>
      <c r="N65" s="248" t="str">
        <f>Badges!C223</f>
        <v>If you're considering serveral</v>
      </c>
      <c r="O65" s="250" t="str">
        <f>IF(Badges!J223="A","A","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IF(Badges!J225="A","A","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484"/>
      <c r="G72" s="484"/>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Own'!J28="C","C",IF('Council Own'!J28="P","P",""))</f>
        <v/>
      </c>
      <c r="E73" s="493" t="str">
        <f>'Fun Patches'!C5</f>
        <v>&lt;LIST PATCH HERE&gt;</v>
      </c>
      <c r="F73" s="494"/>
      <c r="G73" s="250" t="str">
        <f>IF('Fun Patches'!J5="A","A","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Own'!J52="C","C",IF('Council Own'!J52="P","P",""))</f>
        <v/>
      </c>
      <c r="E74" s="471" t="str">
        <f>'Fun Patches'!C6</f>
        <v>&lt;LIST PATCH HERE&gt;</v>
      </c>
      <c r="F74" s="472"/>
      <c r="G74" s="257" t="str">
        <f>IF('Fun Patches'!J6="A","A"," ")</f>
        <v xml:space="preserve"> </v>
      </c>
      <c r="H74" s="254"/>
      <c r="I74" s="247">
        <v>1</v>
      </c>
      <c r="J74" s="344" t="str">
        <f>'Council Own'!C7</f>
        <v>&lt;List Requirement Here&gt;</v>
      </c>
      <c r="K74" s="257" t="str">
        <f>IF('Council Own'!J7="A","A"," ")</f>
        <v xml:space="preserve"> </v>
      </c>
      <c r="L74" s="254"/>
      <c r="M74" s="247">
        <v>1</v>
      </c>
      <c r="N74" s="344" t="str">
        <f>'Council Own'!C55</f>
        <v>&lt;List Requirement Here&gt;</v>
      </c>
      <c r="O74" s="257" t="str">
        <f>IF('Council Own'!J55="A","A"," ")</f>
        <v xml:space="preserve"> </v>
      </c>
      <c r="Q74" s="247">
        <v>1</v>
      </c>
      <c r="R74" s="344" t="str">
        <f>'Council Own'!C103</f>
        <v>&lt;List Requirement Here&gt;</v>
      </c>
      <c r="S74" s="257" t="str">
        <f>IF('Council Own'!J103="A","A"," ")</f>
        <v xml:space="preserve"> </v>
      </c>
    </row>
    <row r="75" spans="1:19" x14ac:dyDescent="0.2">
      <c r="A75" s="485" t="str">
        <f>'Council Own'!B54</f>
        <v>&lt;&lt;List Badge Here&gt;&gt;</v>
      </c>
      <c r="B75" s="486"/>
      <c r="C75" s="252" t="str">
        <f>IF('Council Own'!J76="C","C",IF('Council Own'!J76="P","P",""))</f>
        <v/>
      </c>
      <c r="E75" s="471" t="str">
        <f>'Fun Patches'!C7</f>
        <v>&lt;LIST PATCH HERE&gt;</v>
      </c>
      <c r="F75" s="472"/>
      <c r="G75" s="257" t="str">
        <f>IF('Fun Patches'!J7="A","A"," ")</f>
        <v xml:space="preserve"> </v>
      </c>
      <c r="H75" s="254"/>
      <c r="I75" s="247"/>
      <c r="J75" s="344" t="str">
        <f>'Council Own'!C8</f>
        <v>&lt;List Requirement Here&gt;</v>
      </c>
      <c r="K75" s="257" t="str">
        <f>IF('Council Own'!J8="A","A"," ")</f>
        <v xml:space="preserve"> </v>
      </c>
      <c r="L75" s="254"/>
      <c r="M75" s="247"/>
      <c r="N75" s="344" t="str">
        <f>'Council Own'!C56</f>
        <v>&lt;List Requirement Here&gt;</v>
      </c>
      <c r="O75" s="257" t="str">
        <f>IF('Council Own'!J56="A","A"," ")</f>
        <v xml:space="preserve"> </v>
      </c>
      <c r="Q75" s="247"/>
      <c r="R75" s="344" t="str">
        <f>'Council Own'!C104</f>
        <v>&lt;List Requirement Here&gt;</v>
      </c>
      <c r="S75" s="257" t="str">
        <f>IF('Council Own'!J104="A","A"," ")</f>
        <v xml:space="preserve"> </v>
      </c>
    </row>
    <row r="76" spans="1:19" x14ac:dyDescent="0.2">
      <c r="A76" s="485" t="str">
        <f>'Council Own'!B78</f>
        <v>&lt;&lt;List Badge Here&gt;&gt;</v>
      </c>
      <c r="B76" s="486"/>
      <c r="C76" s="252" t="str">
        <f>IF('Council Own'!J100="C","C",IF('Council Own'!J100="P","P",""))</f>
        <v/>
      </c>
      <c r="E76" s="471" t="str">
        <f>'Fun Patches'!C8</f>
        <v>&lt;LIST PATCH HERE&gt;</v>
      </c>
      <c r="F76" s="472"/>
      <c r="G76" s="257" t="str">
        <f>IF('Fun Patches'!J8="A","A"," ")</f>
        <v xml:space="preserve"> </v>
      </c>
      <c r="H76" s="254"/>
      <c r="I76" s="247"/>
      <c r="J76" s="344" t="str">
        <f>'Council Own'!C9</f>
        <v>&lt;List Requirement Here&gt;</v>
      </c>
      <c r="K76" s="257" t="str">
        <f>IF('Council Own'!J9="A","A"," ")</f>
        <v xml:space="preserve"> </v>
      </c>
      <c r="L76" s="254"/>
      <c r="M76" s="247"/>
      <c r="N76" s="344" t="str">
        <f>'Council Own'!C57</f>
        <v>&lt;List Requirement Here&gt;</v>
      </c>
      <c r="O76" s="257" t="str">
        <f>IF('Council Own'!J57="A","A"," ")</f>
        <v xml:space="preserve"> </v>
      </c>
      <c r="Q76" s="247"/>
      <c r="R76" s="344" t="str">
        <f>'Council Own'!C105</f>
        <v>&lt;List Requirement Here&gt;</v>
      </c>
      <c r="S76" s="257" t="str">
        <f>IF('Council Own'!J105="A","A"," ")</f>
        <v xml:space="preserve"> </v>
      </c>
    </row>
    <row r="77" spans="1:19" x14ac:dyDescent="0.2">
      <c r="A77" s="485" t="str">
        <f>'Council Own'!B102</f>
        <v>&lt;&lt;List Badge Here&gt;&gt;</v>
      </c>
      <c r="B77" s="486"/>
      <c r="C77" s="252" t="str">
        <f>IF('Council Own'!J124="C","C",IF('Council Own'!J124="P","P",""))</f>
        <v/>
      </c>
      <c r="E77" s="471" t="str">
        <f>'Fun Patches'!C9</f>
        <v>&lt;LIST PATCH HERE&gt;</v>
      </c>
      <c r="F77" s="472"/>
      <c r="G77" s="257" t="str">
        <f>IF('Fun Patches'!J9="A","A"," ")</f>
        <v xml:space="preserve"> </v>
      </c>
      <c r="H77" s="254"/>
      <c r="I77" s="247"/>
      <c r="J77" s="344" t="str">
        <f>'Council Own'!C10</f>
        <v>&lt;List Requirement Here&gt;</v>
      </c>
      <c r="K77" s="257" t="str">
        <f>IF('Council Own'!J10="A","A"," ")</f>
        <v xml:space="preserve"> </v>
      </c>
      <c r="L77" s="254"/>
      <c r="M77" s="247"/>
      <c r="N77" s="344" t="str">
        <f>'Council Own'!C58</f>
        <v>&lt;List Requirement Here&gt;</v>
      </c>
      <c r="O77" s="257" t="str">
        <f>IF('Council Own'!J58="A","A"," ")</f>
        <v xml:space="preserve"> </v>
      </c>
      <c r="Q77" s="247"/>
      <c r="R77" s="344" t="str">
        <f>'Council Own'!C106</f>
        <v>&lt;List Requirement Here&gt;</v>
      </c>
      <c r="S77" s="257" t="str">
        <f>IF('Council Own'!J106="A","A"," ")</f>
        <v xml:space="preserve"> </v>
      </c>
    </row>
    <row r="78" spans="1:19" x14ac:dyDescent="0.2">
      <c r="A78" s="485" t="str">
        <f>'Council Own'!B126</f>
        <v>&lt;&lt;List Badge Here&gt;&gt;</v>
      </c>
      <c r="B78" s="486"/>
      <c r="C78" s="252" t="str">
        <f>IF('Council Own'!J148="C","C",IF('Council Own'!J148="P","P",""))</f>
        <v/>
      </c>
      <c r="E78" s="471" t="str">
        <f>'Fun Patches'!C10</f>
        <v>&lt;LIST PATCH HERE&gt;</v>
      </c>
      <c r="F78" s="472"/>
      <c r="G78" s="257" t="str">
        <f>IF('Fun Patches'!J10="A","A"," ")</f>
        <v xml:space="preserve"> </v>
      </c>
      <c r="I78" s="247">
        <v>2</v>
      </c>
      <c r="J78" s="344" t="str">
        <f>'Council Own'!C11</f>
        <v>&lt;List Requirement Here&gt;</v>
      </c>
      <c r="K78" s="257" t="str">
        <f>IF('Council Own'!J11="A","A"," ")</f>
        <v xml:space="preserve"> </v>
      </c>
      <c r="M78" s="247">
        <v>2</v>
      </c>
      <c r="N78" s="344" t="str">
        <f>'Council Own'!C59</f>
        <v>&lt;List Requirement Here&gt;</v>
      </c>
      <c r="O78" s="257" t="str">
        <f>IF('Council Own'!J59="A","A"," ")</f>
        <v xml:space="preserve"> </v>
      </c>
      <c r="Q78" s="247">
        <v>2</v>
      </c>
      <c r="R78" s="344" t="str">
        <f>'Council Own'!C107</f>
        <v>&lt;List Requirement Here&gt;</v>
      </c>
      <c r="S78" s="257" t="str">
        <f>IF('Council Own'!J107="A","A"," ")</f>
        <v xml:space="preserve"> </v>
      </c>
    </row>
    <row r="79" spans="1:19" x14ac:dyDescent="0.2">
      <c r="E79" s="471" t="str">
        <f>'Fun Patches'!C11</f>
        <v>&lt;LIST PATCH HERE&gt;</v>
      </c>
      <c r="F79" s="472"/>
      <c r="G79" s="257" t="str">
        <f>IF('Fun Patches'!J11="A","A"," ")</f>
        <v xml:space="preserve"> </v>
      </c>
      <c r="I79" s="247"/>
      <c r="J79" s="344" t="str">
        <f>'Council Own'!C12</f>
        <v>&lt;List Requirement Here&gt;</v>
      </c>
      <c r="K79" s="257" t="str">
        <f>IF('Council Own'!J12="A","A"," ")</f>
        <v xml:space="preserve"> </v>
      </c>
      <c r="M79" s="247"/>
      <c r="N79" s="344" t="str">
        <f>'Council Own'!C60</f>
        <v>&lt;List Requirement Here&gt;</v>
      </c>
      <c r="O79" s="257" t="str">
        <f>IF('Council Own'!J60="A","A"," ")</f>
        <v xml:space="preserve"> </v>
      </c>
      <c r="Q79" s="247"/>
      <c r="R79" s="344" t="str">
        <f>'Council Own'!C108</f>
        <v>&lt;List Requirement Here&gt;</v>
      </c>
      <c r="S79" s="257" t="str">
        <f>IF('Council Own'!J108="A","A"," ")</f>
        <v xml:space="preserve"> </v>
      </c>
    </row>
    <row r="80" spans="1:19" x14ac:dyDescent="0.2">
      <c r="E80" s="471" t="str">
        <f>'Fun Patches'!C12</f>
        <v>&lt;LIST PATCH HERE&gt;</v>
      </c>
      <c r="F80" s="472"/>
      <c r="G80" s="257" t="str">
        <f>IF('Fun Patches'!J12="A","A"," ")</f>
        <v xml:space="preserve"> </v>
      </c>
      <c r="I80" s="247"/>
      <c r="J80" s="344" t="str">
        <f>'Council Own'!C13</f>
        <v>&lt;List Requirement Here&gt;</v>
      </c>
      <c r="K80" s="257" t="str">
        <f>IF('Council Own'!J13="A","A"," ")</f>
        <v xml:space="preserve"> </v>
      </c>
      <c r="M80" s="247"/>
      <c r="N80" s="344" t="str">
        <f>'Council Own'!C61</f>
        <v>&lt;List Requirement Here&gt;</v>
      </c>
      <c r="O80" s="257" t="str">
        <f>IF('Council Own'!J61="A","A"," ")</f>
        <v xml:space="preserve"> </v>
      </c>
      <c r="Q80" s="247"/>
      <c r="R80" s="344" t="str">
        <f>'Council Own'!C109</f>
        <v>&lt;List Requirement Here&gt;</v>
      </c>
      <c r="S80" s="257" t="str">
        <f>IF('Council Own'!J109="A","A"," ")</f>
        <v xml:space="preserve"> </v>
      </c>
    </row>
    <row r="81" spans="1:22" x14ac:dyDescent="0.2">
      <c r="E81" s="471" t="str">
        <f>'Fun Patches'!C13</f>
        <v>&lt;LIST PATCH HERE&gt;</v>
      </c>
      <c r="F81" s="472"/>
      <c r="G81" s="257" t="str">
        <f>IF('Fun Patches'!J13="A","A"," ")</f>
        <v xml:space="preserve"> </v>
      </c>
      <c r="I81" s="247"/>
      <c r="J81" s="344" t="str">
        <f>'Council Own'!C14</f>
        <v>&lt;List Requirement Here&gt;</v>
      </c>
      <c r="K81" s="257" t="str">
        <f>IF('Council Own'!J14="A","A"," ")</f>
        <v xml:space="preserve"> </v>
      </c>
      <c r="M81" s="247"/>
      <c r="N81" s="344" t="str">
        <f>'Council Own'!C62</f>
        <v>&lt;List Requirement Here&gt;</v>
      </c>
      <c r="O81" s="257" t="str">
        <f>IF('Council Own'!J62="A","A"," ")</f>
        <v xml:space="preserve"> </v>
      </c>
      <c r="Q81" s="247"/>
      <c r="R81" s="344" t="str">
        <f>'Council Own'!C110</f>
        <v>&lt;List Requirement Here&gt;</v>
      </c>
      <c r="S81" s="257" t="str">
        <f>IF('Council Own'!J110="A","A"," ")</f>
        <v xml:space="preserve"> </v>
      </c>
    </row>
    <row r="82" spans="1:22" x14ac:dyDescent="0.2">
      <c r="E82" s="471" t="str">
        <f>'Fun Patches'!C14</f>
        <v>&lt;LIST PATCH HERE&gt;</v>
      </c>
      <c r="F82" s="472"/>
      <c r="G82" s="257" t="str">
        <f>IF('Fun Patches'!J14="A","A"," ")</f>
        <v xml:space="preserve"> </v>
      </c>
      <c r="I82" s="247">
        <v>3</v>
      </c>
      <c r="J82" s="344" t="str">
        <f>'Council Own'!C15</f>
        <v>&lt;List Requirement Here&gt;</v>
      </c>
      <c r="K82" s="257" t="str">
        <f>IF('Council Own'!J15="A","A"," ")</f>
        <v xml:space="preserve"> </v>
      </c>
      <c r="M82" s="247">
        <v>3</v>
      </c>
      <c r="N82" s="344" t="str">
        <f>'Council Own'!C63</f>
        <v>&lt;List Requirement Here&gt;</v>
      </c>
      <c r="O82" s="257" t="str">
        <f>IF('Council Own'!J63="A","A"," ")</f>
        <v xml:space="preserve"> </v>
      </c>
      <c r="Q82" s="247">
        <v>3</v>
      </c>
      <c r="R82" s="344" t="str">
        <f>'Council Own'!C111</f>
        <v>&lt;List Requirement Here&gt;</v>
      </c>
      <c r="S82" s="257" t="str">
        <f>IF('Council Own'!J111="A","A"," ")</f>
        <v xml:space="preserve"> </v>
      </c>
    </row>
    <row r="83" spans="1:22" x14ac:dyDescent="0.2">
      <c r="E83" s="471" t="str">
        <f>'Fun Patches'!C15</f>
        <v>&lt;LIST PATCH HERE&gt;</v>
      </c>
      <c r="F83" s="472"/>
      <c r="G83" s="257" t="str">
        <f>IF('Fun Patches'!J15="A","A"," ")</f>
        <v xml:space="preserve"> </v>
      </c>
      <c r="I83" s="247"/>
      <c r="J83" s="344" t="str">
        <f>'Council Own'!C16</f>
        <v>&lt;List Requirement Here&gt;</v>
      </c>
      <c r="K83" s="257" t="str">
        <f>IF('Council Own'!J16="A","A"," ")</f>
        <v xml:space="preserve"> </v>
      </c>
      <c r="M83" s="247"/>
      <c r="N83" s="344" t="str">
        <f>'Council Own'!C64</f>
        <v>&lt;List Requirement Here&gt;</v>
      </c>
      <c r="O83" s="257" t="str">
        <f>IF('Council Own'!J64="A","A"," ")</f>
        <v xml:space="preserve"> </v>
      </c>
      <c r="Q83" s="247"/>
      <c r="R83" s="344" t="str">
        <f>'Council Own'!C112</f>
        <v>&lt;List Requirement Here&gt;</v>
      </c>
      <c r="S83" s="257" t="str">
        <f>IF('Council Own'!J112="A","A"," ")</f>
        <v xml:space="preserve"> </v>
      </c>
    </row>
    <row r="84" spans="1:22" x14ac:dyDescent="0.2">
      <c r="E84" s="471" t="str">
        <f>'Fun Patches'!C16</f>
        <v>&lt;LIST PATCH HERE&gt;</v>
      </c>
      <c r="F84" s="472"/>
      <c r="G84" s="257" t="str">
        <f>IF('Fun Patches'!J16="A","A"," ")</f>
        <v xml:space="preserve"> </v>
      </c>
      <c r="I84" s="247"/>
      <c r="J84" s="344" t="str">
        <f>'Council Own'!C17</f>
        <v>&lt;List Requirement Here&gt;</v>
      </c>
      <c r="K84" s="257" t="str">
        <f>IF('Council Own'!J17="A","A"," ")</f>
        <v xml:space="preserve"> </v>
      </c>
      <c r="M84" s="247"/>
      <c r="N84" s="344" t="str">
        <f>'Council Own'!C65</f>
        <v>&lt;List Requirement Here&gt;</v>
      </c>
      <c r="O84" s="257" t="str">
        <f>IF('Council Own'!J65="A","A"," ")</f>
        <v xml:space="preserve"> </v>
      </c>
      <c r="Q84" s="247"/>
      <c r="R84" s="344" t="str">
        <f>'Council Own'!C113</f>
        <v>&lt;List Requirement Here&gt;</v>
      </c>
      <c r="S84" s="257" t="str">
        <f>IF('Council Own'!J113="A","A"," ")</f>
        <v xml:space="preserve"> </v>
      </c>
    </row>
    <row r="85" spans="1:22" x14ac:dyDescent="0.2">
      <c r="E85" s="471" t="str">
        <f>'Fun Patches'!C17</f>
        <v>&lt;LIST PATCH HERE&gt;</v>
      </c>
      <c r="F85" s="472"/>
      <c r="G85" s="250" t="str">
        <f>IF('Fun Patches'!J17="A","A"," ")</f>
        <v xml:space="preserve"> </v>
      </c>
      <c r="I85" s="247"/>
      <c r="J85" s="344" t="str">
        <f>'Council Own'!C18</f>
        <v>&lt;List Requirement Here&gt;</v>
      </c>
      <c r="K85" s="257" t="str">
        <f>IF('Council Own'!J18="A","A"," ")</f>
        <v xml:space="preserve"> </v>
      </c>
      <c r="M85" s="247"/>
      <c r="N85" s="344" t="str">
        <f>'Council Own'!C66</f>
        <v>&lt;List Requirement Here&gt;</v>
      </c>
      <c r="O85" s="257" t="str">
        <f>IF('Council Own'!J66="A","A"," ")</f>
        <v xml:space="preserve"> </v>
      </c>
      <c r="Q85" s="247"/>
      <c r="R85" s="344" t="str">
        <f>'Council Own'!C114</f>
        <v>&lt;List Requirement Here&gt;</v>
      </c>
      <c r="S85" s="257" t="str">
        <f>IF('Council Own'!J114="A","A"," ")</f>
        <v xml:space="preserve"> </v>
      </c>
    </row>
    <row r="86" spans="1:22" x14ac:dyDescent="0.2">
      <c r="A86" s="242"/>
      <c r="B86" s="243"/>
      <c r="C86" s="244"/>
      <c r="E86" s="471" t="str">
        <f>'Fun Patches'!C18</f>
        <v>&lt;LIST PATCH HERE&gt;</v>
      </c>
      <c r="F86" s="472"/>
      <c r="G86" s="257" t="str">
        <f>IF('Fun Patches'!J18="A","A"," ")</f>
        <v xml:space="preserve"> </v>
      </c>
      <c r="I86" s="247">
        <v>4</v>
      </c>
      <c r="J86" s="344" t="str">
        <f>'Council Own'!C19</f>
        <v>&lt;List Requirement Here&gt;</v>
      </c>
      <c r="K86" s="257" t="str">
        <f>IF('Council Own'!J19="A","A"," ")</f>
        <v xml:space="preserve"> </v>
      </c>
      <c r="M86" s="247">
        <v>4</v>
      </c>
      <c r="N86" s="344" t="str">
        <f>'Council Own'!C67</f>
        <v>&lt;List Requirement Here&gt;</v>
      </c>
      <c r="O86" s="257" t="str">
        <f>IF('Council Own'!J67="A","A"," ")</f>
        <v xml:space="preserve"> </v>
      </c>
      <c r="Q86" s="247">
        <v>4</v>
      </c>
      <c r="R86" s="344" t="str">
        <f>'Council Own'!C115</f>
        <v>&lt;List Requirement Here&gt;</v>
      </c>
      <c r="S86" s="257" t="str">
        <f>IF('Council Own'!J115="A","A"," ")</f>
        <v xml:space="preserve"> </v>
      </c>
    </row>
    <row r="87" spans="1:22" x14ac:dyDescent="0.2">
      <c r="E87" s="471" t="str">
        <f>'Fun Patches'!C19</f>
        <v>&lt;LIST PATCH HERE&gt;</v>
      </c>
      <c r="F87" s="472"/>
      <c r="G87" s="257" t="str">
        <f>IF('Fun Patches'!J19="A","A"," ")</f>
        <v xml:space="preserve"> </v>
      </c>
      <c r="I87" s="247"/>
      <c r="J87" s="344" t="str">
        <f>'Council Own'!C20</f>
        <v>&lt;List Requirement Here&gt;</v>
      </c>
      <c r="K87" s="257" t="str">
        <f>IF('Council Own'!J20="A","A"," ")</f>
        <v xml:space="preserve"> </v>
      </c>
      <c r="M87" s="247"/>
      <c r="N87" s="344" t="str">
        <f>'Council Own'!C68</f>
        <v>&lt;List Requirement Here&gt;</v>
      </c>
      <c r="O87" s="257" t="str">
        <f>IF('Council Own'!J68="A","A"," ")</f>
        <v xml:space="preserve"> </v>
      </c>
      <c r="Q87" s="247"/>
      <c r="R87" s="344" t="str">
        <f>'Council Own'!C116</f>
        <v>&lt;List Requirement Here&gt;</v>
      </c>
      <c r="S87" s="257" t="str">
        <f>IF('Council Own'!J116="A","A"," ")</f>
        <v xml:space="preserve"> </v>
      </c>
    </row>
    <row r="88" spans="1:22" x14ac:dyDescent="0.2">
      <c r="E88" s="471" t="str">
        <f>'Fun Patches'!C20</f>
        <v>&lt;LIST PATCH HERE&gt;</v>
      </c>
      <c r="F88" s="472"/>
      <c r="G88" s="257" t="str">
        <f>IF('Fun Patches'!J20="A","A"," ")</f>
        <v xml:space="preserve"> </v>
      </c>
      <c r="I88" s="247"/>
      <c r="J88" s="344" t="str">
        <f>'Council Own'!C21</f>
        <v>&lt;List Requirement Here&gt;</v>
      </c>
      <c r="K88" s="257" t="str">
        <f>IF('Council Own'!J21="A","A"," ")</f>
        <v xml:space="preserve"> </v>
      </c>
      <c r="M88" s="247"/>
      <c r="N88" s="344" t="str">
        <f>'Council Own'!C69</f>
        <v>&lt;List Requirement Here&gt;</v>
      </c>
      <c r="O88" s="257" t="str">
        <f>IF('Council Own'!J69="A","A"," ")</f>
        <v xml:space="preserve"> </v>
      </c>
      <c r="Q88" s="247"/>
      <c r="R88" s="344" t="str">
        <f>'Council Own'!C117</f>
        <v>&lt;List Requirement Here&gt;</v>
      </c>
      <c r="S88" s="257" t="str">
        <f>IF('Council Own'!J117="A","A"," ")</f>
        <v xml:space="preserve"> </v>
      </c>
    </row>
    <row r="89" spans="1:22" x14ac:dyDescent="0.2">
      <c r="E89" s="471" t="str">
        <f>'Fun Patches'!C21</f>
        <v>&lt;LIST PATCH HERE&gt;</v>
      </c>
      <c r="F89" s="472"/>
      <c r="G89" s="257" t="str">
        <f>IF('Fun Patches'!J21="A","A"," ")</f>
        <v xml:space="preserve"> </v>
      </c>
      <c r="I89" s="247"/>
      <c r="J89" s="344" t="str">
        <f>'Council Own'!C22</f>
        <v>&lt;List Requirement Here&gt;</v>
      </c>
      <c r="K89" s="257" t="str">
        <f>IF('Council Own'!J22="A","A"," ")</f>
        <v xml:space="preserve"> </v>
      </c>
      <c r="M89" s="247"/>
      <c r="N89" s="344" t="str">
        <f>'Council Own'!C70</f>
        <v>&lt;List Requirement Here&gt;</v>
      </c>
      <c r="O89" s="257" t="str">
        <f>IF('Council Own'!J70="A","A"," ")</f>
        <v xml:space="preserve"> </v>
      </c>
      <c r="Q89" s="247"/>
      <c r="R89" s="344" t="str">
        <f>'Council Own'!C118</f>
        <v>&lt;List Requirement Here&gt;</v>
      </c>
      <c r="S89" s="257" t="str">
        <f>IF('Council Own'!J118="A","A"," ")</f>
        <v xml:space="preserve"> </v>
      </c>
    </row>
    <row r="90" spans="1:22" x14ac:dyDescent="0.2">
      <c r="E90" s="471" t="str">
        <f>'Fun Patches'!C22</f>
        <v>&lt;LIST PATCH HERE&gt;</v>
      </c>
      <c r="F90" s="472"/>
      <c r="G90" s="257" t="str">
        <f>IF('Fun Patches'!J22="A","A"," ")</f>
        <v xml:space="preserve"> </v>
      </c>
      <c r="I90" s="247">
        <v>5</v>
      </c>
      <c r="J90" s="344" t="str">
        <f>'Council Own'!C23</f>
        <v>&lt;List Requirement Here&gt;</v>
      </c>
      <c r="K90" s="257" t="str">
        <f>IF('Council Own'!J23="A","A"," ")</f>
        <v xml:space="preserve"> </v>
      </c>
      <c r="M90" s="247">
        <v>5</v>
      </c>
      <c r="N90" s="344" t="str">
        <f>'Council Own'!C71</f>
        <v>&lt;List Requirement Here&gt;</v>
      </c>
      <c r="O90" s="257" t="str">
        <f>IF('Council Own'!J71="A","A"," ")</f>
        <v xml:space="preserve"> </v>
      </c>
      <c r="Q90" s="247">
        <v>5</v>
      </c>
      <c r="R90" s="344" t="str">
        <f>'Council Own'!C119</f>
        <v>&lt;List Requirement Here&gt;</v>
      </c>
      <c r="S90" s="257" t="str">
        <f>IF('Council Own'!J119="A","A"," ")</f>
        <v xml:space="preserve"> </v>
      </c>
    </row>
    <row r="91" spans="1:22" x14ac:dyDescent="0.2">
      <c r="E91" s="471" t="str">
        <f>'Fun Patches'!C23</f>
        <v>&lt;LIST PATCH HERE&gt;</v>
      </c>
      <c r="F91" s="472"/>
      <c r="G91" s="257" t="str">
        <f>IF('Fun Patches'!J23="A","A"," ")</f>
        <v xml:space="preserve"> </v>
      </c>
      <c r="I91" s="247"/>
      <c r="J91" s="344" t="str">
        <f>'Council Own'!C24</f>
        <v>&lt;List Requirement Here&gt;</v>
      </c>
      <c r="K91" s="257" t="str">
        <f>IF('Council Own'!J24="A","A"," ")</f>
        <v xml:space="preserve"> </v>
      </c>
      <c r="M91" s="247"/>
      <c r="N91" s="344" t="str">
        <f>'Council Own'!C72</f>
        <v>&lt;List Requirement Here&gt;</v>
      </c>
      <c r="O91" s="257" t="str">
        <f>IF('Council Own'!J72="A","A"," ")</f>
        <v xml:space="preserve"> </v>
      </c>
      <c r="Q91" s="247"/>
      <c r="R91" s="344" t="str">
        <f>'Council Own'!C120</f>
        <v>&lt;List Requirement Here&gt;</v>
      </c>
      <c r="S91" s="257" t="str">
        <f>IF('Council Own'!J120="A","A"," ")</f>
        <v xml:space="preserve"> </v>
      </c>
    </row>
    <row r="92" spans="1:22" x14ac:dyDescent="0.2">
      <c r="E92" s="471" t="str">
        <f>'Fun Patches'!C24</f>
        <v>&lt;LIST PATCH HERE&gt;</v>
      </c>
      <c r="F92" s="472"/>
      <c r="G92" s="257" t="str">
        <f>IF('Fun Patches'!J24="A","A"," ")</f>
        <v xml:space="preserve"> </v>
      </c>
      <c r="I92" s="247"/>
      <c r="J92" s="344" t="str">
        <f>'Council Own'!C25</f>
        <v>&lt;List Requirement Here&gt;</v>
      </c>
      <c r="K92" s="257" t="str">
        <f>IF('Council Own'!J25="A","A"," ")</f>
        <v xml:space="preserve"> </v>
      </c>
      <c r="M92" s="247"/>
      <c r="N92" s="344" t="str">
        <f>'Council Own'!C73</f>
        <v>&lt;List Requirement Here&gt;</v>
      </c>
      <c r="O92" s="257" t="str">
        <f>IF('Council Own'!J73="A","A"," ")</f>
        <v xml:space="preserve"> </v>
      </c>
      <c r="Q92" s="247"/>
      <c r="R92" s="344" t="str">
        <f>'Council Own'!C121</f>
        <v>&lt;List Requirement Here&gt;</v>
      </c>
      <c r="S92" s="257" t="str">
        <f>IF('Council Own'!J121="A","A"," ")</f>
        <v xml:space="preserve"> </v>
      </c>
    </row>
    <row r="93" spans="1:22" x14ac:dyDescent="0.2">
      <c r="E93" s="471" t="str">
        <f>'Fun Patches'!C25</f>
        <v>&lt;LIST PATCH HERE&gt;</v>
      </c>
      <c r="F93" s="472"/>
      <c r="G93" s="257" t="str">
        <f>IF('Fun Patches'!J25="A","A"," ")</f>
        <v xml:space="preserve"> </v>
      </c>
      <c r="I93" s="247"/>
      <c r="J93" s="344" t="str">
        <f>'Council Own'!C26</f>
        <v>&lt;List Requirement Here&gt;</v>
      </c>
      <c r="K93" s="257" t="str">
        <f>IF('Council Own'!J26="A","A"," ")</f>
        <v xml:space="preserve"> </v>
      </c>
      <c r="M93" s="247"/>
      <c r="N93" s="344" t="str">
        <f>'Council Own'!C74</f>
        <v>&lt;List Requirement Here&gt;</v>
      </c>
      <c r="O93" s="257" t="str">
        <f>IF('Council Own'!J68="A","A"," ")</f>
        <v xml:space="preserve"> </v>
      </c>
      <c r="Q93" s="247"/>
      <c r="R93" s="344" t="str">
        <f>'Council Own'!C122</f>
        <v>&lt;List Requirement Here&gt;</v>
      </c>
      <c r="S93" s="257" t="str">
        <f>IF('Council Own'!J122="A","A"," ")</f>
        <v xml:space="preserve"> </v>
      </c>
    </row>
    <row r="94" spans="1:22" x14ac:dyDescent="0.2">
      <c r="E94" s="471" t="str">
        <f>'Fun Patches'!C26</f>
        <v>&lt;LIST PATCH HERE&gt;</v>
      </c>
      <c r="F94" s="472"/>
      <c r="G94" s="257" t="str">
        <f>IF('Fun Patches'!J26="A","A","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Patches'!J27="A","A"," ")</f>
        <v xml:space="preserve"> </v>
      </c>
      <c r="I95" s="247">
        <v>1</v>
      </c>
      <c r="J95" s="344" t="str">
        <f>'Council Own'!C31</f>
        <v>&lt;List Requirement Here&gt;</v>
      </c>
      <c r="K95" s="257" t="str">
        <f>IF('Council Own'!J31="A","A"," ")</f>
        <v xml:space="preserve"> </v>
      </c>
      <c r="M95" s="247">
        <v>1</v>
      </c>
      <c r="N95" s="344" t="str">
        <f>'Council Own'!C79</f>
        <v>&lt;List Requirement Here&gt;</v>
      </c>
      <c r="O95" s="257" t="str">
        <f>IF('Council Own'!J79="A","A"," ")</f>
        <v xml:space="preserve"> </v>
      </c>
      <c r="Q95" s="247">
        <v>1</v>
      </c>
      <c r="R95" s="344" t="str">
        <f>'Council Own'!C127</f>
        <v>&lt;List Requirement Here&gt;</v>
      </c>
      <c r="S95" s="257" t="str">
        <f>IF('Council Own'!J127="A","A"," ")</f>
        <v xml:space="preserve"> </v>
      </c>
    </row>
    <row r="96" spans="1:22" x14ac:dyDescent="0.2">
      <c r="E96" s="471" t="str">
        <f>'Fun Patches'!C28</f>
        <v>&lt;LIST PATCH HERE&gt;</v>
      </c>
      <c r="F96" s="472"/>
      <c r="G96" s="257" t="str">
        <f>IF('Fun Patches'!J28="A","A"," ")</f>
        <v xml:space="preserve"> </v>
      </c>
      <c r="I96" s="247"/>
      <c r="J96" s="344" t="str">
        <f>'Council Own'!C32</f>
        <v>&lt;List Requirement Here&gt;</v>
      </c>
      <c r="K96" s="257" t="str">
        <f>IF('Council Own'!J32="A","A"," ")</f>
        <v xml:space="preserve"> </v>
      </c>
      <c r="M96" s="247"/>
      <c r="N96" s="344" t="str">
        <f>'Council Own'!C80</f>
        <v>&lt;List Requirement Here&gt;</v>
      </c>
      <c r="O96" s="257" t="str">
        <f>IF('Council Own'!J80="A","A"," ")</f>
        <v xml:space="preserve"> </v>
      </c>
      <c r="Q96" s="247"/>
      <c r="R96" s="344" t="str">
        <f>'Council Own'!C128</f>
        <v>&lt;List Requirement Here&gt;</v>
      </c>
      <c r="S96" s="257" t="str">
        <f>IF('Council Own'!J128="A","A"," ")</f>
        <v xml:space="preserve"> </v>
      </c>
      <c r="U96" s="245"/>
      <c r="V96" s="245"/>
    </row>
    <row r="97" spans="1:23" x14ac:dyDescent="0.2">
      <c r="E97" s="471" t="str">
        <f>'Fun Patches'!C29</f>
        <v>&lt;LIST PATCH HERE&gt;</v>
      </c>
      <c r="F97" s="472"/>
      <c r="G97" s="257" t="str">
        <f>IF('Fun Patches'!J29="A","A"," ")</f>
        <v xml:space="preserve"> </v>
      </c>
      <c r="I97" s="247"/>
      <c r="J97" s="344" t="str">
        <f>'Council Own'!C33</f>
        <v>&lt;List Requirement Here&gt;</v>
      </c>
      <c r="K97" s="257" t="str">
        <f>IF('Council Own'!J33="A","A"," ")</f>
        <v xml:space="preserve"> </v>
      </c>
      <c r="M97" s="247"/>
      <c r="N97" s="344" t="str">
        <f>'Council Own'!C81</f>
        <v>&lt;List Requirement Here&gt;</v>
      </c>
      <c r="O97" s="257" t="str">
        <f>IF('Council Own'!J81="A","A"," ")</f>
        <v xml:space="preserve"> </v>
      </c>
      <c r="Q97" s="247"/>
      <c r="R97" s="344" t="str">
        <f>'Council Own'!C129</f>
        <v>&lt;List Requirement Here&gt;</v>
      </c>
      <c r="S97" s="257" t="str">
        <f>IF('Council Own'!J129="A","A"," ")</f>
        <v xml:space="preserve"> </v>
      </c>
      <c r="U97" s="245"/>
      <c r="V97" s="245"/>
    </row>
    <row r="98" spans="1:23" x14ac:dyDescent="0.2">
      <c r="A98" s="484" t="s">
        <v>75</v>
      </c>
      <c r="B98" s="484"/>
      <c r="C98" s="484"/>
      <c r="E98" s="471" t="str">
        <f>'Fun Patches'!C30</f>
        <v>&lt;LIST PATCH HERE&gt;</v>
      </c>
      <c r="F98" s="472"/>
      <c r="G98" s="257" t="str">
        <f>IF('Fun Patches'!J30="A","A"," ")</f>
        <v xml:space="preserve"> </v>
      </c>
      <c r="I98" s="247"/>
      <c r="J98" s="344" t="str">
        <f>'Council Own'!C34</f>
        <v>&lt;List Requirement Here&gt;</v>
      </c>
      <c r="K98" s="257" t="str">
        <f>IF('Council Own'!J34="A","A"," ")</f>
        <v xml:space="preserve"> </v>
      </c>
      <c r="M98" s="247"/>
      <c r="N98" s="344" t="str">
        <f>'Council Own'!C82</f>
        <v>&lt;List Requirement Here&gt;</v>
      </c>
      <c r="O98" s="257" t="str">
        <f>IF('Council Own'!J82="A","A"," ")</f>
        <v xml:space="preserve"> </v>
      </c>
      <c r="Q98" s="247"/>
      <c r="R98" s="344" t="str">
        <f>'Council Own'!C130</f>
        <v>&lt;List Requirement Here&gt;</v>
      </c>
      <c r="S98" s="257" t="str">
        <f>IF('Council Own'!J130="A","A"," ")</f>
        <v xml:space="preserve"> </v>
      </c>
      <c r="U98" s="245"/>
      <c r="V98" s="245"/>
    </row>
    <row r="99" spans="1:23" ht="14.25" customHeight="1" x14ac:dyDescent="0.2">
      <c r="A99" s="481" t="s">
        <v>72</v>
      </c>
      <c r="B99" s="482"/>
      <c r="C99" s="483"/>
      <c r="E99" s="471" t="str">
        <f>'Fun Patches'!C31</f>
        <v>&lt;LIST PATCH HERE&gt;</v>
      </c>
      <c r="F99" s="472"/>
      <c r="G99" s="257" t="str">
        <f>IF('Fun Patches'!J31="A","A"," ")</f>
        <v xml:space="preserve"> </v>
      </c>
      <c r="I99" s="247">
        <v>2</v>
      </c>
      <c r="J99" s="344" t="str">
        <f>'Council Own'!C35</f>
        <v>&lt;List Requirement Here&gt;</v>
      </c>
      <c r="K99" s="257" t="str">
        <f>IF('Council Own'!J35="A","A"," ")</f>
        <v xml:space="preserve"> </v>
      </c>
      <c r="M99" s="247">
        <v>2</v>
      </c>
      <c r="N99" s="344" t="str">
        <f>'Council Own'!C83</f>
        <v>&lt;List Requirement Here&gt;</v>
      </c>
      <c r="O99" s="257" t="str">
        <f>IF('Council Own'!J83="A","A"," ")</f>
        <v xml:space="preserve"> </v>
      </c>
      <c r="Q99" s="247">
        <v>2</v>
      </c>
      <c r="R99" s="344" t="str">
        <f>'Council Own'!C131</f>
        <v>&lt;List Requirement Here&gt;</v>
      </c>
      <c r="S99" s="257" t="str">
        <f>IF('Council Own'!J131="A","A"," ")</f>
        <v xml:space="preserve"> </v>
      </c>
      <c r="U99" s="245"/>
      <c r="V99" s="245"/>
    </row>
    <row r="100" spans="1:23" x14ac:dyDescent="0.2">
      <c r="A100" s="481" t="s">
        <v>73</v>
      </c>
      <c r="B100" s="482"/>
      <c r="C100" s="483"/>
      <c r="E100" s="471" t="str">
        <f>'Fun Patches'!C32</f>
        <v>&lt;LIST PATCH HERE&gt;</v>
      </c>
      <c r="F100" s="472"/>
      <c r="G100" s="257" t="str">
        <f>IF('Fun Patches'!J32="A","A"," ")</f>
        <v xml:space="preserve"> </v>
      </c>
      <c r="I100" s="247"/>
      <c r="J100" s="344" t="str">
        <f>'Council Own'!C36</f>
        <v>&lt;List Requirement Here&gt;</v>
      </c>
      <c r="K100" s="257" t="str">
        <f>IF('Council Own'!J36="A","A"," ")</f>
        <v xml:space="preserve"> </v>
      </c>
      <c r="M100" s="247"/>
      <c r="N100" s="344" t="str">
        <f>'Council Own'!C84</f>
        <v>&lt;List Requirement Here&gt;</v>
      </c>
      <c r="O100" s="257" t="str">
        <f>IF('Council Own'!J84="A","A"," ")</f>
        <v xml:space="preserve"> </v>
      </c>
      <c r="Q100" s="247"/>
      <c r="R100" s="344" t="str">
        <f>'Council Own'!C132</f>
        <v>&lt;List Requirement Here&gt;</v>
      </c>
      <c r="S100" s="257" t="str">
        <f>IF('Council Own'!J132="A","A"," ")</f>
        <v xml:space="preserve"> </v>
      </c>
      <c r="U100" s="337"/>
      <c r="V100" s="338"/>
      <c r="W100" s="341"/>
    </row>
    <row r="101" spans="1:23" x14ac:dyDescent="0.2">
      <c r="A101" s="468" t="s">
        <v>74</v>
      </c>
      <c r="B101" s="469"/>
      <c r="C101" s="470"/>
      <c r="E101" s="471" t="str">
        <f>'Fun Patches'!C33</f>
        <v>&lt;LIST PATCH HERE&gt;</v>
      </c>
      <c r="F101" s="472"/>
      <c r="G101" s="257" t="str">
        <f>IF('Fun Patches'!J33="A","A"," ")</f>
        <v xml:space="preserve"> </v>
      </c>
      <c r="I101" s="247"/>
      <c r="J101" s="344" t="str">
        <f>'Council Own'!C37</f>
        <v>&lt;List Requirement Here&gt;</v>
      </c>
      <c r="K101" s="257" t="str">
        <f>IF('Council Own'!J37="A","A"," ")</f>
        <v xml:space="preserve"> </v>
      </c>
      <c r="M101" s="247"/>
      <c r="N101" s="344" t="str">
        <f>'Council Own'!C85</f>
        <v>&lt;List Requirement Here&gt;</v>
      </c>
      <c r="O101" s="257" t="str">
        <f>IF('Council Own'!J85="A","A"," ")</f>
        <v xml:space="preserve"> </v>
      </c>
      <c r="Q101" s="247"/>
      <c r="R101" s="344" t="str">
        <f>'Council Own'!C133</f>
        <v>&lt;List Requirement Here&gt;</v>
      </c>
      <c r="S101" s="257" t="str">
        <f>IF('Council Own'!J133="A","A"," ")</f>
        <v xml:space="preserve"> </v>
      </c>
      <c r="U101" s="245"/>
      <c r="V101" s="245"/>
    </row>
    <row r="102" spans="1:23" x14ac:dyDescent="0.2">
      <c r="E102" s="471" t="str">
        <f>'Fun Patches'!C34</f>
        <v>&lt;LIST PATCH HERE&gt;</v>
      </c>
      <c r="F102" s="472"/>
      <c r="G102" s="257" t="str">
        <f>IF('Fun Patches'!J34="A","A"," ")</f>
        <v xml:space="preserve"> </v>
      </c>
      <c r="I102" s="247"/>
      <c r="J102" s="344" t="str">
        <f>'Council Own'!C38</f>
        <v>&lt;List Requirement Here&gt;</v>
      </c>
      <c r="K102" s="257" t="str">
        <f>IF('Council Own'!J38="A","A"," ")</f>
        <v xml:space="preserve"> </v>
      </c>
      <c r="M102" s="247"/>
      <c r="N102" s="344" t="str">
        <f>'Council Own'!C86</f>
        <v>&lt;List Requirement Here&gt;</v>
      </c>
      <c r="O102" s="257" t="str">
        <f>IF('Council Own'!J86="A","A"," ")</f>
        <v xml:space="preserve"> </v>
      </c>
      <c r="Q102" s="247"/>
      <c r="R102" s="344" t="str">
        <f>'Council Own'!C134</f>
        <v>&lt;List Requirement Here&gt;</v>
      </c>
      <c r="S102" s="257" t="str">
        <f>IF('Council Own'!J134="A","A"," ")</f>
        <v xml:space="preserve"> </v>
      </c>
      <c r="U102" s="245"/>
      <c r="V102" s="245"/>
    </row>
    <row r="103" spans="1:23" x14ac:dyDescent="0.2">
      <c r="E103" s="471" t="str">
        <f>'Fun Patches'!C35</f>
        <v>&lt;LIST PATCH HERE&gt;</v>
      </c>
      <c r="F103" s="472"/>
      <c r="G103" s="257" t="str">
        <f>IF('Fun Patches'!J35="A","A"," ")</f>
        <v xml:space="preserve"> </v>
      </c>
      <c r="I103" s="247">
        <v>3</v>
      </c>
      <c r="J103" s="344" t="str">
        <f>'Council Own'!C39</f>
        <v>&lt;List Requirement Here&gt;</v>
      </c>
      <c r="K103" s="257" t="str">
        <f>IF('Council Own'!J39="A","A"," ")</f>
        <v xml:space="preserve"> </v>
      </c>
      <c r="M103" s="247">
        <v>3</v>
      </c>
      <c r="N103" s="344" t="str">
        <f>'Council Own'!C87</f>
        <v>&lt;List Requirement Here&gt;</v>
      </c>
      <c r="O103" s="257" t="str">
        <f>IF('Council Own'!J87="A","A"," ")</f>
        <v xml:space="preserve"> </v>
      </c>
      <c r="Q103" s="247">
        <v>3</v>
      </c>
      <c r="R103" s="344" t="str">
        <f>'Council Own'!C135</f>
        <v>&lt;List Requirement Here&gt;</v>
      </c>
      <c r="S103" s="257" t="str">
        <f>IF('Council Own'!J135="A","A"," ")</f>
        <v xml:space="preserve"> </v>
      </c>
      <c r="U103" s="245"/>
      <c r="V103" s="245"/>
    </row>
    <row r="104" spans="1:23" x14ac:dyDescent="0.2">
      <c r="E104" s="471" t="str">
        <f>'Fun Patches'!C36</f>
        <v>&lt;LIST PATCH HERE&gt;</v>
      </c>
      <c r="F104" s="472"/>
      <c r="G104" s="257" t="str">
        <f>IF('Fun Patches'!J36="A","A"," ")</f>
        <v xml:space="preserve"> </v>
      </c>
      <c r="I104" s="247"/>
      <c r="J104" s="344" t="str">
        <f>'Council Own'!C40</f>
        <v>&lt;List Requirement Here&gt;</v>
      </c>
      <c r="K104" s="257" t="str">
        <f>IF('Council Own'!J40="A","A"," ")</f>
        <v xml:space="preserve"> </v>
      </c>
      <c r="M104" s="247"/>
      <c r="N104" s="344" t="str">
        <f>'Council Own'!C88</f>
        <v>&lt;List Requirement Here&gt;</v>
      </c>
      <c r="O104" s="257" t="str">
        <f>IF('Council Own'!J88="A","A"," ")</f>
        <v xml:space="preserve"> </v>
      </c>
      <c r="Q104" s="247"/>
      <c r="R104" s="344" t="str">
        <f>'Council Own'!C136</f>
        <v>&lt;List Requirement Here&gt;</v>
      </c>
      <c r="S104" s="257" t="str">
        <f>IF('Council Own'!J136="A","A"," ")</f>
        <v xml:space="preserve"> </v>
      </c>
      <c r="U104" s="245"/>
      <c r="V104" s="245"/>
    </row>
    <row r="105" spans="1:23" x14ac:dyDescent="0.2">
      <c r="E105" s="471" t="str">
        <f>'Fun Patches'!C37</f>
        <v>&lt;LIST PATCH HERE&gt;</v>
      </c>
      <c r="F105" s="472"/>
      <c r="G105" s="257" t="str">
        <f>IF('Fun Patches'!J37="A","A"," ")</f>
        <v xml:space="preserve"> </v>
      </c>
      <c r="I105" s="247"/>
      <c r="J105" s="344" t="str">
        <f>'Council Own'!C41</f>
        <v>&lt;List Requirement Here&gt;</v>
      </c>
      <c r="K105" s="257" t="str">
        <f>IF('Council Own'!J41="A","A"," ")</f>
        <v xml:space="preserve"> </v>
      </c>
      <c r="M105" s="247"/>
      <c r="N105" s="344" t="str">
        <f>'Council Own'!C89</f>
        <v>&lt;List Requirement Here&gt;</v>
      </c>
      <c r="O105" s="257" t="str">
        <f>IF('Council Own'!J89="A","A"," ")</f>
        <v xml:space="preserve"> </v>
      </c>
      <c r="Q105" s="247"/>
      <c r="R105" s="344" t="str">
        <f>'Council Own'!C137</f>
        <v>&lt;List Requirement Here&gt;</v>
      </c>
      <c r="S105" s="257" t="str">
        <f>IF('Council Own'!J137="A","A"," ")</f>
        <v xml:space="preserve"> </v>
      </c>
      <c r="U105" s="245"/>
      <c r="V105" s="245"/>
    </row>
    <row r="106" spans="1:23" x14ac:dyDescent="0.2">
      <c r="E106" s="471" t="str">
        <f>'Fun Patches'!C38</f>
        <v>&lt;LIST PATCH HERE&gt;</v>
      </c>
      <c r="F106" s="472"/>
      <c r="G106" s="257" t="str">
        <f>IF('Fun Patches'!J38="A","A"," ")</f>
        <v xml:space="preserve"> </v>
      </c>
      <c r="I106" s="247"/>
      <c r="J106" s="344" t="str">
        <f>'Council Own'!C42</f>
        <v>&lt;List Requirement Here&gt;</v>
      </c>
      <c r="K106" s="257" t="str">
        <f>IF('Council Own'!J42="A","A"," ")</f>
        <v xml:space="preserve"> </v>
      </c>
      <c r="M106" s="247"/>
      <c r="N106" s="344" t="str">
        <f>'Council Own'!C90</f>
        <v>&lt;List Requirement Here&gt;</v>
      </c>
      <c r="O106" s="257" t="str">
        <f>IF('Council Own'!J90="A","A"," ")</f>
        <v xml:space="preserve"> </v>
      </c>
      <c r="Q106" s="247"/>
      <c r="R106" s="344" t="str">
        <f>'Council Own'!C138</f>
        <v>&lt;List Requirement Here&gt;</v>
      </c>
      <c r="S106" s="257" t="str">
        <f>IF('Council Own'!J138="A","A"," ")</f>
        <v xml:space="preserve"> </v>
      </c>
      <c r="U106" s="245"/>
      <c r="V106" s="245"/>
    </row>
    <row r="107" spans="1:23" x14ac:dyDescent="0.2">
      <c r="E107" s="284"/>
      <c r="F107" s="263"/>
      <c r="G107" s="341"/>
      <c r="I107" s="247">
        <v>4</v>
      </c>
      <c r="J107" s="344" t="str">
        <f>'Council Own'!C43</f>
        <v>&lt;List Requirement Here&gt;</v>
      </c>
      <c r="K107" s="257" t="str">
        <f>IF('Council Own'!J43="A","A"," ")</f>
        <v xml:space="preserve"> </v>
      </c>
      <c r="M107" s="247">
        <v>4</v>
      </c>
      <c r="N107" s="344" t="str">
        <f>'Council Own'!C91</f>
        <v>&lt;List Requirement Here&gt;</v>
      </c>
      <c r="O107" s="257" t="str">
        <f>IF('Council Own'!J91="A","A"," ")</f>
        <v xml:space="preserve"> </v>
      </c>
      <c r="Q107" s="247">
        <v>4</v>
      </c>
      <c r="R107" s="344" t="str">
        <f>'Council Own'!C139</f>
        <v>&lt;List Requirement Here&gt;</v>
      </c>
      <c r="S107" s="257" t="str">
        <f>IF('Council Own'!J139="A","A"," ")</f>
        <v xml:space="preserve"> </v>
      </c>
      <c r="U107" s="245"/>
      <c r="V107" s="245"/>
    </row>
    <row r="108" spans="1:23" x14ac:dyDescent="0.2">
      <c r="I108" s="247"/>
      <c r="J108" s="344" t="str">
        <f>'Council Own'!C44</f>
        <v>&lt;List Requirement Here&gt;</v>
      </c>
      <c r="K108" s="257" t="str">
        <f>IF('Council Own'!J44="A","A"," ")</f>
        <v xml:space="preserve"> </v>
      </c>
      <c r="M108" s="247"/>
      <c r="N108" s="344" t="str">
        <f>'Council Own'!C92</f>
        <v>&lt;List Requirement Here&gt;</v>
      </c>
      <c r="O108" s="257" t="str">
        <f>IF('Council Own'!J92="A","A"," ")</f>
        <v xml:space="preserve"> </v>
      </c>
      <c r="Q108" s="247"/>
      <c r="R108" s="344" t="str">
        <f>'Council Own'!C140</f>
        <v>&lt;List Requirement Here&gt;</v>
      </c>
      <c r="S108" s="257" t="str">
        <f>IF('Council Own'!J140="A","A"," ")</f>
        <v xml:space="preserve"> </v>
      </c>
      <c r="U108" s="245"/>
      <c r="V108" s="245"/>
    </row>
    <row r="109" spans="1:23" x14ac:dyDescent="0.2">
      <c r="I109" s="247"/>
      <c r="J109" s="344" t="str">
        <f>'Council Own'!C45</f>
        <v>&lt;List Requirement Here&gt;</v>
      </c>
      <c r="K109" s="257" t="str">
        <f>IF('Council Own'!J45="A","A"," ")</f>
        <v xml:space="preserve"> </v>
      </c>
      <c r="M109" s="247"/>
      <c r="N109" s="344" t="str">
        <f>'Council Own'!C93</f>
        <v>&lt;List Requirement Here&gt;</v>
      </c>
      <c r="O109" s="257" t="str">
        <f>IF('Council Own'!J93="A","A"," ")</f>
        <v xml:space="preserve"> </v>
      </c>
      <c r="Q109" s="247"/>
      <c r="R109" s="344" t="str">
        <f>'Council Own'!C141</f>
        <v>&lt;List Requirement Here&gt;</v>
      </c>
      <c r="S109" s="257" t="str">
        <f>IF('Council Own'!J141="A","A"," ")</f>
        <v xml:space="preserve"> </v>
      </c>
      <c r="U109" s="245"/>
      <c r="V109" s="245"/>
    </row>
    <row r="110" spans="1:23" x14ac:dyDescent="0.2">
      <c r="I110" s="247"/>
      <c r="J110" s="344" t="str">
        <f>'Council Own'!C46</f>
        <v>&lt;List Requirement Here&gt;</v>
      </c>
      <c r="K110" s="257" t="str">
        <f>IF('Council Own'!J46="A","A"," ")</f>
        <v xml:space="preserve"> </v>
      </c>
      <c r="M110" s="247"/>
      <c r="N110" s="344" t="str">
        <f>'Council Own'!C94</f>
        <v>&lt;List Requirement Here&gt;</v>
      </c>
      <c r="O110" s="257" t="str">
        <f>IF('Council Own'!J94="A","A"," ")</f>
        <v xml:space="preserve"> </v>
      </c>
      <c r="Q110" s="247"/>
      <c r="R110" s="344" t="str">
        <f>'Council Own'!C142</f>
        <v>&lt;List Requirement Here&gt;</v>
      </c>
      <c r="S110" s="257" t="str">
        <f>IF('Council Own'!J142="A","A"," ")</f>
        <v xml:space="preserve"> </v>
      </c>
      <c r="U110" s="245"/>
      <c r="V110" s="245"/>
    </row>
    <row r="111" spans="1:23" x14ac:dyDescent="0.2">
      <c r="I111" s="247">
        <v>5</v>
      </c>
      <c r="J111" s="344" t="str">
        <f>'Council Own'!C47</f>
        <v>&lt;List Requirement Here&gt;</v>
      </c>
      <c r="K111" s="257" t="str">
        <f>IF('Council Own'!J47="A","A"," ")</f>
        <v xml:space="preserve"> </v>
      </c>
      <c r="M111" s="247">
        <v>5</v>
      </c>
      <c r="N111" s="344" t="str">
        <f>'Council Own'!C95</f>
        <v>&lt;List Requirement Here&gt;</v>
      </c>
      <c r="O111" s="257" t="str">
        <f>IF('Council Own'!J95="A","A"," ")</f>
        <v xml:space="preserve"> </v>
      </c>
      <c r="Q111" s="247">
        <v>5</v>
      </c>
      <c r="R111" s="344" t="str">
        <f>'Council Own'!C143</f>
        <v>&lt;List Requirement Here&gt;</v>
      </c>
      <c r="S111" s="257" t="str">
        <f>IF('Council Own'!J143="A","A"," ")</f>
        <v xml:space="preserve"> </v>
      </c>
      <c r="U111" s="338"/>
      <c r="V111" s="338"/>
      <c r="W111" s="341"/>
    </row>
    <row r="112" spans="1:23" x14ac:dyDescent="0.2">
      <c r="I112" s="247"/>
      <c r="J112" s="344" t="str">
        <f>'Council Own'!C48</f>
        <v>&lt;List Requirement Here&gt;</v>
      </c>
      <c r="K112" s="257" t="str">
        <f>IF('Council Own'!J48="A","A"," ")</f>
        <v xml:space="preserve"> </v>
      </c>
      <c r="M112" s="247"/>
      <c r="N112" s="344" t="str">
        <f>'Council Own'!C96</f>
        <v>&lt;List Requirement Here&gt;</v>
      </c>
      <c r="O112" s="257" t="str">
        <f>IF('Council Own'!J96="A","A"," ")</f>
        <v xml:space="preserve"> </v>
      </c>
      <c r="Q112" s="247"/>
      <c r="R112" s="344" t="str">
        <f>'Council Own'!C144</f>
        <v>&lt;List Requirement Here&gt;</v>
      </c>
      <c r="S112" s="257" t="str">
        <f>IF('Council Own'!J144="A","A"," ")</f>
        <v xml:space="preserve"> </v>
      </c>
      <c r="U112" s="245"/>
      <c r="V112" s="245"/>
    </row>
    <row r="113" spans="9:22" x14ac:dyDescent="0.2">
      <c r="I113" s="247"/>
      <c r="J113" s="344" t="str">
        <f>'Council Own'!C49</f>
        <v>&lt;List Requirement Here&gt;</v>
      </c>
      <c r="K113" s="257" t="str">
        <f>IF('Council Own'!J49="A","A"," ")</f>
        <v xml:space="preserve"> </v>
      </c>
      <c r="M113" s="247"/>
      <c r="N113" s="344" t="str">
        <f>'Council Own'!C97</f>
        <v>&lt;List Requirement Here&gt;</v>
      </c>
      <c r="O113" s="257" t="str">
        <f>IF('Council Own'!J97="A","A"," ")</f>
        <v xml:space="preserve"> </v>
      </c>
      <c r="Q113" s="247"/>
      <c r="R113" s="344" t="str">
        <f>'Council Own'!C145</f>
        <v>&lt;List Requirement Here&gt;</v>
      </c>
      <c r="S113" s="257" t="str">
        <f>IF('Council Own'!J145="A","A"," ")</f>
        <v xml:space="preserve"> </v>
      </c>
      <c r="U113" s="245"/>
      <c r="V113" s="245"/>
    </row>
    <row r="114" spans="9:22" x14ac:dyDescent="0.2">
      <c r="I114" s="247"/>
      <c r="J114" s="344" t="str">
        <f>'Council Own'!C50</f>
        <v>&lt;List Requirement Here&gt;</v>
      </c>
      <c r="K114" s="257" t="str">
        <f>IF('Council Own'!J50="A","A"," ")</f>
        <v xml:space="preserve"> </v>
      </c>
      <c r="M114" s="247"/>
      <c r="N114" s="344" t="str">
        <f>'Council Own'!C98</f>
        <v>&lt;List Requirement Here&gt;</v>
      </c>
      <c r="O114" s="257" t="str">
        <f>IF('Council Own'!J98="A","A"," ")</f>
        <v xml:space="preserve"> </v>
      </c>
      <c r="Q114" s="247"/>
      <c r="R114" s="344" t="str">
        <f>'Council Own'!C146</f>
        <v>&lt;List Requirement Here&gt;</v>
      </c>
      <c r="S114" s="257" t="str">
        <f>IF('Council Own'!J146="A","A","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row r="147" ht="12.75" customHeight="1" x14ac:dyDescent="0.2"/>
    <row r="148" ht="12.75" customHeight="1" x14ac:dyDescent="0.2"/>
    <row r="172" ht="12.75" customHeight="1" x14ac:dyDescent="0.2"/>
    <row r="173" ht="12.75" customHeight="1" x14ac:dyDescent="0.2"/>
  </sheetData>
  <sheetProtection password="9A15" sheet="1" objects="1" scenarios="1" selectLockedCells="1" selectUnlockedCells="1"/>
  <mergeCells count="113">
    <mergeCell ref="E102:F102"/>
    <mergeCell ref="E96:F96"/>
    <mergeCell ref="E97:F97"/>
    <mergeCell ref="A98:C98"/>
    <mergeCell ref="E98:F98"/>
    <mergeCell ref="A99:C99"/>
    <mergeCell ref="E99:F99"/>
    <mergeCell ref="A100:C100"/>
    <mergeCell ref="E100:F100"/>
    <mergeCell ref="A101:C101"/>
    <mergeCell ref="E101:F101"/>
    <mergeCell ref="E87:F87"/>
    <mergeCell ref="E88:F88"/>
    <mergeCell ref="E89:F89"/>
    <mergeCell ref="E90:F90"/>
    <mergeCell ref="E91:F91"/>
    <mergeCell ref="E92:F92"/>
    <mergeCell ref="E93:F93"/>
    <mergeCell ref="E94:F94"/>
    <mergeCell ref="E95:F95"/>
    <mergeCell ref="E78:F78"/>
    <mergeCell ref="E79:F79"/>
    <mergeCell ref="E80:F80"/>
    <mergeCell ref="E81:F81"/>
    <mergeCell ref="E82:F82"/>
    <mergeCell ref="E83:F83"/>
    <mergeCell ref="E84:F84"/>
    <mergeCell ref="E85:F85"/>
    <mergeCell ref="E86:F86"/>
    <mergeCell ref="A26:B26"/>
    <mergeCell ref="A28:C28"/>
    <mergeCell ref="Q28:R28"/>
    <mergeCell ref="B29:C29"/>
    <mergeCell ref="B30:C30"/>
    <mergeCell ref="B34:C34"/>
    <mergeCell ref="Q34:R34"/>
    <mergeCell ref="B35:C35"/>
    <mergeCell ref="B42:C42"/>
    <mergeCell ref="Q42:R42"/>
    <mergeCell ref="A8:B8"/>
    <mergeCell ref="A9:B9"/>
    <mergeCell ref="A11:B11"/>
    <mergeCell ref="A16:B16"/>
    <mergeCell ref="A18:B18"/>
    <mergeCell ref="A19:B19"/>
    <mergeCell ref="A20:B20"/>
    <mergeCell ref="A24:C24"/>
    <mergeCell ref="A25:B25"/>
    <mergeCell ref="Q1:S1"/>
    <mergeCell ref="E2:G2"/>
    <mergeCell ref="Q2:R2"/>
    <mergeCell ref="Q3:R3"/>
    <mergeCell ref="Q4:R4"/>
    <mergeCell ref="Q5:R5"/>
    <mergeCell ref="Q6:R6"/>
    <mergeCell ref="Q7:R7"/>
    <mergeCell ref="Q8:R8"/>
    <mergeCell ref="A3:B3"/>
    <mergeCell ref="A4:C4"/>
    <mergeCell ref="A5:B5"/>
    <mergeCell ref="A6:B6"/>
    <mergeCell ref="A7:B7"/>
    <mergeCell ref="A1:C1"/>
    <mergeCell ref="E1:G1"/>
    <mergeCell ref="I1:K1"/>
    <mergeCell ref="M1:O1"/>
    <mergeCell ref="Q9:R9"/>
    <mergeCell ref="A10:B10"/>
    <mergeCell ref="Q10:R10"/>
    <mergeCell ref="Q11:R11"/>
    <mergeCell ref="Q12:R12"/>
    <mergeCell ref="A13:C13"/>
    <mergeCell ref="Q13:R13"/>
    <mergeCell ref="Q14:R14"/>
    <mergeCell ref="Q15:R15"/>
    <mergeCell ref="A12:B12"/>
    <mergeCell ref="A14:B14"/>
    <mergeCell ref="A15:B15"/>
    <mergeCell ref="Q16:R16"/>
    <mergeCell ref="Q17:R17"/>
    <mergeCell ref="Q18:R18"/>
    <mergeCell ref="Q19:R19"/>
    <mergeCell ref="Q20:R20"/>
    <mergeCell ref="A21:C21"/>
    <mergeCell ref="Q21:R21"/>
    <mergeCell ref="A22:B22"/>
    <mergeCell ref="A23:B23"/>
    <mergeCell ref="E23:G23"/>
    <mergeCell ref="A17:B17"/>
    <mergeCell ref="E103:F103"/>
    <mergeCell ref="E104:F104"/>
    <mergeCell ref="E105:F105"/>
    <mergeCell ref="E106:F106"/>
    <mergeCell ref="B43:C43"/>
    <mergeCell ref="E45:G45"/>
    <mergeCell ref="A49:C49"/>
    <mergeCell ref="Q55:S55"/>
    <mergeCell ref="E72:G72"/>
    <mergeCell ref="I72:K72"/>
    <mergeCell ref="M72:O72"/>
    <mergeCell ref="Q72:S72"/>
    <mergeCell ref="E73:F73"/>
    <mergeCell ref="A72:C72"/>
    <mergeCell ref="A76:B76"/>
    <mergeCell ref="A77:B77"/>
    <mergeCell ref="A78:B78"/>
    <mergeCell ref="A73:B73"/>
    <mergeCell ref="A74:B74"/>
    <mergeCell ref="A75:B75"/>
    <mergeCell ref="E74:F74"/>
    <mergeCell ref="E75:F75"/>
    <mergeCell ref="E76:F76"/>
    <mergeCell ref="E77:F7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W173"/>
  <sheetViews>
    <sheetView showGridLines="0" zoomScale="90" zoomScaleNormal="90" workbookViewId="0">
      <selection sqref="A1:XFD1048576"/>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1" customHeight="1" x14ac:dyDescent="0.35">
      <c r="A1" s="512" t="str">
        <f ca="1">MID(CELL("filename",A1),FIND(IF(ISERROR(FIND("]",CELL("filename",A1))),"$","]"),CELL("filename",A1))+1,256)</f>
        <v>Ambassador 8</v>
      </c>
      <c r="B1" s="512"/>
      <c r="C1" s="512"/>
      <c r="D1" s="265"/>
      <c r="E1" s="506" t="s">
        <v>15</v>
      </c>
      <c r="F1" s="506"/>
      <c r="G1" s="506"/>
      <c r="I1" s="506" t="s">
        <v>15</v>
      </c>
      <c r="J1" s="506"/>
      <c r="K1" s="506"/>
      <c r="M1" s="506" t="s">
        <v>15</v>
      </c>
      <c r="N1" s="506"/>
      <c r="O1" s="506"/>
      <c r="Q1" s="506" t="s">
        <v>135</v>
      </c>
      <c r="R1" s="506"/>
      <c r="S1" s="506"/>
      <c r="T1" s="239"/>
      <c r="U1" s="239"/>
    </row>
    <row r="2" spans="1:21" s="245" customFormat="1" ht="13.5" thickBot="1" x14ac:dyDescent="0.25">
      <c r="A2" s="242"/>
      <c r="B2" s="243"/>
      <c r="C2" s="244" t="s">
        <v>16</v>
      </c>
      <c r="D2" s="243"/>
      <c r="E2" s="492" t="str">
        <f>Badges!B6</f>
        <v>Photography</v>
      </c>
      <c r="F2" s="492"/>
      <c r="G2" s="492"/>
      <c r="H2" s="241"/>
      <c r="I2" s="247">
        <v>3</v>
      </c>
      <c r="J2" s="248" t="str">
        <f>Badges!C61</f>
        <v>Dig into national or state public policy</v>
      </c>
      <c r="K2" s="249"/>
      <c r="L2" s="241"/>
      <c r="M2" s="247">
        <v>3</v>
      </c>
      <c r="N2" s="248" t="str">
        <f>Badges!C130</f>
        <v>Share sisterhood around the world</v>
      </c>
      <c r="O2" s="249"/>
      <c r="P2" s="241"/>
      <c r="Q2" s="493" t="str">
        <f>'Age-Level'!B5</f>
        <v>Gold Torch Award</v>
      </c>
      <c r="R2" s="494"/>
      <c r="S2" s="251" t="str">
        <f>IF('Age-Level'!K8="C","C",IF('Age-Level'!K8="P","P",""))</f>
        <v/>
      </c>
      <c r="T2" s="239"/>
      <c r="U2" s="239"/>
    </row>
    <row r="3" spans="1:21" x14ac:dyDescent="0.2">
      <c r="A3" s="510" t="s">
        <v>132</v>
      </c>
      <c r="B3" s="511"/>
      <c r="C3" s="246">
        <f>INT(COUNTIF(C5:C12,"C"))+INT(COUNTIF(C14:C26,"C"))</f>
        <v>0</v>
      </c>
      <c r="E3" s="247">
        <v>1</v>
      </c>
      <c r="F3" s="248" t="str">
        <f>Badges!C7</f>
        <v>Expore the power of photography</v>
      </c>
      <c r="G3" s="249"/>
      <c r="I3" s="247"/>
      <c r="J3" s="248" t="str">
        <f>Badges!C62</f>
        <v>Track your issue</v>
      </c>
      <c r="K3" s="250" t="str">
        <f>IF(Badges!K62="A","A"," ")</f>
        <v xml:space="preserve"> </v>
      </c>
      <c r="M3" s="247"/>
      <c r="N3" s="248" t="str">
        <f>Badges!C131</f>
        <v>Explore an issue affecting girls and</v>
      </c>
      <c r="O3" s="250" t="str">
        <f>IF(Badges!K131="A","A"," ")</f>
        <v xml:space="preserve"> </v>
      </c>
      <c r="Q3" s="471" t="str">
        <f>'Age-Level'!B9</f>
        <v>Ambassador Community Service bar</v>
      </c>
      <c r="R3" s="472"/>
      <c r="S3" s="251" t="str">
        <f>IF('Age-Level'!K9="C","C",IF('Age-Level'!K9="P","P",""))</f>
        <v/>
      </c>
      <c r="T3" s="239"/>
      <c r="U3" s="239"/>
    </row>
    <row r="4" spans="1:21" x14ac:dyDescent="0.2">
      <c r="A4" s="500" t="str">
        <f>Summary!A3</f>
        <v>Legacy</v>
      </c>
      <c r="B4" s="500"/>
      <c r="C4" s="500"/>
      <c r="E4" s="247"/>
      <c r="F4" s="248" t="str">
        <f>Badges!C8</f>
        <v>Go to a photography exhibit</v>
      </c>
      <c r="G4" s="250" t="str">
        <f>IF(Badges!K8="A","A"," ")</f>
        <v xml:space="preserve"> </v>
      </c>
      <c r="I4" s="247"/>
      <c r="J4" s="248" t="str">
        <f>Badges!C63</f>
        <v>Talk to an interest gorup that promotes</v>
      </c>
      <c r="K4" s="250" t="str">
        <f>IF(Badges!K63="A","A"," ")</f>
        <v xml:space="preserve"> </v>
      </c>
      <c r="M4" s="247"/>
      <c r="N4" s="248" t="str">
        <f>Badges!C132</f>
        <v>Organize an event on women and STEM</v>
      </c>
      <c r="O4" s="250" t="str">
        <f>IF(Badges!K132="A","A"," ")</f>
        <v xml:space="preserve"> </v>
      </c>
      <c r="Q4" s="471" t="str">
        <f>'Age-Level'!B12</f>
        <v>Ambassador Service to Girl Scouting bar</v>
      </c>
      <c r="R4" s="472"/>
      <c r="S4" s="251" t="str">
        <f>IF('Age-Level'!K10="C","C",IF('Age-Level'!K10="P","P",""))</f>
        <v/>
      </c>
      <c r="T4" s="239"/>
      <c r="U4" s="239"/>
    </row>
    <row r="5" spans="1:21" ht="12.75" customHeight="1" x14ac:dyDescent="0.2">
      <c r="A5" s="501" t="str">
        <f>Summary!A4</f>
        <v>Photography</v>
      </c>
      <c r="B5" s="502"/>
      <c r="C5" s="252" t="str">
        <f>IF(Badges!K28="C","C",IF(Badges!K28="P","P",""))</f>
        <v/>
      </c>
      <c r="E5" s="247"/>
      <c r="F5" s="248" t="str">
        <f>Badges!C9</f>
        <v>Create a photography timeline.</v>
      </c>
      <c r="G5" s="250" t="str">
        <f>IF(Badges!K9="A","A"," ")</f>
        <v xml:space="preserve"> </v>
      </c>
      <c r="I5" s="247"/>
      <c r="J5" s="248" t="str">
        <f>Badges!C64</f>
        <v>Compare three different states' positions</v>
      </c>
      <c r="K5" s="250" t="str">
        <f>IF(Badges!K64="A","A"," ")</f>
        <v xml:space="preserve"> </v>
      </c>
      <c r="M5" s="247"/>
      <c r="N5" s="248" t="str">
        <f>Badges!C133</f>
        <v>Interview a global citizen</v>
      </c>
      <c r="O5" s="250" t="str">
        <f>IF(Badges!K133="A","A"," ")</f>
        <v xml:space="preserve"> </v>
      </c>
      <c r="Q5" s="471" t="str">
        <f>'Age-Level'!B15</f>
        <v>Ambassador Volunteer in Training</v>
      </c>
      <c r="R5" s="472"/>
      <c r="S5" s="251" t="str">
        <f>IF('Age-Level'!K19="C","C",IF('Age-Level'!K19="P","P",""))</f>
        <v/>
      </c>
      <c r="T5" s="239"/>
      <c r="U5" s="239"/>
    </row>
    <row r="6" spans="1:21" ht="12.75" customHeight="1" x14ac:dyDescent="0.2">
      <c r="A6" s="490" t="str">
        <f>Summary!A5</f>
        <v>Coaching</v>
      </c>
      <c r="B6" s="491"/>
      <c r="C6" s="252" t="str">
        <f>IF(Badges!K51="C","C",IF(Badges!K51="P","P",""))</f>
        <v/>
      </c>
      <c r="E6" s="247"/>
      <c r="F6" s="248" t="str">
        <f>Badges!C10</f>
        <v>Make sticky-note comics</v>
      </c>
      <c r="G6" s="250" t="str">
        <f>IF(Badges!K10="A","A"," ")</f>
        <v xml:space="preserve"> </v>
      </c>
      <c r="I6" s="247">
        <v>4</v>
      </c>
      <c r="J6" s="248" t="str">
        <f>Badges!C65</f>
        <v>Explore local or community policy</v>
      </c>
      <c r="K6" s="249"/>
      <c r="M6" s="247">
        <v>4</v>
      </c>
      <c r="N6" s="248" t="str">
        <f>Badges!C134</f>
        <v>Leave your wolrd better than you found it</v>
      </c>
      <c r="O6" s="249"/>
      <c r="Q6" s="471" t="str">
        <f>'Age-Level'!B20</f>
        <v>Journey Summit Pin</v>
      </c>
      <c r="R6" s="472"/>
      <c r="S6" s="251" t="str">
        <f>IF('Age-Level'!K21="C","C",IF('Age-Level'!K21="P","P",""))</f>
        <v/>
      </c>
      <c r="T6" s="239"/>
      <c r="U6" s="239"/>
    </row>
    <row r="7" spans="1:21" x14ac:dyDescent="0.2">
      <c r="A7" s="490" t="str">
        <f>Summary!A6</f>
        <v>Public Policy</v>
      </c>
      <c r="B7" s="491"/>
      <c r="C7" s="252" t="str">
        <f>IF(Badges!K74="C","C",IF(Badges!K74="P","P",""))</f>
        <v/>
      </c>
      <c r="E7" s="247">
        <v>2</v>
      </c>
      <c r="F7" s="248" t="str">
        <f>Badges!C11</f>
        <v>Focus on composition</v>
      </c>
      <c r="G7" s="249"/>
      <c r="I7" s="247"/>
      <c r="J7" s="248" t="str">
        <f>Badges!C66</f>
        <v>Attend a meeting</v>
      </c>
      <c r="K7" s="250" t="str">
        <f>IF(Badges!K66="A","A"," ")</f>
        <v xml:space="preserve"> </v>
      </c>
      <c r="M7" s="247"/>
      <c r="N7" s="248" t="str">
        <f>Badges!C135</f>
        <v xml:space="preserve">Find ideas to use your leaderhship </v>
      </c>
      <c r="O7" s="250" t="str">
        <f>IF(Badges!K135="A","A"," ")</f>
        <v xml:space="preserve"> </v>
      </c>
      <c r="Q7" s="471" t="str">
        <f>'Age-Level'!C23</f>
        <v>Cookie Rally (Year 1)</v>
      </c>
      <c r="R7" s="472"/>
      <c r="S7" s="257" t="str">
        <f>IF('Age-Level'!K23="A","A"," ")</f>
        <v xml:space="preserve"> </v>
      </c>
    </row>
    <row r="8" spans="1:21" x14ac:dyDescent="0.2">
      <c r="A8" s="490" t="str">
        <f>Summary!A7</f>
        <v>Dinner Party</v>
      </c>
      <c r="B8" s="491"/>
      <c r="C8" s="252" t="str">
        <f>IF(Badges!K97="C","C",IF(Badges!K97="P","P",""))</f>
        <v/>
      </c>
      <c r="E8" s="247"/>
      <c r="F8" s="248" t="str">
        <f>Badges!C12</f>
        <v>Capture a day in the life</v>
      </c>
      <c r="G8" s="250" t="str">
        <f>IF(Badges!K12="A","A"," ")</f>
        <v xml:space="preserve"> </v>
      </c>
      <c r="I8" s="247"/>
      <c r="J8" s="248" t="str">
        <f>Badges!C67</f>
        <v>Compare different local positions</v>
      </c>
      <c r="K8" s="250" t="str">
        <f>IF(Badges!K67="A","A"," ")</f>
        <v xml:space="preserve"> </v>
      </c>
      <c r="M8" s="247"/>
      <c r="N8" s="248" t="str">
        <f>Badges!C136</f>
        <v>Gather ideas to work for a healthy</v>
      </c>
      <c r="O8" s="250" t="str">
        <f>IF(Badges!K136="A","A"," ")</f>
        <v xml:space="preserve"> </v>
      </c>
      <c r="Q8" s="471" t="str">
        <f>'Age-Level'!C24</f>
        <v>Cookie Sales (Year 1)</v>
      </c>
      <c r="R8" s="472"/>
      <c r="S8" s="257" t="str">
        <f>IF('Age-Level'!K24="A","A"," ")</f>
        <v xml:space="preserve"> </v>
      </c>
    </row>
    <row r="9" spans="1:21" x14ac:dyDescent="0.2">
      <c r="A9" s="490" t="str">
        <f>Summary!A8</f>
        <v>Ambassador First Aid</v>
      </c>
      <c r="B9" s="491"/>
      <c r="C9" s="252" t="str">
        <f>IF(Badges!K120="C","C",IF(Badges!K120="P","P",""))</f>
        <v/>
      </c>
      <c r="E9" s="247"/>
      <c r="F9" s="248" t="str">
        <f>Badges!C13</f>
        <v>Photograph weather patterns</v>
      </c>
      <c r="G9" s="250" t="str">
        <f>IF(Badges!K13="A","A"," ")</f>
        <v xml:space="preserve"> </v>
      </c>
      <c r="I9" s="247"/>
      <c r="J9" s="248" t="str">
        <f>Badges!C68</f>
        <v>Visit your local legislator's office</v>
      </c>
      <c r="K9" s="250" t="str">
        <f>IF(Badges!K68="A","A"," ")</f>
        <v xml:space="preserve"> </v>
      </c>
      <c r="M9" s="247"/>
      <c r="N9" s="248" t="str">
        <f>Badges!C137</f>
        <v>Brainstorm idea for social change</v>
      </c>
      <c r="O9" s="250" t="str">
        <f>IF(Badges!K137="A","A"," ")</f>
        <v xml:space="preserve"> </v>
      </c>
      <c r="Q9" s="471" t="str">
        <f>'Age-Level'!C25</f>
        <v>Cookie Pin (Year 1)</v>
      </c>
      <c r="R9" s="472"/>
      <c r="S9" s="257" t="str">
        <f>IF('Age-Level'!K25="A","A"," ")</f>
        <v xml:space="preserve"> </v>
      </c>
    </row>
    <row r="10" spans="1:21" x14ac:dyDescent="0.2">
      <c r="A10" s="490" t="str">
        <f>Summary!A9</f>
        <v>Ambassador Girl Scout Way</v>
      </c>
      <c r="B10" s="491"/>
      <c r="C10" s="253" t="str">
        <f>IF(Badges!K143="C","C",IF(Badges!K143="P","P",""))</f>
        <v/>
      </c>
      <c r="E10" s="247"/>
      <c r="F10" s="248" t="str">
        <f>Badges!C14</f>
        <v>Take 5 photos form a different</v>
      </c>
      <c r="G10" s="250" t="str">
        <f>IF(Badges!K14="A","A"," ")</f>
        <v xml:space="preserve"> </v>
      </c>
      <c r="I10" s="247">
        <v>5</v>
      </c>
      <c r="J10" s="248" t="str">
        <f>Badges!C69</f>
        <v>See public policy creation in action</v>
      </c>
      <c r="K10" s="249"/>
      <c r="M10" s="247">
        <v>5</v>
      </c>
      <c r="N10" s="248" t="str">
        <f>Badges!C138</f>
        <v>Enjoy Girl Scout traditions!</v>
      </c>
      <c r="O10" s="249"/>
      <c r="Q10" s="471" t="str">
        <f>'Age-Level'!C26</f>
        <v>Cookie Rally (Year 2)</v>
      </c>
      <c r="R10" s="472"/>
      <c r="S10" s="257" t="str">
        <f>IF('Age-Level'!K26="A","A"," ")</f>
        <v xml:space="preserve"> </v>
      </c>
    </row>
    <row r="11" spans="1:21" x14ac:dyDescent="0.2">
      <c r="A11" s="509" t="str">
        <f>Summary!A10</f>
        <v>Water</v>
      </c>
      <c r="B11" s="491"/>
      <c r="C11" s="252" t="str">
        <f>IF(Badges!K166="C","C",IF(Badges!K166="P","P",""))</f>
        <v/>
      </c>
      <c r="E11" s="247">
        <v>3</v>
      </c>
      <c r="F11" s="248" t="str">
        <f>Badges!C15</f>
        <v>Focus on light</v>
      </c>
      <c r="G11" s="249"/>
      <c r="I11" s="247"/>
      <c r="J11" s="248" t="str">
        <f>Badges!C70</f>
        <v>Shadow a policy-maker</v>
      </c>
      <c r="K11" s="250" t="str">
        <f>IF(Badges!K70="A","A"," ")</f>
        <v xml:space="preserve"> </v>
      </c>
      <c r="M11" s="247"/>
      <c r="N11" s="248" t="str">
        <f>Badges!C139</f>
        <v>Pass down a tradition</v>
      </c>
      <c r="O11" s="250" t="str">
        <f>IF(Badges!K139="A","A"," ")</f>
        <v xml:space="preserve"> </v>
      </c>
      <c r="Q11" s="471" t="str">
        <f>'Age-Level'!C27</f>
        <v>Cookie Sales (Year 2)</v>
      </c>
      <c r="R11" s="472"/>
      <c r="S11" s="257" t="str">
        <f>IF('Age-Level'!K27="A","A"," ")</f>
        <v xml:space="preserve"> </v>
      </c>
    </row>
    <row r="12" spans="1:21" x14ac:dyDescent="0.2">
      <c r="A12" s="507"/>
      <c r="B12" s="507"/>
      <c r="C12" s="336"/>
      <c r="E12" s="247"/>
      <c r="F12" s="248" t="str">
        <f>Badges!C16</f>
        <v>Invite friends to a shoot day</v>
      </c>
      <c r="G12" s="250" t="str">
        <f>IF(Badges!K16="A","A"," ")</f>
        <v xml:space="preserve"> </v>
      </c>
      <c r="I12" s="247"/>
      <c r="J12" s="248" t="str">
        <f>Badges!C71</f>
        <v>Volunteer at an office</v>
      </c>
      <c r="K12" s="250" t="str">
        <f>IF(Badges!K71="A","A"," ")</f>
        <v xml:space="preserve"> </v>
      </c>
      <c r="M12" s="247"/>
      <c r="N12" s="248" t="str">
        <f>Badges!C140</f>
        <v>Start a Girl Scout tradition of your own</v>
      </c>
      <c r="O12" s="250" t="str">
        <f>IF(Badges!K140="A","A"," ")</f>
        <v xml:space="preserve"> </v>
      </c>
      <c r="Q12" s="471" t="str">
        <f>'Age-Level'!C28</f>
        <v>Cookie Pin (Year 2)</v>
      </c>
      <c r="R12" s="472"/>
      <c r="S12" s="257" t="str">
        <f>IF('Age-Level'!K28="A","A"," ")</f>
        <v xml:space="preserve"> </v>
      </c>
    </row>
    <row r="13" spans="1:21" x14ac:dyDescent="0.2">
      <c r="A13" s="500" t="str">
        <f>Summary!A3</f>
        <v>Legacy</v>
      </c>
      <c r="B13" s="500"/>
      <c r="C13" s="500"/>
      <c r="E13" s="247"/>
      <c r="F13" s="248" t="str">
        <f>Badges!C17</f>
        <v>Capture the same person or object</v>
      </c>
      <c r="G13" s="250" t="str">
        <f>IF(Badges!K17="A","A"," ")</f>
        <v xml:space="preserve"> </v>
      </c>
      <c r="I13" s="247"/>
      <c r="J13" s="248" t="str">
        <f>Badges!C72</f>
        <v>Interview a policy-maker</v>
      </c>
      <c r="K13" s="250" t="str">
        <f>IF(Badges!K72="A","A"," ")</f>
        <v xml:space="preserve"> </v>
      </c>
      <c r="M13" s="247"/>
      <c r="N13" s="248" t="str">
        <f>Badges!C141</f>
        <v>Share the Girl Scout way by example</v>
      </c>
      <c r="O13" s="250" t="str">
        <f>IF(Badges!K141="A","A"," ")</f>
        <v xml:space="preserve"> </v>
      </c>
      <c r="Q13" s="471" t="str">
        <f>'Age-Level'!C30</f>
        <v>Fall Sales (Year 1)</v>
      </c>
      <c r="R13" s="472"/>
      <c r="S13" s="252" t="str">
        <f>IF('Age-Level'!K30="A","A","")</f>
        <v/>
      </c>
    </row>
    <row r="14" spans="1:21" x14ac:dyDescent="0.2">
      <c r="A14" s="501" t="str">
        <f>Summary!A4</f>
        <v>Photography</v>
      </c>
      <c r="B14" s="502"/>
      <c r="C14" s="251" t="str">
        <f>IF(Badges!K28="C","C",IF(Badges!K28="P","P",""))</f>
        <v/>
      </c>
      <c r="E14" s="247"/>
      <c r="F14" s="248" t="str">
        <f>Badges!C18</f>
        <v>Grow your image</v>
      </c>
      <c r="G14" s="250" t="str">
        <f>IF(Badges!K18="A","A"," ")</f>
        <v xml:space="preserve"> </v>
      </c>
      <c r="I14" s="339" t="str">
        <f>Badges!B75</f>
        <v>Dinner Party</v>
      </c>
      <c r="J14" s="340"/>
      <c r="K14" s="340"/>
      <c r="M14" s="339" t="str">
        <f>Badges!B144</f>
        <v>Water</v>
      </c>
      <c r="N14" s="340"/>
      <c r="O14" s="340"/>
      <c r="Q14" s="471" t="str">
        <f>'Age-Level'!C31</f>
        <v>Fall Sales (Year 2)</v>
      </c>
      <c r="R14" s="472"/>
      <c r="S14" s="252" t="str">
        <f>IF('Age-Level'!K31="A","A","")</f>
        <v/>
      </c>
    </row>
    <row r="15" spans="1:21" x14ac:dyDescent="0.2">
      <c r="A15" s="490" t="str">
        <f>Summary!A5</f>
        <v>Coaching</v>
      </c>
      <c r="B15" s="491"/>
      <c r="C15" s="252" t="str">
        <f>IF(Badges!K51="C","C",IF(Badges!K51="P","P",""))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471" t="str">
        <f>'Age-Level'!C33</f>
        <v>Thinking Day (Year 1)</v>
      </c>
      <c r="R15" s="472"/>
      <c r="S15" s="252" t="str">
        <f>IF('Age-Level'!K33="A","A","")</f>
        <v/>
      </c>
    </row>
    <row r="16" spans="1:21" x14ac:dyDescent="0.2">
      <c r="A16" s="490" t="str">
        <f>Summary!A6</f>
        <v>Public Policy</v>
      </c>
      <c r="B16" s="491"/>
      <c r="C16" s="252" t="str">
        <f>IF(Badges!K74="C","C",IF(Badges!K74="P","P",""))</f>
        <v/>
      </c>
      <c r="E16" s="247"/>
      <c r="F16" s="248" t="str">
        <f>Badges!C20</f>
        <v xml:space="preserve">Take photos of a group </v>
      </c>
      <c r="G16" s="250" t="str">
        <f>IF(Badges!K20="A","A"," ")</f>
        <v xml:space="preserve"> </v>
      </c>
      <c r="I16" s="247"/>
      <c r="J16" s="248" t="str">
        <f>Badges!C77</f>
        <v>Interview a caterer, event planner, chef</v>
      </c>
      <c r="K16" s="250" t="str">
        <f>IF(Badges!K77="A","A"," ")</f>
        <v xml:space="preserve"> </v>
      </c>
      <c r="M16" s="247"/>
      <c r="N16" s="248" t="str">
        <f>Badges!C146</f>
        <v>Visit water in its natural state</v>
      </c>
      <c r="O16" s="250" t="str">
        <f>IF(Badges!K146="A","A"," ")</f>
        <v xml:space="preserve"> </v>
      </c>
      <c r="Q16" s="471" t="str">
        <f>'Age-Level'!C34</f>
        <v>Thinking Day (Year 2)</v>
      </c>
      <c r="R16" s="472"/>
      <c r="S16" s="252" t="str">
        <f>IF('Age-Level'!K34="A","A","")</f>
        <v/>
      </c>
    </row>
    <row r="17" spans="1:19" x14ac:dyDescent="0.2">
      <c r="A17" s="490" t="str">
        <f>Summary!A7</f>
        <v>Dinner Party</v>
      </c>
      <c r="B17" s="491"/>
      <c r="C17" s="252" t="str">
        <f>IF(Badges!K97="C","C",IF(Badges!K97="P","P",""))</f>
        <v/>
      </c>
      <c r="E17" s="247"/>
      <c r="F17" s="248" t="str">
        <f>Badges!C21</f>
        <v>Take photos of faces in motion</v>
      </c>
      <c r="G17" s="250" t="str">
        <f>IF(Badges!K21="A","A"," ")</f>
        <v xml:space="preserve"> </v>
      </c>
      <c r="I17" s="247"/>
      <c r="J17" s="248" t="str">
        <f>Badges!C78</f>
        <v>Collect recipes from cooking shows</v>
      </c>
      <c r="K17" s="250" t="str">
        <f>IF(Badges!K78="A","A"," ")</f>
        <v xml:space="preserve"> </v>
      </c>
      <c r="M17" s="247"/>
      <c r="N17" s="248" t="str">
        <f>Badges!C147</f>
        <v>Try a new water skill</v>
      </c>
      <c r="O17" s="250" t="str">
        <f>IF(Badges!K147="A","A"," ")</f>
        <v xml:space="preserve"> </v>
      </c>
      <c r="Q17" s="471" t="str">
        <f>'Age-Level'!C36</f>
        <v>Global Action Award</v>
      </c>
      <c r="R17" s="472"/>
      <c r="S17" s="252" t="str">
        <f>IF('Age-Level'!K36="A","A","")</f>
        <v/>
      </c>
    </row>
    <row r="18" spans="1:19" x14ac:dyDescent="0.2">
      <c r="A18" s="490" t="str">
        <f>Summary!A8</f>
        <v>Ambassador First Aid</v>
      </c>
      <c r="B18" s="491"/>
      <c r="C18" s="252" t="str">
        <f>IF(Badges!K120="C","C",IF(Badges!K120="P","P",""))</f>
        <v/>
      </c>
      <c r="E18" s="247"/>
      <c r="F18" s="248" t="str">
        <f>Badges!C22</f>
        <v>Take photos of objects in motion</v>
      </c>
      <c r="G18" s="250" t="str">
        <f>IF(Badges!K22="A","A"," ")</f>
        <v xml:space="preserve"> </v>
      </c>
      <c r="I18" s="247"/>
      <c r="J18" s="248" t="str">
        <f>Badges!C79</f>
        <v>Build a men around your favorite</v>
      </c>
      <c r="K18" s="250" t="str">
        <f>IF(Badges!K79="A","A"," ")</f>
        <v xml:space="preserve"> </v>
      </c>
      <c r="M18" s="247"/>
      <c r="N18" s="248" t="str">
        <f>Badges!C148</f>
        <v>Enjoy a water activity you already know</v>
      </c>
      <c r="O18" s="250" t="str">
        <f>IF(Badges!K148="A","A"," ")</f>
        <v xml:space="preserve"> </v>
      </c>
      <c r="Q18" s="471" t="str">
        <f>'Age-Level'!C38</f>
        <v>International Friendship Recognition</v>
      </c>
      <c r="R18" s="472"/>
      <c r="S18" s="252" t="str">
        <f>IF('Age-Level'!K38="A","A","")</f>
        <v/>
      </c>
    </row>
    <row r="19" spans="1:19" x14ac:dyDescent="0.2">
      <c r="A19" s="490" t="str">
        <f>Summary!A9</f>
        <v>Ambassador Girl Scout Way</v>
      </c>
      <c r="B19" s="491"/>
      <c r="C19" s="252" t="str">
        <f>IF(Badges!K143="C","C",IF(Badges!K143="P","P",""))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471" t="str">
        <f>'Age-Level'!C40</f>
        <v>Investiture</v>
      </c>
      <c r="R19" s="472"/>
      <c r="S19" s="252" t="str">
        <f>IF('Age-Level'!K40="A","A","")</f>
        <v/>
      </c>
    </row>
    <row r="20" spans="1:19" x14ac:dyDescent="0.2">
      <c r="A20" s="507" t="str">
        <f>Summary!A10</f>
        <v>Water</v>
      </c>
      <c r="B20" s="508"/>
      <c r="C20" s="253" t="str">
        <f>IF(Badges!K166="C","C",IF(Badges!K166="P","P",""))</f>
        <v/>
      </c>
      <c r="E20" s="247"/>
      <c r="F20" s="248" t="str">
        <f>Badges!C24</f>
        <v>Stage a photo exhibit</v>
      </c>
      <c r="G20" s="250" t="str">
        <f>IF(Badges!K24="A","A"," ")</f>
        <v xml:space="preserve"> </v>
      </c>
      <c r="I20" s="247"/>
      <c r="J20" s="248" t="str">
        <f>Badges!C81</f>
        <v>Camparison shop</v>
      </c>
      <c r="K20" s="250" t="str">
        <f>IF(Badges!K81="A","A"," ")</f>
        <v xml:space="preserve"> </v>
      </c>
      <c r="M20" s="247"/>
      <c r="N20" s="248" t="str">
        <f>Badges!C150</f>
        <v>Delve into water literature</v>
      </c>
      <c r="O20" s="250" t="str">
        <f>IF(Badges!K150="A","A"," ")</f>
        <v xml:space="preserve"> </v>
      </c>
      <c r="Q20" s="471" t="str">
        <f>'Age-Level'!C41</f>
        <v>Rededication (1st year)</v>
      </c>
      <c r="R20" s="472"/>
      <c r="S20" s="262" t="str">
        <f>IF('Age-Level'!K41="C","C","")</f>
        <v/>
      </c>
    </row>
    <row r="21" spans="1:19" x14ac:dyDescent="0.2">
      <c r="A21" s="500" t="str">
        <f>Summary!A11</f>
        <v>Financial Literacy</v>
      </c>
      <c r="B21" s="500"/>
      <c r="C21" s="500"/>
      <c r="E21" s="247"/>
      <c r="F21" s="248" t="str">
        <f>Badges!C25</f>
        <v>Make a digital slide show</v>
      </c>
      <c r="G21" s="250" t="str">
        <f>IF(Badges!K25="A","A"," ")</f>
        <v xml:space="preserve"> </v>
      </c>
      <c r="I21" s="247"/>
      <c r="J21" s="248" t="str">
        <f>Badges!C82</f>
        <v>Consult with a professional chef</v>
      </c>
      <c r="K21" s="250" t="str">
        <f>IF(Badges!K82="A","A"," ")</f>
        <v xml:space="preserve"> </v>
      </c>
      <c r="M21" s="247"/>
      <c r="N21" s="248" t="str">
        <f>Badges!C151</f>
        <v xml:space="preserve">Enjoy an exhibit or event that features </v>
      </c>
      <c r="O21" s="250" t="str">
        <f>IF(Badges!K151="A","A"," ")</f>
        <v xml:space="preserve"> </v>
      </c>
      <c r="Q21" s="471" t="str">
        <f>'Age-Level'!C42</f>
        <v>Rededication (2nd year)</v>
      </c>
      <c r="R21" s="472"/>
      <c r="S21" s="262" t="str">
        <f>IF('Age-Level'!K42="C","C","")</f>
        <v/>
      </c>
    </row>
    <row r="22" spans="1:19" x14ac:dyDescent="0.2">
      <c r="A22" s="501" t="str">
        <f>Summary!A12</f>
        <v>On My Own</v>
      </c>
      <c r="B22" s="502"/>
      <c r="C22" s="251" t="str">
        <f>IF(Badges!K190="C","C",IF(Badges!K190="P","P",""))</f>
        <v/>
      </c>
      <c r="E22" s="247"/>
      <c r="F22" s="248" t="str">
        <f>Badges!C26</f>
        <v>Create a photo album or scrapbook</v>
      </c>
      <c r="G22" s="250" t="str">
        <f>IF(Badges!K26="A","A"," ")</f>
        <v xml:space="preserve"> </v>
      </c>
      <c r="I22" s="247"/>
      <c r="J22" s="248" t="str">
        <f>Badges!C83</f>
        <v>Learn about alternative ways to shop</v>
      </c>
      <c r="K22" s="250" t="str">
        <f>IF(Badges!K83="A","A"," ")</f>
        <v xml:space="preserve"> </v>
      </c>
      <c r="M22" s="247"/>
      <c r="N22" s="248" t="str">
        <f>Badges!C152</f>
        <v>Create your own water composition</v>
      </c>
      <c r="O22" s="250" t="str">
        <f>IF(Badges!K152="A","A"," ")</f>
        <v xml:space="preserve"> </v>
      </c>
      <c r="Q22" s="342" t="str">
        <f>'Age-Level'!B43</f>
        <v>My Promise, My Faith (Year 1)</v>
      </c>
      <c r="R22" s="343"/>
      <c r="S22" s="262"/>
    </row>
    <row r="23" spans="1:19" x14ac:dyDescent="0.2">
      <c r="A23" s="490" t="str">
        <f>Summary!A13</f>
        <v>Good Credit</v>
      </c>
      <c r="B23" s="491"/>
      <c r="C23" s="251" t="str">
        <f>IF(Badges!K213="C","C",IF(Badges!K213="P","P",""))</f>
        <v/>
      </c>
      <c r="E23" s="492" t="str">
        <f>Badges!B29</f>
        <v>Coaching</v>
      </c>
      <c r="F23" s="492"/>
      <c r="G23" s="492"/>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IF('Age-Level'!K44="A","A","")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IF(Badges!K85="A","A"," ")</f>
        <v xml:space="preserve"> </v>
      </c>
      <c r="M24" s="247"/>
      <c r="N24" s="248" t="str">
        <f>Badges!C154</f>
        <v>Visit a water facility and explore its</v>
      </c>
      <c r="O24" s="250" t="str">
        <f>IF(Badges!K154="A","A"," ")</f>
        <v xml:space="preserve"> </v>
      </c>
      <c r="Q24" s="267">
        <v>2</v>
      </c>
      <c r="R24" s="344" t="str">
        <f>'Age-Level'!C45</f>
        <v>Find a woman in your community</v>
      </c>
      <c r="S24" s="262" t="str">
        <f>IF('Age-Level'!K45="A","A","")</f>
        <v/>
      </c>
    </row>
    <row r="25" spans="1:19" x14ac:dyDescent="0.2">
      <c r="A25" s="490" t="str">
        <f>Summary!A15</f>
        <v>Research and Development</v>
      </c>
      <c r="B25" s="491"/>
      <c r="C25" s="252" t="str">
        <f>IF(Badges!K227="C","C",IF(Badges!K227="P","P",""))</f>
        <v/>
      </c>
      <c r="E25" s="247"/>
      <c r="F25" s="248" t="str">
        <f>Badges!C31</f>
        <v>Talk to a great coach</v>
      </c>
      <c r="G25" s="250" t="str">
        <f>IF(Badges!K31="A","A"," ")</f>
        <v xml:space="preserve"> </v>
      </c>
      <c r="I25" s="247"/>
      <c r="J25" s="248" t="str">
        <f>Badges!C86</f>
        <v>Make a menu timeline</v>
      </c>
      <c r="K25" s="250" t="str">
        <f>IF(Badges!K86="A","A"," ")</f>
        <v xml:space="preserve"> </v>
      </c>
      <c r="M25" s="247"/>
      <c r="N25" s="248" t="str">
        <f>Badges!C155</f>
        <v>Investigate endangered marine life</v>
      </c>
      <c r="O25" s="250" t="str">
        <f>IF(Badges!K155="A","A"," ")</f>
        <v xml:space="preserve"> </v>
      </c>
      <c r="Q25" s="267">
        <v>3</v>
      </c>
      <c r="R25" s="344" t="str">
        <f>'Age-Level'!C46</f>
        <v>Gather three inspirational quotes</v>
      </c>
      <c r="S25" s="262" t="str">
        <f>IF('Age-Level'!K46="A","A","")</f>
        <v/>
      </c>
    </row>
    <row r="26" spans="1:19" x14ac:dyDescent="0.2">
      <c r="A26" s="490" t="str">
        <f>Summary!A16</f>
        <v>P &amp; L</v>
      </c>
      <c r="B26" s="491"/>
      <c r="C26" s="252" t="str">
        <f>IF(Badges!K240="C","C",IF(Badges!K240="P","P",""))</f>
        <v/>
      </c>
      <c r="E26" s="247"/>
      <c r="F26" s="248" t="str">
        <f>Badges!C32</f>
        <v>Watch three sports documentaries</v>
      </c>
      <c r="G26" s="250" t="str">
        <f>IF(Badges!K32="A","A"," ")</f>
        <v xml:space="preserve"> </v>
      </c>
      <c r="I26" s="247"/>
      <c r="J26" s="248" t="str">
        <f>Badges!C87</f>
        <v>Prepare a test meal for family or friends</v>
      </c>
      <c r="K26" s="250" t="str">
        <f>IF(Badges!K87="A","A"," ")</f>
        <v xml:space="preserve"> </v>
      </c>
      <c r="M26" s="247"/>
      <c r="N26" s="248" t="str">
        <f>Badges!C156</f>
        <v>Investigate water as a hazard</v>
      </c>
      <c r="O26" s="250" t="str">
        <f>IF(Badges!K156="A","A"," ")</f>
        <v xml:space="preserve"> </v>
      </c>
      <c r="Q26" s="267">
        <v>4</v>
      </c>
      <c r="R26" s="344" t="str">
        <f>'Age-Level'!C47</f>
        <v>Make something to remind you</v>
      </c>
      <c r="S26" s="262" t="str">
        <f>IF('Age-Level'!K47="A","A","")</f>
        <v/>
      </c>
    </row>
    <row r="27" spans="1:19" x14ac:dyDescent="0.2">
      <c r="A27" s="346"/>
      <c r="B27" s="346"/>
      <c r="C27" s="266"/>
      <c r="E27" s="247"/>
      <c r="F27" s="248" t="str">
        <f>Badges!C33</f>
        <v>Attend a coaching clinic or seminar</v>
      </c>
      <c r="G27" s="250" t="str">
        <f>IF(Badges!K33="A","A","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IF('Age-Level'!K48="A","A","")</f>
        <v/>
      </c>
    </row>
    <row r="28" spans="1:19" x14ac:dyDescent="0.2">
      <c r="A28" s="484" t="s">
        <v>84</v>
      </c>
      <c r="B28" s="484"/>
      <c r="C28" s="484"/>
      <c r="E28" s="247">
        <v>2</v>
      </c>
      <c r="F28" s="248" t="str">
        <f>Badges!C34</f>
        <v>Conduct a first assessment</v>
      </c>
      <c r="G28" s="249"/>
      <c r="I28" s="247"/>
      <c r="J28" s="248" t="str">
        <f>Badges!C89</f>
        <v>Expreiment with garnishes</v>
      </c>
      <c r="K28" s="250" t="str">
        <f>IF(Badges!K89="A","A"," ")</f>
        <v xml:space="preserve"> </v>
      </c>
      <c r="M28" s="247"/>
      <c r="N28" s="248" t="str">
        <f>Badges!C158</f>
        <v>Interview a water scientist</v>
      </c>
      <c r="O28" s="250" t="str">
        <f>IF(Badges!K158="A","A","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IF(Badges!K35="A","A"," ")</f>
        <v xml:space="preserve"> </v>
      </c>
      <c r="I29" s="247"/>
      <c r="J29" s="248" t="str">
        <f>Badges!C90</f>
        <v>Present food in interesting shapes</v>
      </c>
      <c r="K29" s="250" t="str">
        <f>IF(Badges!K90="A","A"," ")</f>
        <v xml:space="preserve"> </v>
      </c>
      <c r="M29" s="247"/>
      <c r="N29" s="248" t="str">
        <f>Badges!C159</f>
        <v>Explore the world of hydroelectricity</v>
      </c>
      <c r="O29" s="250" t="str">
        <f>IF(Badges!K159="A","A"," ")</f>
        <v xml:space="preserve"> </v>
      </c>
      <c r="Q29" s="268">
        <v>1</v>
      </c>
      <c r="R29" s="344" t="str">
        <f>'Age-Level'!C51</f>
        <v>Choose one line from the Law</v>
      </c>
      <c r="S29" s="262" t="str">
        <f>IF('Age-Level'!K51="A","A","")</f>
        <v/>
      </c>
    </row>
    <row r="30" spans="1:19" x14ac:dyDescent="0.2">
      <c r="B30" s="477" t="str">
        <f>Journey!B7</f>
        <v>The Girl Scout Advocate Award</v>
      </c>
      <c r="C30" s="478"/>
      <c r="E30" s="247"/>
      <c r="F30" s="248" t="str">
        <f>Badges!C36</f>
        <v>Host an initial session</v>
      </c>
      <c r="G30" s="250" t="str">
        <f>IF(Badges!K36="A","A"," ")</f>
        <v xml:space="preserve"> </v>
      </c>
      <c r="I30" s="247"/>
      <c r="J30" s="248" t="str">
        <f>Badges!C91</f>
        <v>Use serving ware in unusual ways</v>
      </c>
      <c r="K30" s="250" t="str">
        <f>IF(Badges!K91="A","A"," ")</f>
        <v xml:space="preserve"> </v>
      </c>
      <c r="M30" s="247"/>
      <c r="N30" s="248" t="str">
        <f>Badges!C160</f>
        <v>Design your own water innovation</v>
      </c>
      <c r="O30" s="250" t="str">
        <f>IF(Badges!K160="A","A"," ")</f>
        <v xml:space="preserve"> </v>
      </c>
      <c r="Q30" s="267">
        <v>2</v>
      </c>
      <c r="R30" s="344" t="str">
        <f>'Age-Level'!C52</f>
        <v>Find a woman in your community</v>
      </c>
      <c r="S30" s="262" t="str">
        <f>IF('Age-Level'!K52="A","A","")</f>
        <v/>
      </c>
    </row>
    <row r="31" spans="1:19" x14ac:dyDescent="0.2">
      <c r="B31" s="256">
        <f>Journey!J8</f>
        <v>0</v>
      </c>
      <c r="C31" s="252" t="str">
        <f>IF(Journey!K8="C","C",IF(Journey!K8="P","P",""))</f>
        <v/>
      </c>
      <c r="E31" s="247"/>
      <c r="F31" s="248" t="str">
        <f>Badges!C37</f>
        <v>Prepare a goal chart together</v>
      </c>
      <c r="G31" s="250" t="str">
        <f>IF(Badges!K37="A","A","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IF('Age-Level'!K53="A","A","")</f>
        <v/>
      </c>
    </row>
    <row r="32" spans="1:19" x14ac:dyDescent="0.2">
      <c r="B32" s="256">
        <f>Journey!J9</f>
        <v>0</v>
      </c>
      <c r="C32" s="252" t="str">
        <f>IF(Journey!K9="C","C",IF(Journey!K9="P","P",""))</f>
        <v/>
      </c>
      <c r="E32" s="339" t="str">
        <f>Badges!B29</f>
        <v>Coaching</v>
      </c>
      <c r="F32" s="340"/>
      <c r="G32" s="340"/>
      <c r="I32" s="247"/>
      <c r="J32" s="248" t="str">
        <f>Badges!C93</f>
        <v>Decorate according to your menu theme</v>
      </c>
      <c r="K32" s="250" t="str">
        <f>IF(Badges!K93="A","A"," ")</f>
        <v xml:space="preserve"> </v>
      </c>
      <c r="M32" s="247"/>
      <c r="N32" s="248" t="str">
        <f>Badges!C162</f>
        <v>Celebrate water with younger Girl Scouts</v>
      </c>
      <c r="O32" s="250" t="str">
        <f>IF(Badges!K162="A","A"," ")</f>
        <v xml:space="preserve"> </v>
      </c>
      <c r="Q32" s="267">
        <v>4</v>
      </c>
      <c r="R32" s="344" t="str">
        <f>'Age-Level'!C54</f>
        <v>Make something to remind you</v>
      </c>
      <c r="S32" s="262" t="str">
        <f>IF('Age-Level'!K54="A","A","")</f>
        <v/>
      </c>
    </row>
    <row r="33" spans="1:19" x14ac:dyDescent="0.2">
      <c r="B33" s="256">
        <f>Journey!J10</f>
        <v>0</v>
      </c>
      <c r="C33" s="252" t="str">
        <f>IF(Journey!K10="C","C",IF(Journey!K10="P","P",""))</f>
        <v/>
      </c>
      <c r="E33" s="247">
        <v>3</v>
      </c>
      <c r="F33" s="248" t="str">
        <f>Badges!C38</f>
        <v>Design your coaching plan</v>
      </c>
      <c r="G33" s="249"/>
      <c r="I33" s="247"/>
      <c r="J33" s="248" t="str">
        <f>Badges!C94</f>
        <v>Celebrate a special occasion</v>
      </c>
      <c r="K33" s="250" t="str">
        <f>IF(Badges!K94="A","A"," ")</f>
        <v xml:space="preserve"> </v>
      </c>
      <c r="M33" s="247"/>
      <c r="N33" s="248" t="str">
        <f>Badges!C163</f>
        <v>Share a water issue that matters to you</v>
      </c>
      <c r="O33" s="250" t="str">
        <f>IF(Badges!K163="A","A"," ")</f>
        <v xml:space="preserve"> </v>
      </c>
      <c r="Q33" s="267">
        <v>5</v>
      </c>
      <c r="R33" s="344" t="str">
        <f>'Age-Level'!C55</f>
        <v xml:space="preserve">Make a commitment to live what </v>
      </c>
      <c r="S33" s="364" t="str">
        <f>IF('Age-Level'!K55="A","A","")</f>
        <v/>
      </c>
    </row>
    <row r="34" spans="1:19" x14ac:dyDescent="0.2">
      <c r="A34" s="284"/>
      <c r="B34" s="473" t="str">
        <f>Journey!A14</f>
        <v>JUSTICE</v>
      </c>
      <c r="C34" s="474"/>
      <c r="E34" s="247"/>
      <c r="F34" s="248" t="str">
        <f>Badges!C39</f>
        <v xml:space="preserve">Design a special warm-up </v>
      </c>
      <c r="G34" s="250" t="str">
        <f>IF(Badges!K39="A","A"," ")</f>
        <v xml:space="preserve"> </v>
      </c>
      <c r="I34" s="247"/>
      <c r="J34" s="248" t="str">
        <f>Badges!C95</f>
        <v>Use food and fun to forge new friendships</v>
      </c>
      <c r="K34" s="250" t="str">
        <f>IF(Badges!K95="A","A"," ")</f>
        <v xml:space="preserve"> </v>
      </c>
      <c r="M34" s="247"/>
      <c r="N34" s="248" t="str">
        <f>Badges!C164</f>
        <v>Guide a group to a water place</v>
      </c>
      <c r="O34" s="250" t="str">
        <f>IF(Badges!K164="A","A"," ")</f>
        <v xml:space="preserve"> </v>
      </c>
      <c r="Q34" s="471" t="str">
        <f>'Age-Level'!B57</f>
        <v>Safety Award</v>
      </c>
      <c r="R34" s="472"/>
      <c r="S34" s="364"/>
    </row>
    <row r="35" spans="1:19" x14ac:dyDescent="0.2">
      <c r="A35" s="284"/>
      <c r="B35" s="479" t="str">
        <f>Journey!B15</f>
        <v>Sage Award</v>
      </c>
      <c r="C35" s="480"/>
      <c r="E35" s="247"/>
      <c r="F35" s="248" t="str">
        <f>Badges!C40</f>
        <v>Research and choose</v>
      </c>
      <c r="G35" s="250" t="str">
        <f>IF(Badges!K40="A","A","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IF('Age-Level'!K58="A","A","")</f>
        <v/>
      </c>
    </row>
    <row r="36" spans="1:19" ht="12.75" customHeight="1" x14ac:dyDescent="0.2">
      <c r="A36" s="284"/>
      <c r="B36" s="256">
        <f>Journey!J16</f>
        <v>0</v>
      </c>
      <c r="C36" s="252" t="str">
        <f>IF(Journey!K16="C","C",IF(Journey!K16="P","P",""))</f>
        <v/>
      </c>
      <c r="E36" s="247"/>
      <c r="F36" s="248" t="str">
        <f>Badges!C41</f>
        <v>Open and close each session</v>
      </c>
      <c r="G36" s="250" t="str">
        <f>IF(Badges!K41="A","A","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IF('Age-Level'!K59="A","A","")</f>
        <v/>
      </c>
    </row>
    <row r="37" spans="1:19" ht="12.75" customHeight="1" x14ac:dyDescent="0.2">
      <c r="A37" s="284"/>
      <c r="B37" s="256">
        <f>Journey!J17</f>
        <v>0</v>
      </c>
      <c r="C37" s="252" t="str">
        <f>IF(Journey!K17="C","C",IF(Journey!K17="P","P",""))</f>
        <v/>
      </c>
      <c r="E37" s="247">
        <v>4</v>
      </c>
      <c r="F37" s="248" t="str">
        <f>Badges!C42</f>
        <v>Put your plan in action</v>
      </c>
      <c r="G37" s="249"/>
      <c r="I37" s="247"/>
      <c r="J37" s="248" t="str">
        <f>Badges!C100</f>
        <v>Backcountry</v>
      </c>
      <c r="K37" s="250" t="str">
        <f>IF(Badges!K100="A","A"," ")</f>
        <v xml:space="preserve"> </v>
      </c>
      <c r="M37" s="247"/>
      <c r="N37" s="248" t="str">
        <f>Badges!C170</f>
        <v>Take a tour</v>
      </c>
      <c r="O37" s="250" t="str">
        <f>IF(Badges!K170="A","A"," ")</f>
        <v xml:space="preserve"> </v>
      </c>
      <c r="Q37" s="267">
        <v>3</v>
      </c>
      <c r="R37" s="344" t="str">
        <f>'Age-Level'!C60</f>
        <v>Teach a Daisy or Brownie what to do if</v>
      </c>
      <c r="S37" s="262" t="str">
        <f>IF('Age-Level'!K60="A","A","")</f>
        <v/>
      </c>
    </row>
    <row r="38" spans="1:19" x14ac:dyDescent="0.2">
      <c r="A38" s="284"/>
      <c r="B38" s="256">
        <f>Journey!J18</f>
        <v>0</v>
      </c>
      <c r="C38" s="252" t="str">
        <f>IF(Journey!K18="C","C",IF(Journey!K18="P","P",""))</f>
        <v/>
      </c>
      <c r="E38" s="247"/>
      <c r="F38" s="248" t="str">
        <f>Badges!C43</f>
        <v>Add a morale-boosting time-out</v>
      </c>
      <c r="G38" s="250" t="str">
        <f>IF(Badges!K43="A","A"," ")</f>
        <v xml:space="preserve"> </v>
      </c>
      <c r="I38" s="247"/>
      <c r="J38" s="248" t="str">
        <f>Badges!C101</f>
        <v>Open water</v>
      </c>
      <c r="K38" s="250" t="str">
        <f>IF(Badges!K101="A","A"," ")</f>
        <v xml:space="preserve"> </v>
      </c>
      <c r="M38" s="247"/>
      <c r="N38" s="248" t="str">
        <f>Badges!C171</f>
        <v>Interview a new tenant or homeowner</v>
      </c>
      <c r="O38" s="250" t="str">
        <f>IF(Badges!K171="A","A"," ")</f>
        <v xml:space="preserve"> </v>
      </c>
      <c r="Q38" s="267">
        <v>4</v>
      </c>
      <c r="R38" s="344" t="str">
        <f>'Age-Level'!C61</f>
        <v>With your family, make sure you have</v>
      </c>
      <c r="S38" s="262" t="str">
        <f>IF('Age-Level'!K61="A","A","")</f>
        <v/>
      </c>
    </row>
    <row r="39" spans="1:19" x14ac:dyDescent="0.2">
      <c r="A39" s="284"/>
      <c r="B39" s="256">
        <f>Journey!J19</f>
        <v>0</v>
      </c>
      <c r="C39" s="252" t="str">
        <f>IF(Journey!K19="C","C",IF(Journey!K19="P","P",""))</f>
        <v/>
      </c>
      <c r="E39" s="247"/>
      <c r="F39" s="248" t="str">
        <f>Badges!C44</f>
        <v>Ask your players to coach you!</v>
      </c>
      <c r="G39" s="250" t="str">
        <f>IF(Badges!K44="A","A"," ")</f>
        <v xml:space="preserve"> </v>
      </c>
      <c r="I39" s="247"/>
      <c r="J39" s="248" t="str">
        <f>Badges!C102</f>
        <v>Mountains</v>
      </c>
      <c r="K39" s="250" t="str">
        <f>IF(Badges!K102="A","A"," ")</f>
        <v xml:space="preserve"> </v>
      </c>
      <c r="M39" s="247"/>
      <c r="N39" s="248" t="str">
        <f>Badges!C172</f>
        <v>Be chart smart</v>
      </c>
      <c r="O39" s="250" t="str">
        <f>IF(Badges!K172="A","A"," ")</f>
        <v xml:space="preserve"> </v>
      </c>
      <c r="Q39" s="267">
        <v>5</v>
      </c>
      <c r="R39" s="344" t="str">
        <f>'Age-Level'!C62</f>
        <v>Discuss bullying with your Girl Scout</v>
      </c>
      <c r="S39" s="262" t="str">
        <f>IF('Age-Level'!K62="A","A","")</f>
        <v/>
      </c>
    </row>
    <row r="40" spans="1:19" x14ac:dyDescent="0.2">
      <c r="A40" s="284"/>
      <c r="B40" s="256">
        <f>Journey!J20</f>
        <v>0</v>
      </c>
      <c r="C40" s="252" t="str">
        <f>IF(Journey!K20="C","C",IF(Journey!K20="P","P",""))</f>
        <v/>
      </c>
      <c r="E40" s="247"/>
      <c r="F40" s="248" t="str">
        <f>Badges!C45</f>
        <v xml:space="preserve">Bring in another coah to watch </v>
      </c>
      <c r="G40" s="250" t="str">
        <f>IF(Badges!K45="A","A","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Journey!J21</f>
        <v>0</v>
      </c>
      <c r="C41" s="252" t="str">
        <f>IF(Journey!K21="C","C",IF(Journey!K21="P","P",""))</f>
        <v/>
      </c>
      <c r="E41" s="247">
        <v>5</v>
      </c>
      <c r="F41" s="248" t="str">
        <f>Badges!C46</f>
        <v>Attend the big event</v>
      </c>
      <c r="G41" s="249"/>
      <c r="I41" s="247"/>
      <c r="J41" s="248" t="str">
        <f>Badges!C104</f>
        <v>Wilderness rescue</v>
      </c>
      <c r="K41" s="250" t="str">
        <f>IF(Badges!K104="A","A"," ")</f>
        <v xml:space="preserve"> </v>
      </c>
      <c r="M41" s="247"/>
      <c r="N41" s="248" t="str">
        <f>Badges!C174</f>
        <v>Focus on your finances</v>
      </c>
      <c r="O41" s="250" t="str">
        <f>IF(Badges!K174="A","A"," ")</f>
        <v xml:space="preserve"> </v>
      </c>
    </row>
    <row r="42" spans="1:19" ht="12.75" customHeight="1" x14ac:dyDescent="0.2">
      <c r="A42" s="254"/>
      <c r="B42" s="475" t="str">
        <f>Journey!A25</f>
        <v>BLISS: Live it! Give It!</v>
      </c>
      <c r="C42" s="476"/>
      <c r="E42" s="247"/>
      <c r="F42" s="248" t="str">
        <f>Badges!C47</f>
        <v>Meet with your players for a relaxing</v>
      </c>
      <c r="G42" s="250" t="str">
        <f>IF(Badges!K47="A","A"," ")</f>
        <v xml:space="preserve"> </v>
      </c>
      <c r="I42" s="247"/>
      <c r="J42" s="248" t="str">
        <f>Badges!C105</f>
        <v>Disaster preparedness</v>
      </c>
      <c r="K42" s="250" t="str">
        <f>IF(Badges!K105="A","A"," ")</f>
        <v xml:space="preserve"> </v>
      </c>
      <c r="M42" s="247"/>
      <c r="N42" s="248" t="str">
        <f>Badges!C175</f>
        <v>Shop talk</v>
      </c>
      <c r="O42" s="250" t="str">
        <f>IF(Badges!K175="A","A"," ")</f>
        <v xml:space="preserve"> </v>
      </c>
      <c r="Q42" s="505"/>
      <c r="R42" s="505"/>
      <c r="S42" s="240"/>
    </row>
    <row r="43" spans="1:19" ht="12.75" customHeight="1" x14ac:dyDescent="0.2">
      <c r="B43" s="477" t="str">
        <f>Journey!B26</f>
        <v>Dream Maker Award</v>
      </c>
      <c r="C43" s="478"/>
      <c r="E43" s="247"/>
      <c r="F43" s="248" t="str">
        <f>Badges!C48</f>
        <v>Host a celebration</v>
      </c>
      <c r="G43" s="250" t="str">
        <f>IF(Badges!K48="A","A"," ")</f>
        <v xml:space="preserve"> </v>
      </c>
      <c r="I43" s="247"/>
      <c r="J43" s="248" t="str">
        <f>Badges!C106</f>
        <v>Military medicine</v>
      </c>
      <c r="K43" s="250" t="str">
        <f>IF(Badges!K106="A","A"," ")</f>
        <v xml:space="preserve"> </v>
      </c>
      <c r="M43" s="247"/>
      <c r="N43" s="248" t="str">
        <f>Badges!C176</f>
        <v>Audit request</v>
      </c>
      <c r="O43" s="250" t="str">
        <f>IF(Badges!K176="A","A"," ")</f>
        <v xml:space="preserve"> </v>
      </c>
      <c r="Q43" s="267"/>
      <c r="R43" s="267"/>
      <c r="S43" s="240"/>
    </row>
    <row r="44" spans="1:19" x14ac:dyDescent="0.2">
      <c r="B44" s="256">
        <f>Journey!J27</f>
        <v>0</v>
      </c>
      <c r="C44" s="252" t="str">
        <f>IF(Journey!K27="C","C",IF(Journey!K27="P","P",""))</f>
        <v/>
      </c>
      <c r="E44" s="247"/>
      <c r="F44" s="248" t="str">
        <f>Badges!C49</f>
        <v>Make a "trading card" for each athlete</v>
      </c>
      <c r="G44" s="250" t="str">
        <f>IF(Badges!K49="A","A","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Journey!J28</f>
        <v>0</v>
      </c>
      <c r="C45" s="252" t="str">
        <f>IF(Journey!K28="C","C",IF(Journey!K28="P","P",""))</f>
        <v/>
      </c>
      <c r="E45" s="492" t="str">
        <f>Badges!B52</f>
        <v>Public Policy</v>
      </c>
      <c r="F45" s="492"/>
      <c r="G45" s="492"/>
      <c r="I45" s="247"/>
      <c r="J45" s="248" t="str">
        <f>Badges!C108</f>
        <v>Take a wilderness first aid course</v>
      </c>
      <c r="K45" s="250" t="str">
        <f>IF(Badges!K108="A","A"," ")</f>
        <v xml:space="preserve"> </v>
      </c>
      <c r="M45" s="247"/>
      <c r="N45" s="248" t="str">
        <f>Badges!C178</f>
        <v>Hooray for hobbies!</v>
      </c>
      <c r="O45" s="250" t="str">
        <f>IF(Badges!K178="A","A"," ")</f>
        <v xml:space="preserve"> </v>
      </c>
      <c r="Q45" s="267"/>
      <c r="R45" s="267"/>
      <c r="S45" s="240"/>
    </row>
    <row r="46" spans="1:19" x14ac:dyDescent="0.2">
      <c r="B46" s="256">
        <f>Journey!J29</f>
        <v>0</v>
      </c>
      <c r="C46" s="252" t="str">
        <f>IF(Journey!K29="C","C",IF(Journey!K29="P","P",""))</f>
        <v/>
      </c>
      <c r="E46" s="247">
        <v>1</v>
      </c>
      <c r="F46" s="248" t="str">
        <f>Badges!C53</f>
        <v>Find out how activitists advocate for change</v>
      </c>
      <c r="G46" s="249" t="s">
        <v>26</v>
      </c>
      <c r="I46" s="247"/>
      <c r="J46" s="248" t="str">
        <f>Badges!C109</f>
        <v>Interview a doctor, nurse, EMT, or first</v>
      </c>
      <c r="K46" s="250" t="str">
        <f>IF(Badges!K109="A","A"," ")</f>
        <v xml:space="preserve"> </v>
      </c>
      <c r="M46" s="247"/>
      <c r="N46" s="248" t="str">
        <f>Badges!C179</f>
        <v>Treat yourself</v>
      </c>
      <c r="O46" s="250" t="str">
        <f>IF(Badges!K179="A","A"," ")</f>
        <v xml:space="preserve"> </v>
      </c>
      <c r="Q46" s="267"/>
      <c r="R46" s="267"/>
      <c r="S46" s="240"/>
    </row>
    <row r="47" spans="1:19" x14ac:dyDescent="0.2">
      <c r="B47" s="256">
        <f>Journey!J30</f>
        <v>0</v>
      </c>
      <c r="C47" s="252" t="str">
        <f>IF(Journey!K30="C","C",IF(Journey!K30="P","P",""))</f>
        <v/>
      </c>
      <c r="E47" s="247"/>
      <c r="F47" s="248" t="str">
        <f>Badges!C54</f>
        <v>Interview an activist</v>
      </c>
      <c r="G47" s="250" t="str">
        <f>IF(Badges!K54="A","A"," ")</f>
        <v xml:space="preserve"> </v>
      </c>
      <c r="I47" s="247"/>
      <c r="J47" s="248" t="str">
        <f>Badges!C110</f>
        <v xml:space="preserve">Discover how to use what's on hand in </v>
      </c>
      <c r="K47" s="250" t="str">
        <f>IF(Badges!K110="A","A"," ")</f>
        <v xml:space="preserve"> </v>
      </c>
      <c r="M47" s="247"/>
      <c r="N47" s="248" t="str">
        <f>Badges!C180</f>
        <v>Class act</v>
      </c>
      <c r="O47" s="250" t="str">
        <f>IF(Badges!K180="A","A"," ")</f>
        <v xml:space="preserve"> </v>
      </c>
      <c r="Q47" s="267"/>
      <c r="R47" s="267"/>
      <c r="S47" s="240"/>
    </row>
    <row r="48" spans="1:19" x14ac:dyDescent="0.2">
      <c r="B48" s="264"/>
      <c r="C48" s="264"/>
      <c r="E48" s="247"/>
      <c r="F48" s="248" t="str">
        <f>Badges!C55</f>
        <v>Watch a documentary or movie</v>
      </c>
      <c r="G48" s="250" t="str">
        <f>IF(Badges!K55="A","A"," ")</f>
        <v xml:space="preserve"> </v>
      </c>
      <c r="I48" s="339" t="str">
        <f>Badges!B98</f>
        <v>Ambassador First Aid</v>
      </c>
      <c r="J48" s="340"/>
      <c r="K48" s="340"/>
      <c r="M48" s="247">
        <v>4</v>
      </c>
      <c r="N48" s="248" t="str">
        <f>Badges!C181</f>
        <v>Plan for the unexpected</v>
      </c>
      <c r="O48" s="249"/>
    </row>
    <row r="49" spans="1:19" x14ac:dyDescent="0.2">
      <c r="A49" s="484" t="s">
        <v>316</v>
      </c>
      <c r="B49" s="484"/>
      <c r="C49" s="484"/>
      <c r="E49" s="247"/>
      <c r="F49" s="248" t="str">
        <f>Badges!C56</f>
        <v xml:space="preserve">Read about women who change the </v>
      </c>
      <c r="G49" s="250" t="str">
        <f>IF(Badges!K56="A","A"," ")</f>
        <v xml:space="preserve"> </v>
      </c>
      <c r="I49" s="247">
        <v>4</v>
      </c>
      <c r="J49" s="248" t="str">
        <f>Badges!C111</f>
        <v>Know how to move an injured person</v>
      </c>
      <c r="K49" s="249"/>
      <c r="M49" s="247"/>
      <c r="N49" s="248" t="str">
        <f>Badges!C182</f>
        <v>Interview your network</v>
      </c>
      <c r="O49" s="250" t="str">
        <f>IF(Badges!K182="A","A"," ")</f>
        <v xml:space="preserve"> </v>
      </c>
    </row>
    <row r="50" spans="1:19" x14ac:dyDescent="0.2">
      <c r="A50" s="259"/>
      <c r="B50" s="345" t="str">
        <f>Bridging!B6</f>
        <v>Pass It On!</v>
      </c>
      <c r="C50" s="251" t="str">
        <f>IF(Bridging!K10="C","C",IF(Bridging!K10="P","P",""))</f>
        <v/>
      </c>
      <c r="E50" s="247">
        <v>2</v>
      </c>
      <c r="F50" s="248" t="str">
        <f>Badges!C57</f>
        <v>Engage as a global citizen</v>
      </c>
      <c r="G50" s="249"/>
      <c r="I50" s="247"/>
      <c r="J50" s="248" t="str">
        <f>Badges!C112</f>
        <v>Visit a medical school</v>
      </c>
      <c r="K50" s="250" t="str">
        <f>IF(Badges!K112="A","A"," ")</f>
        <v xml:space="preserve"> </v>
      </c>
      <c r="M50" s="247"/>
      <c r="N50" s="248" t="str">
        <f>Badges!C183</f>
        <v>Interview a Financial guru</v>
      </c>
      <c r="O50" s="250" t="str">
        <f>IF(Badges!K183="A","A"," ")</f>
        <v xml:space="preserve"> </v>
      </c>
    </row>
    <row r="51" spans="1:19" x14ac:dyDescent="0.2">
      <c r="A51" s="259"/>
      <c r="B51" s="260" t="str">
        <f>Bridging!B11</f>
        <v>Look Ahead!</v>
      </c>
      <c r="C51" s="251" t="str">
        <f>IF(Bridging!K15="C","C",IF(Bridging!K15="P","P",""))</f>
        <v/>
      </c>
      <c r="E51" s="247"/>
      <c r="F51" s="248" t="str">
        <f>Badges!C58</f>
        <v>Compare laws</v>
      </c>
      <c r="G51" s="250" t="str">
        <f>IF(Badges!K58="A","A"," ")</f>
        <v xml:space="preserve"> </v>
      </c>
      <c r="I51" s="247"/>
      <c r="J51" s="248" t="str">
        <f>Badges!C113</f>
        <v>Take a wilderness first aid course</v>
      </c>
      <c r="K51" s="250" t="str">
        <f>IF(Badges!K113="A","A"," ")</f>
        <v xml:space="preserve"> </v>
      </c>
      <c r="M51" s="247"/>
      <c r="N51" s="248" t="str">
        <f>Badges!C184</f>
        <v>Interview an insurance expert</v>
      </c>
      <c r="O51" s="250" t="str">
        <f>IF(Badges!K184="A","A"," ")</f>
        <v xml:space="preserve"> </v>
      </c>
    </row>
    <row r="52" spans="1:19" x14ac:dyDescent="0.2">
      <c r="A52" s="259"/>
      <c r="B52" s="344" t="str">
        <f>Bridging!C16</f>
        <v>Plan a Ceremony</v>
      </c>
      <c r="C52" s="251" t="str">
        <f>IF(Bridging!K17="C","C",IF(Bridging!K17="P","P",""))</f>
        <v/>
      </c>
      <c r="E52" s="247"/>
      <c r="F52" s="248" t="str">
        <f>Badges!C59</f>
        <v xml:space="preserve">Track a public-policy issue being </v>
      </c>
      <c r="G52" s="250" t="str">
        <f>IF(Badges!K59="A","A"," ")</f>
        <v xml:space="preserve"> </v>
      </c>
      <c r="I52" s="247"/>
      <c r="J52" s="248" t="str">
        <f>Badges!C114</f>
        <v>Organize a mock emergency drill</v>
      </c>
      <c r="K52" s="250" t="str">
        <f>IF(Badges!K114="A","A"," ")</f>
        <v xml:space="preserve"> </v>
      </c>
      <c r="M52" s="339" t="str">
        <f>Badges!B168</f>
        <v>On My Own</v>
      </c>
      <c r="N52" s="340"/>
      <c r="O52" s="340"/>
    </row>
    <row r="53" spans="1:19" x14ac:dyDescent="0.2">
      <c r="B53" s="261" t="s">
        <v>134</v>
      </c>
      <c r="C53" s="251" t="str">
        <f>IF(Bridging!K18="C","C",IF(Bridging!K18="P","P",""))</f>
        <v/>
      </c>
      <c r="E53" s="247"/>
      <c r="F53" s="248" t="str">
        <f>Badges!C60</f>
        <v>Explore an international NGO</v>
      </c>
      <c r="G53" s="250" t="str">
        <f>IF(Badges!K60="A","A","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IF(Badges!K116="A","A"," ")</f>
        <v xml:space="preserve"> </v>
      </c>
      <c r="M54" s="247"/>
      <c r="N54" s="248" t="str">
        <f>Badges!C186</f>
        <v>Plan for presents</v>
      </c>
      <c r="O54" s="250" t="str">
        <f>IF(Badges!K186="A","A"," ")</f>
        <v xml:space="preserve"> </v>
      </c>
      <c r="Q54" s="267"/>
      <c r="R54" s="267"/>
      <c r="S54" s="240"/>
    </row>
    <row r="55" spans="1:19" x14ac:dyDescent="0.2">
      <c r="I55" s="247"/>
      <c r="J55" s="248" t="str">
        <f>Badges!C117</f>
        <v>Investigate extreme first aid</v>
      </c>
      <c r="K55" s="250" t="str">
        <f>IF(Badges!K117="A","A"," ")</f>
        <v xml:space="preserve"> </v>
      </c>
      <c r="M55" s="247"/>
      <c r="N55" s="248" t="str">
        <f>Badges!C187</f>
        <v>Budget for your time</v>
      </c>
      <c r="O55" s="250" t="str">
        <f>IF(Badges!K187="A","A"," ")</f>
        <v xml:space="preserve"> </v>
      </c>
      <c r="Q55" s="496"/>
      <c r="R55" s="496"/>
      <c r="S55" s="496"/>
    </row>
    <row r="56" spans="1:19" x14ac:dyDescent="0.2">
      <c r="I56" s="247"/>
      <c r="J56" s="248" t="str">
        <f>Badges!C118</f>
        <v>Interview an everyday hero</v>
      </c>
      <c r="K56" s="250" t="str">
        <f>IF(Badges!K118="A","A"," ")</f>
        <v xml:space="preserve"> </v>
      </c>
      <c r="M56" s="247"/>
      <c r="N56" s="248" t="str">
        <f>Badges!C188</f>
        <v>Charity starts… with a budget</v>
      </c>
      <c r="O56" s="250" t="str">
        <f>IF(Badges!K188="A","A","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IF(Badges!K123="A","A"," ")</f>
        <v xml:space="preserve"> </v>
      </c>
      <c r="M59" s="247"/>
      <c r="N59" s="248" t="str">
        <f>Badges!C217</f>
        <v>Invest some R&amp;D</v>
      </c>
      <c r="O59" s="250" t="str">
        <f>IF(Badges!K217="A","A"," ")</f>
        <v xml:space="preserve"> </v>
      </c>
    </row>
    <row r="60" spans="1:19" x14ac:dyDescent="0.2">
      <c r="I60" s="247"/>
      <c r="J60" s="248" t="str">
        <f>Badges!C124</f>
        <v xml:space="preserve">Ogranize a songfest for younger </v>
      </c>
      <c r="K60" s="250" t="str">
        <f>IF(Badges!K124="A","A"," ")</f>
        <v xml:space="preserve"> </v>
      </c>
      <c r="M60" s="247">
        <v>2</v>
      </c>
      <c r="N60" s="248" t="str">
        <f>Badges!C218</f>
        <v>Reasearch how other companies innovate</v>
      </c>
      <c r="O60" s="249"/>
    </row>
    <row r="61" spans="1:19" ht="12.75" customHeight="1" x14ac:dyDescent="0.2">
      <c r="I61" s="247"/>
      <c r="J61" s="248" t="str">
        <f>Badges!C125</f>
        <v>Bring generations together in song</v>
      </c>
      <c r="K61" s="250" t="str">
        <f>IF(Badges!K125="A","A"," ")</f>
        <v xml:space="preserve"> </v>
      </c>
      <c r="M61" s="247"/>
      <c r="N61" s="248" t="str">
        <f>Badges!C219</f>
        <v>Find at least three other companies</v>
      </c>
      <c r="O61" s="250" t="str">
        <f>IF(Badges!K219="A","A"," ")</f>
        <v xml:space="preserve"> </v>
      </c>
    </row>
    <row r="62" spans="1:19" ht="12.75" customHeight="1"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IF(Badges!K127="A","A"," ")</f>
        <v xml:space="preserve"> </v>
      </c>
      <c r="M63" s="247"/>
      <c r="N63" s="248" t="str">
        <f>Badges!C221</f>
        <v>Developing a new product</v>
      </c>
      <c r="O63" s="250" t="str">
        <f>IF(Badges!K221="A","A"," ")</f>
        <v xml:space="preserve"> </v>
      </c>
    </row>
    <row r="64" spans="1:19" x14ac:dyDescent="0.2">
      <c r="I64" s="247"/>
      <c r="J64" s="248" t="str">
        <f>Badges!C128</f>
        <v>Make World Thinking Day cards</v>
      </c>
      <c r="K64" s="250" t="str">
        <f>IF(Badges!K128="A","A","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IF(Badges!K129="A","A"," ")</f>
        <v xml:space="preserve"> </v>
      </c>
      <c r="M65" s="247"/>
      <c r="N65" s="248" t="str">
        <f>Badges!C223</f>
        <v>If you're considering serveral</v>
      </c>
      <c r="O65" s="250" t="str">
        <f>IF(Badges!K223="A","A","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IF(Badges!K225="A","A","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484"/>
      <c r="G72" s="484"/>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Own'!K28="C","C",IF('Council Own'!K28="P","P",""))</f>
        <v/>
      </c>
      <c r="E73" s="493" t="str">
        <f>'Fun Patches'!C5</f>
        <v>&lt;LIST PATCH HERE&gt;</v>
      </c>
      <c r="F73" s="494"/>
      <c r="G73" s="250" t="str">
        <f>IF('Fun Patches'!K5="A","A","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Own'!K52="C","C",IF('Council Own'!K52="P","P",""))</f>
        <v/>
      </c>
      <c r="E74" s="471" t="str">
        <f>'Fun Patches'!C6</f>
        <v>&lt;LIST PATCH HERE&gt;</v>
      </c>
      <c r="F74" s="472"/>
      <c r="G74" s="257" t="str">
        <f>IF('Fun Patches'!K6="A","A"," ")</f>
        <v xml:space="preserve"> </v>
      </c>
      <c r="H74" s="254"/>
      <c r="I74" s="247">
        <v>1</v>
      </c>
      <c r="J74" s="344" t="str">
        <f>'Council Own'!C7</f>
        <v>&lt;List Requirement Here&gt;</v>
      </c>
      <c r="K74" s="257" t="str">
        <f>IF('Council Own'!K7="A","A"," ")</f>
        <v xml:space="preserve"> </v>
      </c>
      <c r="L74" s="254"/>
      <c r="M74" s="247">
        <v>1</v>
      </c>
      <c r="N74" s="344" t="str">
        <f>'Council Own'!C55</f>
        <v>&lt;List Requirement Here&gt;</v>
      </c>
      <c r="O74" s="257" t="str">
        <f>IF('Council Own'!K55="A","A"," ")</f>
        <v xml:space="preserve"> </v>
      </c>
      <c r="Q74" s="247">
        <v>1</v>
      </c>
      <c r="R74" s="344" t="str">
        <f>'Council Own'!C103</f>
        <v>&lt;List Requirement Here&gt;</v>
      </c>
      <c r="S74" s="257" t="str">
        <f>IF('Council Own'!K103="A","A"," ")</f>
        <v xml:space="preserve"> </v>
      </c>
    </row>
    <row r="75" spans="1:19" x14ac:dyDescent="0.2">
      <c r="A75" s="485" t="str">
        <f>'Council Own'!B54</f>
        <v>&lt;&lt;List Badge Here&gt;&gt;</v>
      </c>
      <c r="B75" s="486"/>
      <c r="C75" s="252" t="str">
        <f>IF('Council Own'!K76="C","C",IF('Council Own'!K76="P","P",""))</f>
        <v/>
      </c>
      <c r="E75" s="471" t="str">
        <f>'Fun Patches'!C7</f>
        <v>&lt;LIST PATCH HERE&gt;</v>
      </c>
      <c r="F75" s="472"/>
      <c r="G75" s="257" t="str">
        <f>IF('Fun Patches'!K7="A","A"," ")</f>
        <v xml:space="preserve"> </v>
      </c>
      <c r="H75" s="254"/>
      <c r="I75" s="247"/>
      <c r="J75" s="344" t="str">
        <f>'Council Own'!C8</f>
        <v>&lt;List Requirement Here&gt;</v>
      </c>
      <c r="K75" s="257" t="str">
        <f>IF('Council Own'!K8="A","A"," ")</f>
        <v xml:space="preserve"> </v>
      </c>
      <c r="L75" s="254"/>
      <c r="M75" s="247"/>
      <c r="N75" s="344" t="str">
        <f>'Council Own'!C56</f>
        <v>&lt;List Requirement Here&gt;</v>
      </c>
      <c r="O75" s="257" t="str">
        <f>IF('Council Own'!K56="A","A"," ")</f>
        <v xml:space="preserve"> </v>
      </c>
      <c r="Q75" s="247"/>
      <c r="R75" s="344" t="str">
        <f>'Council Own'!C104</f>
        <v>&lt;List Requirement Here&gt;</v>
      </c>
      <c r="S75" s="257" t="str">
        <f>IF('Council Own'!K104="A","A"," ")</f>
        <v xml:space="preserve"> </v>
      </c>
    </row>
    <row r="76" spans="1:19" x14ac:dyDescent="0.2">
      <c r="A76" s="485" t="str">
        <f>'Council Own'!B78</f>
        <v>&lt;&lt;List Badge Here&gt;&gt;</v>
      </c>
      <c r="B76" s="486"/>
      <c r="C76" s="252" t="str">
        <f>IF('Council Own'!K100="C","C",IF('Council Own'!K100="P","P",""))</f>
        <v/>
      </c>
      <c r="E76" s="471" t="str">
        <f>'Fun Patches'!C8</f>
        <v>&lt;LIST PATCH HERE&gt;</v>
      </c>
      <c r="F76" s="472"/>
      <c r="G76" s="257" t="str">
        <f>IF('Fun Patches'!K8="A","A"," ")</f>
        <v xml:space="preserve"> </v>
      </c>
      <c r="H76" s="254"/>
      <c r="I76" s="247"/>
      <c r="J76" s="344" t="str">
        <f>'Council Own'!C9</f>
        <v>&lt;List Requirement Here&gt;</v>
      </c>
      <c r="K76" s="257" t="str">
        <f>IF('Council Own'!K9="A","A"," ")</f>
        <v xml:space="preserve"> </v>
      </c>
      <c r="L76" s="254"/>
      <c r="M76" s="247"/>
      <c r="N76" s="344" t="str">
        <f>'Council Own'!C57</f>
        <v>&lt;List Requirement Here&gt;</v>
      </c>
      <c r="O76" s="257" t="str">
        <f>IF('Council Own'!K57="A","A"," ")</f>
        <v xml:space="preserve"> </v>
      </c>
      <c r="Q76" s="247"/>
      <c r="R76" s="344" t="str">
        <f>'Council Own'!C105</f>
        <v>&lt;List Requirement Here&gt;</v>
      </c>
      <c r="S76" s="257" t="str">
        <f>IF('Council Own'!K105="A","A"," ")</f>
        <v xml:space="preserve"> </v>
      </c>
    </row>
    <row r="77" spans="1:19" x14ac:dyDescent="0.2">
      <c r="A77" s="485" t="str">
        <f>'Council Own'!B102</f>
        <v>&lt;&lt;List Badge Here&gt;&gt;</v>
      </c>
      <c r="B77" s="486"/>
      <c r="C77" s="252" t="str">
        <f>IF('Council Own'!K124="C","C",IF('Council Own'!K124="P","P",""))</f>
        <v/>
      </c>
      <c r="E77" s="471" t="str">
        <f>'Fun Patches'!C9</f>
        <v>&lt;LIST PATCH HERE&gt;</v>
      </c>
      <c r="F77" s="472"/>
      <c r="G77" s="257" t="str">
        <f>IF('Fun Patches'!K9="A","A"," ")</f>
        <v xml:space="preserve"> </v>
      </c>
      <c r="H77" s="254"/>
      <c r="I77" s="247"/>
      <c r="J77" s="344" t="str">
        <f>'Council Own'!C10</f>
        <v>&lt;List Requirement Here&gt;</v>
      </c>
      <c r="K77" s="257" t="str">
        <f>IF('Council Own'!K10="A","A"," ")</f>
        <v xml:space="preserve"> </v>
      </c>
      <c r="L77" s="254"/>
      <c r="M77" s="247"/>
      <c r="N77" s="344" t="str">
        <f>'Council Own'!C58</f>
        <v>&lt;List Requirement Here&gt;</v>
      </c>
      <c r="O77" s="257" t="str">
        <f>IF('Council Own'!K58="A","A"," ")</f>
        <v xml:space="preserve"> </v>
      </c>
      <c r="Q77" s="247"/>
      <c r="R77" s="344" t="str">
        <f>'Council Own'!C106</f>
        <v>&lt;List Requirement Here&gt;</v>
      </c>
      <c r="S77" s="257" t="str">
        <f>IF('Council Own'!K106="A","A"," ")</f>
        <v xml:space="preserve"> </v>
      </c>
    </row>
    <row r="78" spans="1:19" x14ac:dyDescent="0.2">
      <c r="A78" s="485" t="str">
        <f>'Council Own'!B126</f>
        <v>&lt;&lt;List Badge Here&gt;&gt;</v>
      </c>
      <c r="B78" s="486"/>
      <c r="C78" s="252" t="str">
        <f>IF('Council Own'!K148="C","C",IF('Council Own'!K148="P","P",""))</f>
        <v/>
      </c>
      <c r="E78" s="471" t="str">
        <f>'Fun Patches'!C10</f>
        <v>&lt;LIST PATCH HERE&gt;</v>
      </c>
      <c r="F78" s="472"/>
      <c r="G78" s="257" t="str">
        <f>IF('Fun Patches'!K10="A","A"," ")</f>
        <v xml:space="preserve"> </v>
      </c>
      <c r="I78" s="247">
        <v>2</v>
      </c>
      <c r="J78" s="344" t="str">
        <f>'Council Own'!C11</f>
        <v>&lt;List Requirement Here&gt;</v>
      </c>
      <c r="K78" s="257" t="str">
        <f>IF('Council Own'!K11="A","A"," ")</f>
        <v xml:space="preserve"> </v>
      </c>
      <c r="M78" s="247">
        <v>2</v>
      </c>
      <c r="N78" s="344" t="str">
        <f>'Council Own'!C59</f>
        <v>&lt;List Requirement Here&gt;</v>
      </c>
      <c r="O78" s="257" t="str">
        <f>IF('Council Own'!K59="A","A"," ")</f>
        <v xml:space="preserve"> </v>
      </c>
      <c r="Q78" s="247">
        <v>2</v>
      </c>
      <c r="R78" s="344" t="str">
        <f>'Council Own'!C107</f>
        <v>&lt;List Requirement Here&gt;</v>
      </c>
      <c r="S78" s="257" t="str">
        <f>IF('Council Own'!K107="A","A"," ")</f>
        <v xml:space="preserve"> </v>
      </c>
    </row>
    <row r="79" spans="1:19" x14ac:dyDescent="0.2">
      <c r="E79" s="471" t="str">
        <f>'Fun Patches'!C11</f>
        <v>&lt;LIST PATCH HERE&gt;</v>
      </c>
      <c r="F79" s="472"/>
      <c r="G79" s="257" t="str">
        <f>IF('Fun Patches'!K11="A","A"," ")</f>
        <v xml:space="preserve"> </v>
      </c>
      <c r="I79" s="247"/>
      <c r="J79" s="344" t="str">
        <f>'Council Own'!C12</f>
        <v>&lt;List Requirement Here&gt;</v>
      </c>
      <c r="K79" s="257" t="str">
        <f>IF('Council Own'!K12="A","A"," ")</f>
        <v xml:space="preserve"> </v>
      </c>
      <c r="M79" s="247"/>
      <c r="N79" s="344" t="str">
        <f>'Council Own'!C60</f>
        <v>&lt;List Requirement Here&gt;</v>
      </c>
      <c r="O79" s="257" t="str">
        <f>IF('Council Own'!K60="A","A"," ")</f>
        <v xml:space="preserve"> </v>
      </c>
      <c r="Q79" s="247"/>
      <c r="R79" s="344" t="str">
        <f>'Council Own'!C108</f>
        <v>&lt;List Requirement Here&gt;</v>
      </c>
      <c r="S79" s="257" t="str">
        <f>IF('Council Own'!K108="A","A"," ")</f>
        <v xml:space="preserve"> </v>
      </c>
    </row>
    <row r="80" spans="1:19" x14ac:dyDescent="0.2">
      <c r="E80" s="471" t="str">
        <f>'Fun Patches'!C12</f>
        <v>&lt;LIST PATCH HERE&gt;</v>
      </c>
      <c r="F80" s="472"/>
      <c r="G80" s="257" t="str">
        <f>IF('Fun Patches'!K12="A","A"," ")</f>
        <v xml:space="preserve"> </v>
      </c>
      <c r="I80" s="247"/>
      <c r="J80" s="344" t="str">
        <f>'Council Own'!C13</f>
        <v>&lt;List Requirement Here&gt;</v>
      </c>
      <c r="K80" s="257" t="str">
        <f>IF('Council Own'!K13="A","A"," ")</f>
        <v xml:space="preserve"> </v>
      </c>
      <c r="M80" s="247"/>
      <c r="N80" s="344" t="str">
        <f>'Council Own'!C61</f>
        <v>&lt;List Requirement Here&gt;</v>
      </c>
      <c r="O80" s="257" t="str">
        <f>IF('Council Own'!K61="A","A"," ")</f>
        <v xml:space="preserve"> </v>
      </c>
      <c r="Q80" s="247"/>
      <c r="R80" s="344" t="str">
        <f>'Council Own'!C109</f>
        <v>&lt;List Requirement Here&gt;</v>
      </c>
      <c r="S80" s="257" t="str">
        <f>IF('Council Own'!K109="A","A"," ")</f>
        <v xml:space="preserve"> </v>
      </c>
    </row>
    <row r="81" spans="1:22" x14ac:dyDescent="0.2">
      <c r="E81" s="471" t="str">
        <f>'Fun Patches'!C13</f>
        <v>&lt;LIST PATCH HERE&gt;</v>
      </c>
      <c r="F81" s="472"/>
      <c r="G81" s="257" t="str">
        <f>IF('Fun Patches'!K13="A","A"," ")</f>
        <v xml:space="preserve"> </v>
      </c>
      <c r="I81" s="247"/>
      <c r="J81" s="344" t="str">
        <f>'Council Own'!C14</f>
        <v>&lt;List Requirement Here&gt;</v>
      </c>
      <c r="K81" s="257" t="str">
        <f>IF('Council Own'!K14="A","A"," ")</f>
        <v xml:space="preserve"> </v>
      </c>
      <c r="M81" s="247"/>
      <c r="N81" s="344" t="str">
        <f>'Council Own'!C62</f>
        <v>&lt;List Requirement Here&gt;</v>
      </c>
      <c r="O81" s="257" t="str">
        <f>IF('Council Own'!K62="A","A"," ")</f>
        <v xml:space="preserve"> </v>
      </c>
      <c r="Q81" s="247"/>
      <c r="R81" s="344" t="str">
        <f>'Council Own'!C110</f>
        <v>&lt;List Requirement Here&gt;</v>
      </c>
      <c r="S81" s="257" t="str">
        <f>IF('Council Own'!K110="A","A"," ")</f>
        <v xml:space="preserve"> </v>
      </c>
    </row>
    <row r="82" spans="1:22" x14ac:dyDescent="0.2">
      <c r="E82" s="471" t="str">
        <f>'Fun Patches'!C14</f>
        <v>&lt;LIST PATCH HERE&gt;</v>
      </c>
      <c r="F82" s="472"/>
      <c r="G82" s="257" t="str">
        <f>IF('Fun Patches'!K14="A","A"," ")</f>
        <v xml:space="preserve"> </v>
      </c>
      <c r="I82" s="247">
        <v>3</v>
      </c>
      <c r="J82" s="344" t="str">
        <f>'Council Own'!C15</f>
        <v>&lt;List Requirement Here&gt;</v>
      </c>
      <c r="K82" s="257" t="str">
        <f>IF('Council Own'!K15="A","A"," ")</f>
        <v xml:space="preserve"> </v>
      </c>
      <c r="M82" s="247">
        <v>3</v>
      </c>
      <c r="N82" s="344" t="str">
        <f>'Council Own'!C63</f>
        <v>&lt;List Requirement Here&gt;</v>
      </c>
      <c r="O82" s="257" t="str">
        <f>IF('Council Own'!K63="A","A"," ")</f>
        <v xml:space="preserve"> </v>
      </c>
      <c r="Q82" s="247">
        <v>3</v>
      </c>
      <c r="R82" s="344" t="str">
        <f>'Council Own'!C111</f>
        <v>&lt;List Requirement Here&gt;</v>
      </c>
      <c r="S82" s="257" t="str">
        <f>IF('Council Own'!K111="A","A"," ")</f>
        <v xml:space="preserve"> </v>
      </c>
    </row>
    <row r="83" spans="1:22" x14ac:dyDescent="0.2">
      <c r="E83" s="471" t="str">
        <f>'Fun Patches'!C15</f>
        <v>&lt;LIST PATCH HERE&gt;</v>
      </c>
      <c r="F83" s="472"/>
      <c r="G83" s="257" t="str">
        <f>IF('Fun Patches'!K15="A","A"," ")</f>
        <v xml:space="preserve"> </v>
      </c>
      <c r="I83" s="247"/>
      <c r="J83" s="344" t="str">
        <f>'Council Own'!C16</f>
        <v>&lt;List Requirement Here&gt;</v>
      </c>
      <c r="K83" s="257" t="str">
        <f>IF('Council Own'!K16="A","A"," ")</f>
        <v xml:space="preserve"> </v>
      </c>
      <c r="M83" s="247"/>
      <c r="N83" s="344" t="str">
        <f>'Council Own'!C64</f>
        <v>&lt;List Requirement Here&gt;</v>
      </c>
      <c r="O83" s="257" t="str">
        <f>IF('Council Own'!K64="A","A"," ")</f>
        <v xml:space="preserve"> </v>
      </c>
      <c r="Q83" s="247"/>
      <c r="R83" s="344" t="str">
        <f>'Council Own'!C112</f>
        <v>&lt;List Requirement Here&gt;</v>
      </c>
      <c r="S83" s="257" t="str">
        <f>IF('Council Own'!K112="A","A"," ")</f>
        <v xml:space="preserve"> </v>
      </c>
    </row>
    <row r="84" spans="1:22" x14ac:dyDescent="0.2">
      <c r="E84" s="471" t="str">
        <f>'Fun Patches'!C16</f>
        <v>&lt;LIST PATCH HERE&gt;</v>
      </c>
      <c r="F84" s="472"/>
      <c r="G84" s="257" t="str">
        <f>IF('Fun Patches'!K16="A","A"," ")</f>
        <v xml:space="preserve"> </v>
      </c>
      <c r="I84" s="247"/>
      <c r="J84" s="344" t="str">
        <f>'Council Own'!C17</f>
        <v>&lt;List Requirement Here&gt;</v>
      </c>
      <c r="K84" s="257" t="str">
        <f>IF('Council Own'!K17="A","A"," ")</f>
        <v xml:space="preserve"> </v>
      </c>
      <c r="M84" s="247"/>
      <c r="N84" s="344" t="str">
        <f>'Council Own'!C65</f>
        <v>&lt;List Requirement Here&gt;</v>
      </c>
      <c r="O84" s="257" t="str">
        <f>IF('Council Own'!K65="A","A"," ")</f>
        <v xml:space="preserve"> </v>
      </c>
      <c r="Q84" s="247"/>
      <c r="R84" s="344" t="str">
        <f>'Council Own'!C113</f>
        <v>&lt;List Requirement Here&gt;</v>
      </c>
      <c r="S84" s="257" t="str">
        <f>IF('Council Own'!K113="A","A"," ")</f>
        <v xml:space="preserve"> </v>
      </c>
    </row>
    <row r="85" spans="1:22" x14ac:dyDescent="0.2">
      <c r="E85" s="471" t="str">
        <f>'Fun Patches'!C17</f>
        <v>&lt;LIST PATCH HERE&gt;</v>
      </c>
      <c r="F85" s="472"/>
      <c r="G85" s="250" t="str">
        <f>IF('Fun Patches'!K17="A","A"," ")</f>
        <v xml:space="preserve"> </v>
      </c>
      <c r="I85" s="247"/>
      <c r="J85" s="344" t="str">
        <f>'Council Own'!C18</f>
        <v>&lt;List Requirement Here&gt;</v>
      </c>
      <c r="K85" s="257" t="str">
        <f>IF('Council Own'!K18="A","A"," ")</f>
        <v xml:space="preserve"> </v>
      </c>
      <c r="M85" s="247"/>
      <c r="N85" s="344" t="str">
        <f>'Council Own'!C66</f>
        <v>&lt;List Requirement Here&gt;</v>
      </c>
      <c r="O85" s="257" t="str">
        <f>IF('Council Own'!K66="A","A"," ")</f>
        <v xml:space="preserve"> </v>
      </c>
      <c r="Q85" s="247"/>
      <c r="R85" s="344" t="str">
        <f>'Council Own'!C114</f>
        <v>&lt;List Requirement Here&gt;</v>
      </c>
      <c r="S85" s="257" t="str">
        <f>IF('Council Own'!K114="A","A"," ")</f>
        <v xml:space="preserve"> </v>
      </c>
    </row>
    <row r="86" spans="1:22" x14ac:dyDescent="0.2">
      <c r="A86" s="242"/>
      <c r="B86" s="243"/>
      <c r="C86" s="244"/>
      <c r="E86" s="471" t="str">
        <f>'Fun Patches'!C18</f>
        <v>&lt;LIST PATCH HERE&gt;</v>
      </c>
      <c r="F86" s="472"/>
      <c r="G86" s="257" t="str">
        <f>IF('Fun Patches'!K18="A","A"," ")</f>
        <v xml:space="preserve"> </v>
      </c>
      <c r="I86" s="247">
        <v>4</v>
      </c>
      <c r="J86" s="344" t="str">
        <f>'Council Own'!C19</f>
        <v>&lt;List Requirement Here&gt;</v>
      </c>
      <c r="K86" s="257" t="str">
        <f>IF('Council Own'!K19="A","A"," ")</f>
        <v xml:space="preserve"> </v>
      </c>
      <c r="M86" s="247">
        <v>4</v>
      </c>
      <c r="N86" s="344" t="str">
        <f>'Council Own'!C67</f>
        <v>&lt;List Requirement Here&gt;</v>
      </c>
      <c r="O86" s="257" t="str">
        <f>IF('Council Own'!K67="A","A"," ")</f>
        <v xml:space="preserve"> </v>
      </c>
      <c r="Q86" s="247">
        <v>4</v>
      </c>
      <c r="R86" s="344" t="str">
        <f>'Council Own'!C115</f>
        <v>&lt;List Requirement Here&gt;</v>
      </c>
      <c r="S86" s="257" t="str">
        <f>IF('Council Own'!K115="A","A"," ")</f>
        <v xml:space="preserve"> </v>
      </c>
    </row>
    <row r="87" spans="1:22" x14ac:dyDescent="0.2">
      <c r="E87" s="471" t="str">
        <f>'Fun Patches'!C19</f>
        <v>&lt;LIST PATCH HERE&gt;</v>
      </c>
      <c r="F87" s="472"/>
      <c r="G87" s="257" t="str">
        <f>IF('Fun Patches'!K19="A","A"," ")</f>
        <v xml:space="preserve"> </v>
      </c>
      <c r="I87" s="247"/>
      <c r="J87" s="344" t="str">
        <f>'Council Own'!C20</f>
        <v>&lt;List Requirement Here&gt;</v>
      </c>
      <c r="K87" s="257" t="str">
        <f>IF('Council Own'!K20="A","A"," ")</f>
        <v xml:space="preserve"> </v>
      </c>
      <c r="M87" s="247"/>
      <c r="N87" s="344" t="str">
        <f>'Council Own'!C68</f>
        <v>&lt;List Requirement Here&gt;</v>
      </c>
      <c r="O87" s="257" t="str">
        <f>IF('Council Own'!K68="A","A"," ")</f>
        <v xml:space="preserve"> </v>
      </c>
      <c r="Q87" s="247"/>
      <c r="R87" s="344" t="str">
        <f>'Council Own'!C116</f>
        <v>&lt;List Requirement Here&gt;</v>
      </c>
      <c r="S87" s="257" t="str">
        <f>IF('Council Own'!K116="A","A"," ")</f>
        <v xml:space="preserve"> </v>
      </c>
    </row>
    <row r="88" spans="1:22" x14ac:dyDescent="0.2">
      <c r="E88" s="471" t="str">
        <f>'Fun Patches'!C20</f>
        <v>&lt;LIST PATCH HERE&gt;</v>
      </c>
      <c r="F88" s="472"/>
      <c r="G88" s="257" t="str">
        <f>IF('Fun Patches'!K20="A","A"," ")</f>
        <v xml:space="preserve"> </v>
      </c>
      <c r="I88" s="247"/>
      <c r="J88" s="344" t="str">
        <f>'Council Own'!C21</f>
        <v>&lt;List Requirement Here&gt;</v>
      </c>
      <c r="K88" s="257" t="str">
        <f>IF('Council Own'!K21="A","A"," ")</f>
        <v xml:space="preserve"> </v>
      </c>
      <c r="M88" s="247"/>
      <c r="N88" s="344" t="str">
        <f>'Council Own'!C69</f>
        <v>&lt;List Requirement Here&gt;</v>
      </c>
      <c r="O88" s="257" t="str">
        <f>IF('Council Own'!K69="A","A"," ")</f>
        <v xml:space="preserve"> </v>
      </c>
      <c r="Q88" s="247"/>
      <c r="R88" s="344" t="str">
        <f>'Council Own'!C117</f>
        <v>&lt;List Requirement Here&gt;</v>
      </c>
      <c r="S88" s="257" t="str">
        <f>IF('Council Own'!K117="A","A"," ")</f>
        <v xml:space="preserve"> </v>
      </c>
    </row>
    <row r="89" spans="1:22" x14ac:dyDescent="0.2">
      <c r="E89" s="471" t="str">
        <f>'Fun Patches'!C21</f>
        <v>&lt;LIST PATCH HERE&gt;</v>
      </c>
      <c r="F89" s="472"/>
      <c r="G89" s="257" t="str">
        <f>IF('Fun Patches'!K21="A","A"," ")</f>
        <v xml:space="preserve"> </v>
      </c>
      <c r="I89" s="247"/>
      <c r="J89" s="344" t="str">
        <f>'Council Own'!C22</f>
        <v>&lt;List Requirement Here&gt;</v>
      </c>
      <c r="K89" s="257" t="str">
        <f>IF('Council Own'!K22="A","A"," ")</f>
        <v xml:space="preserve"> </v>
      </c>
      <c r="M89" s="247"/>
      <c r="N89" s="344" t="str">
        <f>'Council Own'!C70</f>
        <v>&lt;List Requirement Here&gt;</v>
      </c>
      <c r="O89" s="257" t="str">
        <f>IF('Council Own'!K70="A","A"," ")</f>
        <v xml:space="preserve"> </v>
      </c>
      <c r="Q89" s="247"/>
      <c r="R89" s="344" t="str">
        <f>'Council Own'!C118</f>
        <v>&lt;List Requirement Here&gt;</v>
      </c>
      <c r="S89" s="257" t="str">
        <f>IF('Council Own'!K118="A","A"," ")</f>
        <v xml:space="preserve"> </v>
      </c>
    </row>
    <row r="90" spans="1:22" x14ac:dyDescent="0.2">
      <c r="E90" s="471" t="str">
        <f>'Fun Patches'!C22</f>
        <v>&lt;LIST PATCH HERE&gt;</v>
      </c>
      <c r="F90" s="472"/>
      <c r="G90" s="257" t="str">
        <f>IF('Fun Patches'!K22="A","A"," ")</f>
        <v xml:space="preserve"> </v>
      </c>
      <c r="I90" s="247">
        <v>5</v>
      </c>
      <c r="J90" s="344" t="str">
        <f>'Council Own'!C23</f>
        <v>&lt;List Requirement Here&gt;</v>
      </c>
      <c r="K90" s="257" t="str">
        <f>IF('Council Own'!K23="A","A"," ")</f>
        <v xml:space="preserve"> </v>
      </c>
      <c r="M90" s="247">
        <v>5</v>
      </c>
      <c r="N90" s="344" t="str">
        <f>'Council Own'!C71</f>
        <v>&lt;List Requirement Here&gt;</v>
      </c>
      <c r="O90" s="257" t="str">
        <f>IF('Council Own'!K71="A","A"," ")</f>
        <v xml:space="preserve"> </v>
      </c>
      <c r="Q90" s="247">
        <v>5</v>
      </c>
      <c r="R90" s="344" t="str">
        <f>'Council Own'!C119</f>
        <v>&lt;List Requirement Here&gt;</v>
      </c>
      <c r="S90" s="257" t="str">
        <f>IF('Council Own'!K119="A","A"," ")</f>
        <v xml:space="preserve"> </v>
      </c>
    </row>
    <row r="91" spans="1:22" x14ac:dyDescent="0.2">
      <c r="E91" s="471" t="str">
        <f>'Fun Patches'!C23</f>
        <v>&lt;LIST PATCH HERE&gt;</v>
      </c>
      <c r="F91" s="472"/>
      <c r="G91" s="257" t="str">
        <f>IF('Fun Patches'!K23="A","A"," ")</f>
        <v xml:space="preserve"> </v>
      </c>
      <c r="I91" s="247"/>
      <c r="J91" s="344" t="str">
        <f>'Council Own'!C24</f>
        <v>&lt;List Requirement Here&gt;</v>
      </c>
      <c r="K91" s="257" t="str">
        <f>IF('Council Own'!K24="A","A"," ")</f>
        <v xml:space="preserve"> </v>
      </c>
      <c r="M91" s="247"/>
      <c r="N91" s="344" t="str">
        <f>'Council Own'!C72</f>
        <v>&lt;List Requirement Here&gt;</v>
      </c>
      <c r="O91" s="257" t="str">
        <f>IF('Council Own'!K72="A","A"," ")</f>
        <v xml:space="preserve"> </v>
      </c>
      <c r="Q91" s="247"/>
      <c r="R91" s="344" t="str">
        <f>'Council Own'!C120</f>
        <v>&lt;List Requirement Here&gt;</v>
      </c>
      <c r="S91" s="257" t="str">
        <f>IF('Council Own'!K120="A","A"," ")</f>
        <v xml:space="preserve"> </v>
      </c>
    </row>
    <row r="92" spans="1:22" x14ac:dyDescent="0.2">
      <c r="E92" s="471" t="str">
        <f>'Fun Patches'!C24</f>
        <v>&lt;LIST PATCH HERE&gt;</v>
      </c>
      <c r="F92" s="472"/>
      <c r="G92" s="257" t="str">
        <f>IF('Fun Patches'!K24="A","A"," ")</f>
        <v xml:space="preserve"> </v>
      </c>
      <c r="I92" s="247"/>
      <c r="J92" s="344" t="str">
        <f>'Council Own'!C25</f>
        <v>&lt;List Requirement Here&gt;</v>
      </c>
      <c r="K92" s="257" t="str">
        <f>IF('Council Own'!K25="A","A"," ")</f>
        <v xml:space="preserve"> </v>
      </c>
      <c r="M92" s="247"/>
      <c r="N92" s="344" t="str">
        <f>'Council Own'!C73</f>
        <v>&lt;List Requirement Here&gt;</v>
      </c>
      <c r="O92" s="257" t="str">
        <f>IF('Council Own'!K73="A","A"," ")</f>
        <v xml:space="preserve"> </v>
      </c>
      <c r="Q92" s="247"/>
      <c r="R92" s="344" t="str">
        <f>'Council Own'!C121</f>
        <v>&lt;List Requirement Here&gt;</v>
      </c>
      <c r="S92" s="257" t="str">
        <f>IF('Council Own'!K121="A","A"," ")</f>
        <v xml:space="preserve"> </v>
      </c>
    </row>
    <row r="93" spans="1:22" x14ac:dyDescent="0.2">
      <c r="E93" s="471" t="str">
        <f>'Fun Patches'!C25</f>
        <v>&lt;LIST PATCH HERE&gt;</v>
      </c>
      <c r="F93" s="472"/>
      <c r="G93" s="257" t="str">
        <f>IF('Fun Patches'!K25="A","A"," ")</f>
        <v xml:space="preserve"> </v>
      </c>
      <c r="I93" s="247"/>
      <c r="J93" s="344" t="str">
        <f>'Council Own'!C26</f>
        <v>&lt;List Requirement Here&gt;</v>
      </c>
      <c r="K93" s="257" t="str">
        <f>IF('Council Own'!K26="A","A"," ")</f>
        <v xml:space="preserve"> </v>
      </c>
      <c r="M93" s="247"/>
      <c r="N93" s="344" t="str">
        <f>'Council Own'!C74</f>
        <v>&lt;List Requirement Here&gt;</v>
      </c>
      <c r="O93" s="257" t="str">
        <f>IF('Council Own'!K68="A","A"," ")</f>
        <v xml:space="preserve"> </v>
      </c>
      <c r="Q93" s="247"/>
      <c r="R93" s="344" t="str">
        <f>'Council Own'!C122</f>
        <v>&lt;List Requirement Here&gt;</v>
      </c>
      <c r="S93" s="257" t="str">
        <f>IF('Council Own'!K122="A","A"," ")</f>
        <v xml:space="preserve"> </v>
      </c>
    </row>
    <row r="94" spans="1:22" x14ac:dyDescent="0.2">
      <c r="E94" s="471" t="str">
        <f>'Fun Patches'!C26</f>
        <v>&lt;LIST PATCH HERE&gt;</v>
      </c>
      <c r="F94" s="472"/>
      <c r="G94" s="257" t="str">
        <f>IF('Fun Patches'!K26="A","A","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Patches'!K27="A","A"," ")</f>
        <v xml:space="preserve"> </v>
      </c>
      <c r="I95" s="247">
        <v>1</v>
      </c>
      <c r="J95" s="344" t="str">
        <f>'Council Own'!C31</f>
        <v>&lt;List Requirement Here&gt;</v>
      </c>
      <c r="K95" s="257" t="str">
        <f>IF('Council Own'!K31="A","A"," ")</f>
        <v xml:space="preserve"> </v>
      </c>
      <c r="M95" s="247">
        <v>1</v>
      </c>
      <c r="N95" s="344" t="str">
        <f>'Council Own'!C79</f>
        <v>&lt;List Requirement Here&gt;</v>
      </c>
      <c r="O95" s="257" t="str">
        <f>IF('Council Own'!K79="A","A"," ")</f>
        <v xml:space="preserve"> </v>
      </c>
      <c r="Q95" s="247">
        <v>1</v>
      </c>
      <c r="R95" s="344" t="str">
        <f>'Council Own'!C127</f>
        <v>&lt;List Requirement Here&gt;</v>
      </c>
      <c r="S95" s="257" t="str">
        <f>IF('Council Own'!K127="A","A"," ")</f>
        <v xml:space="preserve"> </v>
      </c>
    </row>
    <row r="96" spans="1:22" x14ac:dyDescent="0.2">
      <c r="E96" s="471" t="str">
        <f>'Fun Patches'!C28</f>
        <v>&lt;LIST PATCH HERE&gt;</v>
      </c>
      <c r="F96" s="472"/>
      <c r="G96" s="257" t="str">
        <f>IF('Fun Patches'!K28="A","A"," ")</f>
        <v xml:space="preserve"> </v>
      </c>
      <c r="I96" s="247"/>
      <c r="J96" s="344" t="str">
        <f>'Council Own'!C32</f>
        <v>&lt;List Requirement Here&gt;</v>
      </c>
      <c r="K96" s="257" t="str">
        <f>IF('Council Own'!K32="A","A"," ")</f>
        <v xml:space="preserve"> </v>
      </c>
      <c r="M96" s="247"/>
      <c r="N96" s="344" t="str">
        <f>'Council Own'!C80</f>
        <v>&lt;List Requirement Here&gt;</v>
      </c>
      <c r="O96" s="257" t="str">
        <f>IF('Council Own'!K80="A","A"," ")</f>
        <v xml:space="preserve"> </v>
      </c>
      <c r="Q96" s="247"/>
      <c r="R96" s="344" t="str">
        <f>'Council Own'!C128</f>
        <v>&lt;List Requirement Here&gt;</v>
      </c>
      <c r="S96" s="257" t="str">
        <f>IF('Council Own'!K128="A","A"," ")</f>
        <v xml:space="preserve"> </v>
      </c>
      <c r="U96" s="245"/>
      <c r="V96" s="245"/>
    </row>
    <row r="97" spans="1:23" x14ac:dyDescent="0.2">
      <c r="E97" s="471" t="str">
        <f>'Fun Patches'!C29</f>
        <v>&lt;LIST PATCH HERE&gt;</v>
      </c>
      <c r="F97" s="472"/>
      <c r="G97" s="257" t="str">
        <f>IF('Fun Patches'!K29="A","A"," ")</f>
        <v xml:space="preserve"> </v>
      </c>
      <c r="I97" s="247"/>
      <c r="J97" s="344" t="str">
        <f>'Council Own'!C33</f>
        <v>&lt;List Requirement Here&gt;</v>
      </c>
      <c r="K97" s="257" t="str">
        <f>IF('Council Own'!K33="A","A"," ")</f>
        <v xml:space="preserve"> </v>
      </c>
      <c r="M97" s="247"/>
      <c r="N97" s="344" t="str">
        <f>'Council Own'!C81</f>
        <v>&lt;List Requirement Here&gt;</v>
      </c>
      <c r="O97" s="257" t="str">
        <f>IF('Council Own'!K81="A","A"," ")</f>
        <v xml:space="preserve"> </v>
      </c>
      <c r="Q97" s="247"/>
      <c r="R97" s="344" t="str">
        <f>'Council Own'!C129</f>
        <v>&lt;List Requirement Here&gt;</v>
      </c>
      <c r="S97" s="257" t="str">
        <f>IF('Council Own'!K129="A","A"," ")</f>
        <v xml:space="preserve"> </v>
      </c>
      <c r="U97" s="245"/>
      <c r="V97" s="245"/>
    </row>
    <row r="98" spans="1:23" x14ac:dyDescent="0.2">
      <c r="A98" s="484" t="s">
        <v>75</v>
      </c>
      <c r="B98" s="484"/>
      <c r="C98" s="484"/>
      <c r="E98" s="471" t="str">
        <f>'Fun Patches'!C30</f>
        <v>&lt;LIST PATCH HERE&gt;</v>
      </c>
      <c r="F98" s="472"/>
      <c r="G98" s="257" t="str">
        <f>IF('Fun Patches'!K30="A","A"," ")</f>
        <v xml:space="preserve"> </v>
      </c>
      <c r="I98" s="247"/>
      <c r="J98" s="344" t="str">
        <f>'Council Own'!C34</f>
        <v>&lt;List Requirement Here&gt;</v>
      </c>
      <c r="K98" s="257" t="str">
        <f>IF('Council Own'!K34="A","A"," ")</f>
        <v xml:space="preserve"> </v>
      </c>
      <c r="M98" s="247"/>
      <c r="N98" s="344" t="str">
        <f>'Council Own'!C82</f>
        <v>&lt;List Requirement Here&gt;</v>
      </c>
      <c r="O98" s="257" t="str">
        <f>IF('Council Own'!K82="A","A"," ")</f>
        <v xml:space="preserve"> </v>
      </c>
      <c r="Q98" s="247"/>
      <c r="R98" s="344" t="str">
        <f>'Council Own'!C130</f>
        <v>&lt;List Requirement Here&gt;</v>
      </c>
      <c r="S98" s="257" t="str">
        <f>IF('Council Own'!K130="A","A"," ")</f>
        <v xml:space="preserve"> </v>
      </c>
      <c r="U98" s="245"/>
      <c r="V98" s="245"/>
    </row>
    <row r="99" spans="1:23" ht="14.25" customHeight="1" x14ac:dyDescent="0.2">
      <c r="A99" s="481" t="s">
        <v>72</v>
      </c>
      <c r="B99" s="482"/>
      <c r="C99" s="483"/>
      <c r="E99" s="471" t="str">
        <f>'Fun Patches'!C31</f>
        <v>&lt;LIST PATCH HERE&gt;</v>
      </c>
      <c r="F99" s="472"/>
      <c r="G99" s="257" t="str">
        <f>IF('Fun Patches'!K31="A","A"," ")</f>
        <v xml:space="preserve"> </v>
      </c>
      <c r="I99" s="247">
        <v>2</v>
      </c>
      <c r="J99" s="344" t="str">
        <f>'Council Own'!C35</f>
        <v>&lt;List Requirement Here&gt;</v>
      </c>
      <c r="K99" s="257" t="str">
        <f>IF('Council Own'!K35="A","A"," ")</f>
        <v xml:space="preserve"> </v>
      </c>
      <c r="M99" s="247">
        <v>2</v>
      </c>
      <c r="N99" s="344" t="str">
        <f>'Council Own'!C83</f>
        <v>&lt;List Requirement Here&gt;</v>
      </c>
      <c r="O99" s="257" t="str">
        <f>IF('Council Own'!K83="A","A"," ")</f>
        <v xml:space="preserve"> </v>
      </c>
      <c r="Q99" s="247">
        <v>2</v>
      </c>
      <c r="R99" s="344" t="str">
        <f>'Council Own'!C131</f>
        <v>&lt;List Requirement Here&gt;</v>
      </c>
      <c r="S99" s="257" t="str">
        <f>IF('Council Own'!K131="A","A"," ")</f>
        <v xml:space="preserve"> </v>
      </c>
      <c r="U99" s="245"/>
      <c r="V99" s="245"/>
    </row>
    <row r="100" spans="1:23" x14ac:dyDescent="0.2">
      <c r="A100" s="481" t="s">
        <v>73</v>
      </c>
      <c r="B100" s="482"/>
      <c r="C100" s="483"/>
      <c r="E100" s="471" t="str">
        <f>'Fun Patches'!C32</f>
        <v>&lt;LIST PATCH HERE&gt;</v>
      </c>
      <c r="F100" s="472"/>
      <c r="G100" s="257" t="str">
        <f>IF('Fun Patches'!K32="A","A"," ")</f>
        <v xml:space="preserve"> </v>
      </c>
      <c r="I100" s="247"/>
      <c r="J100" s="344" t="str">
        <f>'Council Own'!C36</f>
        <v>&lt;List Requirement Here&gt;</v>
      </c>
      <c r="K100" s="257" t="str">
        <f>IF('Council Own'!K36="A","A"," ")</f>
        <v xml:space="preserve"> </v>
      </c>
      <c r="M100" s="247"/>
      <c r="N100" s="344" t="str">
        <f>'Council Own'!C84</f>
        <v>&lt;List Requirement Here&gt;</v>
      </c>
      <c r="O100" s="257" t="str">
        <f>IF('Council Own'!K84="A","A"," ")</f>
        <v xml:space="preserve"> </v>
      </c>
      <c r="Q100" s="247"/>
      <c r="R100" s="344" t="str">
        <f>'Council Own'!C132</f>
        <v>&lt;List Requirement Here&gt;</v>
      </c>
      <c r="S100" s="257" t="str">
        <f>IF('Council Own'!K132="A","A"," ")</f>
        <v xml:space="preserve"> </v>
      </c>
      <c r="U100" s="337"/>
      <c r="V100" s="338"/>
      <c r="W100" s="341"/>
    </row>
    <row r="101" spans="1:23" x14ac:dyDescent="0.2">
      <c r="A101" s="468" t="s">
        <v>74</v>
      </c>
      <c r="B101" s="469"/>
      <c r="C101" s="470"/>
      <c r="E101" s="471" t="str">
        <f>'Fun Patches'!C33</f>
        <v>&lt;LIST PATCH HERE&gt;</v>
      </c>
      <c r="F101" s="472"/>
      <c r="G101" s="257" t="str">
        <f>IF('Fun Patches'!K33="A","A"," ")</f>
        <v xml:space="preserve"> </v>
      </c>
      <c r="I101" s="247"/>
      <c r="J101" s="344" t="str">
        <f>'Council Own'!C37</f>
        <v>&lt;List Requirement Here&gt;</v>
      </c>
      <c r="K101" s="257" t="str">
        <f>IF('Council Own'!K37="A","A"," ")</f>
        <v xml:space="preserve"> </v>
      </c>
      <c r="M101" s="247"/>
      <c r="N101" s="344" t="str">
        <f>'Council Own'!C85</f>
        <v>&lt;List Requirement Here&gt;</v>
      </c>
      <c r="O101" s="257" t="str">
        <f>IF('Council Own'!K85="A","A"," ")</f>
        <v xml:space="preserve"> </v>
      </c>
      <c r="Q101" s="247"/>
      <c r="R101" s="344" t="str">
        <f>'Council Own'!C133</f>
        <v>&lt;List Requirement Here&gt;</v>
      </c>
      <c r="S101" s="257" t="str">
        <f>IF('Council Own'!K133="A","A"," ")</f>
        <v xml:space="preserve"> </v>
      </c>
      <c r="U101" s="245"/>
      <c r="V101" s="245"/>
    </row>
    <row r="102" spans="1:23" x14ac:dyDescent="0.2">
      <c r="E102" s="471" t="str">
        <f>'Fun Patches'!C34</f>
        <v>&lt;LIST PATCH HERE&gt;</v>
      </c>
      <c r="F102" s="472"/>
      <c r="G102" s="257" t="str">
        <f>IF('Fun Patches'!K34="A","A"," ")</f>
        <v xml:space="preserve"> </v>
      </c>
      <c r="I102" s="247"/>
      <c r="J102" s="344" t="str">
        <f>'Council Own'!C38</f>
        <v>&lt;List Requirement Here&gt;</v>
      </c>
      <c r="K102" s="257" t="str">
        <f>IF('Council Own'!K38="A","A"," ")</f>
        <v xml:space="preserve"> </v>
      </c>
      <c r="M102" s="247"/>
      <c r="N102" s="344" t="str">
        <f>'Council Own'!C86</f>
        <v>&lt;List Requirement Here&gt;</v>
      </c>
      <c r="O102" s="257" t="str">
        <f>IF('Council Own'!K86="A","A"," ")</f>
        <v xml:space="preserve"> </v>
      </c>
      <c r="Q102" s="247"/>
      <c r="R102" s="344" t="str">
        <f>'Council Own'!C134</f>
        <v>&lt;List Requirement Here&gt;</v>
      </c>
      <c r="S102" s="257" t="str">
        <f>IF('Council Own'!K134="A","A"," ")</f>
        <v xml:space="preserve"> </v>
      </c>
      <c r="U102" s="245"/>
      <c r="V102" s="245"/>
    </row>
    <row r="103" spans="1:23" x14ac:dyDescent="0.2">
      <c r="E103" s="471" t="str">
        <f>'Fun Patches'!C35</f>
        <v>&lt;LIST PATCH HERE&gt;</v>
      </c>
      <c r="F103" s="472"/>
      <c r="G103" s="257" t="str">
        <f>IF('Fun Patches'!K35="A","A"," ")</f>
        <v xml:space="preserve"> </v>
      </c>
      <c r="I103" s="247">
        <v>3</v>
      </c>
      <c r="J103" s="344" t="str">
        <f>'Council Own'!C39</f>
        <v>&lt;List Requirement Here&gt;</v>
      </c>
      <c r="K103" s="257" t="str">
        <f>IF('Council Own'!K39="A","A"," ")</f>
        <v xml:space="preserve"> </v>
      </c>
      <c r="M103" s="247">
        <v>3</v>
      </c>
      <c r="N103" s="344" t="str">
        <f>'Council Own'!C87</f>
        <v>&lt;List Requirement Here&gt;</v>
      </c>
      <c r="O103" s="257" t="str">
        <f>IF('Council Own'!K87="A","A"," ")</f>
        <v xml:space="preserve"> </v>
      </c>
      <c r="Q103" s="247">
        <v>3</v>
      </c>
      <c r="R103" s="344" t="str">
        <f>'Council Own'!C135</f>
        <v>&lt;List Requirement Here&gt;</v>
      </c>
      <c r="S103" s="257" t="str">
        <f>IF('Council Own'!K135="A","A"," ")</f>
        <v xml:space="preserve"> </v>
      </c>
      <c r="U103" s="245"/>
      <c r="V103" s="245"/>
    </row>
    <row r="104" spans="1:23" x14ac:dyDescent="0.2">
      <c r="E104" s="471" t="str">
        <f>'Fun Patches'!C36</f>
        <v>&lt;LIST PATCH HERE&gt;</v>
      </c>
      <c r="F104" s="472"/>
      <c r="G104" s="257" t="str">
        <f>IF('Fun Patches'!K36="A","A"," ")</f>
        <v xml:space="preserve"> </v>
      </c>
      <c r="I104" s="247"/>
      <c r="J104" s="344" t="str">
        <f>'Council Own'!C40</f>
        <v>&lt;List Requirement Here&gt;</v>
      </c>
      <c r="K104" s="257" t="str">
        <f>IF('Council Own'!K40="A","A"," ")</f>
        <v xml:space="preserve"> </v>
      </c>
      <c r="M104" s="247"/>
      <c r="N104" s="344" t="str">
        <f>'Council Own'!C88</f>
        <v>&lt;List Requirement Here&gt;</v>
      </c>
      <c r="O104" s="257" t="str">
        <f>IF('Council Own'!K88="A","A"," ")</f>
        <v xml:space="preserve"> </v>
      </c>
      <c r="Q104" s="247"/>
      <c r="R104" s="344" t="str">
        <f>'Council Own'!C136</f>
        <v>&lt;List Requirement Here&gt;</v>
      </c>
      <c r="S104" s="257" t="str">
        <f>IF('Council Own'!K136="A","A"," ")</f>
        <v xml:space="preserve"> </v>
      </c>
      <c r="U104" s="245"/>
      <c r="V104" s="245"/>
    </row>
    <row r="105" spans="1:23" x14ac:dyDescent="0.2">
      <c r="E105" s="471" t="str">
        <f>'Fun Patches'!C37</f>
        <v>&lt;LIST PATCH HERE&gt;</v>
      </c>
      <c r="F105" s="472"/>
      <c r="G105" s="257" t="str">
        <f>IF('Fun Patches'!K37="A","A"," ")</f>
        <v xml:space="preserve"> </v>
      </c>
      <c r="I105" s="247"/>
      <c r="J105" s="344" t="str">
        <f>'Council Own'!C41</f>
        <v>&lt;List Requirement Here&gt;</v>
      </c>
      <c r="K105" s="257" t="str">
        <f>IF('Council Own'!K41="A","A"," ")</f>
        <v xml:space="preserve"> </v>
      </c>
      <c r="M105" s="247"/>
      <c r="N105" s="344" t="str">
        <f>'Council Own'!C89</f>
        <v>&lt;List Requirement Here&gt;</v>
      </c>
      <c r="O105" s="257" t="str">
        <f>IF('Council Own'!K89="A","A"," ")</f>
        <v xml:space="preserve"> </v>
      </c>
      <c r="Q105" s="247"/>
      <c r="R105" s="344" t="str">
        <f>'Council Own'!C137</f>
        <v>&lt;List Requirement Here&gt;</v>
      </c>
      <c r="S105" s="257" t="str">
        <f>IF('Council Own'!K137="A","A"," ")</f>
        <v xml:space="preserve"> </v>
      </c>
      <c r="U105" s="245"/>
      <c r="V105" s="245"/>
    </row>
    <row r="106" spans="1:23" x14ac:dyDescent="0.2">
      <c r="E106" s="471" t="str">
        <f>'Fun Patches'!C38</f>
        <v>&lt;LIST PATCH HERE&gt;</v>
      </c>
      <c r="F106" s="472"/>
      <c r="G106" s="257" t="str">
        <f>IF('Fun Patches'!K38="A","A"," ")</f>
        <v xml:space="preserve"> </v>
      </c>
      <c r="I106" s="247"/>
      <c r="J106" s="344" t="str">
        <f>'Council Own'!C42</f>
        <v>&lt;List Requirement Here&gt;</v>
      </c>
      <c r="K106" s="257" t="str">
        <f>IF('Council Own'!K42="A","A"," ")</f>
        <v xml:space="preserve"> </v>
      </c>
      <c r="M106" s="247"/>
      <c r="N106" s="344" t="str">
        <f>'Council Own'!C90</f>
        <v>&lt;List Requirement Here&gt;</v>
      </c>
      <c r="O106" s="257" t="str">
        <f>IF('Council Own'!K90="A","A"," ")</f>
        <v xml:space="preserve"> </v>
      </c>
      <c r="Q106" s="247"/>
      <c r="R106" s="344" t="str">
        <f>'Council Own'!C138</f>
        <v>&lt;List Requirement Here&gt;</v>
      </c>
      <c r="S106" s="257" t="str">
        <f>IF('Council Own'!K138="A","A"," ")</f>
        <v xml:space="preserve"> </v>
      </c>
      <c r="U106" s="245"/>
      <c r="V106" s="245"/>
    </row>
    <row r="107" spans="1:23" x14ac:dyDescent="0.2">
      <c r="E107" s="284"/>
      <c r="F107" s="263"/>
      <c r="G107" s="341"/>
      <c r="I107" s="247">
        <v>4</v>
      </c>
      <c r="J107" s="344" t="str">
        <f>'Council Own'!C43</f>
        <v>&lt;List Requirement Here&gt;</v>
      </c>
      <c r="K107" s="257" t="str">
        <f>IF('Council Own'!K43="A","A"," ")</f>
        <v xml:space="preserve"> </v>
      </c>
      <c r="M107" s="247">
        <v>4</v>
      </c>
      <c r="N107" s="344" t="str">
        <f>'Council Own'!C91</f>
        <v>&lt;List Requirement Here&gt;</v>
      </c>
      <c r="O107" s="257" t="str">
        <f>IF('Council Own'!K91="A","A"," ")</f>
        <v xml:space="preserve"> </v>
      </c>
      <c r="Q107" s="247">
        <v>4</v>
      </c>
      <c r="R107" s="344" t="str">
        <f>'Council Own'!C139</f>
        <v>&lt;List Requirement Here&gt;</v>
      </c>
      <c r="S107" s="257" t="str">
        <f>IF('Council Own'!K139="A","A"," ")</f>
        <v xml:space="preserve"> </v>
      </c>
      <c r="U107" s="245"/>
      <c r="V107" s="245"/>
    </row>
    <row r="108" spans="1:23" x14ac:dyDescent="0.2">
      <c r="I108" s="247"/>
      <c r="J108" s="344" t="str">
        <f>'Council Own'!C44</f>
        <v>&lt;List Requirement Here&gt;</v>
      </c>
      <c r="K108" s="257" t="str">
        <f>IF('Council Own'!K44="A","A"," ")</f>
        <v xml:space="preserve"> </v>
      </c>
      <c r="M108" s="247"/>
      <c r="N108" s="344" t="str">
        <f>'Council Own'!C92</f>
        <v>&lt;List Requirement Here&gt;</v>
      </c>
      <c r="O108" s="257" t="str">
        <f>IF('Council Own'!K92="A","A"," ")</f>
        <v xml:space="preserve"> </v>
      </c>
      <c r="Q108" s="247"/>
      <c r="R108" s="344" t="str">
        <f>'Council Own'!C140</f>
        <v>&lt;List Requirement Here&gt;</v>
      </c>
      <c r="S108" s="257" t="str">
        <f>IF('Council Own'!K140="A","A"," ")</f>
        <v xml:space="preserve"> </v>
      </c>
      <c r="U108" s="245"/>
      <c r="V108" s="245"/>
    </row>
    <row r="109" spans="1:23" x14ac:dyDescent="0.2">
      <c r="I109" s="247"/>
      <c r="J109" s="344" t="str">
        <f>'Council Own'!C45</f>
        <v>&lt;List Requirement Here&gt;</v>
      </c>
      <c r="K109" s="257" t="str">
        <f>IF('Council Own'!K45="A","A"," ")</f>
        <v xml:space="preserve"> </v>
      </c>
      <c r="M109" s="247"/>
      <c r="N109" s="344" t="str">
        <f>'Council Own'!C93</f>
        <v>&lt;List Requirement Here&gt;</v>
      </c>
      <c r="O109" s="257" t="str">
        <f>IF('Council Own'!K93="A","A"," ")</f>
        <v xml:space="preserve"> </v>
      </c>
      <c r="Q109" s="247"/>
      <c r="R109" s="344" t="str">
        <f>'Council Own'!C141</f>
        <v>&lt;List Requirement Here&gt;</v>
      </c>
      <c r="S109" s="257" t="str">
        <f>IF('Council Own'!K141="A","A"," ")</f>
        <v xml:space="preserve"> </v>
      </c>
      <c r="U109" s="245"/>
      <c r="V109" s="245"/>
    </row>
    <row r="110" spans="1:23" x14ac:dyDescent="0.2">
      <c r="I110" s="247"/>
      <c r="J110" s="344" t="str">
        <f>'Council Own'!C46</f>
        <v>&lt;List Requirement Here&gt;</v>
      </c>
      <c r="K110" s="257" t="str">
        <f>IF('Council Own'!K46="A","A"," ")</f>
        <v xml:space="preserve"> </v>
      </c>
      <c r="M110" s="247"/>
      <c r="N110" s="344" t="str">
        <f>'Council Own'!C94</f>
        <v>&lt;List Requirement Here&gt;</v>
      </c>
      <c r="O110" s="257" t="str">
        <f>IF('Council Own'!K94="A","A"," ")</f>
        <v xml:space="preserve"> </v>
      </c>
      <c r="Q110" s="247"/>
      <c r="R110" s="344" t="str">
        <f>'Council Own'!C142</f>
        <v>&lt;List Requirement Here&gt;</v>
      </c>
      <c r="S110" s="257" t="str">
        <f>IF('Council Own'!K142="A","A"," ")</f>
        <v xml:space="preserve"> </v>
      </c>
      <c r="U110" s="245"/>
      <c r="V110" s="245"/>
    </row>
    <row r="111" spans="1:23" x14ac:dyDescent="0.2">
      <c r="I111" s="247">
        <v>5</v>
      </c>
      <c r="J111" s="344" t="str">
        <f>'Council Own'!C47</f>
        <v>&lt;List Requirement Here&gt;</v>
      </c>
      <c r="K111" s="257" t="str">
        <f>IF('Council Own'!K47="A","A"," ")</f>
        <v xml:space="preserve"> </v>
      </c>
      <c r="M111" s="247">
        <v>5</v>
      </c>
      <c r="N111" s="344" t="str">
        <f>'Council Own'!C95</f>
        <v>&lt;List Requirement Here&gt;</v>
      </c>
      <c r="O111" s="257" t="str">
        <f>IF('Council Own'!K95="A","A"," ")</f>
        <v xml:space="preserve"> </v>
      </c>
      <c r="Q111" s="247">
        <v>5</v>
      </c>
      <c r="R111" s="344" t="str">
        <f>'Council Own'!C143</f>
        <v>&lt;List Requirement Here&gt;</v>
      </c>
      <c r="S111" s="257" t="str">
        <f>IF('Council Own'!K143="A","A"," ")</f>
        <v xml:space="preserve"> </v>
      </c>
      <c r="U111" s="338"/>
      <c r="V111" s="338"/>
      <c r="W111" s="341"/>
    </row>
    <row r="112" spans="1:23" x14ac:dyDescent="0.2">
      <c r="I112" s="247"/>
      <c r="J112" s="344" t="str">
        <f>'Council Own'!C48</f>
        <v>&lt;List Requirement Here&gt;</v>
      </c>
      <c r="K112" s="257" t="str">
        <f>IF('Council Own'!K48="A","A"," ")</f>
        <v xml:space="preserve"> </v>
      </c>
      <c r="M112" s="247"/>
      <c r="N112" s="344" t="str">
        <f>'Council Own'!C96</f>
        <v>&lt;List Requirement Here&gt;</v>
      </c>
      <c r="O112" s="257" t="str">
        <f>IF('Council Own'!K96="A","A"," ")</f>
        <v xml:space="preserve"> </v>
      </c>
      <c r="Q112" s="247"/>
      <c r="R112" s="344" t="str">
        <f>'Council Own'!C144</f>
        <v>&lt;List Requirement Here&gt;</v>
      </c>
      <c r="S112" s="257" t="str">
        <f>IF('Council Own'!K144="A","A"," ")</f>
        <v xml:space="preserve"> </v>
      </c>
      <c r="U112" s="245"/>
      <c r="V112" s="245"/>
    </row>
    <row r="113" spans="9:22" x14ac:dyDescent="0.2">
      <c r="I113" s="247"/>
      <c r="J113" s="344" t="str">
        <f>'Council Own'!C49</f>
        <v>&lt;List Requirement Here&gt;</v>
      </c>
      <c r="K113" s="257" t="str">
        <f>IF('Council Own'!K49="A","A"," ")</f>
        <v xml:space="preserve"> </v>
      </c>
      <c r="M113" s="247"/>
      <c r="N113" s="344" t="str">
        <f>'Council Own'!C97</f>
        <v>&lt;List Requirement Here&gt;</v>
      </c>
      <c r="O113" s="257" t="str">
        <f>IF('Council Own'!K97="A","A"," ")</f>
        <v xml:space="preserve"> </v>
      </c>
      <c r="Q113" s="247"/>
      <c r="R113" s="344" t="str">
        <f>'Council Own'!C145</f>
        <v>&lt;List Requirement Here&gt;</v>
      </c>
      <c r="S113" s="257" t="str">
        <f>IF('Council Own'!K145="A","A"," ")</f>
        <v xml:space="preserve"> </v>
      </c>
      <c r="U113" s="245"/>
      <c r="V113" s="245"/>
    </row>
    <row r="114" spans="9:22" x14ac:dyDescent="0.2">
      <c r="I114" s="247"/>
      <c r="J114" s="344" t="str">
        <f>'Council Own'!C50</f>
        <v>&lt;List Requirement Here&gt;</v>
      </c>
      <c r="K114" s="257" t="str">
        <f>IF('Council Own'!K50="A","A"," ")</f>
        <v xml:space="preserve"> </v>
      </c>
      <c r="M114" s="247"/>
      <c r="N114" s="344" t="str">
        <f>'Council Own'!C98</f>
        <v>&lt;List Requirement Here&gt;</v>
      </c>
      <c r="O114" s="257" t="str">
        <f>IF('Council Own'!K98="A","A"," ")</f>
        <v xml:space="preserve"> </v>
      </c>
      <c r="Q114" s="247"/>
      <c r="R114" s="344" t="str">
        <f>'Council Own'!C146</f>
        <v>&lt;List Requirement Here&gt;</v>
      </c>
      <c r="S114" s="257" t="str">
        <f>IF('Council Own'!K146="A","A","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row r="147" ht="12.75" customHeight="1" x14ac:dyDescent="0.2"/>
    <row r="148" ht="12.75" customHeight="1" x14ac:dyDescent="0.2"/>
    <row r="172" ht="12.75" customHeight="1" x14ac:dyDescent="0.2"/>
    <row r="173" ht="12.75" customHeight="1" x14ac:dyDescent="0.2"/>
  </sheetData>
  <sheetProtection password="9A15" sheet="1" objects="1" scenarios="1" selectLockedCells="1" selectUnlockedCells="1"/>
  <mergeCells count="113">
    <mergeCell ref="E102:F102"/>
    <mergeCell ref="E96:F96"/>
    <mergeCell ref="E97:F97"/>
    <mergeCell ref="A98:C98"/>
    <mergeCell ref="E98:F98"/>
    <mergeCell ref="A99:C99"/>
    <mergeCell ref="E99:F99"/>
    <mergeCell ref="A100:C100"/>
    <mergeCell ref="E100:F100"/>
    <mergeCell ref="A101:C101"/>
    <mergeCell ref="E101:F101"/>
    <mergeCell ref="E87:F87"/>
    <mergeCell ref="E88:F88"/>
    <mergeCell ref="E89:F89"/>
    <mergeCell ref="E90:F90"/>
    <mergeCell ref="E91:F91"/>
    <mergeCell ref="E92:F92"/>
    <mergeCell ref="E93:F93"/>
    <mergeCell ref="E94:F94"/>
    <mergeCell ref="E95:F95"/>
    <mergeCell ref="E78:F78"/>
    <mergeCell ref="E79:F79"/>
    <mergeCell ref="E80:F80"/>
    <mergeCell ref="E81:F81"/>
    <mergeCell ref="E82:F82"/>
    <mergeCell ref="E83:F83"/>
    <mergeCell ref="E84:F84"/>
    <mergeCell ref="E85:F85"/>
    <mergeCell ref="E86:F86"/>
    <mergeCell ref="A26:B26"/>
    <mergeCell ref="A28:C28"/>
    <mergeCell ref="Q28:R28"/>
    <mergeCell ref="B29:C29"/>
    <mergeCell ref="B30:C30"/>
    <mergeCell ref="B34:C34"/>
    <mergeCell ref="Q34:R34"/>
    <mergeCell ref="B35:C35"/>
    <mergeCell ref="B42:C42"/>
    <mergeCell ref="Q42:R42"/>
    <mergeCell ref="A8:B8"/>
    <mergeCell ref="A9:B9"/>
    <mergeCell ref="A11:B11"/>
    <mergeCell ref="A16:B16"/>
    <mergeCell ref="A18:B18"/>
    <mergeCell ref="A19:B19"/>
    <mergeCell ref="A20:B20"/>
    <mergeCell ref="A24:C24"/>
    <mergeCell ref="A25:B25"/>
    <mergeCell ref="Q1:S1"/>
    <mergeCell ref="E2:G2"/>
    <mergeCell ref="Q2:R2"/>
    <mergeCell ref="Q3:R3"/>
    <mergeCell ref="Q4:R4"/>
    <mergeCell ref="Q5:R5"/>
    <mergeCell ref="Q6:R6"/>
    <mergeCell ref="Q7:R7"/>
    <mergeCell ref="Q8:R8"/>
    <mergeCell ref="A3:B3"/>
    <mergeCell ref="A4:C4"/>
    <mergeCell ref="A5:B5"/>
    <mergeCell ref="A6:B6"/>
    <mergeCell ref="A7:B7"/>
    <mergeCell ref="A1:C1"/>
    <mergeCell ref="E1:G1"/>
    <mergeCell ref="I1:K1"/>
    <mergeCell ref="M1:O1"/>
    <mergeCell ref="Q9:R9"/>
    <mergeCell ref="A10:B10"/>
    <mergeCell ref="Q10:R10"/>
    <mergeCell ref="Q11:R11"/>
    <mergeCell ref="Q12:R12"/>
    <mergeCell ref="A13:C13"/>
    <mergeCell ref="Q13:R13"/>
    <mergeCell ref="Q14:R14"/>
    <mergeCell ref="Q15:R15"/>
    <mergeCell ref="A12:B12"/>
    <mergeCell ref="A14:B14"/>
    <mergeCell ref="A15:B15"/>
    <mergeCell ref="Q16:R16"/>
    <mergeCell ref="Q17:R17"/>
    <mergeCell ref="Q18:R18"/>
    <mergeCell ref="Q19:R19"/>
    <mergeCell ref="Q20:R20"/>
    <mergeCell ref="A21:C21"/>
    <mergeCell ref="Q21:R21"/>
    <mergeCell ref="A22:B22"/>
    <mergeCell ref="A23:B23"/>
    <mergeCell ref="E23:G23"/>
    <mergeCell ref="A17:B17"/>
    <mergeCell ref="E103:F103"/>
    <mergeCell ref="E104:F104"/>
    <mergeCell ref="E105:F105"/>
    <mergeCell ref="E106:F106"/>
    <mergeCell ref="B43:C43"/>
    <mergeCell ref="E45:G45"/>
    <mergeCell ref="A49:C49"/>
    <mergeCell ref="Q55:S55"/>
    <mergeCell ref="E72:G72"/>
    <mergeCell ref="I72:K72"/>
    <mergeCell ref="M72:O72"/>
    <mergeCell ref="Q72:S72"/>
    <mergeCell ref="E73:F73"/>
    <mergeCell ref="A72:C72"/>
    <mergeCell ref="A76:B76"/>
    <mergeCell ref="A77:B77"/>
    <mergeCell ref="A78:B78"/>
    <mergeCell ref="A73:B73"/>
    <mergeCell ref="A74:B74"/>
    <mergeCell ref="A75:B75"/>
    <mergeCell ref="E74:F74"/>
    <mergeCell ref="E75:F75"/>
    <mergeCell ref="E76:F76"/>
    <mergeCell ref="E77:F7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W173"/>
  <sheetViews>
    <sheetView showGridLines="0" zoomScale="90" zoomScaleNormal="90" workbookViewId="0">
      <selection sqref="A1:XFD1048576"/>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1" customHeight="1" x14ac:dyDescent="0.35">
      <c r="A1" s="512" t="str">
        <f ca="1">MID(CELL("filename",A1),FIND(IF(ISERROR(FIND("]",CELL("filename",A1))),"$","]"),CELL("filename",A1))+1,256)</f>
        <v>Ambassador 9</v>
      </c>
      <c r="B1" s="512"/>
      <c r="C1" s="512"/>
      <c r="D1" s="265"/>
      <c r="E1" s="506" t="s">
        <v>15</v>
      </c>
      <c r="F1" s="506"/>
      <c r="G1" s="506"/>
      <c r="I1" s="506" t="s">
        <v>15</v>
      </c>
      <c r="J1" s="506"/>
      <c r="K1" s="506"/>
      <c r="M1" s="506" t="s">
        <v>15</v>
      </c>
      <c r="N1" s="506"/>
      <c r="O1" s="506"/>
      <c r="Q1" s="506" t="s">
        <v>135</v>
      </c>
      <c r="R1" s="506"/>
      <c r="S1" s="506"/>
      <c r="T1" s="239"/>
      <c r="U1" s="239"/>
    </row>
    <row r="2" spans="1:21" s="245" customFormat="1" ht="13.5" thickBot="1" x14ac:dyDescent="0.25">
      <c r="A2" s="242"/>
      <c r="B2" s="243"/>
      <c r="C2" s="244" t="s">
        <v>16</v>
      </c>
      <c r="D2" s="243"/>
      <c r="E2" s="492" t="str">
        <f>Badges!B6</f>
        <v>Photography</v>
      </c>
      <c r="F2" s="492"/>
      <c r="G2" s="492"/>
      <c r="H2" s="241"/>
      <c r="I2" s="247">
        <v>3</v>
      </c>
      <c r="J2" s="248" t="str">
        <f>Badges!C61</f>
        <v>Dig into national or state public policy</v>
      </c>
      <c r="K2" s="249"/>
      <c r="L2" s="241"/>
      <c r="M2" s="247">
        <v>3</v>
      </c>
      <c r="N2" s="248" t="str">
        <f>Badges!C130</f>
        <v>Share sisterhood around the world</v>
      </c>
      <c r="O2" s="249"/>
      <c r="P2" s="241"/>
      <c r="Q2" s="493" t="str">
        <f>'Age-Level'!B5</f>
        <v>Gold Torch Award</v>
      </c>
      <c r="R2" s="494"/>
      <c r="S2" s="251" t="str">
        <f>IF('Age-Level'!L8="C","C",IF('Age-Level'!L8="P","P",""))</f>
        <v/>
      </c>
      <c r="T2" s="239"/>
      <c r="U2" s="239"/>
    </row>
    <row r="3" spans="1:21" x14ac:dyDescent="0.2">
      <c r="A3" s="510" t="s">
        <v>132</v>
      </c>
      <c r="B3" s="511"/>
      <c r="C3" s="246">
        <f>INT(COUNTIF(C5:C12,"C"))+INT(COUNTIF(C14:C26,"C"))</f>
        <v>0</v>
      </c>
      <c r="E3" s="247">
        <v>1</v>
      </c>
      <c r="F3" s="248" t="str">
        <f>Badges!C7</f>
        <v>Expore the power of photography</v>
      </c>
      <c r="G3" s="249"/>
      <c r="I3" s="247"/>
      <c r="J3" s="248" t="str">
        <f>Badges!C62</f>
        <v>Track your issue</v>
      </c>
      <c r="K3" s="250" t="str">
        <f>IF(Badges!L62="A","A"," ")</f>
        <v xml:space="preserve"> </v>
      </c>
      <c r="M3" s="247"/>
      <c r="N3" s="248" t="str">
        <f>Badges!C131</f>
        <v>Explore an issue affecting girls and</v>
      </c>
      <c r="O3" s="250" t="str">
        <f>IF(Badges!L131="A","A"," ")</f>
        <v xml:space="preserve"> </v>
      </c>
      <c r="Q3" s="471" t="str">
        <f>'Age-Level'!B9</f>
        <v>Ambassador Community Service bar</v>
      </c>
      <c r="R3" s="472"/>
      <c r="S3" s="251" t="str">
        <f>IF('Age-Level'!L9="C","C",IF('Age-Level'!L9="P","P",""))</f>
        <v/>
      </c>
      <c r="T3" s="239"/>
      <c r="U3" s="239"/>
    </row>
    <row r="4" spans="1:21" x14ac:dyDescent="0.2">
      <c r="A4" s="500" t="str">
        <f>Summary!A3</f>
        <v>Legacy</v>
      </c>
      <c r="B4" s="500"/>
      <c r="C4" s="500"/>
      <c r="E4" s="247"/>
      <c r="F4" s="248" t="str">
        <f>Badges!C8</f>
        <v>Go to a photography exhibit</v>
      </c>
      <c r="G4" s="250" t="str">
        <f>IF(Badges!L8="A","A"," ")</f>
        <v xml:space="preserve"> </v>
      </c>
      <c r="I4" s="247"/>
      <c r="J4" s="248" t="str">
        <f>Badges!C63</f>
        <v>Talk to an interest gorup that promotes</v>
      </c>
      <c r="K4" s="250" t="str">
        <f>IF(Badges!L63="A","A"," ")</f>
        <v xml:space="preserve"> </v>
      </c>
      <c r="M4" s="247"/>
      <c r="N4" s="248" t="str">
        <f>Badges!C132</f>
        <v>Organize an event on women and STEM</v>
      </c>
      <c r="O4" s="250" t="str">
        <f>IF(Badges!L132="A","A"," ")</f>
        <v xml:space="preserve"> </v>
      </c>
      <c r="Q4" s="471" t="str">
        <f>'Age-Level'!B12</f>
        <v>Ambassador Service to Girl Scouting bar</v>
      </c>
      <c r="R4" s="472"/>
      <c r="S4" s="251" t="str">
        <f>IF('Age-Level'!L10="C","C",IF('Age-Level'!L10="P","P",""))</f>
        <v/>
      </c>
      <c r="T4" s="239"/>
      <c r="U4" s="239"/>
    </row>
    <row r="5" spans="1:21" ht="12.75" customHeight="1" x14ac:dyDescent="0.2">
      <c r="A5" s="501" t="str">
        <f>Summary!A4</f>
        <v>Photography</v>
      </c>
      <c r="B5" s="502"/>
      <c r="C5" s="252" t="str">
        <f>IF(Badges!L28="C","C",IF(Badges!L28="P","P",""))</f>
        <v/>
      </c>
      <c r="E5" s="247"/>
      <c r="F5" s="248" t="str">
        <f>Badges!C9</f>
        <v>Create a photography timeline.</v>
      </c>
      <c r="G5" s="250" t="str">
        <f>IF(Badges!L9="A","A"," ")</f>
        <v xml:space="preserve"> </v>
      </c>
      <c r="I5" s="247"/>
      <c r="J5" s="248" t="str">
        <f>Badges!C64</f>
        <v>Compare three different states' positions</v>
      </c>
      <c r="K5" s="250" t="str">
        <f>IF(Badges!L64="A","A"," ")</f>
        <v xml:space="preserve"> </v>
      </c>
      <c r="M5" s="247"/>
      <c r="N5" s="248" t="str">
        <f>Badges!C133</f>
        <v>Interview a global citizen</v>
      </c>
      <c r="O5" s="250" t="str">
        <f>IF(Badges!L133="A","A"," ")</f>
        <v xml:space="preserve"> </v>
      </c>
      <c r="Q5" s="471" t="str">
        <f>'Age-Level'!B15</f>
        <v>Ambassador Volunteer in Training</v>
      </c>
      <c r="R5" s="472"/>
      <c r="S5" s="251" t="str">
        <f>IF('Age-Level'!L19="C","C",IF('Age-Level'!L19="P","P",""))</f>
        <v/>
      </c>
      <c r="T5" s="239"/>
      <c r="U5" s="239"/>
    </row>
    <row r="6" spans="1:21" ht="12.75" customHeight="1" x14ac:dyDescent="0.2">
      <c r="A6" s="490" t="str">
        <f>Summary!A5</f>
        <v>Coaching</v>
      </c>
      <c r="B6" s="491"/>
      <c r="C6" s="252" t="str">
        <f>IF(Badges!L51="C","C",IF(Badges!L51="P","P",""))</f>
        <v/>
      </c>
      <c r="E6" s="247"/>
      <c r="F6" s="248" t="str">
        <f>Badges!C10</f>
        <v>Make sticky-note comics</v>
      </c>
      <c r="G6" s="250" t="str">
        <f>IF(Badges!L10="A","A"," ")</f>
        <v xml:space="preserve"> </v>
      </c>
      <c r="I6" s="247">
        <v>4</v>
      </c>
      <c r="J6" s="248" t="str">
        <f>Badges!C65</f>
        <v>Explore local or community policy</v>
      </c>
      <c r="K6" s="249"/>
      <c r="M6" s="247">
        <v>4</v>
      </c>
      <c r="N6" s="248" t="str">
        <f>Badges!C134</f>
        <v>Leave your wolrd better than you found it</v>
      </c>
      <c r="O6" s="249"/>
      <c r="Q6" s="471" t="str">
        <f>'Age-Level'!B20</f>
        <v>Journey Summit Pin</v>
      </c>
      <c r="R6" s="472"/>
      <c r="S6" s="251" t="str">
        <f>IF('Age-Level'!L21="C","C",IF('Age-Level'!L21="P","P",""))</f>
        <v/>
      </c>
      <c r="T6" s="239"/>
      <c r="U6" s="239"/>
    </row>
    <row r="7" spans="1:21" x14ac:dyDescent="0.2">
      <c r="A7" s="490" t="str">
        <f>Summary!A6</f>
        <v>Public Policy</v>
      </c>
      <c r="B7" s="491"/>
      <c r="C7" s="252" t="str">
        <f>IF(Badges!L74="C","C",IF(Badges!L74="P","P",""))</f>
        <v/>
      </c>
      <c r="E7" s="247">
        <v>2</v>
      </c>
      <c r="F7" s="248" t="str">
        <f>Badges!C11</f>
        <v>Focus on composition</v>
      </c>
      <c r="G7" s="249"/>
      <c r="I7" s="247"/>
      <c r="J7" s="248" t="str">
        <f>Badges!C66</f>
        <v>Attend a meeting</v>
      </c>
      <c r="K7" s="250" t="str">
        <f>IF(Badges!L66="A","A"," ")</f>
        <v xml:space="preserve"> </v>
      </c>
      <c r="M7" s="247"/>
      <c r="N7" s="248" t="str">
        <f>Badges!C135</f>
        <v xml:space="preserve">Find ideas to use your leaderhship </v>
      </c>
      <c r="O7" s="250" t="str">
        <f>IF(Badges!L135="A","A"," ")</f>
        <v xml:space="preserve"> </v>
      </c>
      <c r="Q7" s="471" t="str">
        <f>'Age-Level'!C23</f>
        <v>Cookie Rally (Year 1)</v>
      </c>
      <c r="R7" s="472"/>
      <c r="S7" s="257" t="str">
        <f>IF('Age-Level'!L23="A","A"," ")</f>
        <v xml:space="preserve"> </v>
      </c>
    </row>
    <row r="8" spans="1:21" x14ac:dyDescent="0.2">
      <c r="A8" s="490" t="str">
        <f>Summary!A7</f>
        <v>Dinner Party</v>
      </c>
      <c r="B8" s="491"/>
      <c r="C8" s="252" t="str">
        <f>IF(Badges!L97="C","C",IF(Badges!L97="P","P",""))</f>
        <v/>
      </c>
      <c r="E8" s="247"/>
      <c r="F8" s="248" t="str">
        <f>Badges!C12</f>
        <v>Capture a day in the life</v>
      </c>
      <c r="G8" s="250" t="str">
        <f>IF(Badges!L12="A","A"," ")</f>
        <v xml:space="preserve"> </v>
      </c>
      <c r="I8" s="247"/>
      <c r="J8" s="248" t="str">
        <f>Badges!C67</f>
        <v>Compare different local positions</v>
      </c>
      <c r="K8" s="250" t="str">
        <f>IF(Badges!L67="A","A"," ")</f>
        <v xml:space="preserve"> </v>
      </c>
      <c r="M8" s="247"/>
      <c r="N8" s="248" t="str">
        <f>Badges!C136</f>
        <v>Gather ideas to work for a healthy</v>
      </c>
      <c r="O8" s="250" t="str">
        <f>IF(Badges!L136="A","A"," ")</f>
        <v xml:space="preserve"> </v>
      </c>
      <c r="Q8" s="471" t="str">
        <f>'Age-Level'!C24</f>
        <v>Cookie Sales (Year 1)</v>
      </c>
      <c r="R8" s="472"/>
      <c r="S8" s="257" t="str">
        <f>IF('Age-Level'!L24="A","A"," ")</f>
        <v xml:space="preserve"> </v>
      </c>
    </row>
    <row r="9" spans="1:21" x14ac:dyDescent="0.2">
      <c r="A9" s="490" t="str">
        <f>Summary!A8</f>
        <v>Ambassador First Aid</v>
      </c>
      <c r="B9" s="491"/>
      <c r="C9" s="252" t="str">
        <f>IF(Badges!L120="C","C",IF(Badges!L120="P","P",""))</f>
        <v/>
      </c>
      <c r="E9" s="247"/>
      <c r="F9" s="248" t="str">
        <f>Badges!C13</f>
        <v>Photograph weather patterns</v>
      </c>
      <c r="G9" s="250" t="str">
        <f>IF(Badges!L13="A","A"," ")</f>
        <v xml:space="preserve"> </v>
      </c>
      <c r="I9" s="247"/>
      <c r="J9" s="248" t="str">
        <f>Badges!C68</f>
        <v>Visit your local legislator's office</v>
      </c>
      <c r="K9" s="250" t="str">
        <f>IF(Badges!L68="A","A"," ")</f>
        <v xml:space="preserve"> </v>
      </c>
      <c r="M9" s="247"/>
      <c r="N9" s="248" t="str">
        <f>Badges!C137</f>
        <v>Brainstorm idea for social change</v>
      </c>
      <c r="O9" s="250" t="str">
        <f>IF(Badges!L137="A","A"," ")</f>
        <v xml:space="preserve"> </v>
      </c>
      <c r="Q9" s="471" t="str">
        <f>'Age-Level'!C25</f>
        <v>Cookie Pin (Year 1)</v>
      </c>
      <c r="R9" s="472"/>
      <c r="S9" s="257" t="str">
        <f>IF('Age-Level'!L25="A","A"," ")</f>
        <v xml:space="preserve"> </v>
      </c>
    </row>
    <row r="10" spans="1:21" x14ac:dyDescent="0.2">
      <c r="A10" s="490" t="str">
        <f>Summary!A9</f>
        <v>Ambassador Girl Scout Way</v>
      </c>
      <c r="B10" s="491"/>
      <c r="C10" s="253" t="str">
        <f>IF(Badges!L143="C","C",IF(Badges!L143="P","P",""))</f>
        <v/>
      </c>
      <c r="E10" s="247"/>
      <c r="F10" s="248" t="str">
        <f>Badges!C14</f>
        <v>Take 5 photos form a different</v>
      </c>
      <c r="G10" s="250" t="str">
        <f>IF(Badges!L14="A","A"," ")</f>
        <v xml:space="preserve"> </v>
      </c>
      <c r="I10" s="247">
        <v>5</v>
      </c>
      <c r="J10" s="248" t="str">
        <f>Badges!C69</f>
        <v>See public policy creation in action</v>
      </c>
      <c r="K10" s="249"/>
      <c r="M10" s="247">
        <v>5</v>
      </c>
      <c r="N10" s="248" t="str">
        <f>Badges!C138</f>
        <v>Enjoy Girl Scout traditions!</v>
      </c>
      <c r="O10" s="249"/>
      <c r="Q10" s="471" t="str">
        <f>'Age-Level'!C26</f>
        <v>Cookie Rally (Year 2)</v>
      </c>
      <c r="R10" s="472"/>
      <c r="S10" s="257" t="str">
        <f>IF('Age-Level'!L26="A","A"," ")</f>
        <v xml:space="preserve"> </v>
      </c>
    </row>
    <row r="11" spans="1:21" x14ac:dyDescent="0.2">
      <c r="A11" s="509" t="str">
        <f>Summary!A10</f>
        <v>Water</v>
      </c>
      <c r="B11" s="491"/>
      <c r="C11" s="252" t="str">
        <f>IF(Badges!L166="C","C",IF(Badges!L166="P","P",""))</f>
        <v/>
      </c>
      <c r="E11" s="247">
        <v>3</v>
      </c>
      <c r="F11" s="248" t="str">
        <f>Badges!C15</f>
        <v>Focus on light</v>
      </c>
      <c r="G11" s="249"/>
      <c r="I11" s="247"/>
      <c r="J11" s="248" t="str">
        <f>Badges!C70</f>
        <v>Shadow a policy-maker</v>
      </c>
      <c r="K11" s="250" t="str">
        <f>IF(Badges!L70="A","A"," ")</f>
        <v xml:space="preserve"> </v>
      </c>
      <c r="M11" s="247"/>
      <c r="N11" s="248" t="str">
        <f>Badges!C139</f>
        <v>Pass down a tradition</v>
      </c>
      <c r="O11" s="250" t="str">
        <f>IF(Badges!L139="A","A"," ")</f>
        <v xml:space="preserve"> </v>
      </c>
      <c r="Q11" s="471" t="str">
        <f>'Age-Level'!C27</f>
        <v>Cookie Sales (Year 2)</v>
      </c>
      <c r="R11" s="472"/>
      <c r="S11" s="257" t="str">
        <f>IF('Age-Level'!L27="A","A"," ")</f>
        <v xml:space="preserve"> </v>
      </c>
    </row>
    <row r="12" spans="1:21" x14ac:dyDescent="0.2">
      <c r="A12" s="507"/>
      <c r="B12" s="507"/>
      <c r="C12" s="336"/>
      <c r="E12" s="247"/>
      <c r="F12" s="248" t="str">
        <f>Badges!C16</f>
        <v>Invite friends to a shoot day</v>
      </c>
      <c r="G12" s="250" t="str">
        <f>IF(Badges!L16="A","A"," ")</f>
        <v xml:space="preserve"> </v>
      </c>
      <c r="I12" s="247"/>
      <c r="J12" s="248" t="str">
        <f>Badges!C71</f>
        <v>Volunteer at an office</v>
      </c>
      <c r="K12" s="250" t="str">
        <f>IF(Badges!L71="A","A"," ")</f>
        <v xml:space="preserve"> </v>
      </c>
      <c r="M12" s="247"/>
      <c r="N12" s="248" t="str">
        <f>Badges!C140</f>
        <v>Start a Girl Scout tradition of your own</v>
      </c>
      <c r="O12" s="250" t="str">
        <f>IF(Badges!L140="A","A"," ")</f>
        <v xml:space="preserve"> </v>
      </c>
      <c r="Q12" s="471" t="str">
        <f>'Age-Level'!C28</f>
        <v>Cookie Pin (Year 2)</v>
      </c>
      <c r="R12" s="472"/>
      <c r="S12" s="257" t="str">
        <f>IF('Age-Level'!L28="A","A"," ")</f>
        <v xml:space="preserve"> </v>
      </c>
    </row>
    <row r="13" spans="1:21" x14ac:dyDescent="0.2">
      <c r="A13" s="500" t="str">
        <f>Summary!A3</f>
        <v>Legacy</v>
      </c>
      <c r="B13" s="500"/>
      <c r="C13" s="500"/>
      <c r="E13" s="247"/>
      <c r="F13" s="248" t="str">
        <f>Badges!C17</f>
        <v>Capture the same person or object</v>
      </c>
      <c r="G13" s="250" t="str">
        <f>IF(Badges!L17="A","A"," ")</f>
        <v xml:space="preserve"> </v>
      </c>
      <c r="I13" s="247"/>
      <c r="J13" s="248" t="str">
        <f>Badges!C72</f>
        <v>Interview a policy-maker</v>
      </c>
      <c r="K13" s="250" t="str">
        <f>IF(Badges!L72="A","A"," ")</f>
        <v xml:space="preserve"> </v>
      </c>
      <c r="M13" s="247"/>
      <c r="N13" s="248" t="str">
        <f>Badges!C141</f>
        <v>Share the Girl Scout way by example</v>
      </c>
      <c r="O13" s="250" t="str">
        <f>IF(Badges!L141="A","A"," ")</f>
        <v xml:space="preserve"> </v>
      </c>
      <c r="Q13" s="471" t="str">
        <f>'Age-Level'!C30</f>
        <v>Fall Sales (Year 1)</v>
      </c>
      <c r="R13" s="472"/>
      <c r="S13" s="252" t="str">
        <f>IF('Age-Level'!L30="A","A","")</f>
        <v/>
      </c>
    </row>
    <row r="14" spans="1:21" x14ac:dyDescent="0.2">
      <c r="A14" s="501" t="str">
        <f>Summary!A4</f>
        <v>Photography</v>
      </c>
      <c r="B14" s="502"/>
      <c r="C14" s="251" t="str">
        <f>IF(Badges!L28="C","C",IF(Badges!L28="P","P",""))</f>
        <v/>
      </c>
      <c r="E14" s="247"/>
      <c r="F14" s="248" t="str">
        <f>Badges!C18</f>
        <v>Grow your image</v>
      </c>
      <c r="G14" s="250" t="str">
        <f>IF(Badges!L18="A","A"," ")</f>
        <v xml:space="preserve"> </v>
      </c>
      <c r="I14" s="339" t="str">
        <f>Badges!B75</f>
        <v>Dinner Party</v>
      </c>
      <c r="J14" s="340"/>
      <c r="K14" s="340"/>
      <c r="M14" s="339" t="str">
        <f>Badges!B144</f>
        <v>Water</v>
      </c>
      <c r="N14" s="340"/>
      <c r="O14" s="340"/>
      <c r="Q14" s="471" t="str">
        <f>'Age-Level'!C31</f>
        <v>Fall Sales (Year 2)</v>
      </c>
      <c r="R14" s="472"/>
      <c r="S14" s="252" t="str">
        <f>IF('Age-Level'!L31="A","A","")</f>
        <v/>
      </c>
    </row>
    <row r="15" spans="1:21" x14ac:dyDescent="0.2">
      <c r="A15" s="490" t="str">
        <f>Summary!A5</f>
        <v>Coaching</v>
      </c>
      <c r="B15" s="491"/>
      <c r="C15" s="252" t="str">
        <f>IF(Badges!L51="C","C",IF(Badges!L51="P","P",""))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471" t="str">
        <f>'Age-Level'!C33</f>
        <v>Thinking Day (Year 1)</v>
      </c>
      <c r="R15" s="472"/>
      <c r="S15" s="252" t="str">
        <f>IF('Age-Level'!L33="A","A","")</f>
        <v/>
      </c>
    </row>
    <row r="16" spans="1:21" x14ac:dyDescent="0.2">
      <c r="A16" s="490" t="str">
        <f>Summary!A6</f>
        <v>Public Policy</v>
      </c>
      <c r="B16" s="491"/>
      <c r="C16" s="252" t="str">
        <f>IF(Badges!L74="C","C",IF(Badges!L74="P","P",""))</f>
        <v/>
      </c>
      <c r="E16" s="247"/>
      <c r="F16" s="248" t="str">
        <f>Badges!C20</f>
        <v xml:space="preserve">Take photos of a group </v>
      </c>
      <c r="G16" s="250" t="str">
        <f>IF(Badges!L20="A","A"," ")</f>
        <v xml:space="preserve"> </v>
      </c>
      <c r="I16" s="247"/>
      <c r="J16" s="248" t="str">
        <f>Badges!C77</f>
        <v>Interview a caterer, event planner, chef</v>
      </c>
      <c r="K16" s="250" t="str">
        <f>IF(Badges!L77="A","A"," ")</f>
        <v xml:space="preserve"> </v>
      </c>
      <c r="M16" s="247"/>
      <c r="N16" s="248" t="str">
        <f>Badges!C146</f>
        <v>Visit water in its natural state</v>
      </c>
      <c r="O16" s="250" t="str">
        <f>IF(Badges!L146="A","A"," ")</f>
        <v xml:space="preserve"> </v>
      </c>
      <c r="Q16" s="471" t="str">
        <f>'Age-Level'!C34</f>
        <v>Thinking Day (Year 2)</v>
      </c>
      <c r="R16" s="472"/>
      <c r="S16" s="252" t="str">
        <f>IF('Age-Level'!L34="A","A","")</f>
        <v/>
      </c>
    </row>
    <row r="17" spans="1:19" x14ac:dyDescent="0.2">
      <c r="A17" s="490" t="str">
        <f>Summary!A7</f>
        <v>Dinner Party</v>
      </c>
      <c r="B17" s="491"/>
      <c r="C17" s="252" t="str">
        <f>IF(Badges!L97="C","C",IF(Badges!L97="P","P",""))</f>
        <v/>
      </c>
      <c r="E17" s="247"/>
      <c r="F17" s="248" t="str">
        <f>Badges!C21</f>
        <v>Take photos of faces in motion</v>
      </c>
      <c r="G17" s="250" t="str">
        <f>IF(Badges!L21="A","A"," ")</f>
        <v xml:space="preserve"> </v>
      </c>
      <c r="I17" s="247"/>
      <c r="J17" s="248" t="str">
        <f>Badges!C78</f>
        <v>Collect recipes from cooking shows</v>
      </c>
      <c r="K17" s="250" t="str">
        <f>IF(Badges!L78="A","A"," ")</f>
        <v xml:space="preserve"> </v>
      </c>
      <c r="M17" s="247"/>
      <c r="N17" s="248" t="str">
        <f>Badges!C147</f>
        <v>Try a new water skill</v>
      </c>
      <c r="O17" s="250" t="str">
        <f>IF(Badges!L147="A","A"," ")</f>
        <v xml:space="preserve"> </v>
      </c>
      <c r="Q17" s="471" t="str">
        <f>'Age-Level'!C36</f>
        <v>Global Action Award</v>
      </c>
      <c r="R17" s="472"/>
      <c r="S17" s="252" t="str">
        <f>IF('Age-Level'!L36="A","A","")</f>
        <v/>
      </c>
    </row>
    <row r="18" spans="1:19" x14ac:dyDescent="0.2">
      <c r="A18" s="490" t="str">
        <f>Summary!A8</f>
        <v>Ambassador First Aid</v>
      </c>
      <c r="B18" s="491"/>
      <c r="C18" s="252" t="str">
        <f>IF(Badges!L120="C","C",IF(Badges!L120="P","P",""))</f>
        <v/>
      </c>
      <c r="E18" s="247"/>
      <c r="F18" s="248" t="str">
        <f>Badges!C22</f>
        <v>Take photos of objects in motion</v>
      </c>
      <c r="G18" s="250" t="str">
        <f>IF(Badges!L22="A","A"," ")</f>
        <v xml:space="preserve"> </v>
      </c>
      <c r="I18" s="247"/>
      <c r="J18" s="248" t="str">
        <f>Badges!C79</f>
        <v>Build a men around your favorite</v>
      </c>
      <c r="K18" s="250" t="str">
        <f>IF(Badges!L79="A","A"," ")</f>
        <v xml:space="preserve"> </v>
      </c>
      <c r="M18" s="247"/>
      <c r="N18" s="248" t="str">
        <f>Badges!C148</f>
        <v>Enjoy a water activity you already know</v>
      </c>
      <c r="O18" s="250" t="str">
        <f>IF(Badges!L148="A","A"," ")</f>
        <v xml:space="preserve"> </v>
      </c>
      <c r="Q18" s="471" t="str">
        <f>'Age-Level'!C38</f>
        <v>International Friendship Recognition</v>
      </c>
      <c r="R18" s="472"/>
      <c r="S18" s="252" t="str">
        <f>IF('Age-Level'!L38="A","A","")</f>
        <v/>
      </c>
    </row>
    <row r="19" spans="1:19" x14ac:dyDescent="0.2">
      <c r="A19" s="490" t="str">
        <f>Summary!A9</f>
        <v>Ambassador Girl Scout Way</v>
      </c>
      <c r="B19" s="491"/>
      <c r="C19" s="252" t="str">
        <f>IF(Badges!L143="C","C",IF(Badges!L143="P","P",""))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471" t="str">
        <f>'Age-Level'!C40</f>
        <v>Investiture</v>
      </c>
      <c r="R19" s="472"/>
      <c r="S19" s="252" t="str">
        <f>IF('Age-Level'!L40="A","A","")</f>
        <v/>
      </c>
    </row>
    <row r="20" spans="1:19" x14ac:dyDescent="0.2">
      <c r="A20" s="507" t="str">
        <f>Summary!A10</f>
        <v>Water</v>
      </c>
      <c r="B20" s="508"/>
      <c r="C20" s="253" t="str">
        <f>IF(Badges!L166="C","C",IF(Badges!L166="P","P",""))</f>
        <v/>
      </c>
      <c r="E20" s="247"/>
      <c r="F20" s="248" t="str">
        <f>Badges!C24</f>
        <v>Stage a photo exhibit</v>
      </c>
      <c r="G20" s="250" t="str">
        <f>IF(Badges!L24="A","A"," ")</f>
        <v xml:space="preserve"> </v>
      </c>
      <c r="I20" s="247"/>
      <c r="J20" s="248" t="str">
        <f>Badges!C81</f>
        <v>Camparison shop</v>
      </c>
      <c r="K20" s="250" t="str">
        <f>IF(Badges!L81="A","A"," ")</f>
        <v xml:space="preserve"> </v>
      </c>
      <c r="M20" s="247"/>
      <c r="N20" s="248" t="str">
        <f>Badges!C150</f>
        <v>Delve into water literature</v>
      </c>
      <c r="O20" s="250" t="str">
        <f>IF(Badges!L150="A","A"," ")</f>
        <v xml:space="preserve"> </v>
      </c>
      <c r="Q20" s="471" t="str">
        <f>'Age-Level'!C41</f>
        <v>Rededication (1st year)</v>
      </c>
      <c r="R20" s="472"/>
      <c r="S20" s="262" t="str">
        <f>IF('Age-Level'!L41="C","C","")</f>
        <v/>
      </c>
    </row>
    <row r="21" spans="1:19" x14ac:dyDescent="0.2">
      <c r="A21" s="500" t="str">
        <f>Summary!A11</f>
        <v>Financial Literacy</v>
      </c>
      <c r="B21" s="500"/>
      <c r="C21" s="500"/>
      <c r="E21" s="247"/>
      <c r="F21" s="248" t="str">
        <f>Badges!C25</f>
        <v>Make a digital slide show</v>
      </c>
      <c r="G21" s="250" t="str">
        <f>IF(Badges!L25="A","A"," ")</f>
        <v xml:space="preserve"> </v>
      </c>
      <c r="I21" s="247"/>
      <c r="J21" s="248" t="str">
        <f>Badges!C82</f>
        <v>Consult with a professional chef</v>
      </c>
      <c r="K21" s="250" t="str">
        <f>IF(Badges!L82="A","A"," ")</f>
        <v xml:space="preserve"> </v>
      </c>
      <c r="M21" s="247"/>
      <c r="N21" s="248" t="str">
        <f>Badges!C151</f>
        <v xml:space="preserve">Enjoy an exhibit or event that features </v>
      </c>
      <c r="O21" s="250" t="str">
        <f>IF(Badges!L151="A","A"," ")</f>
        <v xml:space="preserve"> </v>
      </c>
      <c r="Q21" s="471" t="str">
        <f>'Age-Level'!C42</f>
        <v>Rededication (2nd year)</v>
      </c>
      <c r="R21" s="472"/>
      <c r="S21" s="262" t="str">
        <f>IF('Age-Level'!L42="C","C","")</f>
        <v/>
      </c>
    </row>
    <row r="22" spans="1:19" x14ac:dyDescent="0.2">
      <c r="A22" s="501" t="str">
        <f>Summary!A12</f>
        <v>On My Own</v>
      </c>
      <c r="B22" s="502"/>
      <c r="C22" s="251" t="str">
        <f>IF(Badges!L190="C","C",IF(Badges!L190="P","P",""))</f>
        <v/>
      </c>
      <c r="E22" s="247"/>
      <c r="F22" s="248" t="str">
        <f>Badges!C26</f>
        <v>Create a photo album or scrapbook</v>
      </c>
      <c r="G22" s="250" t="str">
        <f>IF(Badges!L26="A","A"," ")</f>
        <v xml:space="preserve"> </v>
      </c>
      <c r="I22" s="247"/>
      <c r="J22" s="248" t="str">
        <f>Badges!C83</f>
        <v>Learn about alternative ways to shop</v>
      </c>
      <c r="K22" s="250" t="str">
        <f>IF(Badges!L83="A","A"," ")</f>
        <v xml:space="preserve"> </v>
      </c>
      <c r="M22" s="247"/>
      <c r="N22" s="248" t="str">
        <f>Badges!C152</f>
        <v>Create your own water composition</v>
      </c>
      <c r="O22" s="250" t="str">
        <f>IF(Badges!L152="A","A"," ")</f>
        <v xml:space="preserve"> </v>
      </c>
      <c r="Q22" s="342" t="str">
        <f>'Age-Level'!B43</f>
        <v>My Promise, My Faith (Year 1)</v>
      </c>
      <c r="R22" s="343"/>
      <c r="S22" s="262"/>
    </row>
    <row r="23" spans="1:19" x14ac:dyDescent="0.2">
      <c r="A23" s="490" t="str">
        <f>Summary!A13</f>
        <v>Good Credit</v>
      </c>
      <c r="B23" s="491"/>
      <c r="C23" s="251" t="str">
        <f>IF(Badges!L213="C","C",IF(Badges!L213="P","P",""))</f>
        <v/>
      </c>
      <c r="E23" s="492" t="str">
        <f>Badges!B29</f>
        <v>Coaching</v>
      </c>
      <c r="F23" s="492"/>
      <c r="G23" s="492"/>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IF('Age-Level'!L44="A","A","")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IF(Badges!L85="A","A"," ")</f>
        <v xml:space="preserve"> </v>
      </c>
      <c r="M24" s="247"/>
      <c r="N24" s="248" t="str">
        <f>Badges!C154</f>
        <v>Visit a water facility and explore its</v>
      </c>
      <c r="O24" s="250" t="str">
        <f>IF(Badges!L154="A","A"," ")</f>
        <v xml:space="preserve"> </v>
      </c>
      <c r="Q24" s="267">
        <v>2</v>
      </c>
      <c r="R24" s="344" t="str">
        <f>'Age-Level'!C45</f>
        <v>Find a woman in your community</v>
      </c>
      <c r="S24" s="262" t="str">
        <f>IF('Age-Level'!L45="A","A","")</f>
        <v/>
      </c>
    </row>
    <row r="25" spans="1:19" x14ac:dyDescent="0.2">
      <c r="A25" s="490" t="str">
        <f>Summary!A15</f>
        <v>Research and Development</v>
      </c>
      <c r="B25" s="491"/>
      <c r="C25" s="252" t="str">
        <f>IF(Badges!L227="C","C",IF(Badges!L227="P","P",""))</f>
        <v/>
      </c>
      <c r="E25" s="247"/>
      <c r="F25" s="248" t="str">
        <f>Badges!C31</f>
        <v>Talk to a great coach</v>
      </c>
      <c r="G25" s="250" t="str">
        <f>IF(Badges!L31="A","A"," ")</f>
        <v xml:space="preserve"> </v>
      </c>
      <c r="I25" s="247"/>
      <c r="J25" s="248" t="str">
        <f>Badges!C86</f>
        <v>Make a menu timeline</v>
      </c>
      <c r="K25" s="250" t="str">
        <f>IF(Badges!L86="A","A"," ")</f>
        <v xml:space="preserve"> </v>
      </c>
      <c r="M25" s="247"/>
      <c r="N25" s="248" t="str">
        <f>Badges!C155</f>
        <v>Investigate endangered marine life</v>
      </c>
      <c r="O25" s="250" t="str">
        <f>IF(Badges!L155="A","A"," ")</f>
        <v xml:space="preserve"> </v>
      </c>
      <c r="Q25" s="267">
        <v>3</v>
      </c>
      <c r="R25" s="344" t="str">
        <f>'Age-Level'!C46</f>
        <v>Gather three inspirational quotes</v>
      </c>
      <c r="S25" s="262" t="str">
        <f>IF('Age-Level'!L46="A","A","")</f>
        <v/>
      </c>
    </row>
    <row r="26" spans="1:19" x14ac:dyDescent="0.2">
      <c r="A26" s="490" t="str">
        <f>Summary!A16</f>
        <v>P &amp; L</v>
      </c>
      <c r="B26" s="491"/>
      <c r="C26" s="252" t="str">
        <f>IF(Badges!L240="C","C",IF(Badges!L240="P","P",""))</f>
        <v/>
      </c>
      <c r="E26" s="247"/>
      <c r="F26" s="248" t="str">
        <f>Badges!C32</f>
        <v>Watch three sports documentaries</v>
      </c>
      <c r="G26" s="250" t="str">
        <f>IF(Badges!L32="A","A"," ")</f>
        <v xml:space="preserve"> </v>
      </c>
      <c r="I26" s="247"/>
      <c r="J26" s="248" t="str">
        <f>Badges!C87</f>
        <v>Prepare a test meal for family or friends</v>
      </c>
      <c r="K26" s="250" t="str">
        <f>IF(Badges!L87="A","A"," ")</f>
        <v xml:space="preserve"> </v>
      </c>
      <c r="M26" s="247"/>
      <c r="N26" s="248" t="str">
        <f>Badges!C156</f>
        <v>Investigate water as a hazard</v>
      </c>
      <c r="O26" s="250" t="str">
        <f>IF(Badges!L156="A","A"," ")</f>
        <v xml:space="preserve"> </v>
      </c>
      <c r="Q26" s="267">
        <v>4</v>
      </c>
      <c r="R26" s="344" t="str">
        <f>'Age-Level'!C47</f>
        <v>Make something to remind you</v>
      </c>
      <c r="S26" s="262" t="str">
        <f>IF('Age-Level'!L47="A","A","")</f>
        <v/>
      </c>
    </row>
    <row r="27" spans="1:19" x14ac:dyDescent="0.2">
      <c r="A27" s="346"/>
      <c r="B27" s="346"/>
      <c r="C27" s="266"/>
      <c r="E27" s="247"/>
      <c r="F27" s="248" t="str">
        <f>Badges!C33</f>
        <v>Attend a coaching clinic or seminar</v>
      </c>
      <c r="G27" s="250" t="str">
        <f>IF(Badges!L33="A","A","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IF('Age-Level'!L48="A","A","")</f>
        <v/>
      </c>
    </row>
    <row r="28" spans="1:19" x14ac:dyDescent="0.2">
      <c r="A28" s="484" t="s">
        <v>84</v>
      </c>
      <c r="B28" s="484"/>
      <c r="C28" s="484"/>
      <c r="E28" s="247">
        <v>2</v>
      </c>
      <c r="F28" s="248" t="str">
        <f>Badges!C34</f>
        <v>Conduct a first assessment</v>
      </c>
      <c r="G28" s="249"/>
      <c r="I28" s="247"/>
      <c r="J28" s="248" t="str">
        <f>Badges!C89</f>
        <v>Expreiment with garnishes</v>
      </c>
      <c r="K28" s="250" t="str">
        <f>IF(Badges!L89="A","A"," ")</f>
        <v xml:space="preserve"> </v>
      </c>
      <c r="M28" s="247"/>
      <c r="N28" s="248" t="str">
        <f>Badges!C158</f>
        <v>Interview a water scientist</v>
      </c>
      <c r="O28" s="250" t="str">
        <f>IF(Badges!L158="A","A","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IF(Badges!L35="A","A"," ")</f>
        <v xml:space="preserve"> </v>
      </c>
      <c r="I29" s="247"/>
      <c r="J29" s="248" t="str">
        <f>Badges!C90</f>
        <v>Present food in interesting shapes</v>
      </c>
      <c r="K29" s="250" t="str">
        <f>IF(Badges!L90="A","A"," ")</f>
        <v xml:space="preserve"> </v>
      </c>
      <c r="M29" s="247"/>
      <c r="N29" s="248" t="str">
        <f>Badges!C159</f>
        <v>Explore the world of hydroelectricity</v>
      </c>
      <c r="O29" s="250" t="str">
        <f>IF(Badges!L159="A","A"," ")</f>
        <v xml:space="preserve"> </v>
      </c>
      <c r="Q29" s="268">
        <v>1</v>
      </c>
      <c r="R29" s="344" t="str">
        <f>'Age-Level'!C51</f>
        <v>Choose one line from the Law</v>
      </c>
      <c r="S29" s="262" t="str">
        <f>IF('Age-Level'!L51="A","A","")</f>
        <v/>
      </c>
    </row>
    <row r="30" spans="1:19" x14ac:dyDescent="0.2">
      <c r="B30" s="477" t="str">
        <f>Journey!B7</f>
        <v>The Girl Scout Advocate Award</v>
      </c>
      <c r="C30" s="478"/>
      <c r="E30" s="247"/>
      <c r="F30" s="248" t="str">
        <f>Badges!C36</f>
        <v>Host an initial session</v>
      </c>
      <c r="G30" s="250" t="str">
        <f>IF(Badges!L36="A","A"," ")</f>
        <v xml:space="preserve"> </v>
      </c>
      <c r="I30" s="247"/>
      <c r="J30" s="248" t="str">
        <f>Badges!C91</f>
        <v>Use serving ware in unusual ways</v>
      </c>
      <c r="K30" s="250" t="str">
        <f>IF(Badges!L91="A","A"," ")</f>
        <v xml:space="preserve"> </v>
      </c>
      <c r="M30" s="247"/>
      <c r="N30" s="248" t="str">
        <f>Badges!C160</f>
        <v>Design your own water innovation</v>
      </c>
      <c r="O30" s="250" t="str">
        <f>IF(Badges!L160="A","A"," ")</f>
        <v xml:space="preserve"> </v>
      </c>
      <c r="Q30" s="267">
        <v>2</v>
      </c>
      <c r="R30" s="344" t="str">
        <f>'Age-Level'!C52</f>
        <v>Find a woman in your community</v>
      </c>
      <c r="S30" s="262" t="str">
        <f>IF('Age-Level'!L52="A","A","")</f>
        <v/>
      </c>
    </row>
    <row r="31" spans="1:19" x14ac:dyDescent="0.2">
      <c r="B31" s="256">
        <f>Journey!K8</f>
        <v>0</v>
      </c>
      <c r="C31" s="252" t="str">
        <f>IF(Journey!L8="C","C",IF(Journey!L8="P","P",""))</f>
        <v/>
      </c>
      <c r="E31" s="247"/>
      <c r="F31" s="248" t="str">
        <f>Badges!C37</f>
        <v>Prepare a goal chart together</v>
      </c>
      <c r="G31" s="250" t="str">
        <f>IF(Badges!L37="A","A","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IF('Age-Level'!L53="A","A","")</f>
        <v/>
      </c>
    </row>
    <row r="32" spans="1:19" x14ac:dyDescent="0.2">
      <c r="B32" s="256">
        <f>Journey!K9</f>
        <v>0</v>
      </c>
      <c r="C32" s="252" t="str">
        <f>IF(Journey!L9="C","C",IF(Journey!L9="P","P",""))</f>
        <v/>
      </c>
      <c r="E32" s="339" t="str">
        <f>Badges!B29</f>
        <v>Coaching</v>
      </c>
      <c r="F32" s="340"/>
      <c r="G32" s="340"/>
      <c r="I32" s="247"/>
      <c r="J32" s="248" t="str">
        <f>Badges!C93</f>
        <v>Decorate according to your menu theme</v>
      </c>
      <c r="K32" s="250" t="str">
        <f>IF(Badges!L93="A","A"," ")</f>
        <v xml:space="preserve"> </v>
      </c>
      <c r="M32" s="247"/>
      <c r="N32" s="248" t="str">
        <f>Badges!C162</f>
        <v>Celebrate water with younger Girl Scouts</v>
      </c>
      <c r="O32" s="250" t="str">
        <f>IF(Badges!L162="A","A"," ")</f>
        <v xml:space="preserve"> </v>
      </c>
      <c r="Q32" s="267">
        <v>4</v>
      </c>
      <c r="R32" s="344" t="str">
        <f>'Age-Level'!C54</f>
        <v>Make something to remind you</v>
      </c>
      <c r="S32" s="262" t="str">
        <f>IF('Age-Level'!L54="A","A","")</f>
        <v/>
      </c>
    </row>
    <row r="33" spans="1:19" x14ac:dyDescent="0.2">
      <c r="B33" s="256">
        <f>Journey!K10</f>
        <v>0</v>
      </c>
      <c r="C33" s="252" t="str">
        <f>IF(Journey!L10="C","C",IF(Journey!L10="P","P",""))</f>
        <v/>
      </c>
      <c r="E33" s="247">
        <v>3</v>
      </c>
      <c r="F33" s="248" t="str">
        <f>Badges!C38</f>
        <v>Design your coaching plan</v>
      </c>
      <c r="G33" s="249"/>
      <c r="I33" s="247"/>
      <c r="J33" s="248" t="str">
        <f>Badges!C94</f>
        <v>Celebrate a special occasion</v>
      </c>
      <c r="K33" s="250" t="str">
        <f>IF(Badges!L94="A","A"," ")</f>
        <v xml:space="preserve"> </v>
      </c>
      <c r="M33" s="247"/>
      <c r="N33" s="248" t="str">
        <f>Badges!C163</f>
        <v>Share a water issue that matters to you</v>
      </c>
      <c r="O33" s="250" t="str">
        <f>IF(Badges!L163="A","A"," ")</f>
        <v xml:space="preserve"> </v>
      </c>
      <c r="Q33" s="267">
        <v>5</v>
      </c>
      <c r="R33" s="344" t="str">
        <f>'Age-Level'!C55</f>
        <v xml:space="preserve">Make a commitment to live what </v>
      </c>
      <c r="S33" s="364" t="str">
        <f>IF('Age-Level'!L55="A","A","")</f>
        <v/>
      </c>
    </row>
    <row r="34" spans="1:19" x14ac:dyDescent="0.2">
      <c r="A34" s="284"/>
      <c r="B34" s="473" t="str">
        <f>Journey!A14</f>
        <v>JUSTICE</v>
      </c>
      <c r="C34" s="474"/>
      <c r="E34" s="247"/>
      <c r="F34" s="248" t="str">
        <f>Badges!C39</f>
        <v xml:space="preserve">Design a special warm-up </v>
      </c>
      <c r="G34" s="250" t="str">
        <f>IF(Badges!L39="A","A"," ")</f>
        <v xml:space="preserve"> </v>
      </c>
      <c r="I34" s="247"/>
      <c r="J34" s="248" t="str">
        <f>Badges!C95</f>
        <v>Use food and fun to forge new friendships</v>
      </c>
      <c r="K34" s="250" t="str">
        <f>IF(Badges!L95="A","A"," ")</f>
        <v xml:space="preserve"> </v>
      </c>
      <c r="M34" s="247"/>
      <c r="N34" s="248" t="str">
        <f>Badges!C164</f>
        <v>Guide a group to a water place</v>
      </c>
      <c r="O34" s="250" t="str">
        <f>IF(Badges!L164="A","A"," ")</f>
        <v xml:space="preserve"> </v>
      </c>
      <c r="Q34" s="471" t="str">
        <f>'Age-Level'!B57</f>
        <v>Safety Award</v>
      </c>
      <c r="R34" s="472"/>
      <c r="S34" s="364"/>
    </row>
    <row r="35" spans="1:19" x14ac:dyDescent="0.2">
      <c r="A35" s="284"/>
      <c r="B35" s="479" t="str">
        <f>Journey!B15</f>
        <v>Sage Award</v>
      </c>
      <c r="C35" s="480"/>
      <c r="E35" s="247"/>
      <c r="F35" s="248" t="str">
        <f>Badges!C40</f>
        <v>Research and choose</v>
      </c>
      <c r="G35" s="250" t="str">
        <f>IF(Badges!L40="A","A","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IF('Age-Level'!L58="A","A","")</f>
        <v/>
      </c>
    </row>
    <row r="36" spans="1:19" ht="12.75" customHeight="1" x14ac:dyDescent="0.2">
      <c r="A36" s="284"/>
      <c r="B36" s="256">
        <f>Journey!K16</f>
        <v>0</v>
      </c>
      <c r="C36" s="252" t="str">
        <f>IF(Journey!L16="C","C",IF(Journey!L16="P","P",""))</f>
        <v/>
      </c>
      <c r="E36" s="247"/>
      <c r="F36" s="248" t="str">
        <f>Badges!C41</f>
        <v>Open and close each session</v>
      </c>
      <c r="G36" s="250" t="str">
        <f>IF(Badges!L41="A","A","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IF('Age-Level'!L59="A","A","")</f>
        <v/>
      </c>
    </row>
    <row r="37" spans="1:19" ht="12.75" customHeight="1" x14ac:dyDescent="0.2">
      <c r="A37" s="284"/>
      <c r="B37" s="256">
        <f>Journey!K17</f>
        <v>0</v>
      </c>
      <c r="C37" s="252" t="str">
        <f>IF(Journey!L17="C","C",IF(Journey!L17="P","P",""))</f>
        <v/>
      </c>
      <c r="E37" s="247">
        <v>4</v>
      </c>
      <c r="F37" s="248" t="str">
        <f>Badges!C42</f>
        <v>Put your plan in action</v>
      </c>
      <c r="G37" s="249"/>
      <c r="I37" s="247"/>
      <c r="J37" s="248" t="str">
        <f>Badges!C100</f>
        <v>Backcountry</v>
      </c>
      <c r="K37" s="250" t="str">
        <f>IF(Badges!L100="A","A"," ")</f>
        <v xml:space="preserve"> </v>
      </c>
      <c r="M37" s="247"/>
      <c r="N37" s="248" t="str">
        <f>Badges!C170</f>
        <v>Take a tour</v>
      </c>
      <c r="O37" s="250" t="str">
        <f>IF(Badges!L170="A","A"," ")</f>
        <v xml:space="preserve"> </v>
      </c>
      <c r="Q37" s="267">
        <v>3</v>
      </c>
      <c r="R37" s="344" t="str">
        <f>'Age-Level'!C60</f>
        <v>Teach a Daisy or Brownie what to do if</v>
      </c>
      <c r="S37" s="262" t="str">
        <f>IF('Age-Level'!L60="A","A","")</f>
        <v/>
      </c>
    </row>
    <row r="38" spans="1:19" x14ac:dyDescent="0.2">
      <c r="A38" s="284"/>
      <c r="B38" s="256">
        <f>Journey!K18</f>
        <v>0</v>
      </c>
      <c r="C38" s="252" t="str">
        <f>IF(Journey!L18="C","C",IF(Journey!L18="P","P",""))</f>
        <v/>
      </c>
      <c r="E38" s="247"/>
      <c r="F38" s="248" t="str">
        <f>Badges!C43</f>
        <v>Add a morale-boosting time-out</v>
      </c>
      <c r="G38" s="250" t="str">
        <f>IF(Badges!L43="A","A"," ")</f>
        <v xml:space="preserve"> </v>
      </c>
      <c r="I38" s="247"/>
      <c r="J38" s="248" t="str">
        <f>Badges!C101</f>
        <v>Open water</v>
      </c>
      <c r="K38" s="250" t="str">
        <f>IF(Badges!L101="A","A"," ")</f>
        <v xml:space="preserve"> </v>
      </c>
      <c r="M38" s="247"/>
      <c r="N38" s="248" t="str">
        <f>Badges!C171</f>
        <v>Interview a new tenant or homeowner</v>
      </c>
      <c r="O38" s="250" t="str">
        <f>IF(Badges!L171="A","A"," ")</f>
        <v xml:space="preserve"> </v>
      </c>
      <c r="Q38" s="267">
        <v>4</v>
      </c>
      <c r="R38" s="344" t="str">
        <f>'Age-Level'!C61</f>
        <v>With your family, make sure you have</v>
      </c>
      <c r="S38" s="262" t="str">
        <f>IF('Age-Level'!L61="A","A","")</f>
        <v/>
      </c>
    </row>
    <row r="39" spans="1:19" x14ac:dyDescent="0.2">
      <c r="A39" s="284"/>
      <c r="B39" s="256">
        <f>Journey!K19</f>
        <v>0</v>
      </c>
      <c r="C39" s="252" t="str">
        <f>IF(Journey!L19="C","C",IF(Journey!L19="P","P",""))</f>
        <v/>
      </c>
      <c r="E39" s="247"/>
      <c r="F39" s="248" t="str">
        <f>Badges!C44</f>
        <v>Ask your players to coach you!</v>
      </c>
      <c r="G39" s="250" t="str">
        <f>IF(Badges!L44="A","A"," ")</f>
        <v xml:space="preserve"> </v>
      </c>
      <c r="I39" s="247"/>
      <c r="J39" s="248" t="str">
        <f>Badges!C102</f>
        <v>Mountains</v>
      </c>
      <c r="K39" s="250" t="str">
        <f>IF(Badges!L102="A","A"," ")</f>
        <v xml:space="preserve"> </v>
      </c>
      <c r="M39" s="247"/>
      <c r="N39" s="248" t="str">
        <f>Badges!C172</f>
        <v>Be chart smart</v>
      </c>
      <c r="O39" s="250" t="str">
        <f>IF(Badges!L172="A","A"," ")</f>
        <v xml:space="preserve"> </v>
      </c>
      <c r="Q39" s="267">
        <v>5</v>
      </c>
      <c r="R39" s="344" t="str">
        <f>'Age-Level'!C62</f>
        <v>Discuss bullying with your Girl Scout</v>
      </c>
      <c r="S39" s="262" t="str">
        <f>IF('Age-Level'!L62="A","A","")</f>
        <v/>
      </c>
    </row>
    <row r="40" spans="1:19" x14ac:dyDescent="0.2">
      <c r="A40" s="284"/>
      <c r="B40" s="256">
        <f>Journey!K20</f>
        <v>0</v>
      </c>
      <c r="C40" s="252" t="str">
        <f>IF(Journey!L20="C","C",IF(Journey!L20="P","P",""))</f>
        <v/>
      </c>
      <c r="E40" s="247"/>
      <c r="F40" s="248" t="str">
        <f>Badges!C45</f>
        <v xml:space="preserve">Bring in another coah to watch </v>
      </c>
      <c r="G40" s="250" t="str">
        <f>IF(Badges!L45="A","A","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Journey!K21</f>
        <v>0</v>
      </c>
      <c r="C41" s="252" t="str">
        <f>IF(Journey!L21="C","C",IF(Journey!L21="P","P",""))</f>
        <v/>
      </c>
      <c r="E41" s="247">
        <v>5</v>
      </c>
      <c r="F41" s="248" t="str">
        <f>Badges!C46</f>
        <v>Attend the big event</v>
      </c>
      <c r="G41" s="249"/>
      <c r="I41" s="247"/>
      <c r="J41" s="248" t="str">
        <f>Badges!C104</f>
        <v>Wilderness rescue</v>
      </c>
      <c r="K41" s="250" t="str">
        <f>IF(Badges!L104="A","A"," ")</f>
        <v xml:space="preserve"> </v>
      </c>
      <c r="M41" s="247"/>
      <c r="N41" s="248" t="str">
        <f>Badges!C174</f>
        <v>Focus on your finances</v>
      </c>
      <c r="O41" s="250" t="str">
        <f>IF(Badges!L174="A","A"," ")</f>
        <v xml:space="preserve"> </v>
      </c>
    </row>
    <row r="42" spans="1:19" ht="12.75" customHeight="1" x14ac:dyDescent="0.2">
      <c r="A42" s="254"/>
      <c r="B42" s="475" t="str">
        <f>Journey!A25</f>
        <v>BLISS: Live it! Give It!</v>
      </c>
      <c r="C42" s="476"/>
      <c r="E42" s="247"/>
      <c r="F42" s="248" t="str">
        <f>Badges!C47</f>
        <v>Meet with your players for a relaxing</v>
      </c>
      <c r="G42" s="250" t="str">
        <f>IF(Badges!L47="A","A"," ")</f>
        <v xml:space="preserve"> </v>
      </c>
      <c r="I42" s="247"/>
      <c r="J42" s="248" t="str">
        <f>Badges!C105</f>
        <v>Disaster preparedness</v>
      </c>
      <c r="K42" s="250" t="str">
        <f>IF(Badges!L105="A","A"," ")</f>
        <v xml:space="preserve"> </v>
      </c>
      <c r="M42" s="247"/>
      <c r="N42" s="248" t="str">
        <f>Badges!C175</f>
        <v>Shop talk</v>
      </c>
      <c r="O42" s="250" t="str">
        <f>IF(Badges!L175="A","A"," ")</f>
        <v xml:space="preserve"> </v>
      </c>
      <c r="Q42" s="505"/>
      <c r="R42" s="505"/>
      <c r="S42" s="240"/>
    </row>
    <row r="43" spans="1:19" ht="12.75" customHeight="1" x14ac:dyDescent="0.2">
      <c r="B43" s="477" t="str">
        <f>Journey!B26</f>
        <v>Dream Maker Award</v>
      </c>
      <c r="C43" s="478"/>
      <c r="E43" s="247"/>
      <c r="F43" s="248" t="str">
        <f>Badges!C48</f>
        <v>Host a celebration</v>
      </c>
      <c r="G43" s="250" t="str">
        <f>IF(Badges!L48="A","A"," ")</f>
        <v xml:space="preserve"> </v>
      </c>
      <c r="I43" s="247"/>
      <c r="J43" s="248" t="str">
        <f>Badges!C106</f>
        <v>Military medicine</v>
      </c>
      <c r="K43" s="250" t="str">
        <f>IF(Badges!L106="A","A"," ")</f>
        <v xml:space="preserve"> </v>
      </c>
      <c r="M43" s="247"/>
      <c r="N43" s="248" t="str">
        <f>Badges!C176</f>
        <v>Audit request</v>
      </c>
      <c r="O43" s="250" t="str">
        <f>IF(Badges!L176="A","A"," ")</f>
        <v xml:space="preserve"> </v>
      </c>
      <c r="Q43" s="267"/>
      <c r="R43" s="267"/>
      <c r="S43" s="240"/>
    </row>
    <row r="44" spans="1:19" x14ac:dyDescent="0.2">
      <c r="B44" s="256">
        <f>Journey!K27</f>
        <v>0</v>
      </c>
      <c r="C44" s="252" t="str">
        <f>IF(Journey!L27="C","C",IF(Journey!L27="P","P",""))</f>
        <v/>
      </c>
      <c r="E44" s="247"/>
      <c r="F44" s="248" t="str">
        <f>Badges!C49</f>
        <v>Make a "trading card" for each athlete</v>
      </c>
      <c r="G44" s="250" t="str">
        <f>IF(Badges!L49="A","A","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Journey!K28</f>
        <v>0</v>
      </c>
      <c r="C45" s="252" t="str">
        <f>IF(Journey!L28="C","C",IF(Journey!L28="P","P",""))</f>
        <v/>
      </c>
      <c r="E45" s="492" t="str">
        <f>Badges!B52</f>
        <v>Public Policy</v>
      </c>
      <c r="F45" s="492"/>
      <c r="G45" s="492"/>
      <c r="I45" s="247"/>
      <c r="J45" s="248" t="str">
        <f>Badges!C108</f>
        <v>Take a wilderness first aid course</v>
      </c>
      <c r="K45" s="250" t="str">
        <f>IF(Badges!L108="A","A"," ")</f>
        <v xml:space="preserve"> </v>
      </c>
      <c r="M45" s="247"/>
      <c r="N45" s="248" t="str">
        <f>Badges!C178</f>
        <v>Hooray for hobbies!</v>
      </c>
      <c r="O45" s="250" t="str">
        <f>IF(Badges!L178="A","A"," ")</f>
        <v xml:space="preserve"> </v>
      </c>
      <c r="Q45" s="267"/>
      <c r="R45" s="267"/>
      <c r="S45" s="240"/>
    </row>
    <row r="46" spans="1:19" x14ac:dyDescent="0.2">
      <c r="B46" s="256">
        <f>Journey!K29</f>
        <v>0</v>
      </c>
      <c r="C46" s="252" t="str">
        <f>IF(Journey!L29="C","C",IF(Journey!L29="P","P",""))</f>
        <v/>
      </c>
      <c r="E46" s="247">
        <v>1</v>
      </c>
      <c r="F46" s="248" t="str">
        <f>Badges!C53</f>
        <v>Find out how activitists advocate for change</v>
      </c>
      <c r="G46" s="249" t="s">
        <v>26</v>
      </c>
      <c r="I46" s="247"/>
      <c r="J46" s="248" t="str">
        <f>Badges!C109</f>
        <v>Interview a doctor, nurse, EMT, or first</v>
      </c>
      <c r="K46" s="250" t="str">
        <f>IF(Badges!L109="A","A"," ")</f>
        <v xml:space="preserve"> </v>
      </c>
      <c r="M46" s="247"/>
      <c r="N46" s="248" t="str">
        <f>Badges!C179</f>
        <v>Treat yourself</v>
      </c>
      <c r="O46" s="250" t="str">
        <f>IF(Badges!L179="A","A"," ")</f>
        <v xml:space="preserve"> </v>
      </c>
      <c r="Q46" s="267"/>
      <c r="R46" s="267"/>
      <c r="S46" s="240"/>
    </row>
    <row r="47" spans="1:19" x14ac:dyDescent="0.2">
      <c r="B47" s="256">
        <f>Journey!K30</f>
        <v>0</v>
      </c>
      <c r="C47" s="252" t="str">
        <f>IF(Journey!L30="C","C",IF(Journey!L30="P","P",""))</f>
        <v/>
      </c>
      <c r="E47" s="247"/>
      <c r="F47" s="248" t="str">
        <f>Badges!C54</f>
        <v>Interview an activist</v>
      </c>
      <c r="G47" s="250" t="str">
        <f>IF(Badges!L54="A","A"," ")</f>
        <v xml:space="preserve"> </v>
      </c>
      <c r="I47" s="247"/>
      <c r="J47" s="248" t="str">
        <f>Badges!C110</f>
        <v xml:space="preserve">Discover how to use what's on hand in </v>
      </c>
      <c r="K47" s="250" t="str">
        <f>IF(Badges!L110="A","A"," ")</f>
        <v xml:space="preserve"> </v>
      </c>
      <c r="M47" s="247"/>
      <c r="N47" s="248" t="str">
        <f>Badges!C180</f>
        <v>Class act</v>
      </c>
      <c r="O47" s="250" t="str">
        <f>IF(Badges!L180="A","A"," ")</f>
        <v xml:space="preserve"> </v>
      </c>
      <c r="Q47" s="267"/>
      <c r="R47" s="267"/>
      <c r="S47" s="240"/>
    </row>
    <row r="48" spans="1:19" x14ac:dyDescent="0.2">
      <c r="B48" s="264"/>
      <c r="C48" s="264"/>
      <c r="E48" s="247"/>
      <c r="F48" s="248" t="str">
        <f>Badges!C55</f>
        <v>Watch a documentary or movie</v>
      </c>
      <c r="G48" s="250" t="str">
        <f>IF(Badges!L55="A","A"," ")</f>
        <v xml:space="preserve"> </v>
      </c>
      <c r="I48" s="339" t="str">
        <f>Badges!B98</f>
        <v>Ambassador First Aid</v>
      </c>
      <c r="J48" s="340"/>
      <c r="K48" s="340"/>
      <c r="M48" s="247">
        <v>4</v>
      </c>
      <c r="N48" s="248" t="str">
        <f>Badges!C181</f>
        <v>Plan for the unexpected</v>
      </c>
      <c r="O48" s="249"/>
    </row>
    <row r="49" spans="1:19" x14ac:dyDescent="0.2">
      <c r="A49" s="484" t="s">
        <v>316</v>
      </c>
      <c r="B49" s="484"/>
      <c r="C49" s="484"/>
      <c r="E49" s="247"/>
      <c r="F49" s="248" t="str">
        <f>Badges!C56</f>
        <v xml:space="preserve">Read about women who change the </v>
      </c>
      <c r="G49" s="250" t="str">
        <f>IF(Badges!L56="A","A"," ")</f>
        <v xml:space="preserve"> </v>
      </c>
      <c r="I49" s="247">
        <v>4</v>
      </c>
      <c r="J49" s="248" t="str">
        <f>Badges!C111</f>
        <v>Know how to move an injured person</v>
      </c>
      <c r="K49" s="249"/>
      <c r="M49" s="247"/>
      <c r="N49" s="248" t="str">
        <f>Badges!C182</f>
        <v>Interview your network</v>
      </c>
      <c r="O49" s="250" t="str">
        <f>IF(Badges!L182="A","A"," ")</f>
        <v xml:space="preserve"> </v>
      </c>
    </row>
    <row r="50" spans="1:19" x14ac:dyDescent="0.2">
      <c r="A50" s="259"/>
      <c r="B50" s="345" t="str">
        <f>Bridging!B6</f>
        <v>Pass It On!</v>
      </c>
      <c r="C50" s="251" t="str">
        <f>IF(Bridging!L10="C","C",IF(Bridging!L10="P","P",""))</f>
        <v/>
      </c>
      <c r="E50" s="247">
        <v>2</v>
      </c>
      <c r="F50" s="248" t="str">
        <f>Badges!C57</f>
        <v>Engage as a global citizen</v>
      </c>
      <c r="G50" s="249"/>
      <c r="I50" s="247"/>
      <c r="J50" s="248" t="str">
        <f>Badges!C112</f>
        <v>Visit a medical school</v>
      </c>
      <c r="K50" s="250" t="str">
        <f>IF(Badges!L112="A","A"," ")</f>
        <v xml:space="preserve"> </v>
      </c>
      <c r="M50" s="247"/>
      <c r="N50" s="248" t="str">
        <f>Badges!C183</f>
        <v>Interview a Financial guru</v>
      </c>
      <c r="O50" s="250" t="str">
        <f>IF(Badges!L183="A","A"," ")</f>
        <v xml:space="preserve"> </v>
      </c>
    </row>
    <row r="51" spans="1:19" x14ac:dyDescent="0.2">
      <c r="A51" s="259"/>
      <c r="B51" s="260" t="str">
        <f>Bridging!B11</f>
        <v>Look Ahead!</v>
      </c>
      <c r="C51" s="251" t="str">
        <f>IF(Bridging!L15="C","C",IF(Bridging!L15="P","P",""))</f>
        <v/>
      </c>
      <c r="E51" s="247"/>
      <c r="F51" s="248" t="str">
        <f>Badges!C58</f>
        <v>Compare laws</v>
      </c>
      <c r="G51" s="250" t="str">
        <f>IF(Badges!L58="A","A"," ")</f>
        <v xml:space="preserve"> </v>
      </c>
      <c r="I51" s="247"/>
      <c r="J51" s="248" t="str">
        <f>Badges!C113</f>
        <v>Take a wilderness first aid course</v>
      </c>
      <c r="K51" s="250" t="str">
        <f>IF(Badges!L113="A","A"," ")</f>
        <v xml:space="preserve"> </v>
      </c>
      <c r="M51" s="247"/>
      <c r="N51" s="248" t="str">
        <f>Badges!C184</f>
        <v>Interview an insurance expert</v>
      </c>
      <c r="O51" s="250" t="str">
        <f>IF(Badges!L184="A","A"," ")</f>
        <v xml:space="preserve"> </v>
      </c>
    </row>
    <row r="52" spans="1:19" x14ac:dyDescent="0.2">
      <c r="A52" s="259"/>
      <c r="B52" s="344" t="str">
        <f>Bridging!C16</f>
        <v>Plan a Ceremony</v>
      </c>
      <c r="C52" s="251" t="str">
        <f>IF(Bridging!L17="C","C",IF(Bridging!L17="P","P",""))</f>
        <v/>
      </c>
      <c r="E52" s="247"/>
      <c r="F52" s="248" t="str">
        <f>Badges!C59</f>
        <v xml:space="preserve">Track a public-policy issue being </v>
      </c>
      <c r="G52" s="250" t="str">
        <f>IF(Badges!L59="A","A"," ")</f>
        <v xml:space="preserve"> </v>
      </c>
      <c r="I52" s="247"/>
      <c r="J52" s="248" t="str">
        <f>Badges!C114</f>
        <v>Organize a mock emergency drill</v>
      </c>
      <c r="K52" s="250" t="str">
        <f>IF(Badges!L114="A","A"," ")</f>
        <v xml:space="preserve"> </v>
      </c>
      <c r="M52" s="339" t="str">
        <f>Badges!B168</f>
        <v>On My Own</v>
      </c>
      <c r="N52" s="340"/>
      <c r="O52" s="340"/>
    </row>
    <row r="53" spans="1:19" x14ac:dyDescent="0.2">
      <c r="B53" s="261" t="s">
        <v>134</v>
      </c>
      <c r="C53" s="251" t="str">
        <f>IF(Bridging!L18="C","C",IF(Bridging!L18="P","P",""))</f>
        <v/>
      </c>
      <c r="E53" s="247"/>
      <c r="F53" s="248" t="str">
        <f>Badges!C60</f>
        <v>Explore an international NGO</v>
      </c>
      <c r="G53" s="250" t="str">
        <f>IF(Badges!L60="A","A","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IF(Badges!L116="A","A"," ")</f>
        <v xml:space="preserve"> </v>
      </c>
      <c r="M54" s="247"/>
      <c r="N54" s="248" t="str">
        <f>Badges!C186</f>
        <v>Plan for presents</v>
      </c>
      <c r="O54" s="250" t="str">
        <f>IF(Badges!L186="A","A"," ")</f>
        <v xml:space="preserve"> </v>
      </c>
      <c r="Q54" s="267"/>
      <c r="R54" s="267"/>
      <c r="S54" s="240"/>
    </row>
    <row r="55" spans="1:19" x14ac:dyDescent="0.2">
      <c r="I55" s="247"/>
      <c r="J55" s="248" t="str">
        <f>Badges!C117</f>
        <v>Investigate extreme first aid</v>
      </c>
      <c r="K55" s="250" t="str">
        <f>IF(Badges!L117="A","A"," ")</f>
        <v xml:space="preserve"> </v>
      </c>
      <c r="M55" s="247"/>
      <c r="N55" s="248" t="str">
        <f>Badges!C187</f>
        <v>Budget for your time</v>
      </c>
      <c r="O55" s="250" t="str">
        <f>IF(Badges!L187="A","A"," ")</f>
        <v xml:space="preserve"> </v>
      </c>
      <c r="Q55" s="496"/>
      <c r="R55" s="496"/>
      <c r="S55" s="496"/>
    </row>
    <row r="56" spans="1:19" x14ac:dyDescent="0.2">
      <c r="I56" s="247"/>
      <c r="J56" s="248" t="str">
        <f>Badges!C118</f>
        <v>Interview an everyday hero</v>
      </c>
      <c r="K56" s="250" t="str">
        <f>IF(Badges!L118="A","A"," ")</f>
        <v xml:space="preserve"> </v>
      </c>
      <c r="M56" s="247"/>
      <c r="N56" s="248" t="str">
        <f>Badges!C188</f>
        <v>Charity starts… with a budget</v>
      </c>
      <c r="O56" s="250" t="str">
        <f>IF(Badges!L188="A","A","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IF(Badges!L123="A","A"," ")</f>
        <v xml:space="preserve"> </v>
      </c>
      <c r="M59" s="247"/>
      <c r="N59" s="248" t="str">
        <f>Badges!C217</f>
        <v>Invest some R&amp;D</v>
      </c>
      <c r="O59" s="250" t="str">
        <f>IF(Badges!L217="A","A"," ")</f>
        <v xml:space="preserve"> </v>
      </c>
    </row>
    <row r="60" spans="1:19" x14ac:dyDescent="0.2">
      <c r="I60" s="247"/>
      <c r="J60" s="248" t="str">
        <f>Badges!C124</f>
        <v xml:space="preserve">Ogranize a songfest for younger </v>
      </c>
      <c r="K60" s="250" t="str">
        <f>IF(Badges!L124="A","A"," ")</f>
        <v xml:space="preserve"> </v>
      </c>
      <c r="M60" s="247">
        <v>2</v>
      </c>
      <c r="N60" s="248" t="str">
        <f>Badges!C218</f>
        <v>Reasearch how other companies innovate</v>
      </c>
      <c r="O60" s="249"/>
    </row>
    <row r="61" spans="1:19" ht="12.75" customHeight="1" x14ac:dyDescent="0.2">
      <c r="I61" s="247"/>
      <c r="J61" s="248" t="str">
        <f>Badges!C125</f>
        <v>Bring generations together in song</v>
      </c>
      <c r="K61" s="250" t="str">
        <f>IF(Badges!L125="A","A"," ")</f>
        <v xml:space="preserve"> </v>
      </c>
      <c r="M61" s="247"/>
      <c r="N61" s="248" t="str">
        <f>Badges!C219</f>
        <v>Find at least three other companies</v>
      </c>
      <c r="O61" s="250" t="str">
        <f>IF(Badges!L219="A","A"," ")</f>
        <v xml:space="preserve"> </v>
      </c>
    </row>
    <row r="62" spans="1:19" ht="12.75" customHeight="1"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IF(Badges!L127="A","A"," ")</f>
        <v xml:space="preserve"> </v>
      </c>
      <c r="M63" s="247"/>
      <c r="N63" s="248" t="str">
        <f>Badges!C221</f>
        <v>Developing a new product</v>
      </c>
      <c r="O63" s="250" t="str">
        <f>IF(Badges!L221="A","A"," ")</f>
        <v xml:space="preserve"> </v>
      </c>
    </row>
    <row r="64" spans="1:19" x14ac:dyDescent="0.2">
      <c r="I64" s="247"/>
      <c r="J64" s="248" t="str">
        <f>Badges!C128</f>
        <v>Make World Thinking Day cards</v>
      </c>
      <c r="K64" s="250" t="str">
        <f>IF(Badges!L128="A","A","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IF(Badges!L129="A","A"," ")</f>
        <v xml:space="preserve"> </v>
      </c>
      <c r="M65" s="247"/>
      <c r="N65" s="248" t="str">
        <f>Badges!C223</f>
        <v>If you're considering serveral</v>
      </c>
      <c r="O65" s="250" t="str">
        <f>IF(Badges!L223="A","A","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IF(Badges!L225="A","A","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484"/>
      <c r="G72" s="484"/>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Own'!L28="C","C",IF('Council Own'!L28="P","P",""))</f>
        <v/>
      </c>
      <c r="E73" s="493" t="str">
        <f>'Fun Patches'!C5</f>
        <v>&lt;LIST PATCH HERE&gt;</v>
      </c>
      <c r="F73" s="494"/>
      <c r="G73" s="250" t="str">
        <f>IF('Fun Patches'!L5="A","A","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Own'!L52="C","C",IF('Council Own'!L52="P","P",""))</f>
        <v/>
      </c>
      <c r="E74" s="471" t="str">
        <f>'Fun Patches'!C6</f>
        <v>&lt;LIST PATCH HERE&gt;</v>
      </c>
      <c r="F74" s="472"/>
      <c r="G74" s="257" t="str">
        <f>IF('Fun Patches'!L6="A","A"," ")</f>
        <v xml:space="preserve"> </v>
      </c>
      <c r="H74" s="254"/>
      <c r="I74" s="247">
        <v>1</v>
      </c>
      <c r="J74" s="344" t="str">
        <f>'Council Own'!C7</f>
        <v>&lt;List Requirement Here&gt;</v>
      </c>
      <c r="K74" s="257" t="str">
        <f>IF('Council Own'!L7="A","A"," ")</f>
        <v xml:space="preserve"> </v>
      </c>
      <c r="L74" s="254"/>
      <c r="M74" s="247">
        <v>1</v>
      </c>
      <c r="N74" s="344" t="str">
        <f>'Council Own'!C55</f>
        <v>&lt;List Requirement Here&gt;</v>
      </c>
      <c r="O74" s="257" t="str">
        <f>IF('Council Own'!L55="A","A"," ")</f>
        <v xml:space="preserve"> </v>
      </c>
      <c r="Q74" s="247">
        <v>1</v>
      </c>
      <c r="R74" s="344" t="str">
        <f>'Council Own'!C103</f>
        <v>&lt;List Requirement Here&gt;</v>
      </c>
      <c r="S74" s="257" t="str">
        <f>IF('Council Own'!L103="A","A"," ")</f>
        <v xml:space="preserve"> </v>
      </c>
    </row>
    <row r="75" spans="1:19" x14ac:dyDescent="0.2">
      <c r="A75" s="485" t="str">
        <f>'Council Own'!B54</f>
        <v>&lt;&lt;List Badge Here&gt;&gt;</v>
      </c>
      <c r="B75" s="486"/>
      <c r="C75" s="252" t="str">
        <f>IF('Council Own'!L76="C","C",IF('Council Own'!L76="P","P",""))</f>
        <v/>
      </c>
      <c r="E75" s="471" t="str">
        <f>'Fun Patches'!C7</f>
        <v>&lt;LIST PATCH HERE&gt;</v>
      </c>
      <c r="F75" s="472"/>
      <c r="G75" s="257" t="str">
        <f>IF('Fun Patches'!L7="A","A"," ")</f>
        <v xml:space="preserve"> </v>
      </c>
      <c r="H75" s="254"/>
      <c r="I75" s="247"/>
      <c r="J75" s="344" t="str">
        <f>'Council Own'!C8</f>
        <v>&lt;List Requirement Here&gt;</v>
      </c>
      <c r="K75" s="257" t="str">
        <f>IF('Council Own'!L8="A","A"," ")</f>
        <v xml:space="preserve"> </v>
      </c>
      <c r="L75" s="254"/>
      <c r="M75" s="247"/>
      <c r="N75" s="344" t="str">
        <f>'Council Own'!C56</f>
        <v>&lt;List Requirement Here&gt;</v>
      </c>
      <c r="O75" s="257" t="str">
        <f>IF('Council Own'!L56="A","A"," ")</f>
        <v xml:space="preserve"> </v>
      </c>
      <c r="Q75" s="247"/>
      <c r="R75" s="344" t="str">
        <f>'Council Own'!C104</f>
        <v>&lt;List Requirement Here&gt;</v>
      </c>
      <c r="S75" s="257" t="str">
        <f>IF('Council Own'!L104="A","A"," ")</f>
        <v xml:space="preserve"> </v>
      </c>
    </row>
    <row r="76" spans="1:19" x14ac:dyDescent="0.2">
      <c r="A76" s="485" t="str">
        <f>'Council Own'!B78</f>
        <v>&lt;&lt;List Badge Here&gt;&gt;</v>
      </c>
      <c r="B76" s="486"/>
      <c r="C76" s="252" t="str">
        <f>IF('Council Own'!L100="C","C",IF('Council Own'!L100="P","P",""))</f>
        <v/>
      </c>
      <c r="E76" s="471" t="str">
        <f>'Fun Patches'!C8</f>
        <v>&lt;LIST PATCH HERE&gt;</v>
      </c>
      <c r="F76" s="472"/>
      <c r="G76" s="257" t="str">
        <f>IF('Fun Patches'!L8="A","A"," ")</f>
        <v xml:space="preserve"> </v>
      </c>
      <c r="H76" s="254"/>
      <c r="I76" s="247"/>
      <c r="J76" s="344" t="str">
        <f>'Council Own'!C9</f>
        <v>&lt;List Requirement Here&gt;</v>
      </c>
      <c r="K76" s="257" t="str">
        <f>IF('Council Own'!L9="A","A"," ")</f>
        <v xml:space="preserve"> </v>
      </c>
      <c r="L76" s="254"/>
      <c r="M76" s="247"/>
      <c r="N76" s="344" t="str">
        <f>'Council Own'!C57</f>
        <v>&lt;List Requirement Here&gt;</v>
      </c>
      <c r="O76" s="257" t="str">
        <f>IF('Council Own'!L57="A","A"," ")</f>
        <v xml:space="preserve"> </v>
      </c>
      <c r="Q76" s="247"/>
      <c r="R76" s="344" t="str">
        <f>'Council Own'!C105</f>
        <v>&lt;List Requirement Here&gt;</v>
      </c>
      <c r="S76" s="257" t="str">
        <f>IF('Council Own'!L105="A","A"," ")</f>
        <v xml:space="preserve"> </v>
      </c>
    </row>
    <row r="77" spans="1:19" x14ac:dyDescent="0.2">
      <c r="A77" s="485" t="str">
        <f>'Council Own'!B102</f>
        <v>&lt;&lt;List Badge Here&gt;&gt;</v>
      </c>
      <c r="B77" s="486"/>
      <c r="C77" s="252" t="str">
        <f>IF('Council Own'!L124="C","C",IF('Council Own'!L124="P","P",""))</f>
        <v/>
      </c>
      <c r="E77" s="471" t="str">
        <f>'Fun Patches'!C9</f>
        <v>&lt;LIST PATCH HERE&gt;</v>
      </c>
      <c r="F77" s="472"/>
      <c r="G77" s="257" t="str">
        <f>IF('Fun Patches'!L9="A","A"," ")</f>
        <v xml:space="preserve"> </v>
      </c>
      <c r="H77" s="254"/>
      <c r="I77" s="247"/>
      <c r="J77" s="344" t="str">
        <f>'Council Own'!C10</f>
        <v>&lt;List Requirement Here&gt;</v>
      </c>
      <c r="K77" s="257" t="str">
        <f>IF('Council Own'!L10="A","A"," ")</f>
        <v xml:space="preserve"> </v>
      </c>
      <c r="L77" s="254"/>
      <c r="M77" s="247"/>
      <c r="N77" s="344" t="str">
        <f>'Council Own'!C58</f>
        <v>&lt;List Requirement Here&gt;</v>
      </c>
      <c r="O77" s="257" t="str">
        <f>IF('Council Own'!L58="A","A"," ")</f>
        <v xml:space="preserve"> </v>
      </c>
      <c r="Q77" s="247"/>
      <c r="R77" s="344" t="str">
        <f>'Council Own'!C106</f>
        <v>&lt;List Requirement Here&gt;</v>
      </c>
      <c r="S77" s="257" t="str">
        <f>IF('Council Own'!L106="A","A"," ")</f>
        <v xml:space="preserve"> </v>
      </c>
    </row>
    <row r="78" spans="1:19" x14ac:dyDescent="0.2">
      <c r="A78" s="485" t="str">
        <f>'Council Own'!B126</f>
        <v>&lt;&lt;List Badge Here&gt;&gt;</v>
      </c>
      <c r="B78" s="486"/>
      <c r="C78" s="252" t="str">
        <f>IF('Council Own'!L148="C","C",IF('Council Own'!L148="P","P",""))</f>
        <v/>
      </c>
      <c r="E78" s="471" t="str">
        <f>'Fun Patches'!C10</f>
        <v>&lt;LIST PATCH HERE&gt;</v>
      </c>
      <c r="F78" s="472"/>
      <c r="G78" s="257" t="str">
        <f>IF('Fun Patches'!L10="A","A"," ")</f>
        <v xml:space="preserve"> </v>
      </c>
      <c r="I78" s="247">
        <v>2</v>
      </c>
      <c r="J78" s="344" t="str">
        <f>'Council Own'!C11</f>
        <v>&lt;List Requirement Here&gt;</v>
      </c>
      <c r="K78" s="257" t="str">
        <f>IF('Council Own'!L11="A","A"," ")</f>
        <v xml:space="preserve"> </v>
      </c>
      <c r="M78" s="247">
        <v>2</v>
      </c>
      <c r="N78" s="344" t="str">
        <f>'Council Own'!C59</f>
        <v>&lt;List Requirement Here&gt;</v>
      </c>
      <c r="O78" s="257" t="str">
        <f>IF('Council Own'!L59="A","A"," ")</f>
        <v xml:space="preserve"> </v>
      </c>
      <c r="Q78" s="247">
        <v>2</v>
      </c>
      <c r="R78" s="344" t="str">
        <f>'Council Own'!C107</f>
        <v>&lt;List Requirement Here&gt;</v>
      </c>
      <c r="S78" s="257" t="str">
        <f>IF('Council Own'!L107="A","A"," ")</f>
        <v xml:space="preserve"> </v>
      </c>
    </row>
    <row r="79" spans="1:19" x14ac:dyDescent="0.2">
      <c r="E79" s="471" t="str">
        <f>'Fun Patches'!C11</f>
        <v>&lt;LIST PATCH HERE&gt;</v>
      </c>
      <c r="F79" s="472"/>
      <c r="G79" s="257" t="str">
        <f>IF('Fun Patches'!L11="A","A"," ")</f>
        <v xml:space="preserve"> </v>
      </c>
      <c r="I79" s="247"/>
      <c r="J79" s="344" t="str">
        <f>'Council Own'!C12</f>
        <v>&lt;List Requirement Here&gt;</v>
      </c>
      <c r="K79" s="257" t="str">
        <f>IF('Council Own'!L12="A","A"," ")</f>
        <v xml:space="preserve"> </v>
      </c>
      <c r="M79" s="247"/>
      <c r="N79" s="344" t="str">
        <f>'Council Own'!C60</f>
        <v>&lt;List Requirement Here&gt;</v>
      </c>
      <c r="O79" s="257" t="str">
        <f>IF('Council Own'!L60="A","A"," ")</f>
        <v xml:space="preserve"> </v>
      </c>
      <c r="Q79" s="247"/>
      <c r="R79" s="344" t="str">
        <f>'Council Own'!C108</f>
        <v>&lt;List Requirement Here&gt;</v>
      </c>
      <c r="S79" s="257" t="str">
        <f>IF('Council Own'!L108="A","A"," ")</f>
        <v xml:space="preserve"> </v>
      </c>
    </row>
    <row r="80" spans="1:19" x14ac:dyDescent="0.2">
      <c r="E80" s="471" t="str">
        <f>'Fun Patches'!C12</f>
        <v>&lt;LIST PATCH HERE&gt;</v>
      </c>
      <c r="F80" s="472"/>
      <c r="G80" s="257" t="str">
        <f>IF('Fun Patches'!L12="A","A"," ")</f>
        <v xml:space="preserve"> </v>
      </c>
      <c r="I80" s="247"/>
      <c r="J80" s="344" t="str">
        <f>'Council Own'!C13</f>
        <v>&lt;List Requirement Here&gt;</v>
      </c>
      <c r="K80" s="257" t="str">
        <f>IF('Council Own'!L13="A","A"," ")</f>
        <v xml:space="preserve"> </v>
      </c>
      <c r="M80" s="247"/>
      <c r="N80" s="344" t="str">
        <f>'Council Own'!C61</f>
        <v>&lt;List Requirement Here&gt;</v>
      </c>
      <c r="O80" s="257" t="str">
        <f>IF('Council Own'!L61="A","A"," ")</f>
        <v xml:space="preserve"> </v>
      </c>
      <c r="Q80" s="247"/>
      <c r="R80" s="344" t="str">
        <f>'Council Own'!C109</f>
        <v>&lt;List Requirement Here&gt;</v>
      </c>
      <c r="S80" s="257" t="str">
        <f>IF('Council Own'!L109="A","A"," ")</f>
        <v xml:space="preserve"> </v>
      </c>
    </row>
    <row r="81" spans="1:22" x14ac:dyDescent="0.2">
      <c r="E81" s="471" t="str">
        <f>'Fun Patches'!C13</f>
        <v>&lt;LIST PATCH HERE&gt;</v>
      </c>
      <c r="F81" s="472"/>
      <c r="G81" s="257" t="str">
        <f>IF('Fun Patches'!L13="A","A"," ")</f>
        <v xml:space="preserve"> </v>
      </c>
      <c r="I81" s="247"/>
      <c r="J81" s="344" t="str">
        <f>'Council Own'!C14</f>
        <v>&lt;List Requirement Here&gt;</v>
      </c>
      <c r="K81" s="257" t="str">
        <f>IF('Council Own'!L14="A","A"," ")</f>
        <v xml:space="preserve"> </v>
      </c>
      <c r="M81" s="247"/>
      <c r="N81" s="344" t="str">
        <f>'Council Own'!C62</f>
        <v>&lt;List Requirement Here&gt;</v>
      </c>
      <c r="O81" s="257" t="str">
        <f>IF('Council Own'!L62="A","A"," ")</f>
        <v xml:space="preserve"> </v>
      </c>
      <c r="Q81" s="247"/>
      <c r="R81" s="344" t="str">
        <f>'Council Own'!C110</f>
        <v>&lt;List Requirement Here&gt;</v>
      </c>
      <c r="S81" s="257" t="str">
        <f>IF('Council Own'!L110="A","A"," ")</f>
        <v xml:space="preserve"> </v>
      </c>
    </row>
    <row r="82" spans="1:22" x14ac:dyDescent="0.2">
      <c r="E82" s="471" t="str">
        <f>'Fun Patches'!C14</f>
        <v>&lt;LIST PATCH HERE&gt;</v>
      </c>
      <c r="F82" s="472"/>
      <c r="G82" s="257" t="str">
        <f>IF('Fun Patches'!L14="A","A"," ")</f>
        <v xml:space="preserve"> </v>
      </c>
      <c r="I82" s="247">
        <v>3</v>
      </c>
      <c r="J82" s="344" t="str">
        <f>'Council Own'!C15</f>
        <v>&lt;List Requirement Here&gt;</v>
      </c>
      <c r="K82" s="257" t="str">
        <f>IF('Council Own'!L15="A","A"," ")</f>
        <v xml:space="preserve"> </v>
      </c>
      <c r="M82" s="247">
        <v>3</v>
      </c>
      <c r="N82" s="344" t="str">
        <f>'Council Own'!C63</f>
        <v>&lt;List Requirement Here&gt;</v>
      </c>
      <c r="O82" s="257" t="str">
        <f>IF('Council Own'!L63="A","A"," ")</f>
        <v xml:space="preserve"> </v>
      </c>
      <c r="Q82" s="247">
        <v>3</v>
      </c>
      <c r="R82" s="344" t="str">
        <f>'Council Own'!C111</f>
        <v>&lt;List Requirement Here&gt;</v>
      </c>
      <c r="S82" s="257" t="str">
        <f>IF('Council Own'!L111="A","A"," ")</f>
        <v xml:space="preserve"> </v>
      </c>
    </row>
    <row r="83" spans="1:22" x14ac:dyDescent="0.2">
      <c r="E83" s="471" t="str">
        <f>'Fun Patches'!C15</f>
        <v>&lt;LIST PATCH HERE&gt;</v>
      </c>
      <c r="F83" s="472"/>
      <c r="G83" s="257" t="str">
        <f>IF('Fun Patches'!L15="A","A"," ")</f>
        <v xml:space="preserve"> </v>
      </c>
      <c r="I83" s="247"/>
      <c r="J83" s="344" t="str">
        <f>'Council Own'!C16</f>
        <v>&lt;List Requirement Here&gt;</v>
      </c>
      <c r="K83" s="257" t="str">
        <f>IF('Council Own'!L16="A","A"," ")</f>
        <v xml:space="preserve"> </v>
      </c>
      <c r="M83" s="247"/>
      <c r="N83" s="344" t="str">
        <f>'Council Own'!C64</f>
        <v>&lt;List Requirement Here&gt;</v>
      </c>
      <c r="O83" s="257" t="str">
        <f>IF('Council Own'!L64="A","A"," ")</f>
        <v xml:space="preserve"> </v>
      </c>
      <c r="Q83" s="247"/>
      <c r="R83" s="344" t="str">
        <f>'Council Own'!C112</f>
        <v>&lt;List Requirement Here&gt;</v>
      </c>
      <c r="S83" s="257" t="str">
        <f>IF('Council Own'!L112="A","A"," ")</f>
        <v xml:space="preserve"> </v>
      </c>
    </row>
    <row r="84" spans="1:22" x14ac:dyDescent="0.2">
      <c r="E84" s="471" t="str">
        <f>'Fun Patches'!C16</f>
        <v>&lt;LIST PATCH HERE&gt;</v>
      </c>
      <c r="F84" s="472"/>
      <c r="G84" s="257" t="str">
        <f>IF('Fun Patches'!L16="A","A"," ")</f>
        <v xml:space="preserve"> </v>
      </c>
      <c r="I84" s="247"/>
      <c r="J84" s="344" t="str">
        <f>'Council Own'!C17</f>
        <v>&lt;List Requirement Here&gt;</v>
      </c>
      <c r="K84" s="257" t="str">
        <f>IF('Council Own'!L17="A","A"," ")</f>
        <v xml:space="preserve"> </v>
      </c>
      <c r="M84" s="247"/>
      <c r="N84" s="344" t="str">
        <f>'Council Own'!C65</f>
        <v>&lt;List Requirement Here&gt;</v>
      </c>
      <c r="O84" s="257" t="str">
        <f>IF('Council Own'!L65="A","A"," ")</f>
        <v xml:space="preserve"> </v>
      </c>
      <c r="Q84" s="247"/>
      <c r="R84" s="344" t="str">
        <f>'Council Own'!C113</f>
        <v>&lt;List Requirement Here&gt;</v>
      </c>
      <c r="S84" s="257" t="str">
        <f>IF('Council Own'!L113="A","A"," ")</f>
        <v xml:space="preserve"> </v>
      </c>
    </row>
    <row r="85" spans="1:22" x14ac:dyDescent="0.2">
      <c r="E85" s="471" t="str">
        <f>'Fun Patches'!C17</f>
        <v>&lt;LIST PATCH HERE&gt;</v>
      </c>
      <c r="F85" s="472"/>
      <c r="G85" s="250" t="str">
        <f>IF('Fun Patches'!L17="A","A"," ")</f>
        <v xml:space="preserve"> </v>
      </c>
      <c r="I85" s="247"/>
      <c r="J85" s="344" t="str">
        <f>'Council Own'!C18</f>
        <v>&lt;List Requirement Here&gt;</v>
      </c>
      <c r="K85" s="257" t="str">
        <f>IF('Council Own'!L18="A","A"," ")</f>
        <v xml:space="preserve"> </v>
      </c>
      <c r="M85" s="247"/>
      <c r="N85" s="344" t="str">
        <f>'Council Own'!C66</f>
        <v>&lt;List Requirement Here&gt;</v>
      </c>
      <c r="O85" s="257" t="str">
        <f>IF('Council Own'!L66="A","A"," ")</f>
        <v xml:space="preserve"> </v>
      </c>
      <c r="Q85" s="247"/>
      <c r="R85" s="344" t="str">
        <f>'Council Own'!C114</f>
        <v>&lt;List Requirement Here&gt;</v>
      </c>
      <c r="S85" s="257" t="str">
        <f>IF('Council Own'!L114="A","A"," ")</f>
        <v xml:space="preserve"> </v>
      </c>
    </row>
    <row r="86" spans="1:22" x14ac:dyDescent="0.2">
      <c r="A86" s="242"/>
      <c r="B86" s="243"/>
      <c r="C86" s="244"/>
      <c r="E86" s="471" t="str">
        <f>'Fun Patches'!C18</f>
        <v>&lt;LIST PATCH HERE&gt;</v>
      </c>
      <c r="F86" s="472"/>
      <c r="G86" s="257" t="str">
        <f>IF('Fun Patches'!L18="A","A"," ")</f>
        <v xml:space="preserve"> </v>
      </c>
      <c r="I86" s="247">
        <v>4</v>
      </c>
      <c r="J86" s="344" t="str">
        <f>'Council Own'!C19</f>
        <v>&lt;List Requirement Here&gt;</v>
      </c>
      <c r="K86" s="257" t="str">
        <f>IF('Council Own'!L19="A","A"," ")</f>
        <v xml:space="preserve"> </v>
      </c>
      <c r="M86" s="247">
        <v>4</v>
      </c>
      <c r="N86" s="344" t="str">
        <f>'Council Own'!C67</f>
        <v>&lt;List Requirement Here&gt;</v>
      </c>
      <c r="O86" s="257" t="str">
        <f>IF('Council Own'!L67="A","A"," ")</f>
        <v xml:space="preserve"> </v>
      </c>
      <c r="Q86" s="247">
        <v>4</v>
      </c>
      <c r="R86" s="344" t="str">
        <f>'Council Own'!C115</f>
        <v>&lt;List Requirement Here&gt;</v>
      </c>
      <c r="S86" s="257" t="str">
        <f>IF('Council Own'!L115="A","A"," ")</f>
        <v xml:space="preserve"> </v>
      </c>
    </row>
    <row r="87" spans="1:22" x14ac:dyDescent="0.2">
      <c r="E87" s="471" t="str">
        <f>'Fun Patches'!C19</f>
        <v>&lt;LIST PATCH HERE&gt;</v>
      </c>
      <c r="F87" s="472"/>
      <c r="G87" s="257" t="str">
        <f>IF('Fun Patches'!L19="A","A"," ")</f>
        <v xml:space="preserve"> </v>
      </c>
      <c r="I87" s="247"/>
      <c r="J87" s="344" t="str">
        <f>'Council Own'!C20</f>
        <v>&lt;List Requirement Here&gt;</v>
      </c>
      <c r="K87" s="257" t="str">
        <f>IF('Council Own'!L20="A","A"," ")</f>
        <v xml:space="preserve"> </v>
      </c>
      <c r="M87" s="247"/>
      <c r="N87" s="344" t="str">
        <f>'Council Own'!C68</f>
        <v>&lt;List Requirement Here&gt;</v>
      </c>
      <c r="O87" s="257" t="str">
        <f>IF('Council Own'!L68="A","A"," ")</f>
        <v xml:space="preserve"> </v>
      </c>
      <c r="Q87" s="247"/>
      <c r="R87" s="344" t="str">
        <f>'Council Own'!C116</f>
        <v>&lt;List Requirement Here&gt;</v>
      </c>
      <c r="S87" s="257" t="str">
        <f>IF('Council Own'!L116="A","A"," ")</f>
        <v xml:space="preserve"> </v>
      </c>
    </row>
    <row r="88" spans="1:22" x14ac:dyDescent="0.2">
      <c r="E88" s="471" t="str">
        <f>'Fun Patches'!C20</f>
        <v>&lt;LIST PATCH HERE&gt;</v>
      </c>
      <c r="F88" s="472"/>
      <c r="G88" s="257" t="str">
        <f>IF('Fun Patches'!L20="A","A"," ")</f>
        <v xml:space="preserve"> </v>
      </c>
      <c r="I88" s="247"/>
      <c r="J88" s="344" t="str">
        <f>'Council Own'!C21</f>
        <v>&lt;List Requirement Here&gt;</v>
      </c>
      <c r="K88" s="257" t="str">
        <f>IF('Council Own'!L21="A","A"," ")</f>
        <v xml:space="preserve"> </v>
      </c>
      <c r="M88" s="247"/>
      <c r="N88" s="344" t="str">
        <f>'Council Own'!C69</f>
        <v>&lt;List Requirement Here&gt;</v>
      </c>
      <c r="O88" s="257" t="str">
        <f>IF('Council Own'!L69="A","A"," ")</f>
        <v xml:space="preserve"> </v>
      </c>
      <c r="Q88" s="247"/>
      <c r="R88" s="344" t="str">
        <f>'Council Own'!C117</f>
        <v>&lt;List Requirement Here&gt;</v>
      </c>
      <c r="S88" s="257" t="str">
        <f>IF('Council Own'!L117="A","A"," ")</f>
        <v xml:space="preserve"> </v>
      </c>
    </row>
    <row r="89" spans="1:22" x14ac:dyDescent="0.2">
      <c r="E89" s="471" t="str">
        <f>'Fun Patches'!C21</f>
        <v>&lt;LIST PATCH HERE&gt;</v>
      </c>
      <c r="F89" s="472"/>
      <c r="G89" s="257" t="str">
        <f>IF('Fun Patches'!L21="A","A"," ")</f>
        <v xml:space="preserve"> </v>
      </c>
      <c r="I89" s="247"/>
      <c r="J89" s="344" t="str">
        <f>'Council Own'!C22</f>
        <v>&lt;List Requirement Here&gt;</v>
      </c>
      <c r="K89" s="257" t="str">
        <f>IF('Council Own'!L22="A","A"," ")</f>
        <v xml:space="preserve"> </v>
      </c>
      <c r="M89" s="247"/>
      <c r="N89" s="344" t="str">
        <f>'Council Own'!C70</f>
        <v>&lt;List Requirement Here&gt;</v>
      </c>
      <c r="O89" s="257" t="str">
        <f>IF('Council Own'!L70="A","A"," ")</f>
        <v xml:space="preserve"> </v>
      </c>
      <c r="Q89" s="247"/>
      <c r="R89" s="344" t="str">
        <f>'Council Own'!C118</f>
        <v>&lt;List Requirement Here&gt;</v>
      </c>
      <c r="S89" s="257" t="str">
        <f>IF('Council Own'!L118="A","A"," ")</f>
        <v xml:space="preserve"> </v>
      </c>
    </row>
    <row r="90" spans="1:22" x14ac:dyDescent="0.2">
      <c r="E90" s="471" t="str">
        <f>'Fun Patches'!C22</f>
        <v>&lt;LIST PATCH HERE&gt;</v>
      </c>
      <c r="F90" s="472"/>
      <c r="G90" s="257" t="str">
        <f>IF('Fun Patches'!L22="A","A"," ")</f>
        <v xml:space="preserve"> </v>
      </c>
      <c r="I90" s="247">
        <v>5</v>
      </c>
      <c r="J90" s="344" t="str">
        <f>'Council Own'!C23</f>
        <v>&lt;List Requirement Here&gt;</v>
      </c>
      <c r="K90" s="257" t="str">
        <f>IF('Council Own'!L23="A","A"," ")</f>
        <v xml:space="preserve"> </v>
      </c>
      <c r="M90" s="247">
        <v>5</v>
      </c>
      <c r="N90" s="344" t="str">
        <f>'Council Own'!C71</f>
        <v>&lt;List Requirement Here&gt;</v>
      </c>
      <c r="O90" s="257" t="str">
        <f>IF('Council Own'!L71="A","A"," ")</f>
        <v xml:space="preserve"> </v>
      </c>
      <c r="Q90" s="247">
        <v>5</v>
      </c>
      <c r="R90" s="344" t="str">
        <f>'Council Own'!C119</f>
        <v>&lt;List Requirement Here&gt;</v>
      </c>
      <c r="S90" s="257" t="str">
        <f>IF('Council Own'!L119="A","A"," ")</f>
        <v xml:space="preserve"> </v>
      </c>
    </row>
    <row r="91" spans="1:22" x14ac:dyDescent="0.2">
      <c r="E91" s="471" t="str">
        <f>'Fun Patches'!C23</f>
        <v>&lt;LIST PATCH HERE&gt;</v>
      </c>
      <c r="F91" s="472"/>
      <c r="G91" s="257" t="str">
        <f>IF('Fun Patches'!L23="A","A"," ")</f>
        <v xml:space="preserve"> </v>
      </c>
      <c r="I91" s="247"/>
      <c r="J91" s="344" t="str">
        <f>'Council Own'!C24</f>
        <v>&lt;List Requirement Here&gt;</v>
      </c>
      <c r="K91" s="257" t="str">
        <f>IF('Council Own'!L24="A","A"," ")</f>
        <v xml:space="preserve"> </v>
      </c>
      <c r="M91" s="247"/>
      <c r="N91" s="344" t="str">
        <f>'Council Own'!C72</f>
        <v>&lt;List Requirement Here&gt;</v>
      </c>
      <c r="O91" s="257" t="str">
        <f>IF('Council Own'!L72="A","A"," ")</f>
        <v xml:space="preserve"> </v>
      </c>
      <c r="Q91" s="247"/>
      <c r="R91" s="344" t="str">
        <f>'Council Own'!C120</f>
        <v>&lt;List Requirement Here&gt;</v>
      </c>
      <c r="S91" s="257" t="str">
        <f>IF('Council Own'!L120="A","A"," ")</f>
        <v xml:space="preserve"> </v>
      </c>
    </row>
    <row r="92" spans="1:22" x14ac:dyDescent="0.2">
      <c r="E92" s="471" t="str">
        <f>'Fun Patches'!C24</f>
        <v>&lt;LIST PATCH HERE&gt;</v>
      </c>
      <c r="F92" s="472"/>
      <c r="G92" s="257" t="str">
        <f>IF('Fun Patches'!L24="A","A"," ")</f>
        <v xml:space="preserve"> </v>
      </c>
      <c r="I92" s="247"/>
      <c r="J92" s="344" t="str">
        <f>'Council Own'!C25</f>
        <v>&lt;List Requirement Here&gt;</v>
      </c>
      <c r="K92" s="257" t="str">
        <f>IF('Council Own'!L25="A","A"," ")</f>
        <v xml:space="preserve"> </v>
      </c>
      <c r="M92" s="247"/>
      <c r="N92" s="344" t="str">
        <f>'Council Own'!C73</f>
        <v>&lt;List Requirement Here&gt;</v>
      </c>
      <c r="O92" s="257" t="str">
        <f>IF('Council Own'!L73="A","A"," ")</f>
        <v xml:space="preserve"> </v>
      </c>
      <c r="Q92" s="247"/>
      <c r="R92" s="344" t="str">
        <f>'Council Own'!C121</f>
        <v>&lt;List Requirement Here&gt;</v>
      </c>
      <c r="S92" s="257" t="str">
        <f>IF('Council Own'!L121="A","A"," ")</f>
        <v xml:space="preserve"> </v>
      </c>
    </row>
    <row r="93" spans="1:22" x14ac:dyDescent="0.2">
      <c r="E93" s="471" t="str">
        <f>'Fun Patches'!C25</f>
        <v>&lt;LIST PATCH HERE&gt;</v>
      </c>
      <c r="F93" s="472"/>
      <c r="G93" s="257" t="str">
        <f>IF('Fun Patches'!L25="A","A"," ")</f>
        <v xml:space="preserve"> </v>
      </c>
      <c r="I93" s="247"/>
      <c r="J93" s="344" t="str">
        <f>'Council Own'!C26</f>
        <v>&lt;List Requirement Here&gt;</v>
      </c>
      <c r="K93" s="257" t="str">
        <f>IF('Council Own'!L26="A","A"," ")</f>
        <v xml:space="preserve"> </v>
      </c>
      <c r="M93" s="247"/>
      <c r="N93" s="344" t="str">
        <f>'Council Own'!C74</f>
        <v>&lt;List Requirement Here&gt;</v>
      </c>
      <c r="O93" s="257" t="str">
        <f>IF('Council Own'!L68="A","A"," ")</f>
        <v xml:space="preserve"> </v>
      </c>
      <c r="Q93" s="247"/>
      <c r="R93" s="344" t="str">
        <f>'Council Own'!C122</f>
        <v>&lt;List Requirement Here&gt;</v>
      </c>
      <c r="S93" s="257" t="str">
        <f>IF('Council Own'!L122="A","A"," ")</f>
        <v xml:space="preserve"> </v>
      </c>
    </row>
    <row r="94" spans="1:22" x14ac:dyDescent="0.2">
      <c r="E94" s="471" t="str">
        <f>'Fun Patches'!C26</f>
        <v>&lt;LIST PATCH HERE&gt;</v>
      </c>
      <c r="F94" s="472"/>
      <c r="G94" s="257" t="str">
        <f>IF('Fun Patches'!L26="A","A","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Patches'!L27="A","A"," ")</f>
        <v xml:space="preserve"> </v>
      </c>
      <c r="I95" s="247">
        <v>1</v>
      </c>
      <c r="J95" s="344" t="str">
        <f>'Council Own'!C31</f>
        <v>&lt;List Requirement Here&gt;</v>
      </c>
      <c r="K95" s="257" t="str">
        <f>IF('Council Own'!L31="A","A"," ")</f>
        <v xml:space="preserve"> </v>
      </c>
      <c r="M95" s="247">
        <v>1</v>
      </c>
      <c r="N95" s="344" t="str">
        <f>'Council Own'!C79</f>
        <v>&lt;List Requirement Here&gt;</v>
      </c>
      <c r="O95" s="257" t="str">
        <f>IF('Council Own'!L79="A","A"," ")</f>
        <v xml:space="preserve"> </v>
      </c>
      <c r="Q95" s="247">
        <v>1</v>
      </c>
      <c r="R95" s="344" t="str">
        <f>'Council Own'!C127</f>
        <v>&lt;List Requirement Here&gt;</v>
      </c>
      <c r="S95" s="257" t="str">
        <f>IF('Council Own'!L127="A","A"," ")</f>
        <v xml:space="preserve"> </v>
      </c>
    </row>
    <row r="96" spans="1:22" x14ac:dyDescent="0.2">
      <c r="E96" s="471" t="str">
        <f>'Fun Patches'!C28</f>
        <v>&lt;LIST PATCH HERE&gt;</v>
      </c>
      <c r="F96" s="472"/>
      <c r="G96" s="257" t="str">
        <f>IF('Fun Patches'!L28="A","A"," ")</f>
        <v xml:space="preserve"> </v>
      </c>
      <c r="I96" s="247"/>
      <c r="J96" s="344" t="str">
        <f>'Council Own'!C32</f>
        <v>&lt;List Requirement Here&gt;</v>
      </c>
      <c r="K96" s="257" t="str">
        <f>IF('Council Own'!L32="A","A"," ")</f>
        <v xml:space="preserve"> </v>
      </c>
      <c r="M96" s="247"/>
      <c r="N96" s="344" t="str">
        <f>'Council Own'!C80</f>
        <v>&lt;List Requirement Here&gt;</v>
      </c>
      <c r="O96" s="257" t="str">
        <f>IF('Council Own'!L80="A","A"," ")</f>
        <v xml:space="preserve"> </v>
      </c>
      <c r="Q96" s="247"/>
      <c r="R96" s="344" t="str">
        <f>'Council Own'!C128</f>
        <v>&lt;List Requirement Here&gt;</v>
      </c>
      <c r="S96" s="257" t="str">
        <f>IF('Council Own'!L128="A","A"," ")</f>
        <v xml:space="preserve"> </v>
      </c>
      <c r="U96" s="245"/>
      <c r="V96" s="245"/>
    </row>
    <row r="97" spans="1:23" x14ac:dyDescent="0.2">
      <c r="E97" s="471" t="str">
        <f>'Fun Patches'!C29</f>
        <v>&lt;LIST PATCH HERE&gt;</v>
      </c>
      <c r="F97" s="472"/>
      <c r="G97" s="257" t="str">
        <f>IF('Fun Patches'!L29="A","A"," ")</f>
        <v xml:space="preserve"> </v>
      </c>
      <c r="I97" s="247"/>
      <c r="J97" s="344" t="str">
        <f>'Council Own'!C33</f>
        <v>&lt;List Requirement Here&gt;</v>
      </c>
      <c r="K97" s="257" t="str">
        <f>IF('Council Own'!L33="A","A"," ")</f>
        <v xml:space="preserve"> </v>
      </c>
      <c r="M97" s="247"/>
      <c r="N97" s="344" t="str">
        <f>'Council Own'!C81</f>
        <v>&lt;List Requirement Here&gt;</v>
      </c>
      <c r="O97" s="257" t="str">
        <f>IF('Council Own'!L81="A","A"," ")</f>
        <v xml:space="preserve"> </v>
      </c>
      <c r="Q97" s="247"/>
      <c r="R97" s="344" t="str">
        <f>'Council Own'!C129</f>
        <v>&lt;List Requirement Here&gt;</v>
      </c>
      <c r="S97" s="257" t="str">
        <f>IF('Council Own'!L129="A","A"," ")</f>
        <v xml:space="preserve"> </v>
      </c>
      <c r="U97" s="245"/>
      <c r="V97" s="245"/>
    </row>
    <row r="98" spans="1:23" x14ac:dyDescent="0.2">
      <c r="A98" s="484" t="s">
        <v>75</v>
      </c>
      <c r="B98" s="484"/>
      <c r="C98" s="484"/>
      <c r="E98" s="471" t="str">
        <f>'Fun Patches'!C30</f>
        <v>&lt;LIST PATCH HERE&gt;</v>
      </c>
      <c r="F98" s="472"/>
      <c r="G98" s="257" t="str">
        <f>IF('Fun Patches'!L30="A","A"," ")</f>
        <v xml:space="preserve"> </v>
      </c>
      <c r="I98" s="247"/>
      <c r="J98" s="344" t="str">
        <f>'Council Own'!C34</f>
        <v>&lt;List Requirement Here&gt;</v>
      </c>
      <c r="K98" s="257" t="str">
        <f>IF('Council Own'!L34="A","A"," ")</f>
        <v xml:space="preserve"> </v>
      </c>
      <c r="M98" s="247"/>
      <c r="N98" s="344" t="str">
        <f>'Council Own'!C82</f>
        <v>&lt;List Requirement Here&gt;</v>
      </c>
      <c r="O98" s="257" t="str">
        <f>IF('Council Own'!L82="A","A"," ")</f>
        <v xml:space="preserve"> </v>
      </c>
      <c r="Q98" s="247"/>
      <c r="R98" s="344" t="str">
        <f>'Council Own'!C130</f>
        <v>&lt;List Requirement Here&gt;</v>
      </c>
      <c r="S98" s="257" t="str">
        <f>IF('Council Own'!L130="A","A"," ")</f>
        <v xml:space="preserve"> </v>
      </c>
      <c r="U98" s="245"/>
      <c r="V98" s="245"/>
    </row>
    <row r="99" spans="1:23" ht="14.25" customHeight="1" x14ac:dyDescent="0.2">
      <c r="A99" s="481" t="s">
        <v>72</v>
      </c>
      <c r="B99" s="482"/>
      <c r="C99" s="483"/>
      <c r="E99" s="471" t="str">
        <f>'Fun Patches'!C31</f>
        <v>&lt;LIST PATCH HERE&gt;</v>
      </c>
      <c r="F99" s="472"/>
      <c r="G99" s="257" t="str">
        <f>IF('Fun Patches'!L31="A","A"," ")</f>
        <v xml:space="preserve"> </v>
      </c>
      <c r="I99" s="247">
        <v>2</v>
      </c>
      <c r="J99" s="344" t="str">
        <f>'Council Own'!C35</f>
        <v>&lt;List Requirement Here&gt;</v>
      </c>
      <c r="K99" s="257" t="str">
        <f>IF('Council Own'!L35="A","A"," ")</f>
        <v xml:space="preserve"> </v>
      </c>
      <c r="M99" s="247">
        <v>2</v>
      </c>
      <c r="N99" s="344" t="str">
        <f>'Council Own'!C83</f>
        <v>&lt;List Requirement Here&gt;</v>
      </c>
      <c r="O99" s="257" t="str">
        <f>IF('Council Own'!L83="A","A"," ")</f>
        <v xml:space="preserve"> </v>
      </c>
      <c r="Q99" s="247">
        <v>2</v>
      </c>
      <c r="R99" s="344" t="str">
        <f>'Council Own'!C131</f>
        <v>&lt;List Requirement Here&gt;</v>
      </c>
      <c r="S99" s="257" t="str">
        <f>IF('Council Own'!L131="A","A"," ")</f>
        <v xml:space="preserve"> </v>
      </c>
      <c r="U99" s="245"/>
      <c r="V99" s="245"/>
    </row>
    <row r="100" spans="1:23" x14ac:dyDescent="0.2">
      <c r="A100" s="481" t="s">
        <v>73</v>
      </c>
      <c r="B100" s="482"/>
      <c r="C100" s="483"/>
      <c r="E100" s="471" t="str">
        <f>'Fun Patches'!C32</f>
        <v>&lt;LIST PATCH HERE&gt;</v>
      </c>
      <c r="F100" s="472"/>
      <c r="G100" s="257" t="str">
        <f>IF('Fun Patches'!L32="A","A"," ")</f>
        <v xml:space="preserve"> </v>
      </c>
      <c r="I100" s="247"/>
      <c r="J100" s="344" t="str">
        <f>'Council Own'!C36</f>
        <v>&lt;List Requirement Here&gt;</v>
      </c>
      <c r="K100" s="257" t="str">
        <f>IF('Council Own'!L36="A","A"," ")</f>
        <v xml:space="preserve"> </v>
      </c>
      <c r="M100" s="247"/>
      <c r="N100" s="344" t="str">
        <f>'Council Own'!C84</f>
        <v>&lt;List Requirement Here&gt;</v>
      </c>
      <c r="O100" s="257" t="str">
        <f>IF('Council Own'!L84="A","A"," ")</f>
        <v xml:space="preserve"> </v>
      </c>
      <c r="Q100" s="247"/>
      <c r="R100" s="344" t="str">
        <f>'Council Own'!C132</f>
        <v>&lt;List Requirement Here&gt;</v>
      </c>
      <c r="S100" s="257" t="str">
        <f>IF('Council Own'!L132="A","A"," ")</f>
        <v xml:space="preserve"> </v>
      </c>
      <c r="U100" s="337"/>
      <c r="V100" s="338"/>
      <c r="W100" s="341"/>
    </row>
    <row r="101" spans="1:23" x14ac:dyDescent="0.2">
      <c r="A101" s="468" t="s">
        <v>74</v>
      </c>
      <c r="B101" s="469"/>
      <c r="C101" s="470"/>
      <c r="E101" s="471" t="str">
        <f>'Fun Patches'!C33</f>
        <v>&lt;LIST PATCH HERE&gt;</v>
      </c>
      <c r="F101" s="472"/>
      <c r="G101" s="257" t="str">
        <f>IF('Fun Patches'!L33="A","A"," ")</f>
        <v xml:space="preserve"> </v>
      </c>
      <c r="I101" s="247"/>
      <c r="J101" s="344" t="str">
        <f>'Council Own'!C37</f>
        <v>&lt;List Requirement Here&gt;</v>
      </c>
      <c r="K101" s="257" t="str">
        <f>IF('Council Own'!L37="A","A"," ")</f>
        <v xml:space="preserve"> </v>
      </c>
      <c r="M101" s="247"/>
      <c r="N101" s="344" t="str">
        <f>'Council Own'!C85</f>
        <v>&lt;List Requirement Here&gt;</v>
      </c>
      <c r="O101" s="257" t="str">
        <f>IF('Council Own'!L85="A","A"," ")</f>
        <v xml:space="preserve"> </v>
      </c>
      <c r="Q101" s="247"/>
      <c r="R101" s="344" t="str">
        <f>'Council Own'!C133</f>
        <v>&lt;List Requirement Here&gt;</v>
      </c>
      <c r="S101" s="257" t="str">
        <f>IF('Council Own'!L133="A","A"," ")</f>
        <v xml:space="preserve"> </v>
      </c>
      <c r="U101" s="245"/>
      <c r="V101" s="245"/>
    </row>
    <row r="102" spans="1:23" x14ac:dyDescent="0.2">
      <c r="E102" s="471" t="str">
        <f>'Fun Patches'!C34</f>
        <v>&lt;LIST PATCH HERE&gt;</v>
      </c>
      <c r="F102" s="472"/>
      <c r="G102" s="257" t="str">
        <f>IF('Fun Patches'!L34="A","A"," ")</f>
        <v xml:space="preserve"> </v>
      </c>
      <c r="I102" s="247"/>
      <c r="J102" s="344" t="str">
        <f>'Council Own'!C38</f>
        <v>&lt;List Requirement Here&gt;</v>
      </c>
      <c r="K102" s="257" t="str">
        <f>IF('Council Own'!L38="A","A"," ")</f>
        <v xml:space="preserve"> </v>
      </c>
      <c r="M102" s="247"/>
      <c r="N102" s="344" t="str">
        <f>'Council Own'!C86</f>
        <v>&lt;List Requirement Here&gt;</v>
      </c>
      <c r="O102" s="257" t="str">
        <f>IF('Council Own'!L86="A","A"," ")</f>
        <v xml:space="preserve"> </v>
      </c>
      <c r="Q102" s="247"/>
      <c r="R102" s="344" t="str">
        <f>'Council Own'!C134</f>
        <v>&lt;List Requirement Here&gt;</v>
      </c>
      <c r="S102" s="257" t="str">
        <f>IF('Council Own'!L134="A","A"," ")</f>
        <v xml:space="preserve"> </v>
      </c>
      <c r="U102" s="245"/>
      <c r="V102" s="245"/>
    </row>
    <row r="103" spans="1:23" x14ac:dyDescent="0.2">
      <c r="E103" s="471" t="str">
        <f>'Fun Patches'!C35</f>
        <v>&lt;LIST PATCH HERE&gt;</v>
      </c>
      <c r="F103" s="472"/>
      <c r="G103" s="257" t="str">
        <f>IF('Fun Patches'!L35="A","A"," ")</f>
        <v xml:space="preserve"> </v>
      </c>
      <c r="I103" s="247">
        <v>3</v>
      </c>
      <c r="J103" s="344" t="str">
        <f>'Council Own'!C39</f>
        <v>&lt;List Requirement Here&gt;</v>
      </c>
      <c r="K103" s="257" t="str">
        <f>IF('Council Own'!L39="A","A"," ")</f>
        <v xml:space="preserve"> </v>
      </c>
      <c r="M103" s="247">
        <v>3</v>
      </c>
      <c r="N103" s="344" t="str">
        <f>'Council Own'!C87</f>
        <v>&lt;List Requirement Here&gt;</v>
      </c>
      <c r="O103" s="257" t="str">
        <f>IF('Council Own'!L87="A","A"," ")</f>
        <v xml:space="preserve"> </v>
      </c>
      <c r="Q103" s="247">
        <v>3</v>
      </c>
      <c r="R103" s="344" t="str">
        <f>'Council Own'!C135</f>
        <v>&lt;List Requirement Here&gt;</v>
      </c>
      <c r="S103" s="257" t="str">
        <f>IF('Council Own'!L135="A","A"," ")</f>
        <v xml:space="preserve"> </v>
      </c>
      <c r="U103" s="245"/>
      <c r="V103" s="245"/>
    </row>
    <row r="104" spans="1:23" x14ac:dyDescent="0.2">
      <c r="E104" s="471" t="str">
        <f>'Fun Patches'!C36</f>
        <v>&lt;LIST PATCH HERE&gt;</v>
      </c>
      <c r="F104" s="472"/>
      <c r="G104" s="257" t="str">
        <f>IF('Fun Patches'!L36="A","A"," ")</f>
        <v xml:space="preserve"> </v>
      </c>
      <c r="I104" s="247"/>
      <c r="J104" s="344" t="str">
        <f>'Council Own'!C40</f>
        <v>&lt;List Requirement Here&gt;</v>
      </c>
      <c r="K104" s="257" t="str">
        <f>IF('Council Own'!L40="A","A"," ")</f>
        <v xml:space="preserve"> </v>
      </c>
      <c r="M104" s="247"/>
      <c r="N104" s="344" t="str">
        <f>'Council Own'!C88</f>
        <v>&lt;List Requirement Here&gt;</v>
      </c>
      <c r="O104" s="257" t="str">
        <f>IF('Council Own'!L88="A","A"," ")</f>
        <v xml:space="preserve"> </v>
      </c>
      <c r="Q104" s="247"/>
      <c r="R104" s="344" t="str">
        <f>'Council Own'!C136</f>
        <v>&lt;List Requirement Here&gt;</v>
      </c>
      <c r="S104" s="257" t="str">
        <f>IF('Council Own'!L136="A","A"," ")</f>
        <v xml:space="preserve"> </v>
      </c>
      <c r="U104" s="245"/>
      <c r="V104" s="245"/>
    </row>
    <row r="105" spans="1:23" x14ac:dyDescent="0.2">
      <c r="E105" s="471" t="str">
        <f>'Fun Patches'!C37</f>
        <v>&lt;LIST PATCH HERE&gt;</v>
      </c>
      <c r="F105" s="472"/>
      <c r="G105" s="257" t="str">
        <f>IF('Fun Patches'!L37="A","A"," ")</f>
        <v xml:space="preserve"> </v>
      </c>
      <c r="I105" s="247"/>
      <c r="J105" s="344" t="str">
        <f>'Council Own'!C41</f>
        <v>&lt;List Requirement Here&gt;</v>
      </c>
      <c r="K105" s="257" t="str">
        <f>IF('Council Own'!L41="A","A"," ")</f>
        <v xml:space="preserve"> </v>
      </c>
      <c r="M105" s="247"/>
      <c r="N105" s="344" t="str">
        <f>'Council Own'!C89</f>
        <v>&lt;List Requirement Here&gt;</v>
      </c>
      <c r="O105" s="257" t="str">
        <f>IF('Council Own'!L89="A","A"," ")</f>
        <v xml:space="preserve"> </v>
      </c>
      <c r="Q105" s="247"/>
      <c r="R105" s="344" t="str">
        <f>'Council Own'!C137</f>
        <v>&lt;List Requirement Here&gt;</v>
      </c>
      <c r="S105" s="257" t="str">
        <f>IF('Council Own'!L137="A","A"," ")</f>
        <v xml:space="preserve"> </v>
      </c>
      <c r="U105" s="245"/>
      <c r="V105" s="245"/>
    </row>
    <row r="106" spans="1:23" x14ac:dyDescent="0.2">
      <c r="E106" s="471" t="str">
        <f>'Fun Patches'!C38</f>
        <v>&lt;LIST PATCH HERE&gt;</v>
      </c>
      <c r="F106" s="472"/>
      <c r="G106" s="257" t="str">
        <f>IF('Fun Patches'!L38="A","A"," ")</f>
        <v xml:space="preserve"> </v>
      </c>
      <c r="I106" s="247"/>
      <c r="J106" s="344" t="str">
        <f>'Council Own'!C42</f>
        <v>&lt;List Requirement Here&gt;</v>
      </c>
      <c r="K106" s="257" t="str">
        <f>IF('Council Own'!L42="A","A"," ")</f>
        <v xml:space="preserve"> </v>
      </c>
      <c r="M106" s="247"/>
      <c r="N106" s="344" t="str">
        <f>'Council Own'!C90</f>
        <v>&lt;List Requirement Here&gt;</v>
      </c>
      <c r="O106" s="257" t="str">
        <f>IF('Council Own'!L90="A","A"," ")</f>
        <v xml:space="preserve"> </v>
      </c>
      <c r="Q106" s="247"/>
      <c r="R106" s="344" t="str">
        <f>'Council Own'!C138</f>
        <v>&lt;List Requirement Here&gt;</v>
      </c>
      <c r="S106" s="257" t="str">
        <f>IF('Council Own'!L138="A","A"," ")</f>
        <v xml:space="preserve"> </v>
      </c>
      <c r="U106" s="245"/>
      <c r="V106" s="245"/>
    </row>
    <row r="107" spans="1:23" x14ac:dyDescent="0.2">
      <c r="E107" s="284"/>
      <c r="F107" s="263"/>
      <c r="G107" s="341"/>
      <c r="I107" s="247">
        <v>4</v>
      </c>
      <c r="J107" s="344" t="str">
        <f>'Council Own'!C43</f>
        <v>&lt;List Requirement Here&gt;</v>
      </c>
      <c r="K107" s="257" t="str">
        <f>IF('Council Own'!L43="A","A"," ")</f>
        <v xml:space="preserve"> </v>
      </c>
      <c r="M107" s="247">
        <v>4</v>
      </c>
      <c r="N107" s="344" t="str">
        <f>'Council Own'!C91</f>
        <v>&lt;List Requirement Here&gt;</v>
      </c>
      <c r="O107" s="257" t="str">
        <f>IF('Council Own'!L91="A","A"," ")</f>
        <v xml:space="preserve"> </v>
      </c>
      <c r="Q107" s="247">
        <v>4</v>
      </c>
      <c r="R107" s="344" t="str">
        <f>'Council Own'!C139</f>
        <v>&lt;List Requirement Here&gt;</v>
      </c>
      <c r="S107" s="257" t="str">
        <f>IF('Council Own'!L139="A","A"," ")</f>
        <v xml:space="preserve"> </v>
      </c>
      <c r="U107" s="245"/>
      <c r="V107" s="245"/>
    </row>
    <row r="108" spans="1:23" x14ac:dyDescent="0.2">
      <c r="I108" s="247"/>
      <c r="J108" s="344" t="str">
        <f>'Council Own'!C44</f>
        <v>&lt;List Requirement Here&gt;</v>
      </c>
      <c r="K108" s="257" t="str">
        <f>IF('Council Own'!L44="A","A"," ")</f>
        <v xml:space="preserve"> </v>
      </c>
      <c r="M108" s="247"/>
      <c r="N108" s="344" t="str">
        <f>'Council Own'!C92</f>
        <v>&lt;List Requirement Here&gt;</v>
      </c>
      <c r="O108" s="257" t="str">
        <f>IF('Council Own'!L92="A","A"," ")</f>
        <v xml:space="preserve"> </v>
      </c>
      <c r="Q108" s="247"/>
      <c r="R108" s="344" t="str">
        <f>'Council Own'!C140</f>
        <v>&lt;List Requirement Here&gt;</v>
      </c>
      <c r="S108" s="257" t="str">
        <f>IF('Council Own'!L140="A","A"," ")</f>
        <v xml:space="preserve"> </v>
      </c>
      <c r="U108" s="245"/>
      <c r="V108" s="245"/>
    </row>
    <row r="109" spans="1:23" x14ac:dyDescent="0.2">
      <c r="I109" s="247"/>
      <c r="J109" s="344" t="str">
        <f>'Council Own'!C45</f>
        <v>&lt;List Requirement Here&gt;</v>
      </c>
      <c r="K109" s="257" t="str">
        <f>IF('Council Own'!L45="A","A"," ")</f>
        <v xml:space="preserve"> </v>
      </c>
      <c r="M109" s="247"/>
      <c r="N109" s="344" t="str">
        <f>'Council Own'!C93</f>
        <v>&lt;List Requirement Here&gt;</v>
      </c>
      <c r="O109" s="257" t="str">
        <f>IF('Council Own'!L93="A","A"," ")</f>
        <v xml:space="preserve"> </v>
      </c>
      <c r="Q109" s="247"/>
      <c r="R109" s="344" t="str">
        <f>'Council Own'!C141</f>
        <v>&lt;List Requirement Here&gt;</v>
      </c>
      <c r="S109" s="257" t="str">
        <f>IF('Council Own'!L141="A","A"," ")</f>
        <v xml:space="preserve"> </v>
      </c>
      <c r="U109" s="245"/>
      <c r="V109" s="245"/>
    </row>
    <row r="110" spans="1:23" x14ac:dyDescent="0.2">
      <c r="I110" s="247"/>
      <c r="J110" s="344" t="str">
        <f>'Council Own'!C46</f>
        <v>&lt;List Requirement Here&gt;</v>
      </c>
      <c r="K110" s="257" t="str">
        <f>IF('Council Own'!L46="A","A"," ")</f>
        <v xml:space="preserve"> </v>
      </c>
      <c r="M110" s="247"/>
      <c r="N110" s="344" t="str">
        <f>'Council Own'!C94</f>
        <v>&lt;List Requirement Here&gt;</v>
      </c>
      <c r="O110" s="257" t="str">
        <f>IF('Council Own'!L94="A","A"," ")</f>
        <v xml:space="preserve"> </v>
      </c>
      <c r="Q110" s="247"/>
      <c r="R110" s="344" t="str">
        <f>'Council Own'!C142</f>
        <v>&lt;List Requirement Here&gt;</v>
      </c>
      <c r="S110" s="257" t="str">
        <f>IF('Council Own'!L142="A","A"," ")</f>
        <v xml:space="preserve"> </v>
      </c>
      <c r="U110" s="245"/>
      <c r="V110" s="245"/>
    </row>
    <row r="111" spans="1:23" x14ac:dyDescent="0.2">
      <c r="I111" s="247">
        <v>5</v>
      </c>
      <c r="J111" s="344" t="str">
        <f>'Council Own'!C47</f>
        <v>&lt;List Requirement Here&gt;</v>
      </c>
      <c r="K111" s="257" t="str">
        <f>IF('Council Own'!L47="A","A"," ")</f>
        <v xml:space="preserve"> </v>
      </c>
      <c r="M111" s="247">
        <v>5</v>
      </c>
      <c r="N111" s="344" t="str">
        <f>'Council Own'!C95</f>
        <v>&lt;List Requirement Here&gt;</v>
      </c>
      <c r="O111" s="257" t="str">
        <f>IF('Council Own'!L95="A","A"," ")</f>
        <v xml:space="preserve"> </v>
      </c>
      <c r="Q111" s="247">
        <v>5</v>
      </c>
      <c r="R111" s="344" t="str">
        <f>'Council Own'!C143</f>
        <v>&lt;List Requirement Here&gt;</v>
      </c>
      <c r="S111" s="257" t="str">
        <f>IF('Council Own'!L143="A","A"," ")</f>
        <v xml:space="preserve"> </v>
      </c>
      <c r="U111" s="338"/>
      <c r="V111" s="338"/>
      <c r="W111" s="341"/>
    </row>
    <row r="112" spans="1:23" x14ac:dyDescent="0.2">
      <c r="I112" s="247"/>
      <c r="J112" s="344" t="str">
        <f>'Council Own'!C48</f>
        <v>&lt;List Requirement Here&gt;</v>
      </c>
      <c r="K112" s="257" t="str">
        <f>IF('Council Own'!L48="A","A"," ")</f>
        <v xml:space="preserve"> </v>
      </c>
      <c r="M112" s="247"/>
      <c r="N112" s="344" t="str">
        <f>'Council Own'!C96</f>
        <v>&lt;List Requirement Here&gt;</v>
      </c>
      <c r="O112" s="257" t="str">
        <f>IF('Council Own'!L96="A","A"," ")</f>
        <v xml:space="preserve"> </v>
      </c>
      <c r="Q112" s="247"/>
      <c r="R112" s="344" t="str">
        <f>'Council Own'!C144</f>
        <v>&lt;List Requirement Here&gt;</v>
      </c>
      <c r="S112" s="257" t="str">
        <f>IF('Council Own'!L144="A","A"," ")</f>
        <v xml:space="preserve"> </v>
      </c>
      <c r="U112" s="245"/>
      <c r="V112" s="245"/>
    </row>
    <row r="113" spans="9:22" x14ac:dyDescent="0.2">
      <c r="I113" s="247"/>
      <c r="J113" s="344" t="str">
        <f>'Council Own'!C49</f>
        <v>&lt;List Requirement Here&gt;</v>
      </c>
      <c r="K113" s="257" t="str">
        <f>IF('Council Own'!L49="A","A"," ")</f>
        <v xml:space="preserve"> </v>
      </c>
      <c r="M113" s="247"/>
      <c r="N113" s="344" t="str">
        <f>'Council Own'!C97</f>
        <v>&lt;List Requirement Here&gt;</v>
      </c>
      <c r="O113" s="257" t="str">
        <f>IF('Council Own'!L97="A","A"," ")</f>
        <v xml:space="preserve"> </v>
      </c>
      <c r="Q113" s="247"/>
      <c r="R113" s="344" t="str">
        <f>'Council Own'!C145</f>
        <v>&lt;List Requirement Here&gt;</v>
      </c>
      <c r="S113" s="257" t="str">
        <f>IF('Council Own'!L145="A","A"," ")</f>
        <v xml:space="preserve"> </v>
      </c>
      <c r="U113" s="245"/>
      <c r="V113" s="245"/>
    </row>
    <row r="114" spans="9:22" x14ac:dyDescent="0.2">
      <c r="I114" s="247"/>
      <c r="J114" s="344" t="str">
        <f>'Council Own'!C50</f>
        <v>&lt;List Requirement Here&gt;</v>
      </c>
      <c r="K114" s="257" t="str">
        <f>IF('Council Own'!L50="A","A"," ")</f>
        <v xml:space="preserve"> </v>
      </c>
      <c r="M114" s="247"/>
      <c r="N114" s="344" t="str">
        <f>'Council Own'!C98</f>
        <v>&lt;List Requirement Here&gt;</v>
      </c>
      <c r="O114" s="257" t="str">
        <f>IF('Council Own'!L98="A","A"," ")</f>
        <v xml:space="preserve"> </v>
      </c>
      <c r="Q114" s="247"/>
      <c r="R114" s="344" t="str">
        <f>'Council Own'!C146</f>
        <v>&lt;List Requirement Here&gt;</v>
      </c>
      <c r="S114" s="257" t="str">
        <f>IF('Council Own'!L146="A","A","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row r="147" ht="12.75" customHeight="1" x14ac:dyDescent="0.2"/>
    <row r="148" ht="12.75" customHeight="1" x14ac:dyDescent="0.2"/>
    <row r="172" ht="12.75" customHeight="1" x14ac:dyDescent="0.2"/>
    <row r="173" ht="12.75" customHeight="1" x14ac:dyDescent="0.2"/>
  </sheetData>
  <sheetProtection password="9A15" sheet="1" objects="1" scenarios="1" selectLockedCells="1" selectUnlockedCells="1"/>
  <mergeCells count="113">
    <mergeCell ref="E102:F102"/>
    <mergeCell ref="E96:F96"/>
    <mergeCell ref="E97:F97"/>
    <mergeCell ref="A98:C98"/>
    <mergeCell ref="E98:F98"/>
    <mergeCell ref="A99:C99"/>
    <mergeCell ref="E99:F99"/>
    <mergeCell ref="A100:C100"/>
    <mergeCell ref="E100:F100"/>
    <mergeCell ref="A101:C101"/>
    <mergeCell ref="E101:F101"/>
    <mergeCell ref="E87:F87"/>
    <mergeCell ref="E88:F88"/>
    <mergeCell ref="E89:F89"/>
    <mergeCell ref="E90:F90"/>
    <mergeCell ref="E91:F91"/>
    <mergeCell ref="E92:F92"/>
    <mergeCell ref="E93:F93"/>
    <mergeCell ref="E94:F94"/>
    <mergeCell ref="E95:F95"/>
    <mergeCell ref="E78:F78"/>
    <mergeCell ref="E79:F79"/>
    <mergeCell ref="E80:F80"/>
    <mergeCell ref="E81:F81"/>
    <mergeCell ref="E82:F82"/>
    <mergeCell ref="E83:F83"/>
    <mergeCell ref="E84:F84"/>
    <mergeCell ref="E85:F85"/>
    <mergeCell ref="E86:F86"/>
    <mergeCell ref="A26:B26"/>
    <mergeCell ref="A28:C28"/>
    <mergeCell ref="Q28:R28"/>
    <mergeCell ref="B29:C29"/>
    <mergeCell ref="B30:C30"/>
    <mergeCell ref="B34:C34"/>
    <mergeCell ref="Q34:R34"/>
    <mergeCell ref="B35:C35"/>
    <mergeCell ref="B42:C42"/>
    <mergeCell ref="Q42:R42"/>
    <mergeCell ref="A8:B8"/>
    <mergeCell ref="A9:B9"/>
    <mergeCell ref="A11:B11"/>
    <mergeCell ref="A16:B16"/>
    <mergeCell ref="A18:B18"/>
    <mergeCell ref="A19:B19"/>
    <mergeCell ref="A20:B20"/>
    <mergeCell ref="A24:C24"/>
    <mergeCell ref="A25:B25"/>
    <mergeCell ref="Q1:S1"/>
    <mergeCell ref="E2:G2"/>
    <mergeCell ref="Q2:R2"/>
    <mergeCell ref="Q3:R3"/>
    <mergeCell ref="Q4:R4"/>
    <mergeCell ref="Q5:R5"/>
    <mergeCell ref="Q6:R6"/>
    <mergeCell ref="Q7:R7"/>
    <mergeCell ref="Q8:R8"/>
    <mergeCell ref="A3:B3"/>
    <mergeCell ref="A4:C4"/>
    <mergeCell ref="A5:B5"/>
    <mergeCell ref="A6:B6"/>
    <mergeCell ref="A7:B7"/>
    <mergeCell ref="A1:C1"/>
    <mergeCell ref="E1:G1"/>
    <mergeCell ref="I1:K1"/>
    <mergeCell ref="M1:O1"/>
    <mergeCell ref="Q9:R9"/>
    <mergeCell ref="A10:B10"/>
    <mergeCell ref="Q10:R10"/>
    <mergeCell ref="Q11:R11"/>
    <mergeCell ref="Q12:R12"/>
    <mergeCell ref="A13:C13"/>
    <mergeCell ref="Q13:R13"/>
    <mergeCell ref="Q14:R14"/>
    <mergeCell ref="Q15:R15"/>
    <mergeCell ref="A12:B12"/>
    <mergeCell ref="A14:B14"/>
    <mergeCell ref="A15:B15"/>
    <mergeCell ref="Q16:R16"/>
    <mergeCell ref="Q17:R17"/>
    <mergeCell ref="Q18:R18"/>
    <mergeCell ref="Q19:R19"/>
    <mergeCell ref="Q20:R20"/>
    <mergeCell ref="A21:C21"/>
    <mergeCell ref="Q21:R21"/>
    <mergeCell ref="A22:B22"/>
    <mergeCell ref="A23:B23"/>
    <mergeCell ref="E23:G23"/>
    <mergeCell ref="A17:B17"/>
    <mergeCell ref="E103:F103"/>
    <mergeCell ref="E104:F104"/>
    <mergeCell ref="E105:F105"/>
    <mergeCell ref="E106:F106"/>
    <mergeCell ref="B43:C43"/>
    <mergeCell ref="E45:G45"/>
    <mergeCell ref="A49:C49"/>
    <mergeCell ref="Q55:S55"/>
    <mergeCell ref="E72:G72"/>
    <mergeCell ref="I72:K72"/>
    <mergeCell ref="M72:O72"/>
    <mergeCell ref="Q72:S72"/>
    <mergeCell ref="E73:F73"/>
    <mergeCell ref="A72:C72"/>
    <mergeCell ref="A76:B76"/>
    <mergeCell ref="A77:B77"/>
    <mergeCell ref="A78:B78"/>
    <mergeCell ref="A73:B73"/>
    <mergeCell ref="A74:B74"/>
    <mergeCell ref="A75:B75"/>
    <mergeCell ref="E74:F74"/>
    <mergeCell ref="E75:F75"/>
    <mergeCell ref="E76:F76"/>
    <mergeCell ref="E77:F7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W173"/>
  <sheetViews>
    <sheetView showGridLines="0" zoomScale="90" zoomScaleNormal="90" workbookViewId="0">
      <selection activeCell="C16" sqref="C16"/>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1" customHeight="1" x14ac:dyDescent="0.35">
      <c r="A1" s="512" t="str">
        <f ca="1">MID(CELL("filename",A1),FIND(IF(ISERROR(FIND("]",CELL("filename",A1))),"$","]"),CELL("filename",A1))+1,256)</f>
        <v>Ambassador 10</v>
      </c>
      <c r="B1" s="512"/>
      <c r="C1" s="512"/>
      <c r="D1" s="265"/>
      <c r="E1" s="506" t="s">
        <v>15</v>
      </c>
      <c r="F1" s="506"/>
      <c r="G1" s="506"/>
      <c r="I1" s="506" t="s">
        <v>15</v>
      </c>
      <c r="J1" s="506"/>
      <c r="K1" s="506"/>
      <c r="M1" s="506" t="s">
        <v>15</v>
      </c>
      <c r="N1" s="506"/>
      <c r="O1" s="506"/>
      <c r="Q1" s="506" t="s">
        <v>135</v>
      </c>
      <c r="R1" s="506"/>
      <c r="S1" s="506"/>
      <c r="T1" s="239"/>
      <c r="U1" s="239"/>
    </row>
    <row r="2" spans="1:21" s="245" customFormat="1" ht="13.5" thickBot="1" x14ac:dyDescent="0.25">
      <c r="A2" s="242"/>
      <c r="B2" s="243"/>
      <c r="C2" s="244" t="s">
        <v>16</v>
      </c>
      <c r="D2" s="243"/>
      <c r="E2" s="492" t="str">
        <f>Badges!B6</f>
        <v>Photography</v>
      </c>
      <c r="F2" s="492"/>
      <c r="G2" s="492"/>
      <c r="H2" s="241"/>
      <c r="I2" s="247">
        <v>3</v>
      </c>
      <c r="J2" s="248" t="str">
        <f>Badges!C61</f>
        <v>Dig into national or state public policy</v>
      </c>
      <c r="K2" s="249"/>
      <c r="L2" s="241"/>
      <c r="M2" s="247">
        <v>3</v>
      </c>
      <c r="N2" s="248" t="str">
        <f>Badges!C130</f>
        <v>Share sisterhood around the world</v>
      </c>
      <c r="O2" s="249"/>
      <c r="P2" s="241"/>
      <c r="Q2" s="493" t="str">
        <f>'Age-Level'!B5</f>
        <v>Gold Torch Award</v>
      </c>
      <c r="R2" s="494"/>
      <c r="S2" s="251" t="str">
        <f>IF('Age-Level'!M8="C","C",IF('Age-Level'!M8="P","P",""))</f>
        <v/>
      </c>
      <c r="T2" s="239"/>
      <c r="U2" s="239"/>
    </row>
    <row r="3" spans="1:21" x14ac:dyDescent="0.2">
      <c r="A3" s="510" t="s">
        <v>132</v>
      </c>
      <c r="B3" s="511"/>
      <c r="C3" s="246">
        <f>INT(COUNTIF(C5:C12,"C"))+INT(COUNTIF(C14:C26,"C"))</f>
        <v>0</v>
      </c>
      <c r="E3" s="247">
        <v>1</v>
      </c>
      <c r="F3" s="248" t="str">
        <f>Badges!C7</f>
        <v>Expore the power of photography</v>
      </c>
      <c r="G3" s="249"/>
      <c r="I3" s="247"/>
      <c r="J3" s="248" t="str">
        <f>Badges!C62</f>
        <v>Track your issue</v>
      </c>
      <c r="K3" s="250" t="str">
        <f>IF(Badges!M62="A","A"," ")</f>
        <v xml:space="preserve"> </v>
      </c>
      <c r="M3" s="247"/>
      <c r="N3" s="248" t="str">
        <f>Badges!C131</f>
        <v>Explore an issue affecting girls and</v>
      </c>
      <c r="O3" s="250" t="str">
        <f>IF(Badges!M131="A","A"," ")</f>
        <v xml:space="preserve"> </v>
      </c>
      <c r="Q3" s="471" t="str">
        <f>'Age-Level'!B9</f>
        <v>Ambassador Community Service bar</v>
      </c>
      <c r="R3" s="472"/>
      <c r="S3" s="251" t="str">
        <f>IF('Age-Level'!M9="C","C",IF('Age-Level'!M9="P","P",""))</f>
        <v/>
      </c>
      <c r="T3" s="239"/>
      <c r="U3" s="239"/>
    </row>
    <row r="4" spans="1:21" x14ac:dyDescent="0.2">
      <c r="A4" s="500" t="str">
        <f>Summary!A3</f>
        <v>Legacy</v>
      </c>
      <c r="B4" s="500"/>
      <c r="C4" s="500"/>
      <c r="E4" s="247"/>
      <c r="F4" s="248" t="str">
        <f>Badges!C8</f>
        <v>Go to a photography exhibit</v>
      </c>
      <c r="G4" s="250" t="str">
        <f>IF(Badges!M8="A","A"," ")</f>
        <v xml:space="preserve"> </v>
      </c>
      <c r="I4" s="247"/>
      <c r="J4" s="248" t="str">
        <f>Badges!C63</f>
        <v>Talk to an interest gorup that promotes</v>
      </c>
      <c r="K4" s="250" t="str">
        <f>IF(Badges!M63="A","A"," ")</f>
        <v xml:space="preserve"> </v>
      </c>
      <c r="M4" s="247"/>
      <c r="N4" s="248" t="str">
        <f>Badges!C132</f>
        <v>Organize an event on women and STEM</v>
      </c>
      <c r="O4" s="250" t="str">
        <f>IF(Badges!M132="A","A"," ")</f>
        <v xml:space="preserve"> </v>
      </c>
      <c r="Q4" s="471" t="str">
        <f>'Age-Level'!B12</f>
        <v>Ambassador Service to Girl Scouting bar</v>
      </c>
      <c r="R4" s="472"/>
      <c r="S4" s="251" t="str">
        <f>IF('Age-Level'!M10="C","C",IF('Age-Level'!M10="P","P",""))</f>
        <v/>
      </c>
      <c r="T4" s="239"/>
      <c r="U4" s="239"/>
    </row>
    <row r="5" spans="1:21" ht="12.75" customHeight="1" x14ac:dyDescent="0.2">
      <c r="A5" s="501" t="str">
        <f>Summary!A4</f>
        <v>Photography</v>
      </c>
      <c r="B5" s="502"/>
      <c r="C5" s="252" t="str">
        <f>IF(Badges!M28="C","C",IF(Badges!M28="P","P",""))</f>
        <v/>
      </c>
      <c r="E5" s="247"/>
      <c r="F5" s="248" t="str">
        <f>Badges!C9</f>
        <v>Create a photography timeline.</v>
      </c>
      <c r="G5" s="250" t="str">
        <f>IF(Badges!M9="A","A"," ")</f>
        <v xml:space="preserve"> </v>
      </c>
      <c r="I5" s="247"/>
      <c r="J5" s="248" t="str">
        <f>Badges!C64</f>
        <v>Compare three different states' positions</v>
      </c>
      <c r="K5" s="250" t="str">
        <f>IF(Badges!M64="A","A"," ")</f>
        <v xml:space="preserve"> </v>
      </c>
      <c r="M5" s="247"/>
      <c r="N5" s="248" t="str">
        <f>Badges!C133</f>
        <v>Interview a global citizen</v>
      </c>
      <c r="O5" s="250" t="str">
        <f>IF(Badges!M133="A","A"," ")</f>
        <v xml:space="preserve"> </v>
      </c>
      <c r="Q5" s="471" t="str">
        <f>'Age-Level'!B15</f>
        <v>Ambassador Volunteer in Training</v>
      </c>
      <c r="R5" s="472"/>
      <c r="S5" s="251" t="str">
        <f>IF('Age-Level'!M19="C","C",IF('Age-Level'!M19="P","P",""))</f>
        <v/>
      </c>
      <c r="T5" s="239"/>
      <c r="U5" s="239"/>
    </row>
    <row r="6" spans="1:21" ht="12.75" customHeight="1" x14ac:dyDescent="0.2">
      <c r="A6" s="490" t="str">
        <f>Summary!A5</f>
        <v>Coaching</v>
      </c>
      <c r="B6" s="491"/>
      <c r="C6" s="252" t="str">
        <f>IF(Badges!M51="C","C",IF(Badges!M51="P","P",""))</f>
        <v/>
      </c>
      <c r="E6" s="247"/>
      <c r="F6" s="248" t="str">
        <f>Badges!C10</f>
        <v>Make sticky-note comics</v>
      </c>
      <c r="G6" s="250" t="str">
        <f>IF(Badges!M10="A","A"," ")</f>
        <v xml:space="preserve"> </v>
      </c>
      <c r="I6" s="247">
        <v>4</v>
      </c>
      <c r="J6" s="248" t="str">
        <f>Badges!C65</f>
        <v>Explore local or community policy</v>
      </c>
      <c r="K6" s="249"/>
      <c r="M6" s="247">
        <v>4</v>
      </c>
      <c r="N6" s="248" t="str">
        <f>Badges!C134</f>
        <v>Leave your wolrd better than you found it</v>
      </c>
      <c r="O6" s="249"/>
      <c r="Q6" s="471" t="str">
        <f>'Age-Level'!B20</f>
        <v>Journey Summit Pin</v>
      </c>
      <c r="R6" s="472"/>
      <c r="S6" s="251" t="str">
        <f>IF('Age-Level'!M21="C","C",IF('Age-Level'!M21="P","P",""))</f>
        <v/>
      </c>
      <c r="T6" s="239"/>
      <c r="U6" s="239"/>
    </row>
    <row r="7" spans="1:21" x14ac:dyDescent="0.2">
      <c r="A7" s="490" t="str">
        <f>Summary!A6</f>
        <v>Public Policy</v>
      </c>
      <c r="B7" s="491"/>
      <c r="C7" s="252" t="str">
        <f>IF(Badges!M74="C","C",IF(Badges!M74="P","P",""))</f>
        <v/>
      </c>
      <c r="E7" s="247">
        <v>2</v>
      </c>
      <c r="F7" s="248" t="str">
        <f>Badges!C11</f>
        <v>Focus on composition</v>
      </c>
      <c r="G7" s="249"/>
      <c r="I7" s="247"/>
      <c r="J7" s="248" t="str">
        <f>Badges!C66</f>
        <v>Attend a meeting</v>
      </c>
      <c r="K7" s="250" t="str">
        <f>IF(Badges!M66="A","A"," ")</f>
        <v xml:space="preserve"> </v>
      </c>
      <c r="M7" s="247"/>
      <c r="N7" s="248" t="str">
        <f>Badges!C135</f>
        <v xml:space="preserve">Find ideas to use your leaderhship </v>
      </c>
      <c r="O7" s="250" t="str">
        <f>IF(Badges!M135="A","A"," ")</f>
        <v xml:space="preserve"> </v>
      </c>
      <c r="Q7" s="471" t="str">
        <f>'Age-Level'!C23</f>
        <v>Cookie Rally (Year 1)</v>
      </c>
      <c r="R7" s="472"/>
      <c r="S7" s="257" t="str">
        <f>IF('Age-Level'!M23="A","A"," ")</f>
        <v xml:space="preserve"> </v>
      </c>
    </row>
    <row r="8" spans="1:21" x14ac:dyDescent="0.2">
      <c r="A8" s="490" t="str">
        <f>Summary!A7</f>
        <v>Dinner Party</v>
      </c>
      <c r="B8" s="491"/>
      <c r="C8" s="252" t="str">
        <f>IF(Badges!M97="C","C",IF(Badges!M97="P","P",""))</f>
        <v/>
      </c>
      <c r="E8" s="247"/>
      <c r="F8" s="248" t="str">
        <f>Badges!C12</f>
        <v>Capture a day in the life</v>
      </c>
      <c r="G8" s="250" t="str">
        <f>IF(Badges!M12="A","A"," ")</f>
        <v xml:space="preserve"> </v>
      </c>
      <c r="I8" s="247"/>
      <c r="J8" s="248" t="str">
        <f>Badges!C67</f>
        <v>Compare different local positions</v>
      </c>
      <c r="K8" s="250" t="str">
        <f>IF(Badges!M67="A","A"," ")</f>
        <v xml:space="preserve"> </v>
      </c>
      <c r="M8" s="247"/>
      <c r="N8" s="248" t="str">
        <f>Badges!C136</f>
        <v>Gather ideas to work for a healthy</v>
      </c>
      <c r="O8" s="250" t="str">
        <f>IF(Badges!M136="A","A"," ")</f>
        <v xml:space="preserve"> </v>
      </c>
      <c r="Q8" s="471" t="str">
        <f>'Age-Level'!C24</f>
        <v>Cookie Sales (Year 1)</v>
      </c>
      <c r="R8" s="472"/>
      <c r="S8" s="257" t="str">
        <f>IF('Age-Level'!M24="A","A"," ")</f>
        <v xml:space="preserve"> </v>
      </c>
    </row>
    <row r="9" spans="1:21" x14ac:dyDescent="0.2">
      <c r="A9" s="490" t="str">
        <f>Summary!A8</f>
        <v>Ambassador First Aid</v>
      </c>
      <c r="B9" s="491"/>
      <c r="C9" s="252" t="str">
        <f>IF(Badges!M120="C","C",IF(Badges!M120="P","P",""))</f>
        <v/>
      </c>
      <c r="E9" s="247"/>
      <c r="F9" s="248" t="str">
        <f>Badges!C13</f>
        <v>Photograph weather patterns</v>
      </c>
      <c r="G9" s="250" t="str">
        <f>IF(Badges!M13="A","A"," ")</f>
        <v xml:space="preserve"> </v>
      </c>
      <c r="I9" s="247"/>
      <c r="J9" s="248" t="str">
        <f>Badges!C68</f>
        <v>Visit your local legislator's office</v>
      </c>
      <c r="K9" s="250" t="str">
        <f>IF(Badges!M68="A","A"," ")</f>
        <v xml:space="preserve"> </v>
      </c>
      <c r="M9" s="247"/>
      <c r="N9" s="248" t="str">
        <f>Badges!C137</f>
        <v>Brainstorm idea for social change</v>
      </c>
      <c r="O9" s="250" t="str">
        <f>IF(Badges!M137="A","A"," ")</f>
        <v xml:space="preserve"> </v>
      </c>
      <c r="Q9" s="471" t="str">
        <f>'Age-Level'!C25</f>
        <v>Cookie Pin (Year 1)</v>
      </c>
      <c r="R9" s="472"/>
      <c r="S9" s="257" t="str">
        <f>IF('Age-Level'!M25="A","A"," ")</f>
        <v xml:space="preserve"> </v>
      </c>
    </row>
    <row r="10" spans="1:21" x14ac:dyDescent="0.2">
      <c r="A10" s="490" t="str">
        <f>Summary!A9</f>
        <v>Ambassador Girl Scout Way</v>
      </c>
      <c r="B10" s="491"/>
      <c r="C10" s="253" t="str">
        <f>IF(Badges!M143="C","C",IF(Badges!M143="P","P",""))</f>
        <v/>
      </c>
      <c r="E10" s="247"/>
      <c r="F10" s="248" t="str">
        <f>Badges!C14</f>
        <v>Take 5 photos form a different</v>
      </c>
      <c r="G10" s="250" t="str">
        <f>IF(Badges!M14="A","A"," ")</f>
        <v xml:space="preserve"> </v>
      </c>
      <c r="I10" s="247">
        <v>5</v>
      </c>
      <c r="J10" s="248" t="str">
        <f>Badges!C69</f>
        <v>See public policy creation in action</v>
      </c>
      <c r="K10" s="249"/>
      <c r="M10" s="247">
        <v>5</v>
      </c>
      <c r="N10" s="248" t="str">
        <f>Badges!C138</f>
        <v>Enjoy Girl Scout traditions!</v>
      </c>
      <c r="O10" s="249"/>
      <c r="Q10" s="471" t="str">
        <f>'Age-Level'!C26</f>
        <v>Cookie Rally (Year 2)</v>
      </c>
      <c r="R10" s="472"/>
      <c r="S10" s="257" t="str">
        <f>IF('Age-Level'!M26="A","A"," ")</f>
        <v xml:space="preserve"> </v>
      </c>
    </row>
    <row r="11" spans="1:21" x14ac:dyDescent="0.2">
      <c r="A11" s="509" t="str">
        <f>Summary!A10</f>
        <v>Water</v>
      </c>
      <c r="B11" s="491"/>
      <c r="C11" s="252" t="str">
        <f>IF(Badges!M166="C","C",IF(Badges!M166="P","P",""))</f>
        <v/>
      </c>
      <c r="E11" s="247">
        <v>3</v>
      </c>
      <c r="F11" s="248" t="str">
        <f>Badges!C15</f>
        <v>Focus on light</v>
      </c>
      <c r="G11" s="249"/>
      <c r="I11" s="247"/>
      <c r="J11" s="248" t="str">
        <f>Badges!C70</f>
        <v>Shadow a policy-maker</v>
      </c>
      <c r="K11" s="250" t="str">
        <f>IF(Badges!M70="A","A"," ")</f>
        <v xml:space="preserve"> </v>
      </c>
      <c r="M11" s="247"/>
      <c r="N11" s="248" t="str">
        <f>Badges!C139</f>
        <v>Pass down a tradition</v>
      </c>
      <c r="O11" s="250" t="str">
        <f>IF(Badges!M139="A","A"," ")</f>
        <v xml:space="preserve"> </v>
      </c>
      <c r="Q11" s="471" t="str">
        <f>'Age-Level'!C27</f>
        <v>Cookie Sales (Year 2)</v>
      </c>
      <c r="R11" s="472"/>
      <c r="S11" s="257" t="str">
        <f>IF('Age-Level'!M27="A","A"," ")</f>
        <v xml:space="preserve"> </v>
      </c>
    </row>
    <row r="12" spans="1:21" x14ac:dyDescent="0.2">
      <c r="A12" s="507"/>
      <c r="B12" s="507"/>
      <c r="C12" s="336"/>
      <c r="E12" s="247"/>
      <c r="F12" s="248" t="str">
        <f>Badges!C16</f>
        <v>Invite friends to a shoot day</v>
      </c>
      <c r="G12" s="250" t="str">
        <f>IF(Badges!M16="A","A"," ")</f>
        <v xml:space="preserve"> </v>
      </c>
      <c r="I12" s="247"/>
      <c r="J12" s="248" t="str">
        <f>Badges!C71</f>
        <v>Volunteer at an office</v>
      </c>
      <c r="K12" s="250" t="str">
        <f>IF(Badges!M71="A","A"," ")</f>
        <v xml:space="preserve"> </v>
      </c>
      <c r="M12" s="247"/>
      <c r="N12" s="248" t="str">
        <f>Badges!C140</f>
        <v>Start a Girl Scout tradition of your own</v>
      </c>
      <c r="O12" s="250" t="str">
        <f>IF(Badges!M140="A","A"," ")</f>
        <v xml:space="preserve"> </v>
      </c>
      <c r="Q12" s="471" t="str">
        <f>'Age-Level'!C28</f>
        <v>Cookie Pin (Year 2)</v>
      </c>
      <c r="R12" s="472"/>
      <c r="S12" s="257" t="str">
        <f>IF('Age-Level'!M28="A","A"," ")</f>
        <v xml:space="preserve"> </v>
      </c>
    </row>
    <row r="13" spans="1:21" x14ac:dyDescent="0.2">
      <c r="A13" s="500" t="str">
        <f>Summary!A3</f>
        <v>Legacy</v>
      </c>
      <c r="B13" s="500"/>
      <c r="C13" s="500"/>
      <c r="E13" s="247"/>
      <c r="F13" s="248" t="str">
        <f>Badges!C17</f>
        <v>Capture the same person or object</v>
      </c>
      <c r="G13" s="250" t="str">
        <f>IF(Badges!M17="A","A"," ")</f>
        <v xml:space="preserve"> </v>
      </c>
      <c r="I13" s="247"/>
      <c r="J13" s="248" t="str">
        <f>Badges!C72</f>
        <v>Interview a policy-maker</v>
      </c>
      <c r="K13" s="250" t="str">
        <f>IF(Badges!M72="A","A"," ")</f>
        <v xml:space="preserve"> </v>
      </c>
      <c r="M13" s="247"/>
      <c r="N13" s="248" t="str">
        <f>Badges!C141</f>
        <v>Share the Girl Scout way by example</v>
      </c>
      <c r="O13" s="250" t="str">
        <f>IF(Badges!M141="A","A"," ")</f>
        <v xml:space="preserve"> </v>
      </c>
      <c r="Q13" s="471" t="str">
        <f>'Age-Level'!C30</f>
        <v>Fall Sales (Year 1)</v>
      </c>
      <c r="R13" s="472"/>
      <c r="S13" s="252" t="str">
        <f>IF('Age-Level'!M30="A","A","")</f>
        <v/>
      </c>
    </row>
    <row r="14" spans="1:21" x14ac:dyDescent="0.2">
      <c r="A14" s="501" t="str">
        <f>Summary!A4</f>
        <v>Photography</v>
      </c>
      <c r="B14" s="502"/>
      <c r="C14" s="251" t="str">
        <f>IF(Badges!M28="C","C",IF(Badges!M28="P","P",""))</f>
        <v/>
      </c>
      <c r="E14" s="247"/>
      <c r="F14" s="248" t="str">
        <f>Badges!C18</f>
        <v>Grow your image</v>
      </c>
      <c r="G14" s="250" t="str">
        <f>IF(Badges!M18="A","A"," ")</f>
        <v xml:space="preserve"> </v>
      </c>
      <c r="I14" s="339" t="str">
        <f>Badges!B75</f>
        <v>Dinner Party</v>
      </c>
      <c r="J14" s="340"/>
      <c r="K14" s="340"/>
      <c r="M14" s="339" t="str">
        <f>Badges!B144</f>
        <v>Water</v>
      </c>
      <c r="N14" s="340"/>
      <c r="O14" s="340"/>
      <c r="Q14" s="471" t="str">
        <f>'Age-Level'!C31</f>
        <v>Fall Sales (Year 2)</v>
      </c>
      <c r="R14" s="472"/>
      <c r="S14" s="252" t="str">
        <f>IF('Age-Level'!M31="A","A","")</f>
        <v/>
      </c>
    </row>
    <row r="15" spans="1:21" x14ac:dyDescent="0.2">
      <c r="A15" s="490" t="str">
        <f>Summary!A5</f>
        <v>Coaching</v>
      </c>
      <c r="B15" s="491"/>
      <c r="C15" s="252" t="str">
        <f>IF(Badges!M51="C","C",IF(Badges!M51="P","P",""))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471" t="str">
        <f>'Age-Level'!C33</f>
        <v>Thinking Day (Year 1)</v>
      </c>
      <c r="R15" s="472"/>
      <c r="S15" s="252" t="str">
        <f>IF('Age-Level'!M33="A","A","")</f>
        <v/>
      </c>
    </row>
    <row r="16" spans="1:21" x14ac:dyDescent="0.2">
      <c r="A16" s="490" t="str">
        <f>Summary!A6</f>
        <v>Public Policy</v>
      </c>
      <c r="B16" s="491"/>
      <c r="C16" s="252" t="str">
        <f>IF(Badges!M74="C","C",IF(Badges!M74="P","P",""))</f>
        <v/>
      </c>
      <c r="E16" s="247"/>
      <c r="F16" s="248" t="str">
        <f>Badges!C20</f>
        <v xml:space="preserve">Take photos of a group </v>
      </c>
      <c r="G16" s="250" t="str">
        <f>IF(Badges!M20="A","A"," ")</f>
        <v xml:space="preserve"> </v>
      </c>
      <c r="I16" s="247"/>
      <c r="J16" s="248" t="str">
        <f>Badges!C77</f>
        <v>Interview a caterer, event planner, chef</v>
      </c>
      <c r="K16" s="250" t="str">
        <f>IF(Badges!M77="A","A"," ")</f>
        <v xml:space="preserve"> </v>
      </c>
      <c r="M16" s="247"/>
      <c r="N16" s="248" t="str">
        <f>Badges!C146</f>
        <v>Visit water in its natural state</v>
      </c>
      <c r="O16" s="250" t="str">
        <f>IF(Badges!M146="A","A"," ")</f>
        <v xml:space="preserve"> </v>
      </c>
      <c r="Q16" s="471" t="str">
        <f>'Age-Level'!C34</f>
        <v>Thinking Day (Year 2)</v>
      </c>
      <c r="R16" s="472"/>
      <c r="S16" s="252" t="str">
        <f>IF('Age-Level'!M34="A","A","")</f>
        <v/>
      </c>
    </row>
    <row r="17" spans="1:19" x14ac:dyDescent="0.2">
      <c r="A17" s="490" t="str">
        <f>Summary!A7</f>
        <v>Dinner Party</v>
      </c>
      <c r="B17" s="491"/>
      <c r="C17" s="252" t="str">
        <f>IF(Badges!M97="C","C",IF(Badges!M97="P","P",""))</f>
        <v/>
      </c>
      <c r="E17" s="247"/>
      <c r="F17" s="248" t="str">
        <f>Badges!C21</f>
        <v>Take photos of faces in motion</v>
      </c>
      <c r="G17" s="250" t="str">
        <f>IF(Badges!M21="A","A"," ")</f>
        <v xml:space="preserve"> </v>
      </c>
      <c r="I17" s="247"/>
      <c r="J17" s="248" t="str">
        <f>Badges!C78</f>
        <v>Collect recipes from cooking shows</v>
      </c>
      <c r="K17" s="250" t="str">
        <f>IF(Badges!M78="A","A"," ")</f>
        <v xml:space="preserve"> </v>
      </c>
      <c r="M17" s="247"/>
      <c r="N17" s="248" t="str">
        <f>Badges!C147</f>
        <v>Try a new water skill</v>
      </c>
      <c r="O17" s="250" t="str">
        <f>IF(Badges!M147="A","A"," ")</f>
        <v xml:space="preserve"> </v>
      </c>
      <c r="Q17" s="471" t="str">
        <f>'Age-Level'!C36</f>
        <v>Global Action Award</v>
      </c>
      <c r="R17" s="472"/>
      <c r="S17" s="252" t="str">
        <f>IF('Age-Level'!M36="A","A","")</f>
        <v/>
      </c>
    </row>
    <row r="18" spans="1:19" x14ac:dyDescent="0.2">
      <c r="A18" s="490" t="str">
        <f>Summary!A8</f>
        <v>Ambassador First Aid</v>
      </c>
      <c r="B18" s="491"/>
      <c r="C18" s="252" t="str">
        <f>IF(Badges!M120="C","C",IF(Badges!M120="P","P",""))</f>
        <v/>
      </c>
      <c r="E18" s="247"/>
      <c r="F18" s="248" t="str">
        <f>Badges!C22</f>
        <v>Take photos of objects in motion</v>
      </c>
      <c r="G18" s="250" t="str">
        <f>IF(Badges!M22="A","A"," ")</f>
        <v xml:space="preserve"> </v>
      </c>
      <c r="I18" s="247"/>
      <c r="J18" s="248" t="str">
        <f>Badges!C79</f>
        <v>Build a men around your favorite</v>
      </c>
      <c r="K18" s="250" t="str">
        <f>IF(Badges!M79="A","A"," ")</f>
        <v xml:space="preserve"> </v>
      </c>
      <c r="M18" s="247"/>
      <c r="N18" s="248" t="str">
        <f>Badges!C148</f>
        <v>Enjoy a water activity you already know</v>
      </c>
      <c r="O18" s="250" t="str">
        <f>IF(Badges!M148="A","A"," ")</f>
        <v xml:space="preserve"> </v>
      </c>
      <c r="Q18" s="471" t="str">
        <f>'Age-Level'!C38</f>
        <v>International Friendship Recognition</v>
      </c>
      <c r="R18" s="472"/>
      <c r="S18" s="252" t="str">
        <f>IF('Age-Level'!M38="A","A","")</f>
        <v/>
      </c>
    </row>
    <row r="19" spans="1:19" x14ac:dyDescent="0.2">
      <c r="A19" s="490" t="str">
        <f>Summary!A9</f>
        <v>Ambassador Girl Scout Way</v>
      </c>
      <c r="B19" s="491"/>
      <c r="C19" s="252" t="str">
        <f>IF(Badges!M143="C","C",IF(Badges!M143="P","P",""))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471" t="str">
        <f>'Age-Level'!C40</f>
        <v>Investiture</v>
      </c>
      <c r="R19" s="472"/>
      <c r="S19" s="252" t="str">
        <f>IF('Age-Level'!M40="A","A","")</f>
        <v/>
      </c>
    </row>
    <row r="20" spans="1:19" x14ac:dyDescent="0.2">
      <c r="A20" s="507" t="str">
        <f>Summary!A10</f>
        <v>Water</v>
      </c>
      <c r="B20" s="508"/>
      <c r="C20" s="253" t="str">
        <f>IF(Badges!M166="C","C",IF(Badges!M166="P","P",""))</f>
        <v/>
      </c>
      <c r="E20" s="247"/>
      <c r="F20" s="248" t="str">
        <f>Badges!C24</f>
        <v>Stage a photo exhibit</v>
      </c>
      <c r="G20" s="250" t="str">
        <f>IF(Badges!M24="A","A"," ")</f>
        <v xml:space="preserve"> </v>
      </c>
      <c r="I20" s="247"/>
      <c r="J20" s="248" t="str">
        <f>Badges!C81</f>
        <v>Camparison shop</v>
      </c>
      <c r="K20" s="250" t="str">
        <f>IF(Badges!M81="A","A"," ")</f>
        <v xml:space="preserve"> </v>
      </c>
      <c r="M20" s="247"/>
      <c r="N20" s="248" t="str">
        <f>Badges!C150</f>
        <v>Delve into water literature</v>
      </c>
      <c r="O20" s="250" t="str">
        <f>IF(Badges!M150="A","A"," ")</f>
        <v xml:space="preserve"> </v>
      </c>
      <c r="Q20" s="471" t="str">
        <f>'Age-Level'!C41</f>
        <v>Rededication (1st year)</v>
      </c>
      <c r="R20" s="472"/>
      <c r="S20" s="262" t="str">
        <f>IF('Age-Level'!M41="C","C","")</f>
        <v/>
      </c>
    </row>
    <row r="21" spans="1:19" x14ac:dyDescent="0.2">
      <c r="A21" s="500" t="str">
        <f>Summary!A11</f>
        <v>Financial Literacy</v>
      </c>
      <c r="B21" s="500"/>
      <c r="C21" s="500"/>
      <c r="E21" s="247"/>
      <c r="F21" s="248" t="str">
        <f>Badges!C25</f>
        <v>Make a digital slide show</v>
      </c>
      <c r="G21" s="250" t="str">
        <f>IF(Badges!M25="A","A"," ")</f>
        <v xml:space="preserve"> </v>
      </c>
      <c r="I21" s="247"/>
      <c r="J21" s="248" t="str">
        <f>Badges!C82</f>
        <v>Consult with a professional chef</v>
      </c>
      <c r="K21" s="250" t="str">
        <f>IF(Badges!M82="A","A"," ")</f>
        <v xml:space="preserve"> </v>
      </c>
      <c r="M21" s="247"/>
      <c r="N21" s="248" t="str">
        <f>Badges!C151</f>
        <v xml:space="preserve">Enjoy an exhibit or event that features </v>
      </c>
      <c r="O21" s="250" t="str">
        <f>IF(Badges!M151="A","A"," ")</f>
        <v xml:space="preserve"> </v>
      </c>
      <c r="Q21" s="471" t="str">
        <f>'Age-Level'!C42</f>
        <v>Rededication (2nd year)</v>
      </c>
      <c r="R21" s="472"/>
      <c r="S21" s="262" t="str">
        <f>IF('Age-Level'!M42="C","C","")</f>
        <v/>
      </c>
    </row>
    <row r="22" spans="1:19" x14ac:dyDescent="0.2">
      <c r="A22" s="501" t="str">
        <f>Summary!A12</f>
        <v>On My Own</v>
      </c>
      <c r="B22" s="502"/>
      <c r="C22" s="251" t="str">
        <f>IF(Badges!M190="C","C",IF(Badges!M190="P","P",""))</f>
        <v/>
      </c>
      <c r="E22" s="247"/>
      <c r="F22" s="248" t="str">
        <f>Badges!C26</f>
        <v>Create a photo album or scrapbook</v>
      </c>
      <c r="G22" s="250" t="str">
        <f>IF(Badges!M26="A","A"," ")</f>
        <v xml:space="preserve"> </v>
      </c>
      <c r="I22" s="247"/>
      <c r="J22" s="248" t="str">
        <f>Badges!C83</f>
        <v>Learn about alternative ways to shop</v>
      </c>
      <c r="K22" s="250" t="str">
        <f>IF(Badges!M83="A","A"," ")</f>
        <v xml:space="preserve"> </v>
      </c>
      <c r="M22" s="247"/>
      <c r="N22" s="248" t="str">
        <f>Badges!C152</f>
        <v>Create your own water composition</v>
      </c>
      <c r="O22" s="250" t="str">
        <f>IF(Badges!M152="A","A"," ")</f>
        <v xml:space="preserve"> </v>
      </c>
      <c r="Q22" s="342" t="str">
        <f>'Age-Level'!B43</f>
        <v>My Promise, My Faith (Year 1)</v>
      </c>
      <c r="R22" s="343"/>
      <c r="S22" s="262"/>
    </row>
    <row r="23" spans="1:19" x14ac:dyDescent="0.2">
      <c r="A23" s="490" t="str">
        <f>Summary!A13</f>
        <v>Good Credit</v>
      </c>
      <c r="B23" s="491"/>
      <c r="C23" s="251" t="str">
        <f>IF(Badges!M213="C","C",IF(Badges!M213="P","P",""))</f>
        <v/>
      </c>
      <c r="E23" s="492" t="str">
        <f>Badges!B29</f>
        <v>Coaching</v>
      </c>
      <c r="F23" s="492"/>
      <c r="G23" s="492"/>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IF('Age-Level'!M44="A","A","")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IF(Badges!M85="A","A"," ")</f>
        <v xml:space="preserve"> </v>
      </c>
      <c r="M24" s="247"/>
      <c r="N24" s="248" t="str">
        <f>Badges!C154</f>
        <v>Visit a water facility and explore its</v>
      </c>
      <c r="O24" s="250" t="str">
        <f>IF(Badges!M154="A","A"," ")</f>
        <v xml:space="preserve"> </v>
      </c>
      <c r="Q24" s="267">
        <v>2</v>
      </c>
      <c r="R24" s="344" t="str">
        <f>'Age-Level'!C45</f>
        <v>Find a woman in your community</v>
      </c>
      <c r="S24" s="262" t="str">
        <f>IF('Age-Level'!M45="A","A","")</f>
        <v/>
      </c>
    </row>
    <row r="25" spans="1:19" x14ac:dyDescent="0.2">
      <c r="A25" s="490" t="str">
        <f>Summary!A15</f>
        <v>Research and Development</v>
      </c>
      <c r="B25" s="491"/>
      <c r="C25" s="252" t="str">
        <f>IF(Badges!M227="C","C",IF(Badges!M227="P","P",""))</f>
        <v/>
      </c>
      <c r="E25" s="247"/>
      <c r="F25" s="248" t="str">
        <f>Badges!C31</f>
        <v>Talk to a great coach</v>
      </c>
      <c r="G25" s="250" t="str">
        <f>IF(Badges!M31="A","A"," ")</f>
        <v xml:space="preserve"> </v>
      </c>
      <c r="I25" s="247"/>
      <c r="J25" s="248" t="str">
        <f>Badges!C86</f>
        <v>Make a menu timeline</v>
      </c>
      <c r="K25" s="250" t="str">
        <f>IF(Badges!M86="A","A"," ")</f>
        <v xml:space="preserve"> </v>
      </c>
      <c r="M25" s="247"/>
      <c r="N25" s="248" t="str">
        <f>Badges!C155</f>
        <v>Investigate endangered marine life</v>
      </c>
      <c r="O25" s="250" t="str">
        <f>IF(Badges!M155="A","A"," ")</f>
        <v xml:space="preserve"> </v>
      </c>
      <c r="Q25" s="267">
        <v>3</v>
      </c>
      <c r="R25" s="344" t="str">
        <f>'Age-Level'!C46</f>
        <v>Gather three inspirational quotes</v>
      </c>
      <c r="S25" s="262" t="str">
        <f>IF('Age-Level'!M46="A","A","")</f>
        <v/>
      </c>
    </row>
    <row r="26" spans="1:19" x14ac:dyDescent="0.2">
      <c r="A26" s="490" t="str">
        <f>Summary!A16</f>
        <v>P &amp; L</v>
      </c>
      <c r="B26" s="491"/>
      <c r="C26" s="252" t="str">
        <f>IF(Badges!M240="C","C",IF(Badges!M240="P","P",""))</f>
        <v/>
      </c>
      <c r="E26" s="247"/>
      <c r="F26" s="248" t="str">
        <f>Badges!C32</f>
        <v>Watch three sports documentaries</v>
      </c>
      <c r="G26" s="250" t="str">
        <f>IF(Badges!M32="A","A"," ")</f>
        <v xml:space="preserve"> </v>
      </c>
      <c r="I26" s="247"/>
      <c r="J26" s="248" t="str">
        <f>Badges!C87</f>
        <v>Prepare a test meal for family or friends</v>
      </c>
      <c r="K26" s="250" t="str">
        <f>IF(Badges!M87="A","A"," ")</f>
        <v xml:space="preserve"> </v>
      </c>
      <c r="M26" s="247"/>
      <c r="N26" s="248" t="str">
        <f>Badges!C156</f>
        <v>Investigate water as a hazard</v>
      </c>
      <c r="O26" s="250" t="str">
        <f>IF(Badges!M156="A","A"," ")</f>
        <v xml:space="preserve"> </v>
      </c>
      <c r="Q26" s="267">
        <v>4</v>
      </c>
      <c r="R26" s="344" t="str">
        <f>'Age-Level'!C47</f>
        <v>Make something to remind you</v>
      </c>
      <c r="S26" s="262" t="str">
        <f>IF('Age-Level'!M47="A","A","")</f>
        <v/>
      </c>
    </row>
    <row r="27" spans="1:19" x14ac:dyDescent="0.2">
      <c r="A27" s="346"/>
      <c r="B27" s="346"/>
      <c r="C27" s="266"/>
      <c r="E27" s="247"/>
      <c r="F27" s="248" t="str">
        <f>Badges!C33</f>
        <v>Attend a coaching clinic or seminar</v>
      </c>
      <c r="G27" s="250" t="str">
        <f>IF(Badges!M33="A","A","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IF('Age-Level'!M48="A","A","")</f>
        <v/>
      </c>
    </row>
    <row r="28" spans="1:19" x14ac:dyDescent="0.2">
      <c r="A28" s="484" t="s">
        <v>84</v>
      </c>
      <c r="B28" s="484"/>
      <c r="C28" s="484"/>
      <c r="E28" s="247">
        <v>2</v>
      </c>
      <c r="F28" s="248" t="str">
        <f>Badges!C34</f>
        <v>Conduct a first assessment</v>
      </c>
      <c r="G28" s="249"/>
      <c r="I28" s="247"/>
      <c r="J28" s="248" t="str">
        <f>Badges!C89</f>
        <v>Expreiment with garnishes</v>
      </c>
      <c r="K28" s="250" t="str">
        <f>IF(Badges!M89="A","A"," ")</f>
        <v xml:space="preserve"> </v>
      </c>
      <c r="M28" s="247"/>
      <c r="N28" s="248" t="str">
        <f>Badges!C158</f>
        <v>Interview a water scientist</v>
      </c>
      <c r="O28" s="250" t="str">
        <f>IF(Badges!M158="A","A","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IF(Badges!M35="A","A"," ")</f>
        <v xml:space="preserve"> </v>
      </c>
      <c r="I29" s="247"/>
      <c r="J29" s="248" t="str">
        <f>Badges!C90</f>
        <v>Present food in interesting shapes</v>
      </c>
      <c r="K29" s="250" t="str">
        <f>IF(Badges!M90="A","A"," ")</f>
        <v xml:space="preserve"> </v>
      </c>
      <c r="M29" s="247"/>
      <c r="N29" s="248" t="str">
        <f>Badges!C159</f>
        <v>Explore the world of hydroelectricity</v>
      </c>
      <c r="O29" s="250" t="str">
        <f>IF(Badges!M159="A","A"," ")</f>
        <v xml:space="preserve"> </v>
      </c>
      <c r="Q29" s="268">
        <v>1</v>
      </c>
      <c r="R29" s="344" t="str">
        <f>'Age-Level'!C51</f>
        <v>Choose one line from the Law</v>
      </c>
      <c r="S29" s="262" t="str">
        <f>IF('Age-Level'!M51="A","A","")</f>
        <v/>
      </c>
    </row>
    <row r="30" spans="1:19" x14ac:dyDescent="0.2">
      <c r="B30" s="477" t="str">
        <f>Journey!B7</f>
        <v>The Girl Scout Advocate Award</v>
      </c>
      <c r="C30" s="478"/>
      <c r="E30" s="247"/>
      <c r="F30" s="248" t="str">
        <f>Badges!C36</f>
        <v>Host an initial session</v>
      </c>
      <c r="G30" s="250" t="str">
        <f>IF(Badges!M36="A","A"," ")</f>
        <v xml:space="preserve"> </v>
      </c>
      <c r="I30" s="247"/>
      <c r="J30" s="248" t="str">
        <f>Badges!C91</f>
        <v>Use serving ware in unusual ways</v>
      </c>
      <c r="K30" s="250" t="str">
        <f>IF(Badges!M91="A","A"," ")</f>
        <v xml:space="preserve"> </v>
      </c>
      <c r="M30" s="247"/>
      <c r="N30" s="248" t="str">
        <f>Badges!C160</f>
        <v>Design your own water innovation</v>
      </c>
      <c r="O30" s="250" t="str">
        <f>IF(Badges!M160="A","A"," ")</f>
        <v xml:space="preserve"> </v>
      </c>
      <c r="Q30" s="267">
        <v>2</v>
      </c>
      <c r="R30" s="344" t="str">
        <f>'Age-Level'!C52</f>
        <v>Find a woman in your community</v>
      </c>
      <c r="S30" s="262" t="str">
        <f>IF('Age-Level'!M52="A","A","")</f>
        <v/>
      </c>
    </row>
    <row r="31" spans="1:19" x14ac:dyDescent="0.2">
      <c r="B31" s="256">
        <f>Journey!L8</f>
        <v>0</v>
      </c>
      <c r="C31" s="252" t="str">
        <f>IF(Journey!M8="C","C",IF(Journey!M8="P","P",""))</f>
        <v/>
      </c>
      <c r="E31" s="247"/>
      <c r="F31" s="248" t="str">
        <f>Badges!C37</f>
        <v>Prepare a goal chart together</v>
      </c>
      <c r="G31" s="250" t="str">
        <f>IF(Badges!M37="A","A","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IF('Age-Level'!M53="A","A","")</f>
        <v/>
      </c>
    </row>
    <row r="32" spans="1:19" x14ac:dyDescent="0.2">
      <c r="B32" s="256">
        <f>Journey!L9</f>
        <v>0</v>
      </c>
      <c r="C32" s="252" t="str">
        <f>IF(Journey!M9="C","C",IF(Journey!M9="P","P",""))</f>
        <v/>
      </c>
      <c r="E32" s="339" t="str">
        <f>Badges!B29</f>
        <v>Coaching</v>
      </c>
      <c r="F32" s="340"/>
      <c r="G32" s="340"/>
      <c r="I32" s="247"/>
      <c r="J32" s="248" t="str">
        <f>Badges!C93</f>
        <v>Decorate according to your menu theme</v>
      </c>
      <c r="K32" s="250" t="str">
        <f>IF(Badges!M93="A","A"," ")</f>
        <v xml:space="preserve"> </v>
      </c>
      <c r="M32" s="247"/>
      <c r="N32" s="248" t="str">
        <f>Badges!C162</f>
        <v>Celebrate water with younger Girl Scouts</v>
      </c>
      <c r="O32" s="250" t="str">
        <f>IF(Badges!M162="A","A"," ")</f>
        <v xml:space="preserve"> </v>
      </c>
      <c r="Q32" s="267">
        <v>4</v>
      </c>
      <c r="R32" s="344" t="str">
        <f>'Age-Level'!C54</f>
        <v>Make something to remind you</v>
      </c>
      <c r="S32" s="262" t="str">
        <f>IF('Age-Level'!M54="A","A","")</f>
        <v/>
      </c>
    </row>
    <row r="33" spans="1:19" x14ac:dyDescent="0.2">
      <c r="B33" s="256">
        <f>Journey!L10</f>
        <v>0</v>
      </c>
      <c r="C33" s="252" t="str">
        <f>IF(Journey!M10="C","C",IF(Journey!M10="P","P",""))</f>
        <v/>
      </c>
      <c r="E33" s="247">
        <v>3</v>
      </c>
      <c r="F33" s="248" t="str">
        <f>Badges!C38</f>
        <v>Design your coaching plan</v>
      </c>
      <c r="G33" s="249"/>
      <c r="I33" s="247"/>
      <c r="J33" s="248" t="str">
        <f>Badges!C94</f>
        <v>Celebrate a special occasion</v>
      </c>
      <c r="K33" s="250" t="str">
        <f>IF(Badges!M94="A","A"," ")</f>
        <v xml:space="preserve"> </v>
      </c>
      <c r="M33" s="247"/>
      <c r="N33" s="248" t="str">
        <f>Badges!C163</f>
        <v>Share a water issue that matters to you</v>
      </c>
      <c r="O33" s="250" t="str">
        <f>IF(Badges!M163="A","A"," ")</f>
        <v xml:space="preserve"> </v>
      </c>
      <c r="Q33" s="267">
        <v>5</v>
      </c>
      <c r="R33" s="344" t="str">
        <f>'Age-Level'!C55</f>
        <v xml:space="preserve">Make a commitment to live what </v>
      </c>
      <c r="S33" s="364" t="str">
        <f>IF('Age-Level'!M55="A","A","")</f>
        <v/>
      </c>
    </row>
    <row r="34" spans="1:19" x14ac:dyDescent="0.2">
      <c r="A34" s="284"/>
      <c r="B34" s="473" t="str">
        <f>Journey!A14</f>
        <v>JUSTICE</v>
      </c>
      <c r="C34" s="474"/>
      <c r="E34" s="247"/>
      <c r="F34" s="248" t="str">
        <f>Badges!C39</f>
        <v xml:space="preserve">Design a special warm-up </v>
      </c>
      <c r="G34" s="250" t="str">
        <f>IF(Badges!M39="A","A"," ")</f>
        <v xml:space="preserve"> </v>
      </c>
      <c r="I34" s="247"/>
      <c r="J34" s="248" t="str">
        <f>Badges!C95</f>
        <v>Use food and fun to forge new friendships</v>
      </c>
      <c r="K34" s="250" t="str">
        <f>IF(Badges!M95="A","A"," ")</f>
        <v xml:space="preserve"> </v>
      </c>
      <c r="M34" s="247"/>
      <c r="N34" s="248" t="str">
        <f>Badges!C164</f>
        <v>Guide a group to a water place</v>
      </c>
      <c r="O34" s="250" t="str">
        <f>IF(Badges!M164="A","A"," ")</f>
        <v xml:space="preserve"> </v>
      </c>
      <c r="Q34" s="471" t="str">
        <f>'Age-Level'!B57</f>
        <v>Safety Award</v>
      </c>
      <c r="R34" s="472"/>
      <c r="S34" s="364"/>
    </row>
    <row r="35" spans="1:19" x14ac:dyDescent="0.2">
      <c r="A35" s="284"/>
      <c r="B35" s="479" t="str">
        <f>Journey!B15</f>
        <v>Sage Award</v>
      </c>
      <c r="C35" s="480"/>
      <c r="E35" s="247"/>
      <c r="F35" s="248" t="str">
        <f>Badges!C40</f>
        <v>Research and choose</v>
      </c>
      <c r="G35" s="250" t="str">
        <f>IF(Badges!M40="A","A","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IF('Age-Level'!M58="A","A","")</f>
        <v/>
      </c>
    </row>
    <row r="36" spans="1:19" ht="12.75" customHeight="1" x14ac:dyDescent="0.2">
      <c r="A36" s="284"/>
      <c r="B36" s="256">
        <f>Journey!L16</f>
        <v>0</v>
      </c>
      <c r="C36" s="252" t="str">
        <f>IF(Journey!M16="C","C",IF(Journey!M16="P","P",""))</f>
        <v/>
      </c>
      <c r="E36" s="247"/>
      <c r="F36" s="248" t="str">
        <f>Badges!C41</f>
        <v>Open and close each session</v>
      </c>
      <c r="G36" s="250" t="str">
        <f>IF(Badges!M41="A","A","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IF('Age-Level'!M59="A","A","")</f>
        <v/>
      </c>
    </row>
    <row r="37" spans="1:19" ht="12.75" customHeight="1" x14ac:dyDescent="0.2">
      <c r="A37" s="284"/>
      <c r="B37" s="256">
        <f>Journey!L17</f>
        <v>0</v>
      </c>
      <c r="C37" s="252" t="str">
        <f>IF(Journey!M17="C","C",IF(Journey!M17="P","P",""))</f>
        <v/>
      </c>
      <c r="E37" s="247">
        <v>4</v>
      </c>
      <c r="F37" s="248" t="str">
        <f>Badges!C42</f>
        <v>Put your plan in action</v>
      </c>
      <c r="G37" s="249"/>
      <c r="I37" s="247"/>
      <c r="J37" s="248" t="str">
        <f>Badges!C100</f>
        <v>Backcountry</v>
      </c>
      <c r="K37" s="250" t="str">
        <f>IF(Badges!M100="A","A"," ")</f>
        <v xml:space="preserve"> </v>
      </c>
      <c r="M37" s="247"/>
      <c r="N37" s="248" t="str">
        <f>Badges!C170</f>
        <v>Take a tour</v>
      </c>
      <c r="O37" s="250" t="str">
        <f>IF(Badges!M170="A","A"," ")</f>
        <v xml:space="preserve"> </v>
      </c>
      <c r="Q37" s="267">
        <v>3</v>
      </c>
      <c r="R37" s="344" t="str">
        <f>'Age-Level'!C60</f>
        <v>Teach a Daisy or Brownie what to do if</v>
      </c>
      <c r="S37" s="262" t="str">
        <f>IF('Age-Level'!M60="A","A","")</f>
        <v/>
      </c>
    </row>
    <row r="38" spans="1:19" x14ac:dyDescent="0.2">
      <c r="A38" s="284"/>
      <c r="B38" s="256">
        <f>Journey!L18</f>
        <v>0</v>
      </c>
      <c r="C38" s="252" t="str">
        <f>IF(Journey!M18="C","C",IF(Journey!M18="P","P",""))</f>
        <v/>
      </c>
      <c r="E38" s="247"/>
      <c r="F38" s="248" t="str">
        <f>Badges!C43</f>
        <v>Add a morale-boosting time-out</v>
      </c>
      <c r="G38" s="250" t="str">
        <f>IF(Badges!M43="A","A"," ")</f>
        <v xml:space="preserve"> </v>
      </c>
      <c r="I38" s="247"/>
      <c r="J38" s="248" t="str">
        <f>Badges!C101</f>
        <v>Open water</v>
      </c>
      <c r="K38" s="250" t="str">
        <f>IF(Badges!M101="A","A"," ")</f>
        <v xml:space="preserve"> </v>
      </c>
      <c r="M38" s="247"/>
      <c r="N38" s="248" t="str">
        <f>Badges!C171</f>
        <v>Interview a new tenant or homeowner</v>
      </c>
      <c r="O38" s="250" t="str">
        <f>IF(Badges!M171="A","A"," ")</f>
        <v xml:space="preserve"> </v>
      </c>
      <c r="Q38" s="267">
        <v>4</v>
      </c>
      <c r="R38" s="344" t="str">
        <f>'Age-Level'!C61</f>
        <v>With your family, make sure you have</v>
      </c>
      <c r="S38" s="262" t="str">
        <f>IF('Age-Level'!M61="A","A","")</f>
        <v/>
      </c>
    </row>
    <row r="39" spans="1:19" x14ac:dyDescent="0.2">
      <c r="A39" s="284"/>
      <c r="B39" s="256">
        <f>Journey!L19</f>
        <v>0</v>
      </c>
      <c r="C39" s="252" t="str">
        <f>IF(Journey!M19="C","C",IF(Journey!M19="P","P",""))</f>
        <v/>
      </c>
      <c r="E39" s="247"/>
      <c r="F39" s="248" t="str">
        <f>Badges!C44</f>
        <v>Ask your players to coach you!</v>
      </c>
      <c r="G39" s="250" t="str">
        <f>IF(Badges!M44="A","A"," ")</f>
        <v xml:space="preserve"> </v>
      </c>
      <c r="I39" s="247"/>
      <c r="J39" s="248" t="str">
        <f>Badges!C102</f>
        <v>Mountains</v>
      </c>
      <c r="K39" s="250" t="str">
        <f>IF(Badges!M102="A","A"," ")</f>
        <v xml:space="preserve"> </v>
      </c>
      <c r="M39" s="247"/>
      <c r="N39" s="248" t="str">
        <f>Badges!C172</f>
        <v>Be chart smart</v>
      </c>
      <c r="O39" s="250" t="str">
        <f>IF(Badges!M172="A","A"," ")</f>
        <v xml:space="preserve"> </v>
      </c>
      <c r="Q39" s="267">
        <v>5</v>
      </c>
      <c r="R39" s="344" t="str">
        <f>'Age-Level'!C62</f>
        <v>Discuss bullying with your Girl Scout</v>
      </c>
      <c r="S39" s="262" t="str">
        <f>IF('Age-Level'!M62="A","A","")</f>
        <v/>
      </c>
    </row>
    <row r="40" spans="1:19" x14ac:dyDescent="0.2">
      <c r="A40" s="284"/>
      <c r="B40" s="256">
        <f>Journey!L20</f>
        <v>0</v>
      </c>
      <c r="C40" s="252" t="str">
        <f>IF(Journey!M20="C","C",IF(Journey!M20="P","P",""))</f>
        <v/>
      </c>
      <c r="E40" s="247"/>
      <c r="F40" s="248" t="str">
        <f>Badges!C45</f>
        <v xml:space="preserve">Bring in another coah to watch </v>
      </c>
      <c r="G40" s="250" t="str">
        <f>IF(Badges!M45="A","A","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Journey!L21</f>
        <v>0</v>
      </c>
      <c r="C41" s="252" t="str">
        <f>IF(Journey!M21="C","C",IF(Journey!M21="P","P",""))</f>
        <v/>
      </c>
      <c r="E41" s="247">
        <v>5</v>
      </c>
      <c r="F41" s="248" t="str">
        <f>Badges!C46</f>
        <v>Attend the big event</v>
      </c>
      <c r="G41" s="249"/>
      <c r="I41" s="247"/>
      <c r="J41" s="248" t="str">
        <f>Badges!C104</f>
        <v>Wilderness rescue</v>
      </c>
      <c r="K41" s="250" t="str">
        <f>IF(Badges!M104="A","A"," ")</f>
        <v xml:space="preserve"> </v>
      </c>
      <c r="M41" s="247"/>
      <c r="N41" s="248" t="str">
        <f>Badges!C174</f>
        <v>Focus on your finances</v>
      </c>
      <c r="O41" s="250" t="str">
        <f>IF(Badges!M174="A","A"," ")</f>
        <v xml:space="preserve"> </v>
      </c>
    </row>
    <row r="42" spans="1:19" ht="12.75" customHeight="1" x14ac:dyDescent="0.2">
      <c r="A42" s="254"/>
      <c r="B42" s="475" t="str">
        <f>Journey!A25</f>
        <v>BLISS: Live it! Give It!</v>
      </c>
      <c r="C42" s="476"/>
      <c r="E42" s="247"/>
      <c r="F42" s="248" t="str">
        <f>Badges!C47</f>
        <v>Meet with your players for a relaxing</v>
      </c>
      <c r="G42" s="250" t="str">
        <f>IF(Badges!M47="A","A"," ")</f>
        <v xml:space="preserve"> </v>
      </c>
      <c r="I42" s="247"/>
      <c r="J42" s="248" t="str">
        <f>Badges!C105</f>
        <v>Disaster preparedness</v>
      </c>
      <c r="K42" s="250" t="str">
        <f>IF(Badges!M105="A","A"," ")</f>
        <v xml:space="preserve"> </v>
      </c>
      <c r="M42" s="247"/>
      <c r="N42" s="248" t="str">
        <f>Badges!C175</f>
        <v>Shop talk</v>
      </c>
      <c r="O42" s="250" t="str">
        <f>IF(Badges!M175="A","A"," ")</f>
        <v xml:space="preserve"> </v>
      </c>
      <c r="Q42" s="505"/>
      <c r="R42" s="505"/>
      <c r="S42" s="240"/>
    </row>
    <row r="43" spans="1:19" ht="12.75" customHeight="1" x14ac:dyDescent="0.2">
      <c r="B43" s="477" t="str">
        <f>Journey!B26</f>
        <v>Dream Maker Award</v>
      </c>
      <c r="C43" s="478"/>
      <c r="E43" s="247"/>
      <c r="F43" s="248" t="str">
        <f>Badges!C48</f>
        <v>Host a celebration</v>
      </c>
      <c r="G43" s="250" t="str">
        <f>IF(Badges!M48="A","A"," ")</f>
        <v xml:space="preserve"> </v>
      </c>
      <c r="I43" s="247"/>
      <c r="J43" s="248" t="str">
        <f>Badges!C106</f>
        <v>Military medicine</v>
      </c>
      <c r="K43" s="250" t="str">
        <f>IF(Badges!M106="A","A"," ")</f>
        <v xml:space="preserve"> </v>
      </c>
      <c r="M43" s="247"/>
      <c r="N43" s="248" t="str">
        <f>Badges!C176</f>
        <v>Audit request</v>
      </c>
      <c r="O43" s="250" t="str">
        <f>IF(Badges!M176="A","A"," ")</f>
        <v xml:space="preserve"> </v>
      </c>
      <c r="Q43" s="267"/>
      <c r="R43" s="267"/>
      <c r="S43" s="240"/>
    </row>
    <row r="44" spans="1:19" x14ac:dyDescent="0.2">
      <c r="B44" s="256">
        <f>Journey!L27</f>
        <v>0</v>
      </c>
      <c r="C44" s="252" t="str">
        <f>IF(Journey!M27="C","C",IF(Journey!M27="P","P",""))</f>
        <v/>
      </c>
      <c r="E44" s="247"/>
      <c r="F44" s="248" t="str">
        <f>Badges!C49</f>
        <v>Make a "trading card" for each athlete</v>
      </c>
      <c r="G44" s="250" t="str">
        <f>IF(Badges!M49="A","A","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Journey!L28</f>
        <v>0</v>
      </c>
      <c r="C45" s="252" t="str">
        <f>IF(Journey!M28="C","C",IF(Journey!M28="P","P",""))</f>
        <v/>
      </c>
      <c r="E45" s="492" t="str">
        <f>Badges!B52</f>
        <v>Public Policy</v>
      </c>
      <c r="F45" s="492"/>
      <c r="G45" s="492"/>
      <c r="I45" s="247"/>
      <c r="J45" s="248" t="str">
        <f>Badges!C108</f>
        <v>Take a wilderness first aid course</v>
      </c>
      <c r="K45" s="250" t="str">
        <f>IF(Badges!M108="A","A"," ")</f>
        <v xml:space="preserve"> </v>
      </c>
      <c r="M45" s="247"/>
      <c r="N45" s="248" t="str">
        <f>Badges!C178</f>
        <v>Hooray for hobbies!</v>
      </c>
      <c r="O45" s="250" t="str">
        <f>IF(Badges!M178="A","A"," ")</f>
        <v xml:space="preserve"> </v>
      </c>
      <c r="Q45" s="267"/>
      <c r="R45" s="267"/>
      <c r="S45" s="240"/>
    </row>
    <row r="46" spans="1:19" x14ac:dyDescent="0.2">
      <c r="B46" s="256">
        <f>Journey!L29</f>
        <v>0</v>
      </c>
      <c r="C46" s="252" t="str">
        <f>IF(Journey!M29="C","C",IF(Journey!M29="P","P",""))</f>
        <v/>
      </c>
      <c r="E46" s="247">
        <v>1</v>
      </c>
      <c r="F46" s="248" t="str">
        <f>Badges!C53</f>
        <v>Find out how activitists advocate for change</v>
      </c>
      <c r="G46" s="249" t="s">
        <v>26</v>
      </c>
      <c r="I46" s="247"/>
      <c r="J46" s="248" t="str">
        <f>Badges!C109</f>
        <v>Interview a doctor, nurse, EMT, or first</v>
      </c>
      <c r="K46" s="250" t="str">
        <f>IF(Badges!M109="A","A"," ")</f>
        <v xml:space="preserve"> </v>
      </c>
      <c r="M46" s="247"/>
      <c r="N46" s="248" t="str">
        <f>Badges!C179</f>
        <v>Treat yourself</v>
      </c>
      <c r="O46" s="250" t="str">
        <f>IF(Badges!M179="A","A"," ")</f>
        <v xml:space="preserve"> </v>
      </c>
      <c r="Q46" s="267"/>
      <c r="R46" s="267"/>
      <c r="S46" s="240"/>
    </row>
    <row r="47" spans="1:19" x14ac:dyDescent="0.2">
      <c r="B47" s="256">
        <f>Journey!L30</f>
        <v>0</v>
      </c>
      <c r="C47" s="252" t="str">
        <f>IF(Journey!M30="C","C",IF(Journey!M30="P","P",""))</f>
        <v/>
      </c>
      <c r="E47" s="247"/>
      <c r="F47" s="248" t="str">
        <f>Badges!C54</f>
        <v>Interview an activist</v>
      </c>
      <c r="G47" s="250" t="str">
        <f>IF(Badges!M54="A","A"," ")</f>
        <v xml:space="preserve"> </v>
      </c>
      <c r="I47" s="247"/>
      <c r="J47" s="248" t="str">
        <f>Badges!C110</f>
        <v xml:space="preserve">Discover how to use what's on hand in </v>
      </c>
      <c r="K47" s="250" t="str">
        <f>IF(Badges!M110="A","A"," ")</f>
        <v xml:space="preserve"> </v>
      </c>
      <c r="M47" s="247"/>
      <c r="N47" s="248" t="str">
        <f>Badges!C180</f>
        <v>Class act</v>
      </c>
      <c r="O47" s="250" t="str">
        <f>IF(Badges!M180="A","A"," ")</f>
        <v xml:space="preserve"> </v>
      </c>
      <c r="Q47" s="267"/>
      <c r="R47" s="267"/>
      <c r="S47" s="240"/>
    </row>
    <row r="48" spans="1:19" x14ac:dyDescent="0.2">
      <c r="B48" s="264"/>
      <c r="C48" s="264"/>
      <c r="E48" s="247"/>
      <c r="F48" s="248" t="str">
        <f>Badges!C55</f>
        <v>Watch a documentary or movie</v>
      </c>
      <c r="G48" s="250" t="str">
        <f>IF(Badges!M55="A","A"," ")</f>
        <v xml:space="preserve"> </v>
      </c>
      <c r="I48" s="339" t="str">
        <f>Badges!B98</f>
        <v>Ambassador First Aid</v>
      </c>
      <c r="J48" s="340"/>
      <c r="K48" s="340"/>
      <c r="M48" s="247">
        <v>4</v>
      </c>
      <c r="N48" s="248" t="str">
        <f>Badges!C181</f>
        <v>Plan for the unexpected</v>
      </c>
      <c r="O48" s="249"/>
    </row>
    <row r="49" spans="1:19" x14ac:dyDescent="0.2">
      <c r="A49" s="484" t="s">
        <v>316</v>
      </c>
      <c r="B49" s="484"/>
      <c r="C49" s="484"/>
      <c r="E49" s="247"/>
      <c r="F49" s="248" t="str">
        <f>Badges!C56</f>
        <v xml:space="preserve">Read about women who change the </v>
      </c>
      <c r="G49" s="250" t="str">
        <f>IF(Badges!M56="A","A"," ")</f>
        <v xml:space="preserve"> </v>
      </c>
      <c r="I49" s="247">
        <v>4</v>
      </c>
      <c r="J49" s="248" t="str">
        <f>Badges!C111</f>
        <v>Know how to move an injured person</v>
      </c>
      <c r="K49" s="249"/>
      <c r="M49" s="247"/>
      <c r="N49" s="248" t="str">
        <f>Badges!C182</f>
        <v>Interview your network</v>
      </c>
      <c r="O49" s="250" t="str">
        <f>IF(Badges!M182="A","A"," ")</f>
        <v xml:space="preserve"> </v>
      </c>
    </row>
    <row r="50" spans="1:19" x14ac:dyDescent="0.2">
      <c r="A50" s="259"/>
      <c r="B50" s="345" t="str">
        <f>Bridging!B6</f>
        <v>Pass It On!</v>
      </c>
      <c r="C50" s="251" t="str">
        <f>IF(Bridging!M10="C","C",IF(Bridging!M10="P","P",""))</f>
        <v/>
      </c>
      <c r="E50" s="247">
        <v>2</v>
      </c>
      <c r="F50" s="248" t="str">
        <f>Badges!C57</f>
        <v>Engage as a global citizen</v>
      </c>
      <c r="G50" s="249"/>
      <c r="I50" s="247"/>
      <c r="J50" s="248" t="str">
        <f>Badges!C112</f>
        <v>Visit a medical school</v>
      </c>
      <c r="K50" s="250" t="str">
        <f>IF(Badges!M112="A","A"," ")</f>
        <v xml:space="preserve"> </v>
      </c>
      <c r="M50" s="247"/>
      <c r="N50" s="248" t="str">
        <f>Badges!C183</f>
        <v>Interview a Financial guru</v>
      </c>
      <c r="O50" s="250" t="str">
        <f>IF(Badges!M183="A","A"," ")</f>
        <v xml:space="preserve"> </v>
      </c>
    </row>
    <row r="51" spans="1:19" x14ac:dyDescent="0.2">
      <c r="A51" s="259"/>
      <c r="B51" s="260" t="str">
        <f>Bridging!B11</f>
        <v>Look Ahead!</v>
      </c>
      <c r="C51" s="251" t="str">
        <f>IF(Bridging!M15="C","C",IF(Bridging!M15="P","P",""))</f>
        <v/>
      </c>
      <c r="E51" s="247"/>
      <c r="F51" s="248" t="str">
        <f>Badges!C58</f>
        <v>Compare laws</v>
      </c>
      <c r="G51" s="250" t="str">
        <f>IF(Badges!M58="A","A"," ")</f>
        <v xml:space="preserve"> </v>
      </c>
      <c r="I51" s="247"/>
      <c r="J51" s="248" t="str">
        <f>Badges!C113</f>
        <v>Take a wilderness first aid course</v>
      </c>
      <c r="K51" s="250" t="str">
        <f>IF(Badges!M113="A","A"," ")</f>
        <v xml:space="preserve"> </v>
      </c>
      <c r="M51" s="247"/>
      <c r="N51" s="248" t="str">
        <f>Badges!C184</f>
        <v>Interview an insurance expert</v>
      </c>
      <c r="O51" s="250" t="str">
        <f>IF(Badges!M184="A","A"," ")</f>
        <v xml:space="preserve"> </v>
      </c>
    </row>
    <row r="52" spans="1:19" x14ac:dyDescent="0.2">
      <c r="A52" s="259"/>
      <c r="B52" s="344" t="str">
        <f>Bridging!C16</f>
        <v>Plan a Ceremony</v>
      </c>
      <c r="C52" s="251" t="str">
        <f>IF(Bridging!M17="C","C",IF(Bridging!M17="P","P",""))</f>
        <v/>
      </c>
      <c r="E52" s="247"/>
      <c r="F52" s="248" t="str">
        <f>Badges!C59</f>
        <v xml:space="preserve">Track a public-policy issue being </v>
      </c>
      <c r="G52" s="250" t="str">
        <f>IF(Badges!M59="A","A"," ")</f>
        <v xml:space="preserve"> </v>
      </c>
      <c r="I52" s="247"/>
      <c r="J52" s="248" t="str">
        <f>Badges!C114</f>
        <v>Organize a mock emergency drill</v>
      </c>
      <c r="K52" s="250" t="str">
        <f>IF(Badges!M114="A","A"," ")</f>
        <v xml:space="preserve"> </v>
      </c>
      <c r="M52" s="339" t="str">
        <f>Badges!B168</f>
        <v>On My Own</v>
      </c>
      <c r="N52" s="340"/>
      <c r="O52" s="340"/>
    </row>
    <row r="53" spans="1:19" x14ac:dyDescent="0.2">
      <c r="B53" s="261" t="s">
        <v>134</v>
      </c>
      <c r="C53" s="251" t="str">
        <f>IF(Bridging!M18="C","C",IF(Bridging!M18="P","P",""))</f>
        <v/>
      </c>
      <c r="E53" s="247"/>
      <c r="F53" s="248" t="str">
        <f>Badges!C60</f>
        <v>Explore an international NGO</v>
      </c>
      <c r="G53" s="250" t="str">
        <f>IF(Badges!M60="A","A","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IF(Badges!M116="A","A"," ")</f>
        <v xml:space="preserve"> </v>
      </c>
      <c r="M54" s="247"/>
      <c r="N54" s="248" t="str">
        <f>Badges!C186</f>
        <v>Plan for presents</v>
      </c>
      <c r="O54" s="250" t="str">
        <f>IF(Badges!M186="A","A"," ")</f>
        <v xml:space="preserve"> </v>
      </c>
      <c r="Q54" s="267"/>
      <c r="R54" s="267"/>
      <c r="S54" s="240"/>
    </row>
    <row r="55" spans="1:19" x14ac:dyDescent="0.2">
      <c r="I55" s="247"/>
      <c r="J55" s="248" t="str">
        <f>Badges!C117</f>
        <v>Investigate extreme first aid</v>
      </c>
      <c r="K55" s="250" t="str">
        <f>IF(Badges!M117="A","A"," ")</f>
        <v xml:space="preserve"> </v>
      </c>
      <c r="M55" s="247"/>
      <c r="N55" s="248" t="str">
        <f>Badges!C187</f>
        <v>Budget for your time</v>
      </c>
      <c r="O55" s="250" t="str">
        <f>IF(Badges!M187="A","A"," ")</f>
        <v xml:space="preserve"> </v>
      </c>
      <c r="Q55" s="496"/>
      <c r="R55" s="496"/>
      <c r="S55" s="496"/>
    </row>
    <row r="56" spans="1:19" x14ac:dyDescent="0.2">
      <c r="I56" s="247"/>
      <c r="J56" s="248" t="str">
        <f>Badges!C118</f>
        <v>Interview an everyday hero</v>
      </c>
      <c r="K56" s="250" t="str">
        <f>IF(Badges!M118="A","A"," ")</f>
        <v xml:space="preserve"> </v>
      </c>
      <c r="M56" s="247"/>
      <c r="N56" s="248" t="str">
        <f>Badges!C188</f>
        <v>Charity starts… with a budget</v>
      </c>
      <c r="O56" s="250" t="str">
        <f>IF(Badges!M188="A","A","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IF(Badges!M123="A","A"," ")</f>
        <v xml:space="preserve"> </v>
      </c>
      <c r="M59" s="247"/>
      <c r="N59" s="248" t="str">
        <f>Badges!C217</f>
        <v>Invest some R&amp;D</v>
      </c>
      <c r="O59" s="250" t="str">
        <f>IF(Badges!M217="A","A"," ")</f>
        <v xml:space="preserve"> </v>
      </c>
    </row>
    <row r="60" spans="1:19" x14ac:dyDescent="0.2">
      <c r="I60" s="247"/>
      <c r="J60" s="248" t="str">
        <f>Badges!C124</f>
        <v xml:space="preserve">Ogranize a songfest for younger </v>
      </c>
      <c r="K60" s="250" t="str">
        <f>IF(Badges!M124="A","A"," ")</f>
        <v xml:space="preserve"> </v>
      </c>
      <c r="M60" s="247">
        <v>2</v>
      </c>
      <c r="N60" s="248" t="str">
        <f>Badges!C218</f>
        <v>Reasearch how other companies innovate</v>
      </c>
      <c r="O60" s="249"/>
    </row>
    <row r="61" spans="1:19" ht="12.75" customHeight="1" x14ac:dyDescent="0.2">
      <c r="I61" s="247"/>
      <c r="J61" s="248" t="str">
        <f>Badges!C125</f>
        <v>Bring generations together in song</v>
      </c>
      <c r="K61" s="250" t="str">
        <f>IF(Badges!M125="A","A"," ")</f>
        <v xml:space="preserve"> </v>
      </c>
      <c r="M61" s="247"/>
      <c r="N61" s="248" t="str">
        <f>Badges!C219</f>
        <v>Find at least three other companies</v>
      </c>
      <c r="O61" s="250" t="str">
        <f>IF(Badges!M219="A","A"," ")</f>
        <v xml:space="preserve"> </v>
      </c>
    </row>
    <row r="62" spans="1:19" ht="12.75" customHeight="1"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IF(Badges!M127="A","A"," ")</f>
        <v xml:space="preserve"> </v>
      </c>
      <c r="M63" s="247"/>
      <c r="N63" s="248" t="str">
        <f>Badges!C221</f>
        <v>Developing a new product</v>
      </c>
      <c r="O63" s="250" t="str">
        <f>IF(Badges!M221="A","A"," ")</f>
        <v xml:space="preserve"> </v>
      </c>
    </row>
    <row r="64" spans="1:19" x14ac:dyDescent="0.2">
      <c r="I64" s="247"/>
      <c r="J64" s="248" t="str">
        <f>Badges!C128</f>
        <v>Make World Thinking Day cards</v>
      </c>
      <c r="K64" s="250" t="str">
        <f>IF(Badges!M128="A","A","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IF(Badges!M129="A","A"," ")</f>
        <v xml:space="preserve"> </v>
      </c>
      <c r="M65" s="247"/>
      <c r="N65" s="248" t="str">
        <f>Badges!C223</f>
        <v>If you're considering serveral</v>
      </c>
      <c r="O65" s="250" t="str">
        <f>IF(Badges!M223="A","A","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IF(Badges!M225="A","A","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484"/>
      <c r="G72" s="484"/>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Own'!M28="C","C",IF('Council Own'!M28="P","P",""))</f>
        <v/>
      </c>
      <c r="E73" s="493" t="str">
        <f>'Fun Patches'!C5</f>
        <v>&lt;LIST PATCH HERE&gt;</v>
      </c>
      <c r="F73" s="494"/>
      <c r="G73" s="250" t="str">
        <f>IF('Fun Patches'!M5="A","A","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Own'!M52="C","C",IF('Council Own'!M52="P","P",""))</f>
        <v/>
      </c>
      <c r="E74" s="471" t="str">
        <f>'Fun Patches'!C6</f>
        <v>&lt;LIST PATCH HERE&gt;</v>
      </c>
      <c r="F74" s="472"/>
      <c r="G74" s="257" t="str">
        <f>IF('Fun Patches'!M6="A","A"," ")</f>
        <v xml:space="preserve"> </v>
      </c>
      <c r="H74" s="254"/>
      <c r="I74" s="247">
        <v>1</v>
      </c>
      <c r="J74" s="344" t="str">
        <f>'Council Own'!C7</f>
        <v>&lt;List Requirement Here&gt;</v>
      </c>
      <c r="K74" s="257" t="str">
        <f>IF('Council Own'!M7="A","A"," ")</f>
        <v xml:space="preserve"> </v>
      </c>
      <c r="L74" s="254"/>
      <c r="M74" s="247">
        <v>1</v>
      </c>
      <c r="N74" s="344" t="str">
        <f>'Council Own'!C55</f>
        <v>&lt;List Requirement Here&gt;</v>
      </c>
      <c r="O74" s="257" t="str">
        <f>IF('Council Own'!M55="A","A"," ")</f>
        <v xml:space="preserve"> </v>
      </c>
      <c r="Q74" s="247">
        <v>1</v>
      </c>
      <c r="R74" s="344" t="str">
        <f>'Council Own'!C103</f>
        <v>&lt;List Requirement Here&gt;</v>
      </c>
      <c r="S74" s="257" t="str">
        <f>IF('Council Own'!M103="A","A"," ")</f>
        <v xml:space="preserve"> </v>
      </c>
    </row>
    <row r="75" spans="1:19" x14ac:dyDescent="0.2">
      <c r="A75" s="485" t="str">
        <f>'Council Own'!B54</f>
        <v>&lt;&lt;List Badge Here&gt;&gt;</v>
      </c>
      <c r="B75" s="486"/>
      <c r="C75" s="252" t="str">
        <f>IF('Council Own'!M76="C","C",IF('Council Own'!M76="P","P",""))</f>
        <v/>
      </c>
      <c r="E75" s="471" t="str">
        <f>'Fun Patches'!C7</f>
        <v>&lt;LIST PATCH HERE&gt;</v>
      </c>
      <c r="F75" s="472"/>
      <c r="G75" s="257" t="str">
        <f>IF('Fun Patches'!M7="A","A"," ")</f>
        <v xml:space="preserve"> </v>
      </c>
      <c r="H75" s="254"/>
      <c r="I75" s="247"/>
      <c r="J75" s="344" t="str">
        <f>'Council Own'!C8</f>
        <v>&lt;List Requirement Here&gt;</v>
      </c>
      <c r="K75" s="257" t="str">
        <f>IF('Council Own'!M8="A","A"," ")</f>
        <v xml:space="preserve"> </v>
      </c>
      <c r="L75" s="254"/>
      <c r="M75" s="247"/>
      <c r="N75" s="344" t="str">
        <f>'Council Own'!C56</f>
        <v>&lt;List Requirement Here&gt;</v>
      </c>
      <c r="O75" s="257" t="str">
        <f>IF('Council Own'!M56="A","A"," ")</f>
        <v xml:space="preserve"> </v>
      </c>
      <c r="Q75" s="247"/>
      <c r="R75" s="344" t="str">
        <f>'Council Own'!C104</f>
        <v>&lt;List Requirement Here&gt;</v>
      </c>
      <c r="S75" s="257" t="str">
        <f>IF('Council Own'!M104="A","A"," ")</f>
        <v xml:space="preserve"> </v>
      </c>
    </row>
    <row r="76" spans="1:19" x14ac:dyDescent="0.2">
      <c r="A76" s="485" t="str">
        <f>'Council Own'!B78</f>
        <v>&lt;&lt;List Badge Here&gt;&gt;</v>
      </c>
      <c r="B76" s="486"/>
      <c r="C76" s="252" t="str">
        <f>IF('Council Own'!M100="C","C",IF('Council Own'!M100="P","P",""))</f>
        <v/>
      </c>
      <c r="E76" s="471" t="str">
        <f>'Fun Patches'!C8</f>
        <v>&lt;LIST PATCH HERE&gt;</v>
      </c>
      <c r="F76" s="472"/>
      <c r="G76" s="257" t="str">
        <f>IF('Fun Patches'!M8="A","A"," ")</f>
        <v xml:space="preserve"> </v>
      </c>
      <c r="H76" s="254"/>
      <c r="I76" s="247"/>
      <c r="J76" s="344" t="str">
        <f>'Council Own'!C9</f>
        <v>&lt;List Requirement Here&gt;</v>
      </c>
      <c r="K76" s="257" t="str">
        <f>IF('Council Own'!M9="A","A"," ")</f>
        <v xml:space="preserve"> </v>
      </c>
      <c r="L76" s="254"/>
      <c r="M76" s="247"/>
      <c r="N76" s="344" t="str">
        <f>'Council Own'!C57</f>
        <v>&lt;List Requirement Here&gt;</v>
      </c>
      <c r="O76" s="257" t="str">
        <f>IF('Council Own'!M57="A","A"," ")</f>
        <v xml:space="preserve"> </v>
      </c>
      <c r="Q76" s="247"/>
      <c r="R76" s="344" t="str">
        <f>'Council Own'!C105</f>
        <v>&lt;List Requirement Here&gt;</v>
      </c>
      <c r="S76" s="257" t="str">
        <f>IF('Council Own'!M105="A","A"," ")</f>
        <v xml:space="preserve"> </v>
      </c>
    </row>
    <row r="77" spans="1:19" x14ac:dyDescent="0.2">
      <c r="A77" s="485" t="str">
        <f>'Council Own'!B102</f>
        <v>&lt;&lt;List Badge Here&gt;&gt;</v>
      </c>
      <c r="B77" s="486"/>
      <c r="C77" s="252" t="str">
        <f>IF('Council Own'!M124="C","C",IF('Council Own'!M124="P","P",""))</f>
        <v/>
      </c>
      <c r="E77" s="471" t="str">
        <f>'Fun Patches'!C9</f>
        <v>&lt;LIST PATCH HERE&gt;</v>
      </c>
      <c r="F77" s="472"/>
      <c r="G77" s="257" t="str">
        <f>IF('Fun Patches'!M9="A","A"," ")</f>
        <v xml:space="preserve"> </v>
      </c>
      <c r="H77" s="254"/>
      <c r="I77" s="247"/>
      <c r="J77" s="344" t="str">
        <f>'Council Own'!C10</f>
        <v>&lt;List Requirement Here&gt;</v>
      </c>
      <c r="K77" s="257" t="str">
        <f>IF('Council Own'!M10="A","A"," ")</f>
        <v xml:space="preserve"> </v>
      </c>
      <c r="L77" s="254"/>
      <c r="M77" s="247"/>
      <c r="N77" s="344" t="str">
        <f>'Council Own'!C58</f>
        <v>&lt;List Requirement Here&gt;</v>
      </c>
      <c r="O77" s="257" t="str">
        <f>IF('Council Own'!M58="A","A"," ")</f>
        <v xml:space="preserve"> </v>
      </c>
      <c r="Q77" s="247"/>
      <c r="R77" s="344" t="str">
        <f>'Council Own'!C106</f>
        <v>&lt;List Requirement Here&gt;</v>
      </c>
      <c r="S77" s="257" t="str">
        <f>IF('Council Own'!M106="A","A"," ")</f>
        <v xml:space="preserve"> </v>
      </c>
    </row>
    <row r="78" spans="1:19" x14ac:dyDescent="0.2">
      <c r="A78" s="485" t="str">
        <f>'Council Own'!B126</f>
        <v>&lt;&lt;List Badge Here&gt;&gt;</v>
      </c>
      <c r="B78" s="486"/>
      <c r="C78" s="252" t="str">
        <f>IF('Council Own'!M148="C","C",IF('Council Own'!M148="P","P",""))</f>
        <v/>
      </c>
      <c r="E78" s="471" t="str">
        <f>'Fun Patches'!C10</f>
        <v>&lt;LIST PATCH HERE&gt;</v>
      </c>
      <c r="F78" s="472"/>
      <c r="G78" s="257" t="str">
        <f>IF('Fun Patches'!M10="A","A"," ")</f>
        <v xml:space="preserve"> </v>
      </c>
      <c r="I78" s="247">
        <v>2</v>
      </c>
      <c r="J78" s="344" t="str">
        <f>'Council Own'!C11</f>
        <v>&lt;List Requirement Here&gt;</v>
      </c>
      <c r="K78" s="257" t="str">
        <f>IF('Council Own'!M11="A","A"," ")</f>
        <v xml:space="preserve"> </v>
      </c>
      <c r="M78" s="247">
        <v>2</v>
      </c>
      <c r="N78" s="344" t="str">
        <f>'Council Own'!C59</f>
        <v>&lt;List Requirement Here&gt;</v>
      </c>
      <c r="O78" s="257" t="str">
        <f>IF('Council Own'!M59="A","A"," ")</f>
        <v xml:space="preserve"> </v>
      </c>
      <c r="Q78" s="247">
        <v>2</v>
      </c>
      <c r="R78" s="344" t="str">
        <f>'Council Own'!C107</f>
        <v>&lt;List Requirement Here&gt;</v>
      </c>
      <c r="S78" s="257" t="str">
        <f>IF('Council Own'!M107="A","A"," ")</f>
        <v xml:space="preserve"> </v>
      </c>
    </row>
    <row r="79" spans="1:19" x14ac:dyDescent="0.2">
      <c r="E79" s="471" t="str">
        <f>'Fun Patches'!C11</f>
        <v>&lt;LIST PATCH HERE&gt;</v>
      </c>
      <c r="F79" s="472"/>
      <c r="G79" s="257" t="str">
        <f>IF('Fun Patches'!M11="A","A"," ")</f>
        <v xml:space="preserve"> </v>
      </c>
      <c r="I79" s="247"/>
      <c r="J79" s="344" t="str">
        <f>'Council Own'!C12</f>
        <v>&lt;List Requirement Here&gt;</v>
      </c>
      <c r="K79" s="257" t="str">
        <f>IF('Council Own'!M12="A","A"," ")</f>
        <v xml:space="preserve"> </v>
      </c>
      <c r="M79" s="247"/>
      <c r="N79" s="344" t="str">
        <f>'Council Own'!C60</f>
        <v>&lt;List Requirement Here&gt;</v>
      </c>
      <c r="O79" s="257" t="str">
        <f>IF('Council Own'!M60="A","A"," ")</f>
        <v xml:space="preserve"> </v>
      </c>
      <c r="Q79" s="247"/>
      <c r="R79" s="344" t="str">
        <f>'Council Own'!C108</f>
        <v>&lt;List Requirement Here&gt;</v>
      </c>
      <c r="S79" s="257" t="str">
        <f>IF('Council Own'!M108="A","A"," ")</f>
        <v xml:space="preserve"> </v>
      </c>
    </row>
    <row r="80" spans="1:19" x14ac:dyDescent="0.2">
      <c r="E80" s="471" t="str">
        <f>'Fun Patches'!C12</f>
        <v>&lt;LIST PATCH HERE&gt;</v>
      </c>
      <c r="F80" s="472"/>
      <c r="G80" s="257" t="str">
        <f>IF('Fun Patches'!M12="A","A"," ")</f>
        <v xml:space="preserve"> </v>
      </c>
      <c r="I80" s="247"/>
      <c r="J80" s="344" t="str">
        <f>'Council Own'!C13</f>
        <v>&lt;List Requirement Here&gt;</v>
      </c>
      <c r="K80" s="257" t="str">
        <f>IF('Council Own'!M13="A","A"," ")</f>
        <v xml:space="preserve"> </v>
      </c>
      <c r="M80" s="247"/>
      <c r="N80" s="344" t="str">
        <f>'Council Own'!C61</f>
        <v>&lt;List Requirement Here&gt;</v>
      </c>
      <c r="O80" s="257" t="str">
        <f>IF('Council Own'!M61="A","A"," ")</f>
        <v xml:space="preserve"> </v>
      </c>
      <c r="Q80" s="247"/>
      <c r="R80" s="344" t="str">
        <f>'Council Own'!C109</f>
        <v>&lt;List Requirement Here&gt;</v>
      </c>
      <c r="S80" s="257" t="str">
        <f>IF('Council Own'!M109="A","A"," ")</f>
        <v xml:space="preserve"> </v>
      </c>
    </row>
    <row r="81" spans="1:22" x14ac:dyDescent="0.2">
      <c r="E81" s="471" t="str">
        <f>'Fun Patches'!C13</f>
        <v>&lt;LIST PATCH HERE&gt;</v>
      </c>
      <c r="F81" s="472"/>
      <c r="G81" s="257" t="str">
        <f>IF('Fun Patches'!M13="A","A"," ")</f>
        <v xml:space="preserve"> </v>
      </c>
      <c r="I81" s="247"/>
      <c r="J81" s="344" t="str">
        <f>'Council Own'!C14</f>
        <v>&lt;List Requirement Here&gt;</v>
      </c>
      <c r="K81" s="257" t="str">
        <f>IF('Council Own'!M14="A","A"," ")</f>
        <v xml:space="preserve"> </v>
      </c>
      <c r="M81" s="247"/>
      <c r="N81" s="344" t="str">
        <f>'Council Own'!C62</f>
        <v>&lt;List Requirement Here&gt;</v>
      </c>
      <c r="O81" s="257" t="str">
        <f>IF('Council Own'!M62="A","A"," ")</f>
        <v xml:space="preserve"> </v>
      </c>
      <c r="Q81" s="247"/>
      <c r="R81" s="344" t="str">
        <f>'Council Own'!C110</f>
        <v>&lt;List Requirement Here&gt;</v>
      </c>
      <c r="S81" s="257" t="str">
        <f>IF('Council Own'!M110="A","A"," ")</f>
        <v xml:space="preserve"> </v>
      </c>
    </row>
    <row r="82" spans="1:22" x14ac:dyDescent="0.2">
      <c r="E82" s="471" t="str">
        <f>'Fun Patches'!C14</f>
        <v>&lt;LIST PATCH HERE&gt;</v>
      </c>
      <c r="F82" s="472"/>
      <c r="G82" s="257" t="str">
        <f>IF('Fun Patches'!M14="A","A"," ")</f>
        <v xml:space="preserve"> </v>
      </c>
      <c r="I82" s="247">
        <v>3</v>
      </c>
      <c r="J82" s="344" t="str">
        <f>'Council Own'!C15</f>
        <v>&lt;List Requirement Here&gt;</v>
      </c>
      <c r="K82" s="257" t="str">
        <f>IF('Council Own'!M15="A","A"," ")</f>
        <v xml:space="preserve"> </v>
      </c>
      <c r="M82" s="247">
        <v>3</v>
      </c>
      <c r="N82" s="344" t="str">
        <f>'Council Own'!C63</f>
        <v>&lt;List Requirement Here&gt;</v>
      </c>
      <c r="O82" s="257" t="str">
        <f>IF('Council Own'!M63="A","A"," ")</f>
        <v xml:space="preserve"> </v>
      </c>
      <c r="Q82" s="247">
        <v>3</v>
      </c>
      <c r="R82" s="344" t="str">
        <f>'Council Own'!C111</f>
        <v>&lt;List Requirement Here&gt;</v>
      </c>
      <c r="S82" s="257" t="str">
        <f>IF('Council Own'!M111="A","A"," ")</f>
        <v xml:space="preserve"> </v>
      </c>
    </row>
    <row r="83" spans="1:22" x14ac:dyDescent="0.2">
      <c r="E83" s="471" t="str">
        <f>'Fun Patches'!C15</f>
        <v>&lt;LIST PATCH HERE&gt;</v>
      </c>
      <c r="F83" s="472"/>
      <c r="G83" s="257" t="str">
        <f>IF('Fun Patches'!M15="A","A"," ")</f>
        <v xml:space="preserve"> </v>
      </c>
      <c r="I83" s="247"/>
      <c r="J83" s="344" t="str">
        <f>'Council Own'!C16</f>
        <v>&lt;List Requirement Here&gt;</v>
      </c>
      <c r="K83" s="257" t="str">
        <f>IF('Council Own'!M16="A","A"," ")</f>
        <v xml:space="preserve"> </v>
      </c>
      <c r="M83" s="247"/>
      <c r="N83" s="344" t="str">
        <f>'Council Own'!C64</f>
        <v>&lt;List Requirement Here&gt;</v>
      </c>
      <c r="O83" s="257" t="str">
        <f>IF('Council Own'!M64="A","A"," ")</f>
        <v xml:space="preserve"> </v>
      </c>
      <c r="Q83" s="247"/>
      <c r="R83" s="344" t="str">
        <f>'Council Own'!C112</f>
        <v>&lt;List Requirement Here&gt;</v>
      </c>
      <c r="S83" s="257" t="str">
        <f>IF('Council Own'!M112="A","A"," ")</f>
        <v xml:space="preserve"> </v>
      </c>
    </row>
    <row r="84" spans="1:22" x14ac:dyDescent="0.2">
      <c r="E84" s="471" t="str">
        <f>'Fun Patches'!C16</f>
        <v>&lt;LIST PATCH HERE&gt;</v>
      </c>
      <c r="F84" s="472"/>
      <c r="G84" s="257" t="str">
        <f>IF('Fun Patches'!M16="A","A"," ")</f>
        <v xml:space="preserve"> </v>
      </c>
      <c r="I84" s="247"/>
      <c r="J84" s="344" t="str">
        <f>'Council Own'!C17</f>
        <v>&lt;List Requirement Here&gt;</v>
      </c>
      <c r="K84" s="257" t="str">
        <f>IF('Council Own'!M17="A","A"," ")</f>
        <v xml:space="preserve"> </v>
      </c>
      <c r="M84" s="247"/>
      <c r="N84" s="344" t="str">
        <f>'Council Own'!C65</f>
        <v>&lt;List Requirement Here&gt;</v>
      </c>
      <c r="O84" s="257" t="str">
        <f>IF('Council Own'!M65="A","A"," ")</f>
        <v xml:space="preserve"> </v>
      </c>
      <c r="Q84" s="247"/>
      <c r="R84" s="344" t="str">
        <f>'Council Own'!C113</f>
        <v>&lt;List Requirement Here&gt;</v>
      </c>
      <c r="S84" s="257" t="str">
        <f>IF('Council Own'!M113="A","A"," ")</f>
        <v xml:space="preserve"> </v>
      </c>
    </row>
    <row r="85" spans="1:22" x14ac:dyDescent="0.2">
      <c r="E85" s="471" t="str">
        <f>'Fun Patches'!C17</f>
        <v>&lt;LIST PATCH HERE&gt;</v>
      </c>
      <c r="F85" s="472"/>
      <c r="G85" s="250" t="str">
        <f>IF('Fun Patches'!M17="A","A"," ")</f>
        <v xml:space="preserve"> </v>
      </c>
      <c r="I85" s="247"/>
      <c r="J85" s="344" t="str">
        <f>'Council Own'!C18</f>
        <v>&lt;List Requirement Here&gt;</v>
      </c>
      <c r="K85" s="257" t="str">
        <f>IF('Council Own'!M18="A","A"," ")</f>
        <v xml:space="preserve"> </v>
      </c>
      <c r="M85" s="247"/>
      <c r="N85" s="344" t="str">
        <f>'Council Own'!C66</f>
        <v>&lt;List Requirement Here&gt;</v>
      </c>
      <c r="O85" s="257" t="str">
        <f>IF('Council Own'!M66="A","A"," ")</f>
        <v xml:space="preserve"> </v>
      </c>
      <c r="Q85" s="247"/>
      <c r="R85" s="344" t="str">
        <f>'Council Own'!C114</f>
        <v>&lt;List Requirement Here&gt;</v>
      </c>
      <c r="S85" s="257" t="str">
        <f>IF('Council Own'!M114="A","A"," ")</f>
        <v xml:space="preserve"> </v>
      </c>
    </row>
    <row r="86" spans="1:22" x14ac:dyDescent="0.2">
      <c r="A86" s="242"/>
      <c r="B86" s="243"/>
      <c r="C86" s="244"/>
      <c r="E86" s="471" t="str">
        <f>'Fun Patches'!C18</f>
        <v>&lt;LIST PATCH HERE&gt;</v>
      </c>
      <c r="F86" s="472"/>
      <c r="G86" s="257" t="str">
        <f>IF('Fun Patches'!M18="A","A"," ")</f>
        <v xml:space="preserve"> </v>
      </c>
      <c r="I86" s="247">
        <v>4</v>
      </c>
      <c r="J86" s="344" t="str">
        <f>'Council Own'!C19</f>
        <v>&lt;List Requirement Here&gt;</v>
      </c>
      <c r="K86" s="257" t="str">
        <f>IF('Council Own'!M19="A","A"," ")</f>
        <v xml:space="preserve"> </v>
      </c>
      <c r="M86" s="247">
        <v>4</v>
      </c>
      <c r="N86" s="344" t="str">
        <f>'Council Own'!C67</f>
        <v>&lt;List Requirement Here&gt;</v>
      </c>
      <c r="O86" s="257" t="str">
        <f>IF('Council Own'!M67="A","A"," ")</f>
        <v xml:space="preserve"> </v>
      </c>
      <c r="Q86" s="247">
        <v>4</v>
      </c>
      <c r="R86" s="344" t="str">
        <f>'Council Own'!C115</f>
        <v>&lt;List Requirement Here&gt;</v>
      </c>
      <c r="S86" s="257" t="str">
        <f>IF('Council Own'!M115="A","A"," ")</f>
        <v xml:space="preserve"> </v>
      </c>
    </row>
    <row r="87" spans="1:22" x14ac:dyDescent="0.2">
      <c r="E87" s="471" t="str">
        <f>'Fun Patches'!C19</f>
        <v>&lt;LIST PATCH HERE&gt;</v>
      </c>
      <c r="F87" s="472"/>
      <c r="G87" s="257" t="str">
        <f>IF('Fun Patches'!M19="A","A"," ")</f>
        <v xml:space="preserve"> </v>
      </c>
      <c r="I87" s="247"/>
      <c r="J87" s="344" t="str">
        <f>'Council Own'!C20</f>
        <v>&lt;List Requirement Here&gt;</v>
      </c>
      <c r="K87" s="257" t="str">
        <f>IF('Council Own'!M20="A","A"," ")</f>
        <v xml:space="preserve"> </v>
      </c>
      <c r="M87" s="247"/>
      <c r="N87" s="344" t="str">
        <f>'Council Own'!C68</f>
        <v>&lt;List Requirement Here&gt;</v>
      </c>
      <c r="O87" s="257" t="str">
        <f>IF('Council Own'!M68="A","A"," ")</f>
        <v xml:space="preserve"> </v>
      </c>
      <c r="Q87" s="247"/>
      <c r="R87" s="344" t="str">
        <f>'Council Own'!C116</f>
        <v>&lt;List Requirement Here&gt;</v>
      </c>
      <c r="S87" s="257" t="str">
        <f>IF('Council Own'!M116="A","A"," ")</f>
        <v xml:space="preserve"> </v>
      </c>
    </row>
    <row r="88" spans="1:22" x14ac:dyDescent="0.2">
      <c r="E88" s="471" t="str">
        <f>'Fun Patches'!C20</f>
        <v>&lt;LIST PATCH HERE&gt;</v>
      </c>
      <c r="F88" s="472"/>
      <c r="G88" s="257" t="str">
        <f>IF('Fun Patches'!M20="A","A"," ")</f>
        <v xml:space="preserve"> </v>
      </c>
      <c r="I88" s="247"/>
      <c r="J88" s="344" t="str">
        <f>'Council Own'!C21</f>
        <v>&lt;List Requirement Here&gt;</v>
      </c>
      <c r="K88" s="257" t="str">
        <f>IF('Council Own'!M21="A","A"," ")</f>
        <v xml:space="preserve"> </v>
      </c>
      <c r="M88" s="247"/>
      <c r="N88" s="344" t="str">
        <f>'Council Own'!C69</f>
        <v>&lt;List Requirement Here&gt;</v>
      </c>
      <c r="O88" s="257" t="str">
        <f>IF('Council Own'!M69="A","A"," ")</f>
        <v xml:space="preserve"> </v>
      </c>
      <c r="Q88" s="247"/>
      <c r="R88" s="344" t="str">
        <f>'Council Own'!C117</f>
        <v>&lt;List Requirement Here&gt;</v>
      </c>
      <c r="S88" s="257" t="str">
        <f>IF('Council Own'!M117="A","A"," ")</f>
        <v xml:space="preserve"> </v>
      </c>
    </row>
    <row r="89" spans="1:22" x14ac:dyDescent="0.2">
      <c r="E89" s="471" t="str">
        <f>'Fun Patches'!C21</f>
        <v>&lt;LIST PATCH HERE&gt;</v>
      </c>
      <c r="F89" s="472"/>
      <c r="G89" s="257" t="str">
        <f>IF('Fun Patches'!M21="A","A"," ")</f>
        <v xml:space="preserve"> </v>
      </c>
      <c r="I89" s="247"/>
      <c r="J89" s="344" t="str">
        <f>'Council Own'!C22</f>
        <v>&lt;List Requirement Here&gt;</v>
      </c>
      <c r="K89" s="257" t="str">
        <f>IF('Council Own'!M22="A","A"," ")</f>
        <v xml:space="preserve"> </v>
      </c>
      <c r="M89" s="247"/>
      <c r="N89" s="344" t="str">
        <f>'Council Own'!C70</f>
        <v>&lt;List Requirement Here&gt;</v>
      </c>
      <c r="O89" s="257" t="str">
        <f>IF('Council Own'!M70="A","A"," ")</f>
        <v xml:space="preserve"> </v>
      </c>
      <c r="Q89" s="247"/>
      <c r="R89" s="344" t="str">
        <f>'Council Own'!C118</f>
        <v>&lt;List Requirement Here&gt;</v>
      </c>
      <c r="S89" s="257" t="str">
        <f>IF('Council Own'!M118="A","A"," ")</f>
        <v xml:space="preserve"> </v>
      </c>
    </row>
    <row r="90" spans="1:22" x14ac:dyDescent="0.2">
      <c r="E90" s="471" t="str">
        <f>'Fun Patches'!C22</f>
        <v>&lt;LIST PATCH HERE&gt;</v>
      </c>
      <c r="F90" s="472"/>
      <c r="G90" s="257" t="str">
        <f>IF('Fun Patches'!M22="A","A"," ")</f>
        <v xml:space="preserve"> </v>
      </c>
      <c r="I90" s="247">
        <v>5</v>
      </c>
      <c r="J90" s="344" t="str">
        <f>'Council Own'!C23</f>
        <v>&lt;List Requirement Here&gt;</v>
      </c>
      <c r="K90" s="257" t="str">
        <f>IF('Council Own'!M23="A","A"," ")</f>
        <v xml:space="preserve"> </v>
      </c>
      <c r="M90" s="247">
        <v>5</v>
      </c>
      <c r="N90" s="344" t="str">
        <f>'Council Own'!C71</f>
        <v>&lt;List Requirement Here&gt;</v>
      </c>
      <c r="O90" s="257" t="str">
        <f>IF('Council Own'!M71="A","A"," ")</f>
        <v xml:space="preserve"> </v>
      </c>
      <c r="Q90" s="247">
        <v>5</v>
      </c>
      <c r="R90" s="344" t="str">
        <f>'Council Own'!C119</f>
        <v>&lt;List Requirement Here&gt;</v>
      </c>
      <c r="S90" s="257" t="str">
        <f>IF('Council Own'!M119="A","A"," ")</f>
        <v xml:space="preserve"> </v>
      </c>
    </row>
    <row r="91" spans="1:22" x14ac:dyDescent="0.2">
      <c r="E91" s="471" t="str">
        <f>'Fun Patches'!C23</f>
        <v>&lt;LIST PATCH HERE&gt;</v>
      </c>
      <c r="F91" s="472"/>
      <c r="G91" s="257" t="str">
        <f>IF('Fun Patches'!M23="A","A"," ")</f>
        <v xml:space="preserve"> </v>
      </c>
      <c r="I91" s="247"/>
      <c r="J91" s="344" t="str">
        <f>'Council Own'!C24</f>
        <v>&lt;List Requirement Here&gt;</v>
      </c>
      <c r="K91" s="257" t="str">
        <f>IF('Council Own'!M24="A","A"," ")</f>
        <v xml:space="preserve"> </v>
      </c>
      <c r="M91" s="247"/>
      <c r="N91" s="344" t="str">
        <f>'Council Own'!C72</f>
        <v>&lt;List Requirement Here&gt;</v>
      </c>
      <c r="O91" s="257" t="str">
        <f>IF('Council Own'!M72="A","A"," ")</f>
        <v xml:space="preserve"> </v>
      </c>
      <c r="Q91" s="247"/>
      <c r="R91" s="344" t="str">
        <f>'Council Own'!C120</f>
        <v>&lt;List Requirement Here&gt;</v>
      </c>
      <c r="S91" s="257" t="str">
        <f>IF('Council Own'!M120="A","A"," ")</f>
        <v xml:space="preserve"> </v>
      </c>
    </row>
    <row r="92" spans="1:22" x14ac:dyDescent="0.2">
      <c r="E92" s="471" t="str">
        <f>'Fun Patches'!C24</f>
        <v>&lt;LIST PATCH HERE&gt;</v>
      </c>
      <c r="F92" s="472"/>
      <c r="G92" s="257" t="str">
        <f>IF('Fun Patches'!M24="A","A"," ")</f>
        <v xml:space="preserve"> </v>
      </c>
      <c r="I92" s="247"/>
      <c r="J92" s="344" t="str">
        <f>'Council Own'!C25</f>
        <v>&lt;List Requirement Here&gt;</v>
      </c>
      <c r="K92" s="257" t="str">
        <f>IF('Council Own'!M25="A","A"," ")</f>
        <v xml:space="preserve"> </v>
      </c>
      <c r="M92" s="247"/>
      <c r="N92" s="344" t="str">
        <f>'Council Own'!C73</f>
        <v>&lt;List Requirement Here&gt;</v>
      </c>
      <c r="O92" s="257" t="str">
        <f>IF('Council Own'!M73="A","A"," ")</f>
        <v xml:space="preserve"> </v>
      </c>
      <c r="Q92" s="247"/>
      <c r="R92" s="344" t="str">
        <f>'Council Own'!C121</f>
        <v>&lt;List Requirement Here&gt;</v>
      </c>
      <c r="S92" s="257" t="str">
        <f>IF('Council Own'!M121="A","A"," ")</f>
        <v xml:space="preserve"> </v>
      </c>
    </row>
    <row r="93" spans="1:22" x14ac:dyDescent="0.2">
      <c r="E93" s="471" t="str">
        <f>'Fun Patches'!C25</f>
        <v>&lt;LIST PATCH HERE&gt;</v>
      </c>
      <c r="F93" s="472"/>
      <c r="G93" s="257" t="str">
        <f>IF('Fun Patches'!M25="A","A"," ")</f>
        <v xml:space="preserve"> </v>
      </c>
      <c r="I93" s="247"/>
      <c r="J93" s="344" t="str">
        <f>'Council Own'!C26</f>
        <v>&lt;List Requirement Here&gt;</v>
      </c>
      <c r="K93" s="257" t="str">
        <f>IF('Council Own'!M26="A","A"," ")</f>
        <v xml:space="preserve"> </v>
      </c>
      <c r="M93" s="247"/>
      <c r="N93" s="344" t="str">
        <f>'Council Own'!C74</f>
        <v>&lt;List Requirement Here&gt;</v>
      </c>
      <c r="O93" s="257" t="str">
        <f>IF('Council Own'!M68="A","A"," ")</f>
        <v xml:space="preserve"> </v>
      </c>
      <c r="Q93" s="247"/>
      <c r="R93" s="344" t="str">
        <f>'Council Own'!C122</f>
        <v>&lt;List Requirement Here&gt;</v>
      </c>
      <c r="S93" s="257" t="str">
        <f>IF('Council Own'!M122="A","A"," ")</f>
        <v xml:space="preserve"> </v>
      </c>
    </row>
    <row r="94" spans="1:22" x14ac:dyDescent="0.2">
      <c r="E94" s="471" t="str">
        <f>'Fun Patches'!C26</f>
        <v>&lt;LIST PATCH HERE&gt;</v>
      </c>
      <c r="F94" s="472"/>
      <c r="G94" s="257" t="str">
        <f>IF('Fun Patches'!M26="A","A","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Patches'!M27="A","A"," ")</f>
        <v xml:space="preserve"> </v>
      </c>
      <c r="I95" s="247">
        <v>1</v>
      </c>
      <c r="J95" s="344" t="str">
        <f>'Council Own'!C31</f>
        <v>&lt;List Requirement Here&gt;</v>
      </c>
      <c r="K95" s="257" t="str">
        <f>IF('Council Own'!M31="A","A"," ")</f>
        <v xml:space="preserve"> </v>
      </c>
      <c r="M95" s="247">
        <v>1</v>
      </c>
      <c r="N95" s="344" t="str">
        <f>'Council Own'!C79</f>
        <v>&lt;List Requirement Here&gt;</v>
      </c>
      <c r="O95" s="257" t="str">
        <f>IF('Council Own'!M79="A","A"," ")</f>
        <v xml:space="preserve"> </v>
      </c>
      <c r="Q95" s="247">
        <v>1</v>
      </c>
      <c r="R95" s="344" t="str">
        <f>'Council Own'!C127</f>
        <v>&lt;List Requirement Here&gt;</v>
      </c>
      <c r="S95" s="257" t="str">
        <f>IF('Council Own'!M127="A","A"," ")</f>
        <v xml:space="preserve"> </v>
      </c>
    </row>
    <row r="96" spans="1:22" x14ac:dyDescent="0.2">
      <c r="E96" s="471" t="str">
        <f>'Fun Patches'!C28</f>
        <v>&lt;LIST PATCH HERE&gt;</v>
      </c>
      <c r="F96" s="472"/>
      <c r="G96" s="257" t="str">
        <f>IF('Fun Patches'!M28="A","A"," ")</f>
        <v xml:space="preserve"> </v>
      </c>
      <c r="I96" s="247"/>
      <c r="J96" s="344" t="str">
        <f>'Council Own'!C32</f>
        <v>&lt;List Requirement Here&gt;</v>
      </c>
      <c r="K96" s="257" t="str">
        <f>IF('Council Own'!M32="A","A"," ")</f>
        <v xml:space="preserve"> </v>
      </c>
      <c r="M96" s="247"/>
      <c r="N96" s="344" t="str">
        <f>'Council Own'!C80</f>
        <v>&lt;List Requirement Here&gt;</v>
      </c>
      <c r="O96" s="257" t="str">
        <f>IF('Council Own'!M80="A","A"," ")</f>
        <v xml:space="preserve"> </v>
      </c>
      <c r="Q96" s="247"/>
      <c r="R96" s="344" t="str">
        <f>'Council Own'!C128</f>
        <v>&lt;List Requirement Here&gt;</v>
      </c>
      <c r="S96" s="257" t="str">
        <f>IF('Council Own'!M128="A","A"," ")</f>
        <v xml:space="preserve"> </v>
      </c>
      <c r="U96" s="245"/>
      <c r="V96" s="245"/>
    </row>
    <row r="97" spans="1:23" x14ac:dyDescent="0.2">
      <c r="E97" s="471" t="str">
        <f>'Fun Patches'!C29</f>
        <v>&lt;LIST PATCH HERE&gt;</v>
      </c>
      <c r="F97" s="472"/>
      <c r="G97" s="257" t="str">
        <f>IF('Fun Patches'!M29="A","A"," ")</f>
        <v xml:space="preserve"> </v>
      </c>
      <c r="I97" s="247"/>
      <c r="J97" s="344" t="str">
        <f>'Council Own'!C33</f>
        <v>&lt;List Requirement Here&gt;</v>
      </c>
      <c r="K97" s="257" t="str">
        <f>IF('Council Own'!M33="A","A"," ")</f>
        <v xml:space="preserve"> </v>
      </c>
      <c r="M97" s="247"/>
      <c r="N97" s="344" t="str">
        <f>'Council Own'!C81</f>
        <v>&lt;List Requirement Here&gt;</v>
      </c>
      <c r="O97" s="257" t="str">
        <f>IF('Council Own'!M81="A","A"," ")</f>
        <v xml:space="preserve"> </v>
      </c>
      <c r="Q97" s="247"/>
      <c r="R97" s="344" t="str">
        <f>'Council Own'!C129</f>
        <v>&lt;List Requirement Here&gt;</v>
      </c>
      <c r="S97" s="257" t="str">
        <f>IF('Council Own'!M129="A","A"," ")</f>
        <v xml:space="preserve"> </v>
      </c>
      <c r="U97" s="245"/>
      <c r="V97" s="245"/>
    </row>
    <row r="98" spans="1:23" x14ac:dyDescent="0.2">
      <c r="A98" s="484" t="s">
        <v>75</v>
      </c>
      <c r="B98" s="484"/>
      <c r="C98" s="484"/>
      <c r="E98" s="471" t="str">
        <f>'Fun Patches'!C30</f>
        <v>&lt;LIST PATCH HERE&gt;</v>
      </c>
      <c r="F98" s="472"/>
      <c r="G98" s="257" t="str">
        <f>IF('Fun Patches'!M30="A","A"," ")</f>
        <v xml:space="preserve"> </v>
      </c>
      <c r="I98" s="247"/>
      <c r="J98" s="344" t="str">
        <f>'Council Own'!C34</f>
        <v>&lt;List Requirement Here&gt;</v>
      </c>
      <c r="K98" s="257" t="str">
        <f>IF('Council Own'!M34="A","A"," ")</f>
        <v xml:space="preserve"> </v>
      </c>
      <c r="M98" s="247"/>
      <c r="N98" s="344" t="str">
        <f>'Council Own'!C82</f>
        <v>&lt;List Requirement Here&gt;</v>
      </c>
      <c r="O98" s="257" t="str">
        <f>IF('Council Own'!M82="A","A"," ")</f>
        <v xml:space="preserve"> </v>
      </c>
      <c r="Q98" s="247"/>
      <c r="R98" s="344" t="str">
        <f>'Council Own'!C130</f>
        <v>&lt;List Requirement Here&gt;</v>
      </c>
      <c r="S98" s="257" t="str">
        <f>IF('Council Own'!M130="A","A"," ")</f>
        <v xml:space="preserve"> </v>
      </c>
      <c r="U98" s="245"/>
      <c r="V98" s="245"/>
    </row>
    <row r="99" spans="1:23" ht="14.25" customHeight="1" x14ac:dyDescent="0.2">
      <c r="A99" s="481" t="s">
        <v>72</v>
      </c>
      <c r="B99" s="482"/>
      <c r="C99" s="483"/>
      <c r="E99" s="471" t="str">
        <f>'Fun Patches'!C31</f>
        <v>&lt;LIST PATCH HERE&gt;</v>
      </c>
      <c r="F99" s="472"/>
      <c r="G99" s="257" t="str">
        <f>IF('Fun Patches'!M31="A","A"," ")</f>
        <v xml:space="preserve"> </v>
      </c>
      <c r="I99" s="247">
        <v>2</v>
      </c>
      <c r="J99" s="344" t="str">
        <f>'Council Own'!C35</f>
        <v>&lt;List Requirement Here&gt;</v>
      </c>
      <c r="K99" s="257" t="str">
        <f>IF('Council Own'!M35="A","A"," ")</f>
        <v xml:space="preserve"> </v>
      </c>
      <c r="M99" s="247">
        <v>2</v>
      </c>
      <c r="N99" s="344" t="str">
        <f>'Council Own'!C83</f>
        <v>&lt;List Requirement Here&gt;</v>
      </c>
      <c r="O99" s="257" t="str">
        <f>IF('Council Own'!M83="A","A"," ")</f>
        <v xml:space="preserve"> </v>
      </c>
      <c r="Q99" s="247">
        <v>2</v>
      </c>
      <c r="R99" s="344" t="str">
        <f>'Council Own'!C131</f>
        <v>&lt;List Requirement Here&gt;</v>
      </c>
      <c r="S99" s="257" t="str">
        <f>IF('Council Own'!M131="A","A"," ")</f>
        <v xml:space="preserve"> </v>
      </c>
      <c r="U99" s="245"/>
      <c r="V99" s="245"/>
    </row>
    <row r="100" spans="1:23" x14ac:dyDescent="0.2">
      <c r="A100" s="481" t="s">
        <v>73</v>
      </c>
      <c r="B100" s="482"/>
      <c r="C100" s="483"/>
      <c r="E100" s="471" t="str">
        <f>'Fun Patches'!C32</f>
        <v>&lt;LIST PATCH HERE&gt;</v>
      </c>
      <c r="F100" s="472"/>
      <c r="G100" s="257" t="str">
        <f>IF('Fun Patches'!M32="A","A"," ")</f>
        <v xml:space="preserve"> </v>
      </c>
      <c r="I100" s="247"/>
      <c r="J100" s="344" t="str">
        <f>'Council Own'!C36</f>
        <v>&lt;List Requirement Here&gt;</v>
      </c>
      <c r="K100" s="257" t="str">
        <f>IF('Council Own'!M36="A","A"," ")</f>
        <v xml:space="preserve"> </v>
      </c>
      <c r="M100" s="247"/>
      <c r="N100" s="344" t="str">
        <f>'Council Own'!C84</f>
        <v>&lt;List Requirement Here&gt;</v>
      </c>
      <c r="O100" s="257" t="str">
        <f>IF('Council Own'!M84="A","A"," ")</f>
        <v xml:space="preserve"> </v>
      </c>
      <c r="Q100" s="247"/>
      <c r="R100" s="344" t="str">
        <f>'Council Own'!C132</f>
        <v>&lt;List Requirement Here&gt;</v>
      </c>
      <c r="S100" s="257" t="str">
        <f>IF('Council Own'!M132="A","A"," ")</f>
        <v xml:space="preserve"> </v>
      </c>
      <c r="U100" s="337"/>
      <c r="V100" s="338"/>
      <c r="W100" s="341"/>
    </row>
    <row r="101" spans="1:23" x14ac:dyDescent="0.2">
      <c r="A101" s="468" t="s">
        <v>74</v>
      </c>
      <c r="B101" s="469"/>
      <c r="C101" s="470"/>
      <c r="E101" s="471" t="str">
        <f>'Fun Patches'!C33</f>
        <v>&lt;LIST PATCH HERE&gt;</v>
      </c>
      <c r="F101" s="472"/>
      <c r="G101" s="257" t="str">
        <f>IF('Fun Patches'!M33="A","A"," ")</f>
        <v xml:space="preserve"> </v>
      </c>
      <c r="I101" s="247"/>
      <c r="J101" s="344" t="str">
        <f>'Council Own'!C37</f>
        <v>&lt;List Requirement Here&gt;</v>
      </c>
      <c r="K101" s="257" t="str">
        <f>IF('Council Own'!M37="A","A"," ")</f>
        <v xml:space="preserve"> </v>
      </c>
      <c r="M101" s="247"/>
      <c r="N101" s="344" t="str">
        <f>'Council Own'!C85</f>
        <v>&lt;List Requirement Here&gt;</v>
      </c>
      <c r="O101" s="257" t="str">
        <f>IF('Council Own'!M85="A","A"," ")</f>
        <v xml:space="preserve"> </v>
      </c>
      <c r="Q101" s="247"/>
      <c r="R101" s="344" t="str">
        <f>'Council Own'!C133</f>
        <v>&lt;List Requirement Here&gt;</v>
      </c>
      <c r="S101" s="257" t="str">
        <f>IF('Council Own'!M133="A","A"," ")</f>
        <v xml:space="preserve"> </v>
      </c>
      <c r="U101" s="245"/>
      <c r="V101" s="245"/>
    </row>
    <row r="102" spans="1:23" x14ac:dyDescent="0.2">
      <c r="E102" s="471" t="str">
        <f>'Fun Patches'!C34</f>
        <v>&lt;LIST PATCH HERE&gt;</v>
      </c>
      <c r="F102" s="472"/>
      <c r="G102" s="257" t="str">
        <f>IF('Fun Patches'!M34="A","A"," ")</f>
        <v xml:space="preserve"> </v>
      </c>
      <c r="I102" s="247"/>
      <c r="J102" s="344" t="str">
        <f>'Council Own'!C38</f>
        <v>&lt;List Requirement Here&gt;</v>
      </c>
      <c r="K102" s="257" t="str">
        <f>IF('Council Own'!M38="A","A"," ")</f>
        <v xml:space="preserve"> </v>
      </c>
      <c r="M102" s="247"/>
      <c r="N102" s="344" t="str">
        <f>'Council Own'!C86</f>
        <v>&lt;List Requirement Here&gt;</v>
      </c>
      <c r="O102" s="257" t="str">
        <f>IF('Council Own'!M86="A","A"," ")</f>
        <v xml:space="preserve"> </v>
      </c>
      <c r="Q102" s="247"/>
      <c r="R102" s="344" t="str">
        <f>'Council Own'!C134</f>
        <v>&lt;List Requirement Here&gt;</v>
      </c>
      <c r="S102" s="257" t="str">
        <f>IF('Council Own'!M134="A","A"," ")</f>
        <v xml:space="preserve"> </v>
      </c>
      <c r="U102" s="245"/>
      <c r="V102" s="245"/>
    </row>
    <row r="103" spans="1:23" x14ac:dyDescent="0.2">
      <c r="E103" s="471" t="str">
        <f>'Fun Patches'!C35</f>
        <v>&lt;LIST PATCH HERE&gt;</v>
      </c>
      <c r="F103" s="472"/>
      <c r="G103" s="257" t="str">
        <f>IF('Fun Patches'!M35="A","A"," ")</f>
        <v xml:space="preserve"> </v>
      </c>
      <c r="I103" s="247">
        <v>3</v>
      </c>
      <c r="J103" s="344" t="str">
        <f>'Council Own'!C39</f>
        <v>&lt;List Requirement Here&gt;</v>
      </c>
      <c r="K103" s="257" t="str">
        <f>IF('Council Own'!M39="A","A"," ")</f>
        <v xml:space="preserve"> </v>
      </c>
      <c r="M103" s="247">
        <v>3</v>
      </c>
      <c r="N103" s="344" t="str">
        <f>'Council Own'!C87</f>
        <v>&lt;List Requirement Here&gt;</v>
      </c>
      <c r="O103" s="257" t="str">
        <f>IF('Council Own'!M87="A","A"," ")</f>
        <v xml:space="preserve"> </v>
      </c>
      <c r="Q103" s="247">
        <v>3</v>
      </c>
      <c r="R103" s="344" t="str">
        <f>'Council Own'!C135</f>
        <v>&lt;List Requirement Here&gt;</v>
      </c>
      <c r="S103" s="257" t="str">
        <f>IF('Council Own'!M135="A","A"," ")</f>
        <v xml:space="preserve"> </v>
      </c>
      <c r="U103" s="245"/>
      <c r="V103" s="245"/>
    </row>
    <row r="104" spans="1:23" x14ac:dyDescent="0.2">
      <c r="E104" s="471" t="str">
        <f>'Fun Patches'!C36</f>
        <v>&lt;LIST PATCH HERE&gt;</v>
      </c>
      <c r="F104" s="472"/>
      <c r="G104" s="257" t="str">
        <f>IF('Fun Patches'!M36="A","A"," ")</f>
        <v xml:space="preserve"> </v>
      </c>
      <c r="I104" s="247"/>
      <c r="J104" s="344" t="str">
        <f>'Council Own'!C40</f>
        <v>&lt;List Requirement Here&gt;</v>
      </c>
      <c r="K104" s="257" t="str">
        <f>IF('Council Own'!M40="A","A"," ")</f>
        <v xml:space="preserve"> </v>
      </c>
      <c r="M104" s="247"/>
      <c r="N104" s="344" t="str">
        <f>'Council Own'!C88</f>
        <v>&lt;List Requirement Here&gt;</v>
      </c>
      <c r="O104" s="257" t="str">
        <f>IF('Council Own'!M88="A","A"," ")</f>
        <v xml:space="preserve"> </v>
      </c>
      <c r="Q104" s="247"/>
      <c r="R104" s="344" t="str">
        <f>'Council Own'!C136</f>
        <v>&lt;List Requirement Here&gt;</v>
      </c>
      <c r="S104" s="257" t="str">
        <f>IF('Council Own'!M136="A","A"," ")</f>
        <v xml:space="preserve"> </v>
      </c>
      <c r="U104" s="245"/>
      <c r="V104" s="245"/>
    </row>
    <row r="105" spans="1:23" x14ac:dyDescent="0.2">
      <c r="E105" s="471" t="str">
        <f>'Fun Patches'!C37</f>
        <v>&lt;LIST PATCH HERE&gt;</v>
      </c>
      <c r="F105" s="472"/>
      <c r="G105" s="257" t="str">
        <f>IF('Fun Patches'!M37="A","A"," ")</f>
        <v xml:space="preserve"> </v>
      </c>
      <c r="I105" s="247"/>
      <c r="J105" s="344" t="str">
        <f>'Council Own'!C41</f>
        <v>&lt;List Requirement Here&gt;</v>
      </c>
      <c r="K105" s="257" t="str">
        <f>IF('Council Own'!M41="A","A"," ")</f>
        <v xml:space="preserve"> </v>
      </c>
      <c r="M105" s="247"/>
      <c r="N105" s="344" t="str">
        <f>'Council Own'!C89</f>
        <v>&lt;List Requirement Here&gt;</v>
      </c>
      <c r="O105" s="257" t="str">
        <f>IF('Council Own'!M89="A","A"," ")</f>
        <v xml:space="preserve"> </v>
      </c>
      <c r="Q105" s="247"/>
      <c r="R105" s="344" t="str">
        <f>'Council Own'!C137</f>
        <v>&lt;List Requirement Here&gt;</v>
      </c>
      <c r="S105" s="257" t="str">
        <f>IF('Council Own'!M137="A","A"," ")</f>
        <v xml:space="preserve"> </v>
      </c>
      <c r="U105" s="245"/>
      <c r="V105" s="245"/>
    </row>
    <row r="106" spans="1:23" x14ac:dyDescent="0.2">
      <c r="E106" s="471" t="str">
        <f>'Fun Patches'!C38</f>
        <v>&lt;LIST PATCH HERE&gt;</v>
      </c>
      <c r="F106" s="472"/>
      <c r="G106" s="257" t="str">
        <f>IF('Fun Patches'!M38="A","A"," ")</f>
        <v xml:space="preserve"> </v>
      </c>
      <c r="I106" s="247"/>
      <c r="J106" s="344" t="str">
        <f>'Council Own'!C42</f>
        <v>&lt;List Requirement Here&gt;</v>
      </c>
      <c r="K106" s="257" t="str">
        <f>IF('Council Own'!M42="A","A"," ")</f>
        <v xml:space="preserve"> </v>
      </c>
      <c r="M106" s="247"/>
      <c r="N106" s="344" t="str">
        <f>'Council Own'!C90</f>
        <v>&lt;List Requirement Here&gt;</v>
      </c>
      <c r="O106" s="257" t="str">
        <f>IF('Council Own'!M90="A","A"," ")</f>
        <v xml:space="preserve"> </v>
      </c>
      <c r="Q106" s="247"/>
      <c r="R106" s="344" t="str">
        <f>'Council Own'!C138</f>
        <v>&lt;List Requirement Here&gt;</v>
      </c>
      <c r="S106" s="257" t="str">
        <f>IF('Council Own'!M138="A","A"," ")</f>
        <v xml:space="preserve"> </v>
      </c>
      <c r="U106" s="245"/>
      <c r="V106" s="245"/>
    </row>
    <row r="107" spans="1:23" x14ac:dyDescent="0.2">
      <c r="E107" s="284"/>
      <c r="F107" s="263"/>
      <c r="G107" s="341"/>
      <c r="I107" s="247">
        <v>4</v>
      </c>
      <c r="J107" s="344" t="str">
        <f>'Council Own'!C43</f>
        <v>&lt;List Requirement Here&gt;</v>
      </c>
      <c r="K107" s="257" t="str">
        <f>IF('Council Own'!M43="A","A"," ")</f>
        <v xml:space="preserve"> </v>
      </c>
      <c r="M107" s="247">
        <v>4</v>
      </c>
      <c r="N107" s="344" t="str">
        <f>'Council Own'!C91</f>
        <v>&lt;List Requirement Here&gt;</v>
      </c>
      <c r="O107" s="257" t="str">
        <f>IF('Council Own'!M91="A","A"," ")</f>
        <v xml:space="preserve"> </v>
      </c>
      <c r="Q107" s="247">
        <v>4</v>
      </c>
      <c r="R107" s="344" t="str">
        <f>'Council Own'!C139</f>
        <v>&lt;List Requirement Here&gt;</v>
      </c>
      <c r="S107" s="257" t="str">
        <f>IF('Council Own'!M139="A","A"," ")</f>
        <v xml:space="preserve"> </v>
      </c>
      <c r="U107" s="245"/>
      <c r="V107" s="245"/>
    </row>
    <row r="108" spans="1:23" x14ac:dyDescent="0.2">
      <c r="I108" s="247"/>
      <c r="J108" s="344" t="str">
        <f>'Council Own'!C44</f>
        <v>&lt;List Requirement Here&gt;</v>
      </c>
      <c r="K108" s="257" t="str">
        <f>IF('Council Own'!M44="A","A"," ")</f>
        <v xml:space="preserve"> </v>
      </c>
      <c r="M108" s="247"/>
      <c r="N108" s="344" t="str">
        <f>'Council Own'!C92</f>
        <v>&lt;List Requirement Here&gt;</v>
      </c>
      <c r="O108" s="257" t="str">
        <f>IF('Council Own'!M92="A","A"," ")</f>
        <v xml:space="preserve"> </v>
      </c>
      <c r="Q108" s="247"/>
      <c r="R108" s="344" t="str">
        <f>'Council Own'!C140</f>
        <v>&lt;List Requirement Here&gt;</v>
      </c>
      <c r="S108" s="257" t="str">
        <f>IF('Council Own'!M140="A","A"," ")</f>
        <v xml:space="preserve"> </v>
      </c>
      <c r="U108" s="245"/>
      <c r="V108" s="245"/>
    </row>
    <row r="109" spans="1:23" x14ac:dyDescent="0.2">
      <c r="I109" s="247"/>
      <c r="J109" s="344" t="str">
        <f>'Council Own'!C45</f>
        <v>&lt;List Requirement Here&gt;</v>
      </c>
      <c r="K109" s="257" t="str">
        <f>IF('Council Own'!M45="A","A"," ")</f>
        <v xml:space="preserve"> </v>
      </c>
      <c r="M109" s="247"/>
      <c r="N109" s="344" t="str">
        <f>'Council Own'!C93</f>
        <v>&lt;List Requirement Here&gt;</v>
      </c>
      <c r="O109" s="257" t="str">
        <f>IF('Council Own'!M93="A","A"," ")</f>
        <v xml:space="preserve"> </v>
      </c>
      <c r="Q109" s="247"/>
      <c r="R109" s="344" t="str">
        <f>'Council Own'!C141</f>
        <v>&lt;List Requirement Here&gt;</v>
      </c>
      <c r="S109" s="257" t="str">
        <f>IF('Council Own'!M141="A","A"," ")</f>
        <v xml:space="preserve"> </v>
      </c>
      <c r="U109" s="245"/>
      <c r="V109" s="245"/>
    </row>
    <row r="110" spans="1:23" x14ac:dyDescent="0.2">
      <c r="I110" s="247"/>
      <c r="J110" s="344" t="str">
        <f>'Council Own'!C46</f>
        <v>&lt;List Requirement Here&gt;</v>
      </c>
      <c r="K110" s="257" t="str">
        <f>IF('Council Own'!M46="A","A"," ")</f>
        <v xml:space="preserve"> </v>
      </c>
      <c r="M110" s="247"/>
      <c r="N110" s="344" t="str">
        <f>'Council Own'!C94</f>
        <v>&lt;List Requirement Here&gt;</v>
      </c>
      <c r="O110" s="257" t="str">
        <f>IF('Council Own'!M94="A","A"," ")</f>
        <v xml:space="preserve"> </v>
      </c>
      <c r="Q110" s="247"/>
      <c r="R110" s="344" t="str">
        <f>'Council Own'!C142</f>
        <v>&lt;List Requirement Here&gt;</v>
      </c>
      <c r="S110" s="257" t="str">
        <f>IF('Council Own'!M142="A","A"," ")</f>
        <v xml:space="preserve"> </v>
      </c>
      <c r="U110" s="245"/>
      <c r="V110" s="245"/>
    </row>
    <row r="111" spans="1:23" x14ac:dyDescent="0.2">
      <c r="I111" s="247">
        <v>5</v>
      </c>
      <c r="J111" s="344" t="str">
        <f>'Council Own'!C47</f>
        <v>&lt;List Requirement Here&gt;</v>
      </c>
      <c r="K111" s="257" t="str">
        <f>IF('Council Own'!M47="A","A"," ")</f>
        <v xml:space="preserve"> </v>
      </c>
      <c r="M111" s="247">
        <v>5</v>
      </c>
      <c r="N111" s="344" t="str">
        <f>'Council Own'!C95</f>
        <v>&lt;List Requirement Here&gt;</v>
      </c>
      <c r="O111" s="257" t="str">
        <f>IF('Council Own'!M95="A","A"," ")</f>
        <v xml:space="preserve"> </v>
      </c>
      <c r="Q111" s="247">
        <v>5</v>
      </c>
      <c r="R111" s="344" t="str">
        <f>'Council Own'!C143</f>
        <v>&lt;List Requirement Here&gt;</v>
      </c>
      <c r="S111" s="257" t="str">
        <f>IF('Council Own'!M143="A","A"," ")</f>
        <v xml:space="preserve"> </v>
      </c>
      <c r="U111" s="338"/>
      <c r="V111" s="338"/>
      <c r="W111" s="341"/>
    </row>
    <row r="112" spans="1:23" x14ac:dyDescent="0.2">
      <c r="I112" s="247"/>
      <c r="J112" s="344" t="str">
        <f>'Council Own'!C48</f>
        <v>&lt;List Requirement Here&gt;</v>
      </c>
      <c r="K112" s="257" t="str">
        <f>IF('Council Own'!M48="A","A"," ")</f>
        <v xml:space="preserve"> </v>
      </c>
      <c r="M112" s="247"/>
      <c r="N112" s="344" t="str">
        <f>'Council Own'!C96</f>
        <v>&lt;List Requirement Here&gt;</v>
      </c>
      <c r="O112" s="257" t="str">
        <f>IF('Council Own'!M96="A","A"," ")</f>
        <v xml:space="preserve"> </v>
      </c>
      <c r="Q112" s="247"/>
      <c r="R112" s="344" t="str">
        <f>'Council Own'!C144</f>
        <v>&lt;List Requirement Here&gt;</v>
      </c>
      <c r="S112" s="257" t="str">
        <f>IF('Council Own'!M144="A","A"," ")</f>
        <v xml:space="preserve"> </v>
      </c>
      <c r="U112" s="245"/>
      <c r="V112" s="245"/>
    </row>
    <row r="113" spans="9:22" x14ac:dyDescent="0.2">
      <c r="I113" s="247"/>
      <c r="J113" s="344" t="str">
        <f>'Council Own'!C49</f>
        <v>&lt;List Requirement Here&gt;</v>
      </c>
      <c r="K113" s="257" t="str">
        <f>IF('Council Own'!M49="A","A"," ")</f>
        <v xml:space="preserve"> </v>
      </c>
      <c r="M113" s="247"/>
      <c r="N113" s="344" t="str">
        <f>'Council Own'!C97</f>
        <v>&lt;List Requirement Here&gt;</v>
      </c>
      <c r="O113" s="257" t="str">
        <f>IF('Council Own'!M97="A","A"," ")</f>
        <v xml:space="preserve"> </v>
      </c>
      <c r="Q113" s="247"/>
      <c r="R113" s="344" t="str">
        <f>'Council Own'!C145</f>
        <v>&lt;List Requirement Here&gt;</v>
      </c>
      <c r="S113" s="257" t="str">
        <f>IF('Council Own'!M145="A","A"," ")</f>
        <v xml:space="preserve"> </v>
      </c>
      <c r="U113" s="245"/>
      <c r="V113" s="245"/>
    </row>
    <row r="114" spans="9:22" x14ac:dyDescent="0.2">
      <c r="I114" s="247"/>
      <c r="J114" s="344" t="str">
        <f>'Council Own'!C50</f>
        <v>&lt;List Requirement Here&gt;</v>
      </c>
      <c r="K114" s="257" t="str">
        <f>IF('Council Own'!M50="A","A"," ")</f>
        <v xml:space="preserve"> </v>
      </c>
      <c r="M114" s="247"/>
      <c r="N114" s="344" t="str">
        <f>'Council Own'!C98</f>
        <v>&lt;List Requirement Here&gt;</v>
      </c>
      <c r="O114" s="257" t="str">
        <f>IF('Council Own'!M98="A","A"," ")</f>
        <v xml:space="preserve"> </v>
      </c>
      <c r="Q114" s="247"/>
      <c r="R114" s="344" t="str">
        <f>'Council Own'!C146</f>
        <v>&lt;List Requirement Here&gt;</v>
      </c>
      <c r="S114" s="257" t="str">
        <f>IF('Council Own'!M146="A","A","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row r="147" ht="12.75" customHeight="1" x14ac:dyDescent="0.2"/>
    <row r="148" ht="12.75" customHeight="1" x14ac:dyDescent="0.2"/>
    <row r="172" ht="12.75" customHeight="1" x14ac:dyDescent="0.2"/>
    <row r="173" ht="12.75" customHeight="1" x14ac:dyDescent="0.2"/>
  </sheetData>
  <sheetProtection password="9A15" sheet="1" objects="1" scenarios="1" selectLockedCells="1" selectUnlockedCells="1"/>
  <mergeCells count="113">
    <mergeCell ref="E102:F102"/>
    <mergeCell ref="E96:F96"/>
    <mergeCell ref="E97:F97"/>
    <mergeCell ref="A98:C98"/>
    <mergeCell ref="E98:F98"/>
    <mergeCell ref="A99:C99"/>
    <mergeCell ref="E99:F99"/>
    <mergeCell ref="A100:C100"/>
    <mergeCell ref="E100:F100"/>
    <mergeCell ref="A101:C101"/>
    <mergeCell ref="E101:F101"/>
    <mergeCell ref="E87:F87"/>
    <mergeCell ref="E88:F88"/>
    <mergeCell ref="E89:F89"/>
    <mergeCell ref="E90:F90"/>
    <mergeCell ref="E91:F91"/>
    <mergeCell ref="E92:F92"/>
    <mergeCell ref="E93:F93"/>
    <mergeCell ref="E94:F94"/>
    <mergeCell ref="E95:F95"/>
    <mergeCell ref="E78:F78"/>
    <mergeCell ref="E79:F79"/>
    <mergeCell ref="E80:F80"/>
    <mergeCell ref="E81:F81"/>
    <mergeCell ref="E82:F82"/>
    <mergeCell ref="E83:F83"/>
    <mergeCell ref="E84:F84"/>
    <mergeCell ref="E85:F85"/>
    <mergeCell ref="E86:F86"/>
    <mergeCell ref="A26:B26"/>
    <mergeCell ref="A28:C28"/>
    <mergeCell ref="Q28:R28"/>
    <mergeCell ref="B29:C29"/>
    <mergeCell ref="B30:C30"/>
    <mergeCell ref="B34:C34"/>
    <mergeCell ref="Q34:R34"/>
    <mergeCell ref="B35:C35"/>
    <mergeCell ref="B42:C42"/>
    <mergeCell ref="Q42:R42"/>
    <mergeCell ref="A8:B8"/>
    <mergeCell ref="A9:B9"/>
    <mergeCell ref="A11:B11"/>
    <mergeCell ref="A16:B16"/>
    <mergeCell ref="A18:B18"/>
    <mergeCell ref="A19:B19"/>
    <mergeCell ref="A20:B20"/>
    <mergeCell ref="A24:C24"/>
    <mergeCell ref="A25:B25"/>
    <mergeCell ref="Q1:S1"/>
    <mergeCell ref="E2:G2"/>
    <mergeCell ref="Q2:R2"/>
    <mergeCell ref="Q3:R3"/>
    <mergeCell ref="Q4:R4"/>
    <mergeCell ref="Q5:R5"/>
    <mergeCell ref="Q6:R6"/>
    <mergeCell ref="Q7:R7"/>
    <mergeCell ref="Q8:R8"/>
    <mergeCell ref="A3:B3"/>
    <mergeCell ref="A4:C4"/>
    <mergeCell ref="A5:B5"/>
    <mergeCell ref="A6:B6"/>
    <mergeCell ref="A7:B7"/>
    <mergeCell ref="A1:C1"/>
    <mergeCell ref="E1:G1"/>
    <mergeCell ref="I1:K1"/>
    <mergeCell ref="M1:O1"/>
    <mergeCell ref="Q9:R9"/>
    <mergeCell ref="A10:B10"/>
    <mergeCell ref="Q10:R10"/>
    <mergeCell ref="Q11:R11"/>
    <mergeCell ref="Q12:R12"/>
    <mergeCell ref="A13:C13"/>
    <mergeCell ref="Q13:R13"/>
    <mergeCell ref="Q14:R14"/>
    <mergeCell ref="Q15:R15"/>
    <mergeCell ref="A12:B12"/>
    <mergeCell ref="A14:B14"/>
    <mergeCell ref="A15:B15"/>
    <mergeCell ref="Q16:R16"/>
    <mergeCell ref="Q17:R17"/>
    <mergeCell ref="Q18:R18"/>
    <mergeCell ref="Q19:R19"/>
    <mergeCell ref="Q20:R20"/>
    <mergeCell ref="A21:C21"/>
    <mergeCell ref="Q21:R21"/>
    <mergeCell ref="A22:B22"/>
    <mergeCell ref="A23:B23"/>
    <mergeCell ref="E23:G23"/>
    <mergeCell ref="A17:B17"/>
    <mergeCell ref="E103:F103"/>
    <mergeCell ref="E104:F104"/>
    <mergeCell ref="E105:F105"/>
    <mergeCell ref="E106:F106"/>
    <mergeCell ref="B43:C43"/>
    <mergeCell ref="E45:G45"/>
    <mergeCell ref="A49:C49"/>
    <mergeCell ref="Q55:S55"/>
    <mergeCell ref="E72:G72"/>
    <mergeCell ref="I72:K72"/>
    <mergeCell ref="M72:O72"/>
    <mergeCell ref="Q72:S72"/>
    <mergeCell ref="E73:F73"/>
    <mergeCell ref="A72:C72"/>
    <mergeCell ref="A76:B76"/>
    <mergeCell ref="A77:B77"/>
    <mergeCell ref="A78:B78"/>
    <mergeCell ref="A73:B73"/>
    <mergeCell ref="A74:B74"/>
    <mergeCell ref="A75:B75"/>
    <mergeCell ref="E74:F74"/>
    <mergeCell ref="E75:F75"/>
    <mergeCell ref="E76:F76"/>
    <mergeCell ref="E77:F77"/>
  </mergeCells>
  <pageMargins left="0.75" right="0.75" top="0.4" bottom="0.2" header="0.2" footer="0.2"/>
  <pageSetup scale="64" fitToHeight="0" orientation="landscape" horizontalDpi="300" verticalDpi="300" r:id="rId1"/>
  <headerFooter alignWithMargins="0">
    <oddHeader>&amp;C&amp;"Arial,Bold"&amp;12CadetteTrax - &amp;10&amp;D</oddHeader>
  </headerFooter>
  <rowBreaks count="1" manualBreakCount="1">
    <brk id="69" max="18"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W121"/>
  <sheetViews>
    <sheetView workbookViewId="0">
      <selection activeCell="G7" sqref="G7"/>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3.25" x14ac:dyDescent="0.35">
      <c r="A1" s="512" t="str">
        <f ca="1">MID(CELL("filename",A1),FIND(IF(ISERROR(FIND("]",CELL("filename",A1))),"$","]"),CELL("filename",A1))+1,256)</f>
        <v>Ambassador 11</v>
      </c>
      <c r="B1" s="512"/>
      <c r="C1" s="512"/>
      <c r="D1" s="265"/>
      <c r="E1" s="506" t="s">
        <v>15</v>
      </c>
      <c r="F1" s="506"/>
      <c r="G1" s="506"/>
      <c r="I1" s="506" t="s">
        <v>15</v>
      </c>
      <c r="J1" s="506"/>
      <c r="K1" s="506"/>
      <c r="M1" s="506" t="s">
        <v>15</v>
      </c>
      <c r="N1" s="506"/>
      <c r="O1" s="506"/>
      <c r="Q1" s="506" t="s">
        <v>135</v>
      </c>
      <c r="R1" s="506"/>
      <c r="S1" s="506"/>
      <c r="T1" s="239"/>
      <c r="U1" s="239"/>
    </row>
    <row r="2" spans="1:21" s="245" customFormat="1" ht="13.5" thickBot="1" x14ac:dyDescent="0.25">
      <c r="A2" s="242"/>
      <c r="B2" s="243"/>
      <c r="C2" s="244" t="s">
        <v>16</v>
      </c>
      <c r="D2" s="243"/>
      <c r="E2" s="492" t="str">
        <f>Badges!B6</f>
        <v>Photography</v>
      </c>
      <c r="F2" s="492"/>
      <c r="G2" s="492"/>
      <c r="H2" s="241"/>
      <c r="I2" s="247">
        <v>3</v>
      </c>
      <c r="J2" s="248" t="str">
        <f>Badges!C61</f>
        <v>Dig into national or state public policy</v>
      </c>
      <c r="K2" s="249"/>
      <c r="L2" s="241"/>
      <c r="M2" s="247">
        <v>3</v>
      </c>
      <c r="N2" s="248" t="str">
        <f>Badges!C130</f>
        <v>Share sisterhood around the world</v>
      </c>
      <c r="O2" s="249"/>
      <c r="P2" s="241"/>
      <c r="Q2" s="493" t="str">
        <f>'Age-Level'!B5</f>
        <v>Gold Torch Award</v>
      </c>
      <c r="R2" s="494"/>
      <c r="S2" s="251" t="str">
        <f>IF('Age-Level'!N8="C","C",IF('Age-Level'!N8="P","P",""))</f>
        <v/>
      </c>
      <c r="T2" s="239"/>
      <c r="U2" s="239"/>
    </row>
    <row r="3" spans="1:21" x14ac:dyDescent="0.2">
      <c r="A3" s="510" t="s">
        <v>132</v>
      </c>
      <c r="B3" s="511"/>
      <c r="C3" s="246">
        <f>INT(COUNTIF(C5:C12,"C"))+INT(COUNTIF(C14:C26,"C"))</f>
        <v>0</v>
      </c>
      <c r="E3" s="247">
        <v>1</v>
      </c>
      <c r="F3" s="248" t="str">
        <f>Badges!C7</f>
        <v>Expore the power of photography</v>
      </c>
      <c r="G3" s="249"/>
      <c r="I3" s="247"/>
      <c r="J3" s="248" t="str">
        <f>Badges!C62</f>
        <v>Track your issue</v>
      </c>
      <c r="K3" s="250" t="str">
        <f>IF(Badges!N62="A","A"," ")</f>
        <v xml:space="preserve"> </v>
      </c>
      <c r="M3" s="247"/>
      <c r="N3" s="248" t="str">
        <f>Badges!C131</f>
        <v>Explore an issue affecting girls and</v>
      </c>
      <c r="O3" s="250" t="str">
        <f>IF(Badges!N131="A","A"," ")</f>
        <v xml:space="preserve"> </v>
      </c>
      <c r="Q3" s="471" t="str">
        <f>'Age-Level'!B9</f>
        <v>Ambassador Community Service bar</v>
      </c>
      <c r="R3" s="472"/>
      <c r="S3" s="251" t="str">
        <f>IF('Age-Level'!N9="C","C",IF('Age-Level'!N9="P","P",""))</f>
        <v/>
      </c>
      <c r="T3" s="239"/>
      <c r="U3" s="239"/>
    </row>
    <row r="4" spans="1:21" x14ac:dyDescent="0.2">
      <c r="A4" s="500" t="str">
        <f>Summary!A3</f>
        <v>Legacy</v>
      </c>
      <c r="B4" s="500"/>
      <c r="C4" s="500"/>
      <c r="E4" s="247"/>
      <c r="F4" s="248" t="str">
        <f>Badges!C8</f>
        <v>Go to a photography exhibit</v>
      </c>
      <c r="G4" s="250" t="str">
        <f>IF(Badges!N8="A","A"," ")</f>
        <v xml:space="preserve"> </v>
      </c>
      <c r="I4" s="247"/>
      <c r="J4" s="248" t="str">
        <f>Badges!C63</f>
        <v>Talk to an interest gorup that promotes</v>
      </c>
      <c r="K4" s="250" t="str">
        <f>IF(Badges!N63="A","A"," ")</f>
        <v xml:space="preserve"> </v>
      </c>
      <c r="M4" s="247"/>
      <c r="N4" s="248" t="str">
        <f>Badges!C132</f>
        <v>Organize an event on women and STEM</v>
      </c>
      <c r="O4" s="250" t="str">
        <f>IF(Badges!N132="A","A"," ")</f>
        <v xml:space="preserve"> </v>
      </c>
      <c r="Q4" s="471" t="str">
        <f>'Age-Level'!B12</f>
        <v>Ambassador Service to Girl Scouting bar</v>
      </c>
      <c r="R4" s="472"/>
      <c r="S4" s="251" t="str">
        <f>IF('Age-Level'!N10="C","C",IF('Age-Level'!N10="P","P",""))</f>
        <v/>
      </c>
      <c r="T4" s="239"/>
      <c r="U4" s="239"/>
    </row>
    <row r="5" spans="1:21" x14ac:dyDescent="0.2">
      <c r="A5" s="501" t="str">
        <f>Summary!A4</f>
        <v>Photography</v>
      </c>
      <c r="B5" s="502"/>
      <c r="C5" s="252" t="str">
        <f>IF(Badges!N28="C","C",IF(Badges!N28="P","P",""))</f>
        <v/>
      </c>
      <c r="E5" s="247"/>
      <c r="F5" s="248" t="str">
        <f>Badges!C9</f>
        <v>Create a photography timeline.</v>
      </c>
      <c r="G5" s="250" t="str">
        <f>IF(Badges!N9="A","A"," ")</f>
        <v xml:space="preserve"> </v>
      </c>
      <c r="I5" s="247"/>
      <c r="J5" s="248" t="str">
        <f>Badges!C64</f>
        <v>Compare three different states' positions</v>
      </c>
      <c r="K5" s="250" t="str">
        <f>IF(Badges!N64="A","A"," ")</f>
        <v xml:space="preserve"> </v>
      </c>
      <c r="M5" s="247"/>
      <c r="N5" s="248" t="str">
        <f>Badges!C133</f>
        <v>Interview a global citizen</v>
      </c>
      <c r="O5" s="250" t="str">
        <f>IF(Badges!N133="A","A"," ")</f>
        <v xml:space="preserve"> </v>
      </c>
      <c r="Q5" s="471" t="str">
        <f>'Age-Level'!B15</f>
        <v>Ambassador Volunteer in Training</v>
      </c>
      <c r="R5" s="472"/>
      <c r="S5" s="251" t="str">
        <f>IF('Age-Level'!N19="C","C",IF('Age-Level'!N19="P","P",""))</f>
        <v/>
      </c>
      <c r="T5" s="239"/>
      <c r="U5" s="239"/>
    </row>
    <row r="6" spans="1:21" x14ac:dyDescent="0.2">
      <c r="A6" s="490" t="str">
        <f>Summary!A5</f>
        <v>Coaching</v>
      </c>
      <c r="B6" s="491"/>
      <c r="C6" s="252" t="str">
        <f>IF(Badges!N51="C","C",IF(Badges!N51="P","P",""))</f>
        <v/>
      </c>
      <c r="E6" s="247"/>
      <c r="F6" s="248" t="str">
        <f>Badges!C10</f>
        <v>Make sticky-note comics</v>
      </c>
      <c r="G6" s="250" t="str">
        <f>IF(Badges!N10="A","A"," ")</f>
        <v xml:space="preserve"> </v>
      </c>
      <c r="I6" s="247">
        <v>4</v>
      </c>
      <c r="J6" s="248" t="str">
        <f>Badges!C65</f>
        <v>Explore local or community policy</v>
      </c>
      <c r="K6" s="249"/>
      <c r="M6" s="247">
        <v>4</v>
      </c>
      <c r="N6" s="248" t="str">
        <f>Badges!C134</f>
        <v>Leave your wolrd better than you found it</v>
      </c>
      <c r="O6" s="249"/>
      <c r="Q6" s="471" t="str">
        <f>'Age-Level'!B20</f>
        <v>Journey Summit Pin</v>
      </c>
      <c r="R6" s="472"/>
      <c r="S6" s="251" t="str">
        <f>IF('Age-Level'!N21="C","C",IF('Age-Level'!N21="P","P",""))</f>
        <v/>
      </c>
      <c r="T6" s="239"/>
      <c r="U6" s="239"/>
    </row>
    <row r="7" spans="1:21" x14ac:dyDescent="0.2">
      <c r="A7" s="490" t="str">
        <f>Summary!A6</f>
        <v>Public Policy</v>
      </c>
      <c r="B7" s="491"/>
      <c r="C7" s="252" t="str">
        <f>IF(Badges!N74="C","C",IF(Badges!N74="P","P",""))</f>
        <v/>
      </c>
      <c r="E7" s="247">
        <v>2</v>
      </c>
      <c r="F7" s="248" t="str">
        <f>Badges!C11</f>
        <v>Focus on composition</v>
      </c>
      <c r="G7" s="249"/>
      <c r="I7" s="247"/>
      <c r="J7" s="248" t="str">
        <f>Badges!C66</f>
        <v>Attend a meeting</v>
      </c>
      <c r="K7" s="250" t="str">
        <f>IF(Badges!N66="A","A"," ")</f>
        <v xml:space="preserve"> </v>
      </c>
      <c r="M7" s="247"/>
      <c r="N7" s="248" t="str">
        <f>Badges!C135</f>
        <v xml:space="preserve">Find ideas to use your leaderhship </v>
      </c>
      <c r="O7" s="250" t="str">
        <f>IF(Badges!N135="A","A"," ")</f>
        <v xml:space="preserve"> </v>
      </c>
      <c r="Q7" s="471" t="str">
        <f>'Age-Level'!C23</f>
        <v>Cookie Rally (Year 1)</v>
      </c>
      <c r="R7" s="472"/>
      <c r="S7" s="257" t="str">
        <f>IF('Age-Level'!N23="A","A"," ")</f>
        <v xml:space="preserve"> </v>
      </c>
    </row>
    <row r="8" spans="1:21" x14ac:dyDescent="0.2">
      <c r="A8" s="490" t="str">
        <f>Summary!A7</f>
        <v>Dinner Party</v>
      </c>
      <c r="B8" s="491"/>
      <c r="C8" s="252" t="str">
        <f>IF(Badges!N97="C","C",IF(Badges!N97="P","P",""))</f>
        <v/>
      </c>
      <c r="E8" s="247"/>
      <c r="F8" s="248" t="str">
        <f>Badges!C12</f>
        <v>Capture a day in the life</v>
      </c>
      <c r="G8" s="250" t="str">
        <f>IF(Badges!N12="A","A"," ")</f>
        <v xml:space="preserve"> </v>
      </c>
      <c r="I8" s="247"/>
      <c r="J8" s="248" t="str">
        <f>Badges!C67</f>
        <v>Compare different local positions</v>
      </c>
      <c r="K8" s="250" t="str">
        <f>IF(Badges!N67="A","A"," ")</f>
        <v xml:space="preserve"> </v>
      </c>
      <c r="M8" s="247"/>
      <c r="N8" s="248" t="str">
        <f>Badges!C136</f>
        <v>Gather ideas to work for a healthy</v>
      </c>
      <c r="O8" s="250" t="str">
        <f>IF(Badges!N136="A","A"," ")</f>
        <v xml:space="preserve"> </v>
      </c>
      <c r="Q8" s="471" t="str">
        <f>'Age-Level'!C24</f>
        <v>Cookie Sales (Year 1)</v>
      </c>
      <c r="R8" s="472"/>
      <c r="S8" s="257" t="str">
        <f>IF('Age-Level'!N24="A","A"," ")</f>
        <v xml:space="preserve"> </v>
      </c>
    </row>
    <row r="9" spans="1:21" x14ac:dyDescent="0.2">
      <c r="A9" s="490" t="str">
        <f>Summary!A8</f>
        <v>Ambassador First Aid</v>
      </c>
      <c r="B9" s="491"/>
      <c r="C9" s="252" t="str">
        <f>IF(Badges!N120="C","C",IF(Badges!N120="P","P",""))</f>
        <v/>
      </c>
      <c r="E9" s="247"/>
      <c r="F9" s="248" t="str">
        <f>Badges!C13</f>
        <v>Photograph weather patterns</v>
      </c>
      <c r="G9" s="250" t="str">
        <f>IF(Badges!N13="A","A"," ")</f>
        <v xml:space="preserve"> </v>
      </c>
      <c r="I9" s="247"/>
      <c r="J9" s="248" t="str">
        <f>Badges!C68</f>
        <v>Visit your local legislator's office</v>
      </c>
      <c r="K9" s="250" t="str">
        <f>IF(Badges!N68="A","A"," ")</f>
        <v xml:space="preserve"> </v>
      </c>
      <c r="M9" s="247"/>
      <c r="N9" s="248" t="str">
        <f>Badges!C137</f>
        <v>Brainstorm idea for social change</v>
      </c>
      <c r="O9" s="250" t="str">
        <f>IF(Badges!N137="A","A"," ")</f>
        <v xml:space="preserve"> </v>
      </c>
      <c r="Q9" s="471" t="str">
        <f>'Age-Level'!C25</f>
        <v>Cookie Pin (Year 1)</v>
      </c>
      <c r="R9" s="472"/>
      <c r="S9" s="257" t="str">
        <f>IF('Age-Level'!N25="A","A"," ")</f>
        <v xml:space="preserve"> </v>
      </c>
    </row>
    <row r="10" spans="1:21" x14ac:dyDescent="0.2">
      <c r="A10" s="490" t="str">
        <f>Summary!A9</f>
        <v>Ambassador Girl Scout Way</v>
      </c>
      <c r="B10" s="491"/>
      <c r="C10" s="253" t="str">
        <f>IF(Badges!N143="C","C",IF(Badges!N143="P","P",""))</f>
        <v/>
      </c>
      <c r="E10" s="247"/>
      <c r="F10" s="248" t="str">
        <f>Badges!C14</f>
        <v>Take 5 photos form a different</v>
      </c>
      <c r="G10" s="250" t="str">
        <f>IF(Badges!N14="A","A"," ")</f>
        <v xml:space="preserve"> </v>
      </c>
      <c r="I10" s="247">
        <v>5</v>
      </c>
      <c r="J10" s="248" t="str">
        <f>Badges!C69</f>
        <v>See public policy creation in action</v>
      </c>
      <c r="K10" s="249"/>
      <c r="M10" s="247">
        <v>5</v>
      </c>
      <c r="N10" s="248" t="str">
        <f>Badges!C138</f>
        <v>Enjoy Girl Scout traditions!</v>
      </c>
      <c r="O10" s="249"/>
      <c r="Q10" s="471" t="str">
        <f>'Age-Level'!C26</f>
        <v>Cookie Rally (Year 2)</v>
      </c>
      <c r="R10" s="472"/>
      <c r="S10" s="257" t="str">
        <f>IF('Age-Level'!N26="A","A"," ")</f>
        <v xml:space="preserve"> </v>
      </c>
    </row>
    <row r="11" spans="1:21" x14ac:dyDescent="0.2">
      <c r="A11" s="509" t="str">
        <f>Summary!A10</f>
        <v>Water</v>
      </c>
      <c r="B11" s="491"/>
      <c r="C11" s="252" t="str">
        <f>IF(Badges!N166="C","C",IF(Badges!N166="P","P",""))</f>
        <v/>
      </c>
      <c r="E11" s="247">
        <v>3</v>
      </c>
      <c r="F11" s="248" t="str">
        <f>Badges!C15</f>
        <v>Focus on light</v>
      </c>
      <c r="G11" s="249"/>
      <c r="I11" s="247"/>
      <c r="J11" s="248" t="str">
        <f>Badges!C70</f>
        <v>Shadow a policy-maker</v>
      </c>
      <c r="K11" s="250" t="str">
        <f>IF(Badges!N70="A","A"," ")</f>
        <v xml:space="preserve"> </v>
      </c>
      <c r="M11" s="247"/>
      <c r="N11" s="248" t="str">
        <f>Badges!C139</f>
        <v>Pass down a tradition</v>
      </c>
      <c r="O11" s="250" t="str">
        <f>IF(Badges!N139="A","A"," ")</f>
        <v xml:space="preserve"> </v>
      </c>
      <c r="Q11" s="471" t="str">
        <f>'Age-Level'!C27</f>
        <v>Cookie Sales (Year 2)</v>
      </c>
      <c r="R11" s="472"/>
      <c r="S11" s="257" t="str">
        <f>IF('Age-Level'!N27="A","A"," ")</f>
        <v xml:space="preserve"> </v>
      </c>
    </row>
    <row r="12" spans="1:21" x14ac:dyDescent="0.2">
      <c r="A12" s="507"/>
      <c r="B12" s="507"/>
      <c r="C12" s="336"/>
      <c r="E12" s="247"/>
      <c r="F12" s="248" t="str">
        <f>Badges!C16</f>
        <v>Invite friends to a shoot day</v>
      </c>
      <c r="G12" s="250" t="str">
        <f>IF(Badges!N16="A","A"," ")</f>
        <v xml:space="preserve"> </v>
      </c>
      <c r="I12" s="247"/>
      <c r="J12" s="248" t="str">
        <f>Badges!C71</f>
        <v>Volunteer at an office</v>
      </c>
      <c r="K12" s="250" t="str">
        <f>IF(Badges!N71="A","A"," ")</f>
        <v xml:space="preserve"> </v>
      </c>
      <c r="M12" s="247"/>
      <c r="N12" s="248" t="str">
        <f>Badges!C140</f>
        <v>Start a Girl Scout tradition of your own</v>
      </c>
      <c r="O12" s="250" t="str">
        <f>IF(Badges!N140="A","A"," ")</f>
        <v xml:space="preserve"> </v>
      </c>
      <c r="Q12" s="471" t="str">
        <f>'Age-Level'!C28</f>
        <v>Cookie Pin (Year 2)</v>
      </c>
      <c r="R12" s="472"/>
      <c r="S12" s="257" t="str">
        <f>IF('Age-Level'!N28="A","A"," ")</f>
        <v xml:space="preserve"> </v>
      </c>
    </row>
    <row r="13" spans="1:21" x14ac:dyDescent="0.2">
      <c r="A13" s="500" t="str">
        <f>Summary!A3</f>
        <v>Legacy</v>
      </c>
      <c r="B13" s="500"/>
      <c r="C13" s="500"/>
      <c r="E13" s="247"/>
      <c r="F13" s="248" t="str">
        <f>Badges!C17</f>
        <v>Capture the same person or object</v>
      </c>
      <c r="G13" s="250" t="str">
        <f>IF(Badges!N17="A","A"," ")</f>
        <v xml:space="preserve"> </v>
      </c>
      <c r="I13" s="247"/>
      <c r="J13" s="248" t="str">
        <f>Badges!C72</f>
        <v>Interview a policy-maker</v>
      </c>
      <c r="K13" s="250" t="str">
        <f>IF(Badges!N72="A","A"," ")</f>
        <v xml:space="preserve"> </v>
      </c>
      <c r="M13" s="247"/>
      <c r="N13" s="248" t="str">
        <f>Badges!C141</f>
        <v>Share the Girl Scout way by example</v>
      </c>
      <c r="O13" s="250" t="str">
        <f>IF(Badges!N141="A","A"," ")</f>
        <v xml:space="preserve"> </v>
      </c>
      <c r="Q13" s="471" t="str">
        <f>'Age-Level'!C30</f>
        <v>Fall Sales (Year 1)</v>
      </c>
      <c r="R13" s="472"/>
      <c r="S13" s="252" t="str">
        <f>IF('Age-Level'!N30="A","A","")</f>
        <v/>
      </c>
    </row>
    <row r="14" spans="1:21" x14ac:dyDescent="0.2">
      <c r="A14" s="501" t="str">
        <f>Summary!A4</f>
        <v>Photography</v>
      </c>
      <c r="B14" s="502"/>
      <c r="C14" s="251" t="str">
        <f>IF(Badges!N28="C","C",IF(Badges!N28="P","P",""))</f>
        <v/>
      </c>
      <c r="E14" s="247"/>
      <c r="F14" s="248" t="str">
        <f>Badges!C18</f>
        <v>Grow your image</v>
      </c>
      <c r="G14" s="250" t="str">
        <f>IF(Badges!N18="A","A"," ")</f>
        <v xml:space="preserve"> </v>
      </c>
      <c r="I14" s="339" t="str">
        <f>Badges!B75</f>
        <v>Dinner Party</v>
      </c>
      <c r="J14" s="340"/>
      <c r="K14" s="340"/>
      <c r="M14" s="339" t="str">
        <f>Badges!B144</f>
        <v>Water</v>
      </c>
      <c r="N14" s="340"/>
      <c r="O14" s="340"/>
      <c r="Q14" s="471" t="str">
        <f>'Age-Level'!C31</f>
        <v>Fall Sales (Year 2)</v>
      </c>
      <c r="R14" s="472"/>
      <c r="S14" s="252" t="str">
        <f>IF('Age-Level'!N31="A","A","")</f>
        <v/>
      </c>
    </row>
    <row r="15" spans="1:21" x14ac:dyDescent="0.2">
      <c r="A15" s="490" t="str">
        <f>Summary!A5</f>
        <v>Coaching</v>
      </c>
      <c r="B15" s="491"/>
      <c r="C15" s="252" t="str">
        <f>IF(Badges!N51="C","C",IF(Badges!N51="P","P",""))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471" t="str">
        <f>'Age-Level'!C33</f>
        <v>Thinking Day (Year 1)</v>
      </c>
      <c r="R15" s="472"/>
      <c r="S15" s="252" t="str">
        <f>IF('Age-Level'!N33="A","A","")</f>
        <v/>
      </c>
    </row>
    <row r="16" spans="1:21" x14ac:dyDescent="0.2">
      <c r="A16" s="490" t="str">
        <f>Summary!A6</f>
        <v>Public Policy</v>
      </c>
      <c r="B16" s="491"/>
      <c r="C16" s="252" t="str">
        <f>IF(Badges!N74="C","C",IF(Badges!N74="P","P",""))</f>
        <v/>
      </c>
      <c r="E16" s="247"/>
      <c r="F16" s="248" t="str">
        <f>Badges!C20</f>
        <v xml:space="preserve">Take photos of a group </v>
      </c>
      <c r="G16" s="250" t="str">
        <f>IF(Badges!N20="A","A"," ")</f>
        <v xml:space="preserve"> </v>
      </c>
      <c r="I16" s="247"/>
      <c r="J16" s="248" t="str">
        <f>Badges!C77</f>
        <v>Interview a caterer, event planner, chef</v>
      </c>
      <c r="K16" s="250" t="str">
        <f>IF(Badges!N77="A","A"," ")</f>
        <v xml:space="preserve"> </v>
      </c>
      <c r="M16" s="247"/>
      <c r="N16" s="248" t="str">
        <f>Badges!C146</f>
        <v>Visit water in its natural state</v>
      </c>
      <c r="O16" s="250" t="str">
        <f>IF(Badges!N146="A","A"," ")</f>
        <v xml:space="preserve"> </v>
      </c>
      <c r="Q16" s="471" t="str">
        <f>'Age-Level'!C34</f>
        <v>Thinking Day (Year 2)</v>
      </c>
      <c r="R16" s="472"/>
      <c r="S16" s="252" t="str">
        <f>IF('Age-Level'!N34="A","A","")</f>
        <v/>
      </c>
    </row>
    <row r="17" spans="1:19" x14ac:dyDescent="0.2">
      <c r="A17" s="490" t="str">
        <f>Summary!A7</f>
        <v>Dinner Party</v>
      </c>
      <c r="B17" s="491"/>
      <c r="C17" s="252" t="str">
        <f>IF(Badges!N97="C","C",IF(Badges!N97="P","P",""))</f>
        <v/>
      </c>
      <c r="E17" s="247"/>
      <c r="F17" s="248" t="str">
        <f>Badges!C21</f>
        <v>Take photos of faces in motion</v>
      </c>
      <c r="G17" s="250" t="str">
        <f>IF(Badges!N21="A","A"," ")</f>
        <v xml:space="preserve"> </v>
      </c>
      <c r="I17" s="247"/>
      <c r="J17" s="248" t="str">
        <f>Badges!C78</f>
        <v>Collect recipes from cooking shows</v>
      </c>
      <c r="K17" s="250" t="str">
        <f>IF(Badges!N78="A","A"," ")</f>
        <v xml:space="preserve"> </v>
      </c>
      <c r="M17" s="247"/>
      <c r="N17" s="248" t="str">
        <f>Badges!C147</f>
        <v>Try a new water skill</v>
      </c>
      <c r="O17" s="250" t="str">
        <f>IF(Badges!N147="A","A"," ")</f>
        <v xml:space="preserve"> </v>
      </c>
      <c r="Q17" s="471" t="str">
        <f>'Age-Level'!C36</f>
        <v>Global Action Award</v>
      </c>
      <c r="R17" s="472"/>
      <c r="S17" s="252" t="str">
        <f>IF('Age-Level'!N36="A","A","")</f>
        <v/>
      </c>
    </row>
    <row r="18" spans="1:19" x14ac:dyDescent="0.2">
      <c r="A18" s="490" t="str">
        <f>Summary!A8</f>
        <v>Ambassador First Aid</v>
      </c>
      <c r="B18" s="491"/>
      <c r="C18" s="252" t="str">
        <f>IF(Badges!N120="C","C",IF(Badges!N120="P","P",""))</f>
        <v/>
      </c>
      <c r="E18" s="247"/>
      <c r="F18" s="248" t="str">
        <f>Badges!C22</f>
        <v>Take photos of objects in motion</v>
      </c>
      <c r="G18" s="250" t="str">
        <f>IF(Badges!N22="A","A"," ")</f>
        <v xml:space="preserve"> </v>
      </c>
      <c r="I18" s="247"/>
      <c r="J18" s="248" t="str">
        <f>Badges!C79</f>
        <v>Build a men around your favorite</v>
      </c>
      <c r="K18" s="250" t="str">
        <f>IF(Badges!N79="A","A"," ")</f>
        <v xml:space="preserve"> </v>
      </c>
      <c r="M18" s="247"/>
      <c r="N18" s="248" t="str">
        <f>Badges!C148</f>
        <v>Enjoy a water activity you already know</v>
      </c>
      <c r="O18" s="250" t="str">
        <f>IF(Badges!N148="A","A"," ")</f>
        <v xml:space="preserve"> </v>
      </c>
      <c r="Q18" s="471" t="str">
        <f>'Age-Level'!C38</f>
        <v>International Friendship Recognition</v>
      </c>
      <c r="R18" s="472"/>
      <c r="S18" s="252" t="str">
        <f>IF('Age-Level'!N38="A","A","")</f>
        <v/>
      </c>
    </row>
    <row r="19" spans="1:19" x14ac:dyDescent="0.2">
      <c r="A19" s="490" t="str">
        <f>Summary!A9</f>
        <v>Ambassador Girl Scout Way</v>
      </c>
      <c r="B19" s="491"/>
      <c r="C19" s="252" t="str">
        <f>IF(Badges!N143="C","C",IF(Badges!N143="P","P",""))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471" t="str">
        <f>'Age-Level'!C40</f>
        <v>Investiture</v>
      </c>
      <c r="R19" s="472"/>
      <c r="S19" s="252" t="str">
        <f>IF('Age-Level'!N40="A","A","")</f>
        <v/>
      </c>
    </row>
    <row r="20" spans="1:19" x14ac:dyDescent="0.2">
      <c r="A20" s="507" t="str">
        <f>Summary!A10</f>
        <v>Water</v>
      </c>
      <c r="B20" s="508"/>
      <c r="C20" s="253" t="str">
        <f>IF(Badges!N166="C","C",IF(Badges!N166="P","P",""))</f>
        <v/>
      </c>
      <c r="E20" s="247"/>
      <c r="F20" s="248" t="str">
        <f>Badges!C24</f>
        <v>Stage a photo exhibit</v>
      </c>
      <c r="G20" s="250" t="str">
        <f>IF(Badges!N24="A","A"," ")</f>
        <v xml:space="preserve"> </v>
      </c>
      <c r="I20" s="247"/>
      <c r="J20" s="248" t="str">
        <f>Badges!C81</f>
        <v>Camparison shop</v>
      </c>
      <c r="K20" s="250" t="str">
        <f>IF(Badges!N81="A","A"," ")</f>
        <v xml:space="preserve"> </v>
      </c>
      <c r="M20" s="247"/>
      <c r="N20" s="248" t="str">
        <f>Badges!C150</f>
        <v>Delve into water literature</v>
      </c>
      <c r="O20" s="250" t="str">
        <f>IF(Badges!N150="A","A"," ")</f>
        <v xml:space="preserve"> </v>
      </c>
      <c r="Q20" s="471" t="str">
        <f>'Age-Level'!C41</f>
        <v>Rededication (1st year)</v>
      </c>
      <c r="R20" s="472"/>
      <c r="S20" s="262" t="str">
        <f>IF('Age-Level'!N41="C","C","")</f>
        <v/>
      </c>
    </row>
    <row r="21" spans="1:19" x14ac:dyDescent="0.2">
      <c r="A21" s="500" t="str">
        <f>Summary!A11</f>
        <v>Financial Literacy</v>
      </c>
      <c r="B21" s="500"/>
      <c r="C21" s="500"/>
      <c r="E21" s="247"/>
      <c r="F21" s="248" t="str">
        <f>Badges!C25</f>
        <v>Make a digital slide show</v>
      </c>
      <c r="G21" s="250" t="str">
        <f>IF(Badges!N25="A","A"," ")</f>
        <v xml:space="preserve"> </v>
      </c>
      <c r="I21" s="247"/>
      <c r="J21" s="248" t="str">
        <f>Badges!C82</f>
        <v>Consult with a professional chef</v>
      </c>
      <c r="K21" s="250" t="str">
        <f>IF(Badges!N82="A","A"," ")</f>
        <v xml:space="preserve"> </v>
      </c>
      <c r="M21" s="247"/>
      <c r="N21" s="248" t="str">
        <f>Badges!C151</f>
        <v xml:space="preserve">Enjoy an exhibit or event that features </v>
      </c>
      <c r="O21" s="250" t="str">
        <f>IF(Badges!N151="A","A"," ")</f>
        <v xml:space="preserve"> </v>
      </c>
      <c r="Q21" s="471" t="str">
        <f>'Age-Level'!C42</f>
        <v>Rededication (2nd year)</v>
      </c>
      <c r="R21" s="472"/>
      <c r="S21" s="262" t="str">
        <f>IF('Age-Level'!N42="C","C","")</f>
        <v/>
      </c>
    </row>
    <row r="22" spans="1:19" x14ac:dyDescent="0.2">
      <c r="A22" s="501" t="str">
        <f>Summary!A12</f>
        <v>On My Own</v>
      </c>
      <c r="B22" s="502"/>
      <c r="C22" s="251" t="str">
        <f>IF(Badges!N190="C","C",IF(Badges!N190="P","P",""))</f>
        <v/>
      </c>
      <c r="E22" s="247"/>
      <c r="F22" s="248" t="str">
        <f>Badges!C26</f>
        <v>Create a photo album or scrapbook</v>
      </c>
      <c r="G22" s="250" t="str">
        <f>IF(Badges!N26="A","A"," ")</f>
        <v xml:space="preserve"> </v>
      </c>
      <c r="I22" s="247"/>
      <c r="J22" s="248" t="str">
        <f>Badges!C83</f>
        <v>Learn about alternative ways to shop</v>
      </c>
      <c r="K22" s="250" t="str">
        <f>IF(Badges!N83="A","A"," ")</f>
        <v xml:space="preserve"> </v>
      </c>
      <c r="M22" s="247"/>
      <c r="N22" s="248" t="str">
        <f>Badges!C152</f>
        <v>Create your own water composition</v>
      </c>
      <c r="O22" s="250" t="str">
        <f>IF(Badges!N152="A","A"," ")</f>
        <v xml:space="preserve"> </v>
      </c>
      <c r="Q22" s="342" t="str">
        <f>'Age-Level'!B43</f>
        <v>My Promise, My Faith (Year 1)</v>
      </c>
      <c r="R22" s="343"/>
      <c r="S22" s="262"/>
    </row>
    <row r="23" spans="1:19" x14ac:dyDescent="0.2">
      <c r="A23" s="490" t="str">
        <f>Summary!A13</f>
        <v>Good Credit</v>
      </c>
      <c r="B23" s="491"/>
      <c r="C23" s="251" t="str">
        <f>IF(Badges!N213="C","C",IF(Badges!N213="P","P",""))</f>
        <v/>
      </c>
      <c r="E23" s="492" t="str">
        <f>Badges!B29</f>
        <v>Coaching</v>
      </c>
      <c r="F23" s="492"/>
      <c r="G23" s="492"/>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IF('Age-Level'!N44="A","A","")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IF(Badges!N85="A","A"," ")</f>
        <v xml:space="preserve"> </v>
      </c>
      <c r="M24" s="247"/>
      <c r="N24" s="248" t="str">
        <f>Badges!C154</f>
        <v>Visit a water facility and explore its</v>
      </c>
      <c r="O24" s="250" t="str">
        <f>IF(Badges!N154="A","A"," ")</f>
        <v xml:space="preserve"> </v>
      </c>
      <c r="Q24" s="267">
        <v>2</v>
      </c>
      <c r="R24" s="344" t="str">
        <f>'Age-Level'!C45</f>
        <v>Find a woman in your community</v>
      </c>
      <c r="S24" s="262" t="str">
        <f>IF('Age-Level'!N45="A","A","")</f>
        <v/>
      </c>
    </row>
    <row r="25" spans="1:19" x14ac:dyDescent="0.2">
      <c r="A25" s="490" t="str">
        <f>Summary!A15</f>
        <v>Research and Development</v>
      </c>
      <c r="B25" s="491"/>
      <c r="C25" s="252" t="str">
        <f>IF(Badges!N227="C","C",IF(Badges!N227="P","P",""))</f>
        <v/>
      </c>
      <c r="E25" s="247"/>
      <c r="F25" s="248" t="str">
        <f>Badges!C31</f>
        <v>Talk to a great coach</v>
      </c>
      <c r="G25" s="250" t="str">
        <f>IF(Badges!N31="A","A"," ")</f>
        <v xml:space="preserve"> </v>
      </c>
      <c r="I25" s="247"/>
      <c r="J25" s="248" t="str">
        <f>Badges!C86</f>
        <v>Make a menu timeline</v>
      </c>
      <c r="K25" s="250" t="str">
        <f>IF(Badges!N86="A","A"," ")</f>
        <v xml:space="preserve"> </v>
      </c>
      <c r="M25" s="247"/>
      <c r="N25" s="248" t="str">
        <f>Badges!C155</f>
        <v>Investigate endangered marine life</v>
      </c>
      <c r="O25" s="250" t="str">
        <f>IF(Badges!N155="A","A"," ")</f>
        <v xml:space="preserve"> </v>
      </c>
      <c r="Q25" s="267">
        <v>3</v>
      </c>
      <c r="R25" s="344" t="str">
        <f>'Age-Level'!C46</f>
        <v>Gather three inspirational quotes</v>
      </c>
      <c r="S25" s="262" t="str">
        <f>IF('Age-Level'!N46="A","A","")</f>
        <v/>
      </c>
    </row>
    <row r="26" spans="1:19" x14ac:dyDescent="0.2">
      <c r="A26" s="490" t="str">
        <f>Summary!A16</f>
        <v>P &amp; L</v>
      </c>
      <c r="B26" s="491"/>
      <c r="C26" s="252" t="str">
        <f>IF(Badges!N240="C","C",IF(Badges!N240="P","P",""))</f>
        <v/>
      </c>
      <c r="E26" s="247"/>
      <c r="F26" s="248" t="str">
        <f>Badges!C32</f>
        <v>Watch three sports documentaries</v>
      </c>
      <c r="G26" s="250" t="str">
        <f>IF(Badges!N32="A","A"," ")</f>
        <v xml:space="preserve"> </v>
      </c>
      <c r="I26" s="247"/>
      <c r="J26" s="248" t="str">
        <f>Badges!C87</f>
        <v>Prepare a test meal for family or friends</v>
      </c>
      <c r="K26" s="250" t="str">
        <f>IF(Badges!N87="A","A"," ")</f>
        <v xml:space="preserve"> </v>
      </c>
      <c r="M26" s="247"/>
      <c r="N26" s="248" t="str">
        <f>Badges!C156</f>
        <v>Investigate water as a hazard</v>
      </c>
      <c r="O26" s="250" t="str">
        <f>IF(Badges!N156="A","A"," ")</f>
        <v xml:space="preserve"> </v>
      </c>
      <c r="Q26" s="267">
        <v>4</v>
      </c>
      <c r="R26" s="344" t="str">
        <f>'Age-Level'!C47</f>
        <v>Make something to remind you</v>
      </c>
      <c r="S26" s="262" t="str">
        <f>IF('Age-Level'!N47="A","A","")</f>
        <v/>
      </c>
    </row>
    <row r="27" spans="1:19" x14ac:dyDescent="0.2">
      <c r="A27" s="346"/>
      <c r="B27" s="346"/>
      <c r="C27" s="266"/>
      <c r="E27" s="247"/>
      <c r="F27" s="248" t="str">
        <f>Badges!C33</f>
        <v>Attend a coaching clinic or seminar</v>
      </c>
      <c r="G27" s="250" t="str">
        <f>IF(Badges!N33="A","A","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IF('Age-Level'!N48="A","A","")</f>
        <v/>
      </c>
    </row>
    <row r="28" spans="1:19" x14ac:dyDescent="0.2">
      <c r="A28" s="484" t="s">
        <v>84</v>
      </c>
      <c r="B28" s="484"/>
      <c r="C28" s="484"/>
      <c r="E28" s="247">
        <v>2</v>
      </c>
      <c r="F28" s="248" t="str">
        <f>Badges!C34</f>
        <v>Conduct a first assessment</v>
      </c>
      <c r="G28" s="249"/>
      <c r="I28" s="247"/>
      <c r="J28" s="248" t="str">
        <f>Badges!C89</f>
        <v>Expreiment with garnishes</v>
      </c>
      <c r="K28" s="250" t="str">
        <f>IF(Badges!N89="A","A"," ")</f>
        <v xml:space="preserve"> </v>
      </c>
      <c r="M28" s="247"/>
      <c r="N28" s="248" t="str">
        <f>Badges!C158</f>
        <v>Interview a water scientist</v>
      </c>
      <c r="O28" s="250" t="str">
        <f>IF(Badges!N158="A","A","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IF(Badges!N35="A","A"," ")</f>
        <v xml:space="preserve"> </v>
      </c>
      <c r="I29" s="247"/>
      <c r="J29" s="248" t="str">
        <f>Badges!C90</f>
        <v>Present food in interesting shapes</v>
      </c>
      <c r="K29" s="250" t="str">
        <f>IF(Badges!N90="A","A"," ")</f>
        <v xml:space="preserve"> </v>
      </c>
      <c r="M29" s="247"/>
      <c r="N29" s="248" t="str">
        <f>Badges!C159</f>
        <v>Explore the world of hydroelectricity</v>
      </c>
      <c r="O29" s="250" t="str">
        <f>IF(Badges!N159="A","A"," ")</f>
        <v xml:space="preserve"> </v>
      </c>
      <c r="Q29" s="268">
        <v>1</v>
      </c>
      <c r="R29" s="344" t="str">
        <f>'Age-Level'!C51</f>
        <v>Choose one line from the Law</v>
      </c>
      <c r="S29" s="262" t="str">
        <f>IF('Age-Level'!N51="A","A","")</f>
        <v/>
      </c>
    </row>
    <row r="30" spans="1:19" x14ac:dyDescent="0.2">
      <c r="B30" s="477" t="str">
        <f>Journey!B7</f>
        <v>The Girl Scout Advocate Award</v>
      </c>
      <c r="C30" s="478"/>
      <c r="E30" s="247"/>
      <c r="F30" s="248" t="str">
        <f>Badges!C36</f>
        <v>Host an initial session</v>
      </c>
      <c r="G30" s="250" t="str">
        <f>IF(Badges!N36="A","A"," ")</f>
        <v xml:space="preserve"> </v>
      </c>
      <c r="I30" s="247"/>
      <c r="J30" s="248" t="str">
        <f>Badges!C91</f>
        <v>Use serving ware in unusual ways</v>
      </c>
      <c r="K30" s="250" t="str">
        <f>IF(Badges!N91="A","A"," ")</f>
        <v xml:space="preserve"> </v>
      </c>
      <c r="M30" s="247"/>
      <c r="N30" s="248" t="str">
        <f>Badges!C160</f>
        <v>Design your own water innovation</v>
      </c>
      <c r="O30" s="250" t="str">
        <f>IF(Badges!N160="A","A"," ")</f>
        <v xml:space="preserve"> </v>
      </c>
      <c r="Q30" s="267">
        <v>2</v>
      </c>
      <c r="R30" s="344" t="str">
        <f>'Age-Level'!C52</f>
        <v>Find a woman in your community</v>
      </c>
      <c r="S30" s="262" t="str">
        <f>IF('Age-Level'!N52="A","A","")</f>
        <v/>
      </c>
    </row>
    <row r="31" spans="1:19" x14ac:dyDescent="0.2">
      <c r="B31" s="256">
        <f>Journey!M8</f>
        <v>0</v>
      </c>
      <c r="C31" s="252" t="str">
        <f>IF(Journey!N8="C","C",IF(Journey!N8="P","P",""))</f>
        <v/>
      </c>
      <c r="E31" s="247"/>
      <c r="F31" s="248" t="str">
        <f>Badges!C37</f>
        <v>Prepare a goal chart together</v>
      </c>
      <c r="G31" s="250" t="str">
        <f>IF(Badges!N37="A","A","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IF('Age-Level'!N53="A","A","")</f>
        <v/>
      </c>
    </row>
    <row r="32" spans="1:19" x14ac:dyDescent="0.2">
      <c r="B32" s="256">
        <f>Journey!M9</f>
        <v>0</v>
      </c>
      <c r="C32" s="252" t="str">
        <f>IF(Journey!N9="C","C",IF(Journey!N9="P","P",""))</f>
        <v/>
      </c>
      <c r="E32" s="339" t="str">
        <f>Badges!B29</f>
        <v>Coaching</v>
      </c>
      <c r="F32" s="340"/>
      <c r="G32" s="340"/>
      <c r="I32" s="247"/>
      <c r="J32" s="248" t="str">
        <f>Badges!C93</f>
        <v>Decorate according to your menu theme</v>
      </c>
      <c r="K32" s="250" t="str">
        <f>IF(Badges!N93="A","A"," ")</f>
        <v xml:space="preserve"> </v>
      </c>
      <c r="M32" s="247"/>
      <c r="N32" s="248" t="str">
        <f>Badges!C162</f>
        <v>Celebrate water with younger Girl Scouts</v>
      </c>
      <c r="O32" s="250" t="str">
        <f>IF(Badges!N162="A","A"," ")</f>
        <v xml:space="preserve"> </v>
      </c>
      <c r="Q32" s="267">
        <v>4</v>
      </c>
      <c r="R32" s="344" t="str">
        <f>'Age-Level'!C54</f>
        <v>Make something to remind you</v>
      </c>
      <c r="S32" s="262" t="str">
        <f>IF('Age-Level'!N54="A","A","")</f>
        <v/>
      </c>
    </row>
    <row r="33" spans="1:19" x14ac:dyDescent="0.2">
      <c r="B33" s="256">
        <f>Journey!M10</f>
        <v>0</v>
      </c>
      <c r="C33" s="252" t="str">
        <f>IF(Journey!N10="C","C",IF(Journey!N10="P","P",""))</f>
        <v/>
      </c>
      <c r="E33" s="247">
        <v>3</v>
      </c>
      <c r="F33" s="248" t="str">
        <f>Badges!C38</f>
        <v>Design your coaching plan</v>
      </c>
      <c r="G33" s="249"/>
      <c r="I33" s="247"/>
      <c r="J33" s="248" t="str">
        <f>Badges!C94</f>
        <v>Celebrate a special occasion</v>
      </c>
      <c r="K33" s="250" t="str">
        <f>IF(Badges!N94="A","A"," ")</f>
        <v xml:space="preserve"> </v>
      </c>
      <c r="M33" s="247"/>
      <c r="N33" s="248" t="str">
        <f>Badges!C163</f>
        <v>Share a water issue that matters to you</v>
      </c>
      <c r="O33" s="250" t="str">
        <f>IF(Badges!N163="A","A"," ")</f>
        <v xml:space="preserve"> </v>
      </c>
      <c r="Q33" s="267">
        <v>5</v>
      </c>
      <c r="R33" s="344" t="str">
        <f>'Age-Level'!C55</f>
        <v xml:space="preserve">Make a commitment to live what </v>
      </c>
      <c r="S33" s="364" t="str">
        <f>IF('Age-Level'!N55="A","A","")</f>
        <v/>
      </c>
    </row>
    <row r="34" spans="1:19" x14ac:dyDescent="0.2">
      <c r="A34" s="284"/>
      <c r="B34" s="473" t="str">
        <f>Journey!A14</f>
        <v>JUSTICE</v>
      </c>
      <c r="C34" s="474"/>
      <c r="E34" s="247"/>
      <c r="F34" s="248" t="str">
        <f>Badges!C39</f>
        <v xml:space="preserve">Design a special warm-up </v>
      </c>
      <c r="G34" s="250" t="str">
        <f>IF(Badges!N39="A","A"," ")</f>
        <v xml:space="preserve"> </v>
      </c>
      <c r="I34" s="247"/>
      <c r="J34" s="248" t="str">
        <f>Badges!C95</f>
        <v>Use food and fun to forge new friendships</v>
      </c>
      <c r="K34" s="250" t="str">
        <f>IF(Badges!N95="A","A"," ")</f>
        <v xml:space="preserve"> </v>
      </c>
      <c r="M34" s="247"/>
      <c r="N34" s="248" t="str">
        <f>Badges!C164</f>
        <v>Guide a group to a water place</v>
      </c>
      <c r="O34" s="250" t="str">
        <f>IF(Badges!N164="A","A"," ")</f>
        <v xml:space="preserve"> </v>
      </c>
      <c r="Q34" s="471" t="str">
        <f>'Age-Level'!B57</f>
        <v>Safety Award</v>
      </c>
      <c r="R34" s="472"/>
      <c r="S34" s="364"/>
    </row>
    <row r="35" spans="1:19" x14ac:dyDescent="0.2">
      <c r="A35" s="284"/>
      <c r="B35" s="479" t="str">
        <f>Journey!B15</f>
        <v>Sage Award</v>
      </c>
      <c r="C35" s="480"/>
      <c r="E35" s="247"/>
      <c r="F35" s="248" t="str">
        <f>Badges!C40</f>
        <v>Research and choose</v>
      </c>
      <c r="G35" s="250" t="str">
        <f>IF(Badges!N40="A","A","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IF('Age-Level'!N58="A","A","")</f>
        <v/>
      </c>
    </row>
    <row r="36" spans="1:19" x14ac:dyDescent="0.2">
      <c r="A36" s="284"/>
      <c r="B36" s="256">
        <f>Journey!M16</f>
        <v>0</v>
      </c>
      <c r="C36" s="252" t="str">
        <f>IF(Journey!N16="C","C",IF(Journey!N16="P","P",""))</f>
        <v/>
      </c>
      <c r="E36" s="247"/>
      <c r="F36" s="248" t="str">
        <f>Badges!C41</f>
        <v>Open and close each session</v>
      </c>
      <c r="G36" s="250" t="str">
        <f>IF(Badges!N41="A","A","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IF('Age-Level'!N59="A","A","")</f>
        <v/>
      </c>
    </row>
    <row r="37" spans="1:19" x14ac:dyDescent="0.2">
      <c r="A37" s="284"/>
      <c r="B37" s="256">
        <f>Journey!M17</f>
        <v>0</v>
      </c>
      <c r="C37" s="252" t="str">
        <f>IF(Journey!N17="C","C",IF(Journey!N17="P","P",""))</f>
        <v/>
      </c>
      <c r="E37" s="247">
        <v>4</v>
      </c>
      <c r="F37" s="248" t="str">
        <f>Badges!C42</f>
        <v>Put your plan in action</v>
      </c>
      <c r="G37" s="249"/>
      <c r="I37" s="247"/>
      <c r="J37" s="248" t="str">
        <f>Badges!C100</f>
        <v>Backcountry</v>
      </c>
      <c r="K37" s="250" t="str">
        <f>IF(Badges!N100="A","A"," ")</f>
        <v xml:space="preserve"> </v>
      </c>
      <c r="M37" s="247"/>
      <c r="N37" s="248" t="str">
        <f>Badges!C170</f>
        <v>Take a tour</v>
      </c>
      <c r="O37" s="250" t="str">
        <f>IF(Badges!N170="A","A"," ")</f>
        <v xml:space="preserve"> </v>
      </c>
      <c r="Q37" s="267">
        <v>3</v>
      </c>
      <c r="R37" s="344" t="str">
        <f>'Age-Level'!C60</f>
        <v>Teach a Daisy or Brownie what to do if</v>
      </c>
      <c r="S37" s="262" t="str">
        <f>IF('Age-Level'!N60="A","A","")</f>
        <v/>
      </c>
    </row>
    <row r="38" spans="1:19" x14ac:dyDescent="0.2">
      <c r="A38" s="284"/>
      <c r="B38" s="256">
        <f>Journey!M18</f>
        <v>0</v>
      </c>
      <c r="C38" s="252" t="str">
        <f>IF(Journey!N18="C","C",IF(Journey!N18="P","P",""))</f>
        <v/>
      </c>
      <c r="E38" s="247"/>
      <c r="F38" s="248" t="str">
        <f>Badges!C43</f>
        <v>Add a morale-boosting time-out</v>
      </c>
      <c r="G38" s="250" t="str">
        <f>IF(Badges!N43="A","A"," ")</f>
        <v xml:space="preserve"> </v>
      </c>
      <c r="I38" s="247"/>
      <c r="J38" s="248" t="str">
        <f>Badges!C101</f>
        <v>Open water</v>
      </c>
      <c r="K38" s="250" t="str">
        <f>IF(Badges!N101="A","A"," ")</f>
        <v xml:space="preserve"> </v>
      </c>
      <c r="M38" s="247"/>
      <c r="N38" s="248" t="str">
        <f>Badges!C171</f>
        <v>Interview a new tenant or homeowner</v>
      </c>
      <c r="O38" s="250" t="str">
        <f>IF(Badges!N171="A","A"," ")</f>
        <v xml:space="preserve"> </v>
      </c>
      <c r="Q38" s="267">
        <v>4</v>
      </c>
      <c r="R38" s="344" t="str">
        <f>'Age-Level'!C61</f>
        <v>With your family, make sure you have</v>
      </c>
      <c r="S38" s="262" t="str">
        <f>IF('Age-Level'!N61="A","A","")</f>
        <v/>
      </c>
    </row>
    <row r="39" spans="1:19" x14ac:dyDescent="0.2">
      <c r="A39" s="284"/>
      <c r="B39" s="256">
        <f>Journey!M19</f>
        <v>0</v>
      </c>
      <c r="C39" s="252" t="str">
        <f>IF(Journey!N19="C","C",IF(Journey!N19="P","P",""))</f>
        <v/>
      </c>
      <c r="E39" s="247"/>
      <c r="F39" s="248" t="str">
        <f>Badges!C44</f>
        <v>Ask your players to coach you!</v>
      </c>
      <c r="G39" s="250" t="str">
        <f>IF(Badges!N44="A","A"," ")</f>
        <v xml:space="preserve"> </v>
      </c>
      <c r="I39" s="247"/>
      <c r="J39" s="248" t="str">
        <f>Badges!C102</f>
        <v>Mountains</v>
      </c>
      <c r="K39" s="250" t="str">
        <f>IF(Badges!N102="A","A"," ")</f>
        <v xml:space="preserve"> </v>
      </c>
      <c r="M39" s="247"/>
      <c r="N39" s="248" t="str">
        <f>Badges!C172</f>
        <v>Be chart smart</v>
      </c>
      <c r="O39" s="250" t="str">
        <f>IF(Badges!N172="A","A"," ")</f>
        <v xml:space="preserve"> </v>
      </c>
      <c r="Q39" s="267">
        <v>5</v>
      </c>
      <c r="R39" s="344" t="str">
        <f>'Age-Level'!C62</f>
        <v>Discuss bullying with your Girl Scout</v>
      </c>
      <c r="S39" s="262" t="str">
        <f>IF('Age-Level'!N62="A","A","")</f>
        <v/>
      </c>
    </row>
    <row r="40" spans="1:19" x14ac:dyDescent="0.2">
      <c r="A40" s="284"/>
      <c r="B40" s="256">
        <f>Journey!M20</f>
        <v>0</v>
      </c>
      <c r="C40" s="252" t="str">
        <f>IF(Journey!N20="C","C",IF(Journey!N20="P","P",""))</f>
        <v/>
      </c>
      <c r="E40" s="247"/>
      <c r="F40" s="248" t="str">
        <f>Badges!C45</f>
        <v xml:space="preserve">Bring in another coah to watch </v>
      </c>
      <c r="G40" s="250" t="str">
        <f>IF(Badges!N45="A","A","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Journey!M21</f>
        <v>0</v>
      </c>
      <c r="C41" s="252" t="str">
        <f>IF(Journey!N21="C","C",IF(Journey!N21="P","P",""))</f>
        <v/>
      </c>
      <c r="E41" s="247">
        <v>5</v>
      </c>
      <c r="F41" s="248" t="str">
        <f>Badges!C46</f>
        <v>Attend the big event</v>
      </c>
      <c r="G41" s="249"/>
      <c r="I41" s="247"/>
      <c r="J41" s="248" t="str">
        <f>Badges!C104</f>
        <v>Wilderness rescue</v>
      </c>
      <c r="K41" s="250" t="str">
        <f>IF(Badges!N104="A","A"," ")</f>
        <v xml:space="preserve"> </v>
      </c>
      <c r="M41" s="247"/>
      <c r="N41" s="248" t="str">
        <f>Badges!C174</f>
        <v>Focus on your finances</v>
      </c>
      <c r="O41" s="250" t="str">
        <f>IF(Badges!N174="A","A"," ")</f>
        <v xml:space="preserve"> </v>
      </c>
    </row>
    <row r="42" spans="1:19" x14ac:dyDescent="0.2">
      <c r="A42" s="254"/>
      <c r="B42" s="475" t="str">
        <f>Journey!A25</f>
        <v>BLISS: Live it! Give It!</v>
      </c>
      <c r="C42" s="476"/>
      <c r="E42" s="247"/>
      <c r="F42" s="248" t="str">
        <f>Badges!C47</f>
        <v>Meet with your players for a relaxing</v>
      </c>
      <c r="G42" s="250" t="str">
        <f>IF(Badges!N47="A","A"," ")</f>
        <v xml:space="preserve"> </v>
      </c>
      <c r="I42" s="247"/>
      <c r="J42" s="248" t="str">
        <f>Badges!C105</f>
        <v>Disaster preparedness</v>
      </c>
      <c r="K42" s="250" t="str">
        <f>IF(Badges!N105="A","A"," ")</f>
        <v xml:space="preserve"> </v>
      </c>
      <c r="M42" s="247"/>
      <c r="N42" s="248" t="str">
        <f>Badges!C175</f>
        <v>Shop talk</v>
      </c>
      <c r="O42" s="250" t="str">
        <f>IF(Badges!N175="A","A"," ")</f>
        <v xml:space="preserve"> </v>
      </c>
      <c r="Q42" s="505"/>
      <c r="R42" s="505"/>
      <c r="S42" s="240"/>
    </row>
    <row r="43" spans="1:19" x14ac:dyDescent="0.2">
      <c r="B43" s="477" t="str">
        <f>Journey!B26</f>
        <v>Dream Maker Award</v>
      </c>
      <c r="C43" s="478"/>
      <c r="E43" s="247"/>
      <c r="F43" s="248" t="str">
        <f>Badges!C48</f>
        <v>Host a celebration</v>
      </c>
      <c r="G43" s="250" t="str">
        <f>IF(Badges!N48="A","A"," ")</f>
        <v xml:space="preserve"> </v>
      </c>
      <c r="I43" s="247"/>
      <c r="J43" s="248" t="str">
        <f>Badges!C106</f>
        <v>Military medicine</v>
      </c>
      <c r="K43" s="250" t="str">
        <f>IF(Badges!N106="A","A"," ")</f>
        <v xml:space="preserve"> </v>
      </c>
      <c r="M43" s="247"/>
      <c r="N43" s="248" t="str">
        <f>Badges!C176</f>
        <v>Audit request</v>
      </c>
      <c r="O43" s="250" t="str">
        <f>IF(Badges!N176="A","A"," ")</f>
        <v xml:space="preserve"> </v>
      </c>
      <c r="Q43" s="267"/>
      <c r="R43" s="267"/>
      <c r="S43" s="240"/>
    </row>
    <row r="44" spans="1:19" x14ac:dyDescent="0.2">
      <c r="B44" s="256">
        <f>Journey!M27</f>
        <v>0</v>
      </c>
      <c r="C44" s="252" t="str">
        <f>IF(Journey!N27="C","C",IF(Journey!N27="P","P",""))</f>
        <v/>
      </c>
      <c r="E44" s="247"/>
      <c r="F44" s="248" t="str">
        <f>Badges!C49</f>
        <v>Make a "trading card" for each athlete</v>
      </c>
      <c r="G44" s="250" t="str">
        <f>IF(Badges!N49="A","A","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Journey!M28</f>
        <v>0</v>
      </c>
      <c r="C45" s="252" t="str">
        <f>IF(Journey!N28="C","C",IF(Journey!N28="P","P",""))</f>
        <v/>
      </c>
      <c r="E45" s="492" t="str">
        <f>Badges!B52</f>
        <v>Public Policy</v>
      </c>
      <c r="F45" s="492"/>
      <c r="G45" s="492"/>
      <c r="I45" s="247"/>
      <c r="J45" s="248" t="str">
        <f>Badges!C108</f>
        <v>Take a wilderness first aid course</v>
      </c>
      <c r="K45" s="250" t="str">
        <f>IF(Badges!N108="A","A"," ")</f>
        <v xml:space="preserve"> </v>
      </c>
      <c r="M45" s="247"/>
      <c r="N45" s="248" t="str">
        <f>Badges!C178</f>
        <v>Hooray for hobbies!</v>
      </c>
      <c r="O45" s="250" t="str">
        <f>IF(Badges!N178="A","A"," ")</f>
        <v xml:space="preserve"> </v>
      </c>
      <c r="Q45" s="267"/>
      <c r="R45" s="267"/>
      <c r="S45" s="240"/>
    </row>
    <row r="46" spans="1:19" x14ac:dyDescent="0.2">
      <c r="B46" s="256">
        <f>Journey!M29</f>
        <v>0</v>
      </c>
      <c r="C46" s="252" t="str">
        <f>IF(Journey!N29="C","C",IF(Journey!N29="P","P",""))</f>
        <v/>
      </c>
      <c r="E46" s="247">
        <v>1</v>
      </c>
      <c r="F46" s="248" t="str">
        <f>Badges!C53</f>
        <v>Find out how activitists advocate for change</v>
      </c>
      <c r="G46" s="249" t="s">
        <v>26</v>
      </c>
      <c r="I46" s="247"/>
      <c r="J46" s="248" t="str">
        <f>Badges!C109</f>
        <v>Interview a doctor, nurse, EMT, or first</v>
      </c>
      <c r="K46" s="250" t="str">
        <f>IF(Badges!N109="A","A"," ")</f>
        <v xml:space="preserve"> </v>
      </c>
      <c r="M46" s="247"/>
      <c r="N46" s="248" t="str">
        <f>Badges!C179</f>
        <v>Treat yourself</v>
      </c>
      <c r="O46" s="250" t="str">
        <f>IF(Badges!N179="A","A"," ")</f>
        <v xml:space="preserve"> </v>
      </c>
      <c r="Q46" s="267"/>
      <c r="R46" s="267"/>
      <c r="S46" s="240"/>
    </row>
    <row r="47" spans="1:19" x14ac:dyDescent="0.2">
      <c r="B47" s="256">
        <f>Journey!M30</f>
        <v>0</v>
      </c>
      <c r="C47" s="252" t="str">
        <f>IF(Journey!N30="C","C",IF(Journey!N30="P","P",""))</f>
        <v/>
      </c>
      <c r="E47" s="247"/>
      <c r="F47" s="248" t="str">
        <f>Badges!C54</f>
        <v>Interview an activist</v>
      </c>
      <c r="G47" s="250" t="str">
        <f>IF(Badges!N54="A","A"," ")</f>
        <v xml:space="preserve"> </v>
      </c>
      <c r="I47" s="247"/>
      <c r="J47" s="248" t="str">
        <f>Badges!C110</f>
        <v xml:space="preserve">Discover how to use what's on hand in </v>
      </c>
      <c r="K47" s="250" t="str">
        <f>IF(Badges!N110="A","A"," ")</f>
        <v xml:space="preserve"> </v>
      </c>
      <c r="M47" s="247"/>
      <c r="N47" s="248" t="str">
        <f>Badges!C180</f>
        <v>Class act</v>
      </c>
      <c r="O47" s="250" t="str">
        <f>IF(Badges!N180="A","A"," ")</f>
        <v xml:space="preserve"> </v>
      </c>
      <c r="Q47" s="267"/>
      <c r="R47" s="267"/>
      <c r="S47" s="240"/>
    </row>
    <row r="48" spans="1:19" x14ac:dyDescent="0.2">
      <c r="B48" s="264"/>
      <c r="C48" s="264"/>
      <c r="E48" s="247"/>
      <c r="F48" s="248" t="str">
        <f>Badges!C55</f>
        <v>Watch a documentary or movie</v>
      </c>
      <c r="G48" s="250" t="str">
        <f>IF(Badges!N55="A","A"," ")</f>
        <v xml:space="preserve"> </v>
      </c>
      <c r="I48" s="339" t="str">
        <f>Badges!B98</f>
        <v>Ambassador First Aid</v>
      </c>
      <c r="J48" s="340"/>
      <c r="K48" s="340"/>
      <c r="M48" s="247">
        <v>4</v>
      </c>
      <c r="N48" s="248" t="str">
        <f>Badges!C181</f>
        <v>Plan for the unexpected</v>
      </c>
      <c r="O48" s="249"/>
    </row>
    <row r="49" spans="1:19" x14ac:dyDescent="0.2">
      <c r="A49" s="484" t="s">
        <v>316</v>
      </c>
      <c r="B49" s="484"/>
      <c r="C49" s="484"/>
      <c r="E49" s="247"/>
      <c r="F49" s="248" t="str">
        <f>Badges!C56</f>
        <v xml:space="preserve">Read about women who change the </v>
      </c>
      <c r="G49" s="250" t="str">
        <f>IF(Badges!N56="A","A"," ")</f>
        <v xml:space="preserve"> </v>
      </c>
      <c r="I49" s="247">
        <v>4</v>
      </c>
      <c r="J49" s="248" t="str">
        <f>Badges!C111</f>
        <v>Know how to move an injured person</v>
      </c>
      <c r="K49" s="249"/>
      <c r="M49" s="247"/>
      <c r="N49" s="248" t="str">
        <f>Badges!C182</f>
        <v>Interview your network</v>
      </c>
      <c r="O49" s="250" t="str">
        <f>IF(Badges!N182="A","A"," ")</f>
        <v xml:space="preserve"> </v>
      </c>
    </row>
    <row r="50" spans="1:19" x14ac:dyDescent="0.2">
      <c r="A50" s="259"/>
      <c r="B50" s="345" t="str">
        <f>Bridging!B6</f>
        <v>Pass It On!</v>
      </c>
      <c r="C50" s="251" t="str">
        <f>IF(Bridging!N10="C","C",IF(Bridging!N10="P","P",""))</f>
        <v/>
      </c>
      <c r="E50" s="247">
        <v>2</v>
      </c>
      <c r="F50" s="248" t="str">
        <f>Badges!C57</f>
        <v>Engage as a global citizen</v>
      </c>
      <c r="G50" s="249"/>
      <c r="I50" s="247"/>
      <c r="J50" s="248" t="str">
        <f>Badges!C112</f>
        <v>Visit a medical school</v>
      </c>
      <c r="K50" s="250" t="str">
        <f>IF(Badges!N112="A","A"," ")</f>
        <v xml:space="preserve"> </v>
      </c>
      <c r="M50" s="247"/>
      <c r="N50" s="248" t="str">
        <f>Badges!C183</f>
        <v>Interview a Financial guru</v>
      </c>
      <c r="O50" s="250" t="str">
        <f>IF(Badges!N183="A","A"," ")</f>
        <v xml:space="preserve"> </v>
      </c>
    </row>
    <row r="51" spans="1:19" x14ac:dyDescent="0.2">
      <c r="A51" s="259"/>
      <c r="B51" s="260" t="str">
        <f>Bridging!B11</f>
        <v>Look Ahead!</v>
      </c>
      <c r="C51" s="251" t="str">
        <f>IF(Bridging!N15="C","C",IF(Bridging!N15="P","P",""))</f>
        <v/>
      </c>
      <c r="E51" s="247"/>
      <c r="F51" s="248" t="str">
        <f>Badges!C58</f>
        <v>Compare laws</v>
      </c>
      <c r="G51" s="250" t="str">
        <f>IF(Badges!N58="A","A"," ")</f>
        <v xml:space="preserve"> </v>
      </c>
      <c r="I51" s="247"/>
      <c r="J51" s="248" t="str">
        <f>Badges!C113</f>
        <v>Take a wilderness first aid course</v>
      </c>
      <c r="K51" s="250" t="str">
        <f>IF(Badges!N113="A","A"," ")</f>
        <v xml:space="preserve"> </v>
      </c>
      <c r="M51" s="247"/>
      <c r="N51" s="248" t="str">
        <f>Badges!C184</f>
        <v>Interview an insurance expert</v>
      </c>
      <c r="O51" s="250" t="str">
        <f>IF(Badges!N184="A","A"," ")</f>
        <v xml:space="preserve"> </v>
      </c>
    </row>
    <row r="52" spans="1:19" x14ac:dyDescent="0.2">
      <c r="A52" s="259"/>
      <c r="B52" s="344" t="str">
        <f>Bridging!C16</f>
        <v>Plan a Ceremony</v>
      </c>
      <c r="C52" s="251" t="str">
        <f>IF(Bridging!N17="C","C",IF(Bridging!N17="P","P",""))</f>
        <v/>
      </c>
      <c r="E52" s="247"/>
      <c r="F52" s="248" t="str">
        <f>Badges!C59</f>
        <v xml:space="preserve">Track a public-policy issue being </v>
      </c>
      <c r="G52" s="250" t="str">
        <f>IF(Badges!N59="A","A"," ")</f>
        <v xml:space="preserve"> </v>
      </c>
      <c r="I52" s="247"/>
      <c r="J52" s="248" t="str">
        <f>Badges!C114</f>
        <v>Organize a mock emergency drill</v>
      </c>
      <c r="K52" s="250" t="str">
        <f>IF(Badges!N114="A","A"," ")</f>
        <v xml:space="preserve"> </v>
      </c>
      <c r="M52" s="339" t="str">
        <f>Badges!B168</f>
        <v>On My Own</v>
      </c>
      <c r="N52" s="340"/>
      <c r="O52" s="340"/>
    </row>
    <row r="53" spans="1:19" x14ac:dyDescent="0.2">
      <c r="B53" s="261" t="s">
        <v>134</v>
      </c>
      <c r="C53" s="251" t="str">
        <f>IF(Bridging!N18="C","C",IF(Bridging!N18="P","P",""))</f>
        <v/>
      </c>
      <c r="E53" s="247"/>
      <c r="F53" s="248" t="str">
        <f>Badges!C60</f>
        <v>Explore an international NGO</v>
      </c>
      <c r="G53" s="250" t="str">
        <f>IF(Badges!N60="A","A","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IF(Badges!N116="A","A"," ")</f>
        <v xml:space="preserve"> </v>
      </c>
      <c r="M54" s="247"/>
      <c r="N54" s="248" t="str">
        <f>Badges!C186</f>
        <v>Plan for presents</v>
      </c>
      <c r="O54" s="250" t="str">
        <f>IF(Badges!N186="A","A"," ")</f>
        <v xml:space="preserve"> </v>
      </c>
      <c r="Q54" s="267"/>
      <c r="R54" s="267"/>
      <c r="S54" s="240"/>
    </row>
    <row r="55" spans="1:19" x14ac:dyDescent="0.2">
      <c r="I55" s="247"/>
      <c r="J55" s="248" t="str">
        <f>Badges!C117</f>
        <v>Investigate extreme first aid</v>
      </c>
      <c r="K55" s="250" t="str">
        <f>IF(Badges!N117="A","A"," ")</f>
        <v xml:space="preserve"> </v>
      </c>
      <c r="M55" s="247"/>
      <c r="N55" s="248" t="str">
        <f>Badges!C187</f>
        <v>Budget for your time</v>
      </c>
      <c r="O55" s="250" t="str">
        <f>IF(Badges!N187="A","A"," ")</f>
        <v xml:space="preserve"> </v>
      </c>
      <c r="Q55" s="496"/>
      <c r="R55" s="496"/>
      <c r="S55" s="496"/>
    </row>
    <row r="56" spans="1:19" x14ac:dyDescent="0.2">
      <c r="I56" s="247"/>
      <c r="J56" s="248" t="str">
        <f>Badges!C118</f>
        <v>Interview an everyday hero</v>
      </c>
      <c r="K56" s="250" t="str">
        <f>IF(Badges!N118="A","A"," ")</f>
        <v xml:space="preserve"> </v>
      </c>
      <c r="M56" s="247"/>
      <c r="N56" s="248" t="str">
        <f>Badges!C188</f>
        <v>Charity starts… with a budget</v>
      </c>
      <c r="O56" s="250" t="str">
        <f>IF(Badges!N188="A","A","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IF(Badges!N123="A","A"," ")</f>
        <v xml:space="preserve"> </v>
      </c>
      <c r="M59" s="247"/>
      <c r="N59" s="248" t="str">
        <f>Badges!C217</f>
        <v>Invest some R&amp;D</v>
      </c>
      <c r="O59" s="250" t="str">
        <f>IF(Badges!N217="A","A"," ")</f>
        <v xml:space="preserve"> </v>
      </c>
    </row>
    <row r="60" spans="1:19" x14ac:dyDescent="0.2">
      <c r="I60" s="247"/>
      <c r="J60" s="248" t="str">
        <f>Badges!C124</f>
        <v xml:space="preserve">Ogranize a songfest for younger </v>
      </c>
      <c r="K60" s="250" t="str">
        <f>IF(Badges!N124="A","A"," ")</f>
        <v xml:space="preserve"> </v>
      </c>
      <c r="M60" s="247">
        <v>2</v>
      </c>
      <c r="N60" s="248" t="str">
        <f>Badges!C218</f>
        <v>Reasearch how other companies innovate</v>
      </c>
      <c r="O60" s="249"/>
    </row>
    <row r="61" spans="1:19" x14ac:dyDescent="0.2">
      <c r="I61" s="247"/>
      <c r="J61" s="248" t="str">
        <f>Badges!C125</f>
        <v>Bring generations together in song</v>
      </c>
      <c r="K61" s="250" t="str">
        <f>IF(Badges!N125="A","A"," ")</f>
        <v xml:space="preserve"> </v>
      </c>
      <c r="M61" s="247"/>
      <c r="N61" s="248" t="str">
        <f>Badges!C219</f>
        <v>Find at least three other companies</v>
      </c>
      <c r="O61" s="250" t="str">
        <f>IF(Badges!N219="A","A"," ")</f>
        <v xml:space="preserve"> </v>
      </c>
    </row>
    <row r="62" spans="1:19"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IF(Badges!N127="A","A"," ")</f>
        <v xml:space="preserve"> </v>
      </c>
      <c r="M63" s="247"/>
      <c r="N63" s="248" t="str">
        <f>Badges!C221</f>
        <v>Developing a new product</v>
      </c>
      <c r="O63" s="250" t="str">
        <f>IF(Badges!N221="A","A"," ")</f>
        <v xml:space="preserve"> </v>
      </c>
    </row>
    <row r="64" spans="1:19" x14ac:dyDescent="0.2">
      <c r="I64" s="247"/>
      <c r="J64" s="248" t="str">
        <f>Badges!C128</f>
        <v>Make World Thinking Day cards</v>
      </c>
      <c r="K64" s="250" t="str">
        <f>IF(Badges!N128="A","A","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IF(Badges!N129="A","A"," ")</f>
        <v xml:space="preserve"> </v>
      </c>
      <c r="M65" s="247"/>
      <c r="N65" s="248" t="str">
        <f>Badges!C223</f>
        <v>If you're considering serveral</v>
      </c>
      <c r="O65" s="250" t="str">
        <f>IF(Badges!N223="A","A","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IF(Badges!N225="A","A","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484"/>
      <c r="G72" s="484"/>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Own'!N28="C","C",IF('Council Own'!N28="P","P",""))</f>
        <v/>
      </c>
      <c r="E73" s="493" t="str">
        <f>'Fun Patches'!C5</f>
        <v>&lt;LIST PATCH HERE&gt;</v>
      </c>
      <c r="F73" s="494"/>
      <c r="G73" s="250" t="str">
        <f>IF('Fun Patches'!N5="A","A","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Own'!N52="C","C",IF('Council Own'!N52="P","P",""))</f>
        <v/>
      </c>
      <c r="E74" s="471" t="str">
        <f>'Fun Patches'!C6</f>
        <v>&lt;LIST PATCH HERE&gt;</v>
      </c>
      <c r="F74" s="472"/>
      <c r="G74" s="257" t="str">
        <f>IF('Fun Patches'!N6="A","A"," ")</f>
        <v xml:space="preserve"> </v>
      </c>
      <c r="H74" s="254"/>
      <c r="I74" s="247">
        <v>1</v>
      </c>
      <c r="J74" s="344" t="str">
        <f>'Council Own'!C7</f>
        <v>&lt;List Requirement Here&gt;</v>
      </c>
      <c r="K74" s="257" t="str">
        <f>IF('Council Own'!N7="A","A"," ")</f>
        <v xml:space="preserve"> </v>
      </c>
      <c r="L74" s="254"/>
      <c r="M74" s="247">
        <v>1</v>
      </c>
      <c r="N74" s="344" t="str">
        <f>'Council Own'!C55</f>
        <v>&lt;List Requirement Here&gt;</v>
      </c>
      <c r="O74" s="257" t="str">
        <f>IF('Council Own'!N55="A","A"," ")</f>
        <v xml:space="preserve"> </v>
      </c>
      <c r="Q74" s="247">
        <v>1</v>
      </c>
      <c r="R74" s="344" t="str">
        <f>'Council Own'!C103</f>
        <v>&lt;List Requirement Here&gt;</v>
      </c>
      <c r="S74" s="257" t="str">
        <f>IF('Council Own'!N103="A","A"," ")</f>
        <v xml:space="preserve"> </v>
      </c>
    </row>
    <row r="75" spans="1:19" x14ac:dyDescent="0.2">
      <c r="A75" s="485" t="str">
        <f>'Council Own'!B54</f>
        <v>&lt;&lt;List Badge Here&gt;&gt;</v>
      </c>
      <c r="B75" s="486"/>
      <c r="C75" s="252" t="str">
        <f>IF('Council Own'!N76="C","C",IF('Council Own'!N76="P","P",""))</f>
        <v/>
      </c>
      <c r="E75" s="471" t="str">
        <f>'Fun Patches'!C7</f>
        <v>&lt;LIST PATCH HERE&gt;</v>
      </c>
      <c r="F75" s="472"/>
      <c r="G75" s="257" t="str">
        <f>IF('Fun Patches'!N7="A","A"," ")</f>
        <v xml:space="preserve"> </v>
      </c>
      <c r="H75" s="254"/>
      <c r="I75" s="247"/>
      <c r="J75" s="344" t="str">
        <f>'Council Own'!C8</f>
        <v>&lt;List Requirement Here&gt;</v>
      </c>
      <c r="K75" s="257" t="str">
        <f>IF('Council Own'!N8="A","A"," ")</f>
        <v xml:space="preserve"> </v>
      </c>
      <c r="L75" s="254"/>
      <c r="M75" s="247"/>
      <c r="N75" s="344" t="str">
        <f>'Council Own'!C56</f>
        <v>&lt;List Requirement Here&gt;</v>
      </c>
      <c r="O75" s="257" t="str">
        <f>IF('Council Own'!N56="A","A"," ")</f>
        <v xml:space="preserve"> </v>
      </c>
      <c r="Q75" s="247"/>
      <c r="R75" s="344" t="str">
        <f>'Council Own'!C104</f>
        <v>&lt;List Requirement Here&gt;</v>
      </c>
      <c r="S75" s="257" t="str">
        <f>IF('Council Own'!N104="A","A"," ")</f>
        <v xml:space="preserve"> </v>
      </c>
    </row>
    <row r="76" spans="1:19" x14ac:dyDescent="0.2">
      <c r="A76" s="485" t="str">
        <f>'Council Own'!B78</f>
        <v>&lt;&lt;List Badge Here&gt;&gt;</v>
      </c>
      <c r="B76" s="486"/>
      <c r="C76" s="252" t="str">
        <f>IF('Council Own'!N100="C","C",IF('Council Own'!N100="P","P",""))</f>
        <v/>
      </c>
      <c r="E76" s="471" t="str">
        <f>'Fun Patches'!C8</f>
        <v>&lt;LIST PATCH HERE&gt;</v>
      </c>
      <c r="F76" s="472"/>
      <c r="G76" s="257" t="str">
        <f>IF('Fun Patches'!N8="A","A"," ")</f>
        <v xml:space="preserve"> </v>
      </c>
      <c r="H76" s="254"/>
      <c r="I76" s="247"/>
      <c r="J76" s="344" t="str">
        <f>'Council Own'!C9</f>
        <v>&lt;List Requirement Here&gt;</v>
      </c>
      <c r="K76" s="257" t="str">
        <f>IF('Council Own'!N9="A","A"," ")</f>
        <v xml:space="preserve"> </v>
      </c>
      <c r="L76" s="254"/>
      <c r="M76" s="247"/>
      <c r="N76" s="344" t="str">
        <f>'Council Own'!C57</f>
        <v>&lt;List Requirement Here&gt;</v>
      </c>
      <c r="O76" s="257" t="str">
        <f>IF('Council Own'!N57="A","A"," ")</f>
        <v xml:space="preserve"> </v>
      </c>
      <c r="Q76" s="247"/>
      <c r="R76" s="344" t="str">
        <f>'Council Own'!C105</f>
        <v>&lt;List Requirement Here&gt;</v>
      </c>
      <c r="S76" s="257" t="str">
        <f>IF('Council Own'!N105="A","A"," ")</f>
        <v xml:space="preserve"> </v>
      </c>
    </row>
    <row r="77" spans="1:19" x14ac:dyDescent="0.2">
      <c r="A77" s="485" t="str">
        <f>'Council Own'!B102</f>
        <v>&lt;&lt;List Badge Here&gt;&gt;</v>
      </c>
      <c r="B77" s="486"/>
      <c r="C77" s="252" t="str">
        <f>IF('Council Own'!N124="C","C",IF('Council Own'!N124="P","P",""))</f>
        <v/>
      </c>
      <c r="E77" s="471" t="str">
        <f>'Fun Patches'!C9</f>
        <v>&lt;LIST PATCH HERE&gt;</v>
      </c>
      <c r="F77" s="472"/>
      <c r="G77" s="257" t="str">
        <f>IF('Fun Patches'!N9="A","A"," ")</f>
        <v xml:space="preserve"> </v>
      </c>
      <c r="H77" s="254"/>
      <c r="I77" s="247"/>
      <c r="J77" s="344" t="str">
        <f>'Council Own'!C10</f>
        <v>&lt;List Requirement Here&gt;</v>
      </c>
      <c r="K77" s="257" t="str">
        <f>IF('Council Own'!N10="A","A"," ")</f>
        <v xml:space="preserve"> </v>
      </c>
      <c r="L77" s="254"/>
      <c r="M77" s="247"/>
      <c r="N77" s="344" t="str">
        <f>'Council Own'!C58</f>
        <v>&lt;List Requirement Here&gt;</v>
      </c>
      <c r="O77" s="257" t="str">
        <f>IF('Council Own'!N58="A","A"," ")</f>
        <v xml:space="preserve"> </v>
      </c>
      <c r="Q77" s="247"/>
      <c r="R77" s="344" t="str">
        <f>'Council Own'!C106</f>
        <v>&lt;List Requirement Here&gt;</v>
      </c>
      <c r="S77" s="257" t="str">
        <f>IF('Council Own'!N106="A","A"," ")</f>
        <v xml:space="preserve"> </v>
      </c>
    </row>
    <row r="78" spans="1:19" x14ac:dyDescent="0.2">
      <c r="A78" s="485" t="str">
        <f>'Council Own'!B126</f>
        <v>&lt;&lt;List Badge Here&gt;&gt;</v>
      </c>
      <c r="B78" s="486"/>
      <c r="C78" s="252" t="str">
        <f>IF('Council Own'!N148="C","C",IF('Council Own'!N148="P","P",""))</f>
        <v/>
      </c>
      <c r="E78" s="471" t="str">
        <f>'Fun Patches'!C10</f>
        <v>&lt;LIST PATCH HERE&gt;</v>
      </c>
      <c r="F78" s="472"/>
      <c r="G78" s="257" t="str">
        <f>IF('Fun Patches'!N10="A","A"," ")</f>
        <v xml:space="preserve"> </v>
      </c>
      <c r="I78" s="247">
        <v>2</v>
      </c>
      <c r="J78" s="344" t="str">
        <f>'Council Own'!C11</f>
        <v>&lt;List Requirement Here&gt;</v>
      </c>
      <c r="K78" s="257" t="str">
        <f>IF('Council Own'!N11="A","A"," ")</f>
        <v xml:space="preserve"> </v>
      </c>
      <c r="M78" s="247">
        <v>2</v>
      </c>
      <c r="N78" s="344" t="str">
        <f>'Council Own'!C59</f>
        <v>&lt;List Requirement Here&gt;</v>
      </c>
      <c r="O78" s="257" t="str">
        <f>IF('Council Own'!N59="A","A"," ")</f>
        <v xml:space="preserve"> </v>
      </c>
      <c r="Q78" s="247">
        <v>2</v>
      </c>
      <c r="R78" s="344" t="str">
        <f>'Council Own'!C107</f>
        <v>&lt;List Requirement Here&gt;</v>
      </c>
      <c r="S78" s="257" t="str">
        <f>IF('Council Own'!N107="A","A"," ")</f>
        <v xml:space="preserve"> </v>
      </c>
    </row>
    <row r="79" spans="1:19" x14ac:dyDescent="0.2">
      <c r="E79" s="471" t="str">
        <f>'Fun Patches'!C11</f>
        <v>&lt;LIST PATCH HERE&gt;</v>
      </c>
      <c r="F79" s="472"/>
      <c r="G79" s="257" t="str">
        <f>IF('Fun Patches'!N11="A","A"," ")</f>
        <v xml:space="preserve"> </v>
      </c>
      <c r="I79" s="247"/>
      <c r="J79" s="344" t="str">
        <f>'Council Own'!C12</f>
        <v>&lt;List Requirement Here&gt;</v>
      </c>
      <c r="K79" s="257" t="str">
        <f>IF('Council Own'!N12="A","A"," ")</f>
        <v xml:space="preserve"> </v>
      </c>
      <c r="M79" s="247"/>
      <c r="N79" s="344" t="str">
        <f>'Council Own'!C60</f>
        <v>&lt;List Requirement Here&gt;</v>
      </c>
      <c r="O79" s="257" t="str">
        <f>IF('Council Own'!N60="A","A"," ")</f>
        <v xml:space="preserve"> </v>
      </c>
      <c r="Q79" s="247"/>
      <c r="R79" s="344" t="str">
        <f>'Council Own'!C108</f>
        <v>&lt;List Requirement Here&gt;</v>
      </c>
      <c r="S79" s="257" t="str">
        <f>IF('Council Own'!N108="A","A"," ")</f>
        <v xml:space="preserve"> </v>
      </c>
    </row>
    <row r="80" spans="1:19" x14ac:dyDescent="0.2">
      <c r="E80" s="471" t="str">
        <f>'Fun Patches'!C12</f>
        <v>&lt;LIST PATCH HERE&gt;</v>
      </c>
      <c r="F80" s="472"/>
      <c r="G80" s="257" t="str">
        <f>IF('Fun Patches'!N12="A","A"," ")</f>
        <v xml:space="preserve"> </v>
      </c>
      <c r="I80" s="247"/>
      <c r="J80" s="344" t="str">
        <f>'Council Own'!C13</f>
        <v>&lt;List Requirement Here&gt;</v>
      </c>
      <c r="K80" s="257" t="str">
        <f>IF('Council Own'!N13="A","A"," ")</f>
        <v xml:space="preserve"> </v>
      </c>
      <c r="M80" s="247"/>
      <c r="N80" s="344" t="str">
        <f>'Council Own'!C61</f>
        <v>&lt;List Requirement Here&gt;</v>
      </c>
      <c r="O80" s="257" t="str">
        <f>IF('Council Own'!N61="A","A"," ")</f>
        <v xml:space="preserve"> </v>
      </c>
      <c r="Q80" s="247"/>
      <c r="R80" s="344" t="str">
        <f>'Council Own'!C109</f>
        <v>&lt;List Requirement Here&gt;</v>
      </c>
      <c r="S80" s="257" t="str">
        <f>IF('Council Own'!N109="A","A"," ")</f>
        <v xml:space="preserve"> </v>
      </c>
    </row>
    <row r="81" spans="1:22" x14ac:dyDescent="0.2">
      <c r="E81" s="471" t="str">
        <f>'Fun Patches'!C13</f>
        <v>&lt;LIST PATCH HERE&gt;</v>
      </c>
      <c r="F81" s="472"/>
      <c r="G81" s="257" t="str">
        <f>IF('Fun Patches'!N13="A","A"," ")</f>
        <v xml:space="preserve"> </v>
      </c>
      <c r="I81" s="247"/>
      <c r="J81" s="344" t="str">
        <f>'Council Own'!C14</f>
        <v>&lt;List Requirement Here&gt;</v>
      </c>
      <c r="K81" s="257" t="str">
        <f>IF('Council Own'!N14="A","A"," ")</f>
        <v xml:space="preserve"> </v>
      </c>
      <c r="M81" s="247"/>
      <c r="N81" s="344" t="str">
        <f>'Council Own'!C62</f>
        <v>&lt;List Requirement Here&gt;</v>
      </c>
      <c r="O81" s="257" t="str">
        <f>IF('Council Own'!N62="A","A"," ")</f>
        <v xml:space="preserve"> </v>
      </c>
      <c r="Q81" s="247"/>
      <c r="R81" s="344" t="str">
        <f>'Council Own'!C110</f>
        <v>&lt;List Requirement Here&gt;</v>
      </c>
      <c r="S81" s="257" t="str">
        <f>IF('Council Own'!N110="A","A"," ")</f>
        <v xml:space="preserve"> </v>
      </c>
    </row>
    <row r="82" spans="1:22" x14ac:dyDescent="0.2">
      <c r="E82" s="471" t="str">
        <f>'Fun Patches'!C14</f>
        <v>&lt;LIST PATCH HERE&gt;</v>
      </c>
      <c r="F82" s="472"/>
      <c r="G82" s="257" t="str">
        <f>IF('Fun Patches'!N14="A","A"," ")</f>
        <v xml:space="preserve"> </v>
      </c>
      <c r="I82" s="247">
        <v>3</v>
      </c>
      <c r="J82" s="344" t="str">
        <f>'Council Own'!C15</f>
        <v>&lt;List Requirement Here&gt;</v>
      </c>
      <c r="K82" s="257" t="str">
        <f>IF('Council Own'!N15="A","A"," ")</f>
        <v xml:space="preserve"> </v>
      </c>
      <c r="M82" s="247">
        <v>3</v>
      </c>
      <c r="N82" s="344" t="str">
        <f>'Council Own'!C63</f>
        <v>&lt;List Requirement Here&gt;</v>
      </c>
      <c r="O82" s="257" t="str">
        <f>IF('Council Own'!N63="A","A"," ")</f>
        <v xml:space="preserve"> </v>
      </c>
      <c r="Q82" s="247">
        <v>3</v>
      </c>
      <c r="R82" s="344" t="str">
        <f>'Council Own'!C111</f>
        <v>&lt;List Requirement Here&gt;</v>
      </c>
      <c r="S82" s="257" t="str">
        <f>IF('Council Own'!N111="A","A"," ")</f>
        <v xml:space="preserve"> </v>
      </c>
    </row>
    <row r="83" spans="1:22" x14ac:dyDescent="0.2">
      <c r="E83" s="471" t="str">
        <f>'Fun Patches'!C15</f>
        <v>&lt;LIST PATCH HERE&gt;</v>
      </c>
      <c r="F83" s="472"/>
      <c r="G83" s="257" t="str">
        <f>IF('Fun Patches'!N15="A","A"," ")</f>
        <v xml:space="preserve"> </v>
      </c>
      <c r="I83" s="247"/>
      <c r="J83" s="344" t="str">
        <f>'Council Own'!C16</f>
        <v>&lt;List Requirement Here&gt;</v>
      </c>
      <c r="K83" s="257" t="str">
        <f>IF('Council Own'!N16="A","A"," ")</f>
        <v xml:space="preserve"> </v>
      </c>
      <c r="M83" s="247"/>
      <c r="N83" s="344" t="str">
        <f>'Council Own'!C64</f>
        <v>&lt;List Requirement Here&gt;</v>
      </c>
      <c r="O83" s="257" t="str">
        <f>IF('Council Own'!N64="A","A"," ")</f>
        <v xml:space="preserve"> </v>
      </c>
      <c r="Q83" s="247"/>
      <c r="R83" s="344" t="str">
        <f>'Council Own'!C112</f>
        <v>&lt;List Requirement Here&gt;</v>
      </c>
      <c r="S83" s="257" t="str">
        <f>IF('Council Own'!N112="A","A"," ")</f>
        <v xml:space="preserve"> </v>
      </c>
    </row>
    <row r="84" spans="1:22" x14ac:dyDescent="0.2">
      <c r="E84" s="471" t="str">
        <f>'Fun Patches'!C16</f>
        <v>&lt;LIST PATCH HERE&gt;</v>
      </c>
      <c r="F84" s="472"/>
      <c r="G84" s="257" t="str">
        <f>IF('Fun Patches'!N16="A","A"," ")</f>
        <v xml:space="preserve"> </v>
      </c>
      <c r="I84" s="247"/>
      <c r="J84" s="344" t="str">
        <f>'Council Own'!C17</f>
        <v>&lt;List Requirement Here&gt;</v>
      </c>
      <c r="K84" s="257" t="str">
        <f>IF('Council Own'!N17="A","A"," ")</f>
        <v xml:space="preserve"> </v>
      </c>
      <c r="M84" s="247"/>
      <c r="N84" s="344" t="str">
        <f>'Council Own'!C65</f>
        <v>&lt;List Requirement Here&gt;</v>
      </c>
      <c r="O84" s="257" t="str">
        <f>IF('Council Own'!N65="A","A"," ")</f>
        <v xml:space="preserve"> </v>
      </c>
      <c r="Q84" s="247"/>
      <c r="R84" s="344" t="str">
        <f>'Council Own'!C113</f>
        <v>&lt;List Requirement Here&gt;</v>
      </c>
      <c r="S84" s="257" t="str">
        <f>IF('Council Own'!N113="A","A"," ")</f>
        <v xml:space="preserve"> </v>
      </c>
    </row>
    <row r="85" spans="1:22" x14ac:dyDescent="0.2">
      <c r="E85" s="471" t="str">
        <f>'Fun Patches'!C17</f>
        <v>&lt;LIST PATCH HERE&gt;</v>
      </c>
      <c r="F85" s="472"/>
      <c r="G85" s="250" t="str">
        <f>IF('Fun Patches'!N17="A","A"," ")</f>
        <v xml:space="preserve"> </v>
      </c>
      <c r="I85" s="247"/>
      <c r="J85" s="344" t="str">
        <f>'Council Own'!C18</f>
        <v>&lt;List Requirement Here&gt;</v>
      </c>
      <c r="K85" s="257" t="str">
        <f>IF('Council Own'!N18="A","A"," ")</f>
        <v xml:space="preserve"> </v>
      </c>
      <c r="M85" s="247"/>
      <c r="N85" s="344" t="str">
        <f>'Council Own'!C66</f>
        <v>&lt;List Requirement Here&gt;</v>
      </c>
      <c r="O85" s="257" t="str">
        <f>IF('Council Own'!N66="A","A"," ")</f>
        <v xml:space="preserve"> </v>
      </c>
      <c r="Q85" s="247"/>
      <c r="R85" s="344" t="str">
        <f>'Council Own'!C114</f>
        <v>&lt;List Requirement Here&gt;</v>
      </c>
      <c r="S85" s="257" t="str">
        <f>IF('Council Own'!N114="A","A"," ")</f>
        <v xml:space="preserve"> </v>
      </c>
    </row>
    <row r="86" spans="1:22" x14ac:dyDescent="0.2">
      <c r="A86" s="242"/>
      <c r="B86" s="243"/>
      <c r="C86" s="244"/>
      <c r="E86" s="471" t="str">
        <f>'Fun Patches'!C18</f>
        <v>&lt;LIST PATCH HERE&gt;</v>
      </c>
      <c r="F86" s="472"/>
      <c r="G86" s="257" t="str">
        <f>IF('Fun Patches'!N18="A","A"," ")</f>
        <v xml:space="preserve"> </v>
      </c>
      <c r="I86" s="247">
        <v>4</v>
      </c>
      <c r="J86" s="344" t="str">
        <f>'Council Own'!C19</f>
        <v>&lt;List Requirement Here&gt;</v>
      </c>
      <c r="K86" s="257" t="str">
        <f>IF('Council Own'!N19="A","A"," ")</f>
        <v xml:space="preserve"> </v>
      </c>
      <c r="M86" s="247">
        <v>4</v>
      </c>
      <c r="N86" s="344" t="str">
        <f>'Council Own'!C67</f>
        <v>&lt;List Requirement Here&gt;</v>
      </c>
      <c r="O86" s="257" t="str">
        <f>IF('Council Own'!N67="A","A"," ")</f>
        <v xml:space="preserve"> </v>
      </c>
      <c r="Q86" s="247">
        <v>4</v>
      </c>
      <c r="R86" s="344" t="str">
        <f>'Council Own'!C115</f>
        <v>&lt;List Requirement Here&gt;</v>
      </c>
      <c r="S86" s="257" t="str">
        <f>IF('Council Own'!N115="A","A"," ")</f>
        <v xml:space="preserve"> </v>
      </c>
    </row>
    <row r="87" spans="1:22" x14ac:dyDescent="0.2">
      <c r="E87" s="471" t="str">
        <f>'Fun Patches'!C19</f>
        <v>&lt;LIST PATCH HERE&gt;</v>
      </c>
      <c r="F87" s="472"/>
      <c r="G87" s="257" t="str">
        <f>IF('Fun Patches'!N19="A","A"," ")</f>
        <v xml:space="preserve"> </v>
      </c>
      <c r="I87" s="247"/>
      <c r="J87" s="344" t="str">
        <f>'Council Own'!C20</f>
        <v>&lt;List Requirement Here&gt;</v>
      </c>
      <c r="K87" s="257" t="str">
        <f>IF('Council Own'!N20="A","A"," ")</f>
        <v xml:space="preserve"> </v>
      </c>
      <c r="M87" s="247"/>
      <c r="N87" s="344" t="str">
        <f>'Council Own'!C68</f>
        <v>&lt;List Requirement Here&gt;</v>
      </c>
      <c r="O87" s="257" t="str">
        <f>IF('Council Own'!N68="A","A"," ")</f>
        <v xml:space="preserve"> </v>
      </c>
      <c r="Q87" s="247"/>
      <c r="R87" s="344" t="str">
        <f>'Council Own'!C116</f>
        <v>&lt;List Requirement Here&gt;</v>
      </c>
      <c r="S87" s="257" t="str">
        <f>IF('Council Own'!N116="A","A"," ")</f>
        <v xml:space="preserve"> </v>
      </c>
    </row>
    <row r="88" spans="1:22" x14ac:dyDescent="0.2">
      <c r="E88" s="471" t="str">
        <f>'Fun Patches'!C20</f>
        <v>&lt;LIST PATCH HERE&gt;</v>
      </c>
      <c r="F88" s="472"/>
      <c r="G88" s="257" t="str">
        <f>IF('Fun Patches'!N20="A","A"," ")</f>
        <v xml:space="preserve"> </v>
      </c>
      <c r="I88" s="247"/>
      <c r="J88" s="344" t="str">
        <f>'Council Own'!C21</f>
        <v>&lt;List Requirement Here&gt;</v>
      </c>
      <c r="K88" s="257" t="str">
        <f>IF('Council Own'!N21="A","A"," ")</f>
        <v xml:space="preserve"> </v>
      </c>
      <c r="M88" s="247"/>
      <c r="N88" s="344" t="str">
        <f>'Council Own'!C69</f>
        <v>&lt;List Requirement Here&gt;</v>
      </c>
      <c r="O88" s="257" t="str">
        <f>IF('Council Own'!N69="A","A"," ")</f>
        <v xml:space="preserve"> </v>
      </c>
      <c r="Q88" s="247"/>
      <c r="R88" s="344" t="str">
        <f>'Council Own'!C117</f>
        <v>&lt;List Requirement Here&gt;</v>
      </c>
      <c r="S88" s="257" t="str">
        <f>IF('Council Own'!N117="A","A"," ")</f>
        <v xml:space="preserve"> </v>
      </c>
    </row>
    <row r="89" spans="1:22" x14ac:dyDescent="0.2">
      <c r="E89" s="471" t="str">
        <f>'Fun Patches'!C21</f>
        <v>&lt;LIST PATCH HERE&gt;</v>
      </c>
      <c r="F89" s="472"/>
      <c r="G89" s="257" t="str">
        <f>IF('Fun Patches'!N21="A","A"," ")</f>
        <v xml:space="preserve"> </v>
      </c>
      <c r="I89" s="247"/>
      <c r="J89" s="344" t="str">
        <f>'Council Own'!C22</f>
        <v>&lt;List Requirement Here&gt;</v>
      </c>
      <c r="K89" s="257" t="str">
        <f>IF('Council Own'!N22="A","A"," ")</f>
        <v xml:space="preserve"> </v>
      </c>
      <c r="M89" s="247"/>
      <c r="N89" s="344" t="str">
        <f>'Council Own'!C70</f>
        <v>&lt;List Requirement Here&gt;</v>
      </c>
      <c r="O89" s="257" t="str">
        <f>IF('Council Own'!N70="A","A"," ")</f>
        <v xml:space="preserve"> </v>
      </c>
      <c r="Q89" s="247"/>
      <c r="R89" s="344" t="str">
        <f>'Council Own'!C118</f>
        <v>&lt;List Requirement Here&gt;</v>
      </c>
      <c r="S89" s="257" t="str">
        <f>IF('Council Own'!N118="A","A"," ")</f>
        <v xml:space="preserve"> </v>
      </c>
    </row>
    <row r="90" spans="1:22" x14ac:dyDescent="0.2">
      <c r="E90" s="471" t="str">
        <f>'Fun Patches'!C22</f>
        <v>&lt;LIST PATCH HERE&gt;</v>
      </c>
      <c r="F90" s="472"/>
      <c r="G90" s="257" t="str">
        <f>IF('Fun Patches'!N22="A","A"," ")</f>
        <v xml:space="preserve"> </v>
      </c>
      <c r="I90" s="247">
        <v>5</v>
      </c>
      <c r="J90" s="344" t="str">
        <f>'Council Own'!C23</f>
        <v>&lt;List Requirement Here&gt;</v>
      </c>
      <c r="K90" s="257" t="str">
        <f>IF('Council Own'!N23="A","A"," ")</f>
        <v xml:space="preserve"> </v>
      </c>
      <c r="M90" s="247">
        <v>5</v>
      </c>
      <c r="N90" s="344" t="str">
        <f>'Council Own'!C71</f>
        <v>&lt;List Requirement Here&gt;</v>
      </c>
      <c r="O90" s="257" t="str">
        <f>IF('Council Own'!N71="A","A"," ")</f>
        <v xml:space="preserve"> </v>
      </c>
      <c r="Q90" s="247">
        <v>5</v>
      </c>
      <c r="R90" s="344" t="str">
        <f>'Council Own'!C119</f>
        <v>&lt;List Requirement Here&gt;</v>
      </c>
      <c r="S90" s="257" t="str">
        <f>IF('Council Own'!N119="A","A"," ")</f>
        <v xml:space="preserve"> </v>
      </c>
    </row>
    <row r="91" spans="1:22" x14ac:dyDescent="0.2">
      <c r="E91" s="471" t="str">
        <f>'Fun Patches'!C23</f>
        <v>&lt;LIST PATCH HERE&gt;</v>
      </c>
      <c r="F91" s="472"/>
      <c r="G91" s="257" t="str">
        <f>IF('Fun Patches'!N23="A","A"," ")</f>
        <v xml:space="preserve"> </v>
      </c>
      <c r="I91" s="247"/>
      <c r="J91" s="344" t="str">
        <f>'Council Own'!C24</f>
        <v>&lt;List Requirement Here&gt;</v>
      </c>
      <c r="K91" s="257" t="str">
        <f>IF('Council Own'!N24="A","A"," ")</f>
        <v xml:space="preserve"> </v>
      </c>
      <c r="M91" s="247"/>
      <c r="N91" s="344" t="str">
        <f>'Council Own'!C72</f>
        <v>&lt;List Requirement Here&gt;</v>
      </c>
      <c r="O91" s="257" t="str">
        <f>IF('Council Own'!N72="A","A"," ")</f>
        <v xml:space="preserve"> </v>
      </c>
      <c r="Q91" s="247"/>
      <c r="R91" s="344" t="str">
        <f>'Council Own'!C120</f>
        <v>&lt;List Requirement Here&gt;</v>
      </c>
      <c r="S91" s="257" t="str">
        <f>IF('Council Own'!N120="A","A"," ")</f>
        <v xml:space="preserve"> </v>
      </c>
    </row>
    <row r="92" spans="1:22" x14ac:dyDescent="0.2">
      <c r="E92" s="471" t="str">
        <f>'Fun Patches'!C24</f>
        <v>&lt;LIST PATCH HERE&gt;</v>
      </c>
      <c r="F92" s="472"/>
      <c r="G92" s="257" t="str">
        <f>IF('Fun Patches'!N24="A","A"," ")</f>
        <v xml:space="preserve"> </v>
      </c>
      <c r="I92" s="247"/>
      <c r="J92" s="344" t="str">
        <f>'Council Own'!C25</f>
        <v>&lt;List Requirement Here&gt;</v>
      </c>
      <c r="K92" s="257" t="str">
        <f>IF('Council Own'!N25="A","A"," ")</f>
        <v xml:space="preserve"> </v>
      </c>
      <c r="M92" s="247"/>
      <c r="N92" s="344" t="str">
        <f>'Council Own'!C73</f>
        <v>&lt;List Requirement Here&gt;</v>
      </c>
      <c r="O92" s="257" t="str">
        <f>IF('Council Own'!N73="A","A"," ")</f>
        <v xml:space="preserve"> </v>
      </c>
      <c r="Q92" s="247"/>
      <c r="R92" s="344" t="str">
        <f>'Council Own'!C121</f>
        <v>&lt;List Requirement Here&gt;</v>
      </c>
      <c r="S92" s="257" t="str">
        <f>IF('Council Own'!N121="A","A"," ")</f>
        <v xml:space="preserve"> </v>
      </c>
    </row>
    <row r="93" spans="1:22" x14ac:dyDescent="0.2">
      <c r="E93" s="471" t="str">
        <f>'Fun Patches'!C25</f>
        <v>&lt;LIST PATCH HERE&gt;</v>
      </c>
      <c r="F93" s="472"/>
      <c r="G93" s="257" t="str">
        <f>IF('Fun Patches'!N25="A","A"," ")</f>
        <v xml:space="preserve"> </v>
      </c>
      <c r="I93" s="247"/>
      <c r="J93" s="344" t="str">
        <f>'Council Own'!C26</f>
        <v>&lt;List Requirement Here&gt;</v>
      </c>
      <c r="K93" s="257" t="str">
        <f>IF('Council Own'!N26="A","A"," ")</f>
        <v xml:space="preserve"> </v>
      </c>
      <c r="M93" s="247"/>
      <c r="N93" s="344" t="str">
        <f>'Council Own'!C74</f>
        <v>&lt;List Requirement Here&gt;</v>
      </c>
      <c r="O93" s="257" t="str">
        <f>IF('Council Own'!N68="A","A"," ")</f>
        <v xml:space="preserve"> </v>
      </c>
      <c r="Q93" s="247"/>
      <c r="R93" s="344" t="str">
        <f>'Council Own'!C122</f>
        <v>&lt;List Requirement Here&gt;</v>
      </c>
      <c r="S93" s="257" t="str">
        <f>IF('Council Own'!N122="A","A"," ")</f>
        <v xml:space="preserve"> </v>
      </c>
    </row>
    <row r="94" spans="1:22" x14ac:dyDescent="0.2">
      <c r="E94" s="471" t="str">
        <f>'Fun Patches'!C26</f>
        <v>&lt;LIST PATCH HERE&gt;</v>
      </c>
      <c r="F94" s="472"/>
      <c r="G94" s="257" t="str">
        <f>IF('Fun Patches'!N26="A","A","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Patches'!N27="A","A"," ")</f>
        <v xml:space="preserve"> </v>
      </c>
      <c r="I95" s="247">
        <v>1</v>
      </c>
      <c r="J95" s="344" t="str">
        <f>'Council Own'!C31</f>
        <v>&lt;List Requirement Here&gt;</v>
      </c>
      <c r="K95" s="257" t="str">
        <f>IF('Council Own'!N31="A","A"," ")</f>
        <v xml:space="preserve"> </v>
      </c>
      <c r="M95" s="247">
        <v>1</v>
      </c>
      <c r="N95" s="344" t="str">
        <f>'Council Own'!C79</f>
        <v>&lt;List Requirement Here&gt;</v>
      </c>
      <c r="O95" s="257" t="str">
        <f>IF('Council Own'!N79="A","A"," ")</f>
        <v xml:space="preserve"> </v>
      </c>
      <c r="Q95" s="247">
        <v>1</v>
      </c>
      <c r="R95" s="344" t="str">
        <f>'Council Own'!C127</f>
        <v>&lt;List Requirement Here&gt;</v>
      </c>
      <c r="S95" s="257" t="str">
        <f>IF('Council Own'!N127="A","A"," ")</f>
        <v xml:space="preserve"> </v>
      </c>
    </row>
    <row r="96" spans="1:22" x14ac:dyDescent="0.2">
      <c r="E96" s="471" t="str">
        <f>'Fun Patches'!C28</f>
        <v>&lt;LIST PATCH HERE&gt;</v>
      </c>
      <c r="F96" s="472"/>
      <c r="G96" s="257" t="str">
        <f>IF('Fun Patches'!N28="A","A"," ")</f>
        <v xml:space="preserve"> </v>
      </c>
      <c r="I96" s="247"/>
      <c r="J96" s="344" t="str">
        <f>'Council Own'!C32</f>
        <v>&lt;List Requirement Here&gt;</v>
      </c>
      <c r="K96" s="257" t="str">
        <f>IF('Council Own'!N32="A","A"," ")</f>
        <v xml:space="preserve"> </v>
      </c>
      <c r="M96" s="247"/>
      <c r="N96" s="344" t="str">
        <f>'Council Own'!C80</f>
        <v>&lt;List Requirement Here&gt;</v>
      </c>
      <c r="O96" s="257" t="str">
        <f>IF('Council Own'!N80="A","A"," ")</f>
        <v xml:space="preserve"> </v>
      </c>
      <c r="Q96" s="247"/>
      <c r="R96" s="344" t="str">
        <f>'Council Own'!C128</f>
        <v>&lt;List Requirement Here&gt;</v>
      </c>
      <c r="S96" s="257" t="str">
        <f>IF('Council Own'!N128="A","A"," ")</f>
        <v xml:space="preserve"> </v>
      </c>
      <c r="U96" s="245"/>
      <c r="V96" s="245"/>
    </row>
    <row r="97" spans="1:23" x14ac:dyDescent="0.2">
      <c r="E97" s="471" t="str">
        <f>'Fun Patches'!C29</f>
        <v>&lt;LIST PATCH HERE&gt;</v>
      </c>
      <c r="F97" s="472"/>
      <c r="G97" s="257" t="str">
        <f>IF('Fun Patches'!N29="A","A"," ")</f>
        <v xml:space="preserve"> </v>
      </c>
      <c r="I97" s="247"/>
      <c r="J97" s="344" t="str">
        <f>'Council Own'!C33</f>
        <v>&lt;List Requirement Here&gt;</v>
      </c>
      <c r="K97" s="257" t="str">
        <f>IF('Council Own'!N33="A","A"," ")</f>
        <v xml:space="preserve"> </v>
      </c>
      <c r="M97" s="247"/>
      <c r="N97" s="344" t="str">
        <f>'Council Own'!C81</f>
        <v>&lt;List Requirement Here&gt;</v>
      </c>
      <c r="O97" s="257" t="str">
        <f>IF('Council Own'!N81="A","A"," ")</f>
        <v xml:space="preserve"> </v>
      </c>
      <c r="Q97" s="247"/>
      <c r="R97" s="344" t="str">
        <f>'Council Own'!C129</f>
        <v>&lt;List Requirement Here&gt;</v>
      </c>
      <c r="S97" s="257" t="str">
        <f>IF('Council Own'!N129="A","A"," ")</f>
        <v xml:space="preserve"> </v>
      </c>
      <c r="U97" s="245"/>
      <c r="V97" s="245"/>
    </row>
    <row r="98" spans="1:23" x14ac:dyDescent="0.2">
      <c r="A98" s="484" t="s">
        <v>75</v>
      </c>
      <c r="B98" s="484"/>
      <c r="C98" s="484"/>
      <c r="E98" s="471" t="str">
        <f>'Fun Patches'!C30</f>
        <v>&lt;LIST PATCH HERE&gt;</v>
      </c>
      <c r="F98" s="472"/>
      <c r="G98" s="257" t="str">
        <f>IF('Fun Patches'!N30="A","A"," ")</f>
        <v xml:space="preserve"> </v>
      </c>
      <c r="I98" s="247"/>
      <c r="J98" s="344" t="str">
        <f>'Council Own'!C34</f>
        <v>&lt;List Requirement Here&gt;</v>
      </c>
      <c r="K98" s="257" t="str">
        <f>IF('Council Own'!N34="A","A"," ")</f>
        <v xml:space="preserve"> </v>
      </c>
      <c r="M98" s="247"/>
      <c r="N98" s="344" t="str">
        <f>'Council Own'!C82</f>
        <v>&lt;List Requirement Here&gt;</v>
      </c>
      <c r="O98" s="257" t="str">
        <f>IF('Council Own'!N82="A","A"," ")</f>
        <v xml:space="preserve"> </v>
      </c>
      <c r="Q98" s="247"/>
      <c r="R98" s="344" t="str">
        <f>'Council Own'!C130</f>
        <v>&lt;List Requirement Here&gt;</v>
      </c>
      <c r="S98" s="257" t="str">
        <f>IF('Council Own'!N130="A","A"," ")</f>
        <v xml:space="preserve"> </v>
      </c>
      <c r="U98" s="245"/>
      <c r="V98" s="245"/>
    </row>
    <row r="99" spans="1:23" ht="14.25" customHeight="1" x14ac:dyDescent="0.2">
      <c r="A99" s="481" t="s">
        <v>72</v>
      </c>
      <c r="B99" s="482"/>
      <c r="C99" s="483"/>
      <c r="E99" s="471" t="str">
        <f>'Fun Patches'!C31</f>
        <v>&lt;LIST PATCH HERE&gt;</v>
      </c>
      <c r="F99" s="472"/>
      <c r="G99" s="257" t="str">
        <f>IF('Fun Patches'!N31="A","A"," ")</f>
        <v xml:space="preserve"> </v>
      </c>
      <c r="I99" s="247">
        <v>2</v>
      </c>
      <c r="J99" s="344" t="str">
        <f>'Council Own'!C35</f>
        <v>&lt;List Requirement Here&gt;</v>
      </c>
      <c r="K99" s="257" t="str">
        <f>IF('Council Own'!N35="A","A"," ")</f>
        <v xml:space="preserve"> </v>
      </c>
      <c r="M99" s="247">
        <v>2</v>
      </c>
      <c r="N99" s="344" t="str">
        <f>'Council Own'!C83</f>
        <v>&lt;List Requirement Here&gt;</v>
      </c>
      <c r="O99" s="257" t="str">
        <f>IF('Council Own'!N83="A","A"," ")</f>
        <v xml:space="preserve"> </v>
      </c>
      <c r="Q99" s="247">
        <v>2</v>
      </c>
      <c r="R99" s="344" t="str">
        <f>'Council Own'!C131</f>
        <v>&lt;List Requirement Here&gt;</v>
      </c>
      <c r="S99" s="257" t="str">
        <f>IF('Council Own'!N131="A","A"," ")</f>
        <v xml:space="preserve"> </v>
      </c>
      <c r="U99" s="245"/>
      <c r="V99" s="245"/>
    </row>
    <row r="100" spans="1:23" x14ac:dyDescent="0.2">
      <c r="A100" s="481" t="s">
        <v>73</v>
      </c>
      <c r="B100" s="482"/>
      <c r="C100" s="483"/>
      <c r="E100" s="471" t="str">
        <f>'Fun Patches'!C32</f>
        <v>&lt;LIST PATCH HERE&gt;</v>
      </c>
      <c r="F100" s="472"/>
      <c r="G100" s="257" t="str">
        <f>IF('Fun Patches'!N32="A","A"," ")</f>
        <v xml:space="preserve"> </v>
      </c>
      <c r="I100" s="247"/>
      <c r="J100" s="344" t="str">
        <f>'Council Own'!C36</f>
        <v>&lt;List Requirement Here&gt;</v>
      </c>
      <c r="K100" s="257" t="str">
        <f>IF('Council Own'!N36="A","A"," ")</f>
        <v xml:space="preserve"> </v>
      </c>
      <c r="M100" s="247"/>
      <c r="N100" s="344" t="str">
        <f>'Council Own'!C84</f>
        <v>&lt;List Requirement Here&gt;</v>
      </c>
      <c r="O100" s="257" t="str">
        <f>IF('Council Own'!N84="A","A"," ")</f>
        <v xml:space="preserve"> </v>
      </c>
      <c r="Q100" s="247"/>
      <c r="R100" s="344" t="str">
        <f>'Council Own'!C132</f>
        <v>&lt;List Requirement Here&gt;</v>
      </c>
      <c r="S100" s="257" t="str">
        <f>IF('Council Own'!N132="A","A"," ")</f>
        <v xml:space="preserve"> </v>
      </c>
      <c r="U100" s="337"/>
      <c r="V100" s="338"/>
      <c r="W100" s="341"/>
    </row>
    <row r="101" spans="1:23" x14ac:dyDescent="0.2">
      <c r="A101" s="468" t="s">
        <v>74</v>
      </c>
      <c r="B101" s="469"/>
      <c r="C101" s="470"/>
      <c r="E101" s="471" t="str">
        <f>'Fun Patches'!C33</f>
        <v>&lt;LIST PATCH HERE&gt;</v>
      </c>
      <c r="F101" s="472"/>
      <c r="G101" s="257" t="str">
        <f>IF('Fun Patches'!N33="A","A"," ")</f>
        <v xml:space="preserve"> </v>
      </c>
      <c r="I101" s="247"/>
      <c r="J101" s="344" t="str">
        <f>'Council Own'!C37</f>
        <v>&lt;List Requirement Here&gt;</v>
      </c>
      <c r="K101" s="257" t="str">
        <f>IF('Council Own'!N37="A","A"," ")</f>
        <v xml:space="preserve"> </v>
      </c>
      <c r="M101" s="247"/>
      <c r="N101" s="344" t="str">
        <f>'Council Own'!C85</f>
        <v>&lt;List Requirement Here&gt;</v>
      </c>
      <c r="O101" s="257" t="str">
        <f>IF('Council Own'!N85="A","A"," ")</f>
        <v xml:space="preserve"> </v>
      </c>
      <c r="Q101" s="247"/>
      <c r="R101" s="344" t="str">
        <f>'Council Own'!C133</f>
        <v>&lt;List Requirement Here&gt;</v>
      </c>
      <c r="S101" s="257" t="str">
        <f>IF('Council Own'!N133="A","A"," ")</f>
        <v xml:space="preserve"> </v>
      </c>
      <c r="U101" s="245"/>
      <c r="V101" s="245"/>
    </row>
    <row r="102" spans="1:23" x14ac:dyDescent="0.2">
      <c r="E102" s="471" t="str">
        <f>'Fun Patches'!C34</f>
        <v>&lt;LIST PATCH HERE&gt;</v>
      </c>
      <c r="F102" s="472"/>
      <c r="G102" s="257" t="str">
        <f>IF('Fun Patches'!N34="A","A"," ")</f>
        <v xml:space="preserve"> </v>
      </c>
      <c r="I102" s="247"/>
      <c r="J102" s="344" t="str">
        <f>'Council Own'!C38</f>
        <v>&lt;List Requirement Here&gt;</v>
      </c>
      <c r="K102" s="257" t="str">
        <f>IF('Council Own'!N38="A","A"," ")</f>
        <v xml:space="preserve"> </v>
      </c>
      <c r="M102" s="247"/>
      <c r="N102" s="344" t="str">
        <f>'Council Own'!C86</f>
        <v>&lt;List Requirement Here&gt;</v>
      </c>
      <c r="O102" s="257" t="str">
        <f>IF('Council Own'!N86="A","A"," ")</f>
        <v xml:space="preserve"> </v>
      </c>
      <c r="Q102" s="247"/>
      <c r="R102" s="344" t="str">
        <f>'Council Own'!C134</f>
        <v>&lt;List Requirement Here&gt;</v>
      </c>
      <c r="S102" s="257" t="str">
        <f>IF('Council Own'!N134="A","A"," ")</f>
        <v xml:space="preserve"> </v>
      </c>
      <c r="U102" s="245"/>
      <c r="V102" s="245"/>
    </row>
    <row r="103" spans="1:23" x14ac:dyDescent="0.2">
      <c r="E103" s="471" t="str">
        <f>'Fun Patches'!C35</f>
        <v>&lt;LIST PATCH HERE&gt;</v>
      </c>
      <c r="F103" s="472"/>
      <c r="G103" s="257" t="str">
        <f>IF('Fun Patches'!N35="A","A"," ")</f>
        <v xml:space="preserve"> </v>
      </c>
      <c r="I103" s="247">
        <v>3</v>
      </c>
      <c r="J103" s="344" t="str">
        <f>'Council Own'!C39</f>
        <v>&lt;List Requirement Here&gt;</v>
      </c>
      <c r="K103" s="257" t="str">
        <f>IF('Council Own'!N39="A","A"," ")</f>
        <v xml:space="preserve"> </v>
      </c>
      <c r="M103" s="247">
        <v>3</v>
      </c>
      <c r="N103" s="344" t="str">
        <f>'Council Own'!C87</f>
        <v>&lt;List Requirement Here&gt;</v>
      </c>
      <c r="O103" s="257" t="str">
        <f>IF('Council Own'!N87="A","A"," ")</f>
        <v xml:space="preserve"> </v>
      </c>
      <c r="Q103" s="247">
        <v>3</v>
      </c>
      <c r="R103" s="344" t="str">
        <f>'Council Own'!C135</f>
        <v>&lt;List Requirement Here&gt;</v>
      </c>
      <c r="S103" s="257" t="str">
        <f>IF('Council Own'!N135="A","A"," ")</f>
        <v xml:space="preserve"> </v>
      </c>
      <c r="U103" s="245"/>
      <c r="V103" s="245"/>
    </row>
    <row r="104" spans="1:23" x14ac:dyDescent="0.2">
      <c r="E104" s="471" t="str">
        <f>'Fun Patches'!C36</f>
        <v>&lt;LIST PATCH HERE&gt;</v>
      </c>
      <c r="F104" s="472"/>
      <c r="G104" s="257" t="str">
        <f>IF('Fun Patches'!N36="A","A"," ")</f>
        <v xml:space="preserve"> </v>
      </c>
      <c r="I104" s="247"/>
      <c r="J104" s="344" t="str">
        <f>'Council Own'!C40</f>
        <v>&lt;List Requirement Here&gt;</v>
      </c>
      <c r="K104" s="257" t="str">
        <f>IF('Council Own'!N40="A","A"," ")</f>
        <v xml:space="preserve"> </v>
      </c>
      <c r="M104" s="247"/>
      <c r="N104" s="344" t="str">
        <f>'Council Own'!C88</f>
        <v>&lt;List Requirement Here&gt;</v>
      </c>
      <c r="O104" s="257" t="str">
        <f>IF('Council Own'!N88="A","A"," ")</f>
        <v xml:space="preserve"> </v>
      </c>
      <c r="Q104" s="247"/>
      <c r="R104" s="344" t="str">
        <f>'Council Own'!C136</f>
        <v>&lt;List Requirement Here&gt;</v>
      </c>
      <c r="S104" s="257" t="str">
        <f>IF('Council Own'!N136="A","A"," ")</f>
        <v xml:space="preserve"> </v>
      </c>
      <c r="U104" s="245"/>
      <c r="V104" s="245"/>
    </row>
    <row r="105" spans="1:23" x14ac:dyDescent="0.2">
      <c r="E105" s="471" t="str">
        <f>'Fun Patches'!C37</f>
        <v>&lt;LIST PATCH HERE&gt;</v>
      </c>
      <c r="F105" s="472"/>
      <c r="G105" s="257" t="str">
        <f>IF('Fun Patches'!N37="A","A"," ")</f>
        <v xml:space="preserve"> </v>
      </c>
      <c r="I105" s="247"/>
      <c r="J105" s="344" t="str">
        <f>'Council Own'!C41</f>
        <v>&lt;List Requirement Here&gt;</v>
      </c>
      <c r="K105" s="257" t="str">
        <f>IF('Council Own'!N41="A","A"," ")</f>
        <v xml:space="preserve"> </v>
      </c>
      <c r="M105" s="247"/>
      <c r="N105" s="344" t="str">
        <f>'Council Own'!C89</f>
        <v>&lt;List Requirement Here&gt;</v>
      </c>
      <c r="O105" s="257" t="str">
        <f>IF('Council Own'!N89="A","A"," ")</f>
        <v xml:space="preserve"> </v>
      </c>
      <c r="Q105" s="247"/>
      <c r="R105" s="344" t="str">
        <f>'Council Own'!C137</f>
        <v>&lt;List Requirement Here&gt;</v>
      </c>
      <c r="S105" s="257" t="str">
        <f>IF('Council Own'!N137="A","A"," ")</f>
        <v xml:space="preserve"> </v>
      </c>
      <c r="U105" s="245"/>
      <c r="V105" s="245"/>
    </row>
    <row r="106" spans="1:23" x14ac:dyDescent="0.2">
      <c r="E106" s="471" t="str">
        <f>'Fun Patches'!C38</f>
        <v>&lt;LIST PATCH HERE&gt;</v>
      </c>
      <c r="F106" s="472"/>
      <c r="G106" s="257" t="str">
        <f>IF('Fun Patches'!N38="A","A"," ")</f>
        <v xml:space="preserve"> </v>
      </c>
      <c r="I106" s="247"/>
      <c r="J106" s="344" t="str">
        <f>'Council Own'!C42</f>
        <v>&lt;List Requirement Here&gt;</v>
      </c>
      <c r="K106" s="257" t="str">
        <f>IF('Council Own'!N42="A","A"," ")</f>
        <v xml:space="preserve"> </v>
      </c>
      <c r="M106" s="247"/>
      <c r="N106" s="344" t="str">
        <f>'Council Own'!C90</f>
        <v>&lt;List Requirement Here&gt;</v>
      </c>
      <c r="O106" s="257" t="str">
        <f>IF('Council Own'!N90="A","A"," ")</f>
        <v xml:space="preserve"> </v>
      </c>
      <c r="Q106" s="247"/>
      <c r="R106" s="344" t="str">
        <f>'Council Own'!C138</f>
        <v>&lt;List Requirement Here&gt;</v>
      </c>
      <c r="S106" s="257" t="str">
        <f>IF('Council Own'!N138="A","A"," ")</f>
        <v xml:space="preserve"> </v>
      </c>
      <c r="U106" s="245"/>
      <c r="V106" s="245"/>
    </row>
    <row r="107" spans="1:23" x14ac:dyDescent="0.2">
      <c r="E107" s="284"/>
      <c r="F107" s="263"/>
      <c r="G107" s="341"/>
      <c r="I107" s="247">
        <v>4</v>
      </c>
      <c r="J107" s="344" t="str">
        <f>'Council Own'!C43</f>
        <v>&lt;List Requirement Here&gt;</v>
      </c>
      <c r="K107" s="257" t="str">
        <f>IF('Council Own'!N43="A","A"," ")</f>
        <v xml:space="preserve"> </v>
      </c>
      <c r="M107" s="247">
        <v>4</v>
      </c>
      <c r="N107" s="344" t="str">
        <f>'Council Own'!C91</f>
        <v>&lt;List Requirement Here&gt;</v>
      </c>
      <c r="O107" s="257" t="str">
        <f>IF('Council Own'!N91="A","A"," ")</f>
        <v xml:space="preserve"> </v>
      </c>
      <c r="Q107" s="247">
        <v>4</v>
      </c>
      <c r="R107" s="344" t="str">
        <f>'Council Own'!C139</f>
        <v>&lt;List Requirement Here&gt;</v>
      </c>
      <c r="S107" s="257" t="str">
        <f>IF('Council Own'!N139="A","A"," ")</f>
        <v xml:space="preserve"> </v>
      </c>
      <c r="U107" s="245"/>
      <c r="V107" s="245"/>
    </row>
    <row r="108" spans="1:23" x14ac:dyDescent="0.2">
      <c r="I108" s="247"/>
      <c r="J108" s="344" t="str">
        <f>'Council Own'!C44</f>
        <v>&lt;List Requirement Here&gt;</v>
      </c>
      <c r="K108" s="257" t="str">
        <f>IF('Council Own'!N44="A","A"," ")</f>
        <v xml:space="preserve"> </v>
      </c>
      <c r="M108" s="247"/>
      <c r="N108" s="344" t="str">
        <f>'Council Own'!C92</f>
        <v>&lt;List Requirement Here&gt;</v>
      </c>
      <c r="O108" s="257" t="str">
        <f>IF('Council Own'!N92="A","A"," ")</f>
        <v xml:space="preserve"> </v>
      </c>
      <c r="Q108" s="247"/>
      <c r="R108" s="344" t="str">
        <f>'Council Own'!C140</f>
        <v>&lt;List Requirement Here&gt;</v>
      </c>
      <c r="S108" s="257" t="str">
        <f>IF('Council Own'!N140="A","A"," ")</f>
        <v xml:space="preserve"> </v>
      </c>
      <c r="U108" s="245"/>
      <c r="V108" s="245"/>
    </row>
    <row r="109" spans="1:23" x14ac:dyDescent="0.2">
      <c r="I109" s="247"/>
      <c r="J109" s="344" t="str">
        <f>'Council Own'!C45</f>
        <v>&lt;List Requirement Here&gt;</v>
      </c>
      <c r="K109" s="257" t="str">
        <f>IF('Council Own'!N45="A","A"," ")</f>
        <v xml:space="preserve"> </v>
      </c>
      <c r="M109" s="247"/>
      <c r="N109" s="344" t="str">
        <f>'Council Own'!C93</f>
        <v>&lt;List Requirement Here&gt;</v>
      </c>
      <c r="O109" s="257" t="str">
        <f>IF('Council Own'!N93="A","A"," ")</f>
        <v xml:space="preserve"> </v>
      </c>
      <c r="Q109" s="247"/>
      <c r="R109" s="344" t="str">
        <f>'Council Own'!C141</f>
        <v>&lt;List Requirement Here&gt;</v>
      </c>
      <c r="S109" s="257" t="str">
        <f>IF('Council Own'!N141="A","A"," ")</f>
        <v xml:space="preserve"> </v>
      </c>
      <c r="U109" s="245"/>
      <c r="V109" s="245"/>
    </row>
    <row r="110" spans="1:23" x14ac:dyDescent="0.2">
      <c r="I110" s="247"/>
      <c r="J110" s="344" t="str">
        <f>'Council Own'!C46</f>
        <v>&lt;List Requirement Here&gt;</v>
      </c>
      <c r="K110" s="257" t="str">
        <f>IF('Council Own'!N46="A","A"," ")</f>
        <v xml:space="preserve"> </v>
      </c>
      <c r="M110" s="247"/>
      <c r="N110" s="344" t="str">
        <f>'Council Own'!C94</f>
        <v>&lt;List Requirement Here&gt;</v>
      </c>
      <c r="O110" s="257" t="str">
        <f>IF('Council Own'!N94="A","A"," ")</f>
        <v xml:space="preserve"> </v>
      </c>
      <c r="Q110" s="247"/>
      <c r="R110" s="344" t="str">
        <f>'Council Own'!C142</f>
        <v>&lt;List Requirement Here&gt;</v>
      </c>
      <c r="S110" s="257" t="str">
        <f>IF('Council Own'!N142="A","A"," ")</f>
        <v xml:space="preserve"> </v>
      </c>
      <c r="U110" s="245"/>
      <c r="V110" s="245"/>
    </row>
    <row r="111" spans="1:23" x14ac:dyDescent="0.2">
      <c r="I111" s="247">
        <v>5</v>
      </c>
      <c r="J111" s="344" t="str">
        <f>'Council Own'!C47</f>
        <v>&lt;List Requirement Here&gt;</v>
      </c>
      <c r="K111" s="257" t="str">
        <f>IF('Council Own'!N47="A","A"," ")</f>
        <v xml:space="preserve"> </v>
      </c>
      <c r="M111" s="247">
        <v>5</v>
      </c>
      <c r="N111" s="344" t="str">
        <f>'Council Own'!C95</f>
        <v>&lt;List Requirement Here&gt;</v>
      </c>
      <c r="O111" s="257" t="str">
        <f>IF('Council Own'!N95="A","A"," ")</f>
        <v xml:space="preserve"> </v>
      </c>
      <c r="Q111" s="247">
        <v>5</v>
      </c>
      <c r="R111" s="344" t="str">
        <f>'Council Own'!C143</f>
        <v>&lt;List Requirement Here&gt;</v>
      </c>
      <c r="S111" s="257" t="str">
        <f>IF('Council Own'!N143="A","A"," ")</f>
        <v xml:space="preserve"> </v>
      </c>
      <c r="U111" s="338"/>
      <c r="V111" s="338"/>
      <c r="W111" s="341"/>
    </row>
    <row r="112" spans="1:23" x14ac:dyDescent="0.2">
      <c r="I112" s="247"/>
      <c r="J112" s="344" t="str">
        <f>'Council Own'!C48</f>
        <v>&lt;List Requirement Here&gt;</v>
      </c>
      <c r="K112" s="257" t="str">
        <f>IF('Council Own'!N48="A","A"," ")</f>
        <v xml:space="preserve"> </v>
      </c>
      <c r="M112" s="247"/>
      <c r="N112" s="344" t="str">
        <f>'Council Own'!C96</f>
        <v>&lt;List Requirement Here&gt;</v>
      </c>
      <c r="O112" s="257" t="str">
        <f>IF('Council Own'!N96="A","A"," ")</f>
        <v xml:space="preserve"> </v>
      </c>
      <c r="Q112" s="247"/>
      <c r="R112" s="344" t="str">
        <f>'Council Own'!C144</f>
        <v>&lt;List Requirement Here&gt;</v>
      </c>
      <c r="S112" s="257" t="str">
        <f>IF('Council Own'!N144="A","A"," ")</f>
        <v xml:space="preserve"> </v>
      </c>
      <c r="U112" s="245"/>
      <c r="V112" s="245"/>
    </row>
    <row r="113" spans="9:22" x14ac:dyDescent="0.2">
      <c r="I113" s="247"/>
      <c r="J113" s="344" t="str">
        <f>'Council Own'!C49</f>
        <v>&lt;List Requirement Here&gt;</v>
      </c>
      <c r="K113" s="257" t="str">
        <f>IF('Council Own'!N49="A","A"," ")</f>
        <v xml:space="preserve"> </v>
      </c>
      <c r="M113" s="247"/>
      <c r="N113" s="344" t="str">
        <f>'Council Own'!C97</f>
        <v>&lt;List Requirement Here&gt;</v>
      </c>
      <c r="O113" s="257" t="str">
        <f>IF('Council Own'!N97="A","A"," ")</f>
        <v xml:space="preserve"> </v>
      </c>
      <c r="Q113" s="247"/>
      <c r="R113" s="344" t="str">
        <f>'Council Own'!C145</f>
        <v>&lt;List Requirement Here&gt;</v>
      </c>
      <c r="S113" s="257" t="str">
        <f>IF('Council Own'!N145="A","A"," ")</f>
        <v xml:space="preserve"> </v>
      </c>
      <c r="U113" s="245"/>
      <c r="V113" s="245"/>
    </row>
    <row r="114" spans="9:22" x14ac:dyDescent="0.2">
      <c r="I114" s="247"/>
      <c r="J114" s="344" t="str">
        <f>'Council Own'!C50</f>
        <v>&lt;List Requirement Here&gt;</v>
      </c>
      <c r="K114" s="257" t="str">
        <f>IF('Council Own'!N50="A","A"," ")</f>
        <v xml:space="preserve"> </v>
      </c>
      <c r="M114" s="247"/>
      <c r="N114" s="344" t="str">
        <f>'Council Own'!C98</f>
        <v>&lt;List Requirement Here&gt;</v>
      </c>
      <c r="O114" s="257" t="str">
        <f>IF('Council Own'!N98="A","A"," ")</f>
        <v xml:space="preserve"> </v>
      </c>
      <c r="Q114" s="247"/>
      <c r="R114" s="344" t="str">
        <f>'Council Own'!C146</f>
        <v>&lt;List Requirement Here&gt;</v>
      </c>
      <c r="S114" s="257" t="str">
        <f>IF('Council Own'!N146="A","A","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sheetData>
  <sheetProtection password="9A15" sheet="1" objects="1" scenarios="1"/>
  <mergeCells count="113">
    <mergeCell ref="A3:B3"/>
    <mergeCell ref="Q3:R3"/>
    <mergeCell ref="A4:C4"/>
    <mergeCell ref="Q4:R4"/>
    <mergeCell ref="A5:B5"/>
    <mergeCell ref="Q5:R5"/>
    <mergeCell ref="A1:C1"/>
    <mergeCell ref="E1:G1"/>
    <mergeCell ref="I1:K1"/>
    <mergeCell ref="M1:O1"/>
    <mergeCell ref="Q1:S1"/>
    <mergeCell ref="E2:G2"/>
    <mergeCell ref="Q2:R2"/>
    <mergeCell ref="A9:B9"/>
    <mergeCell ref="Q9:R9"/>
    <mergeCell ref="A10:B10"/>
    <mergeCell ref="Q10:R10"/>
    <mergeCell ref="A11:B11"/>
    <mergeCell ref="Q11:R11"/>
    <mergeCell ref="A6:B6"/>
    <mergeCell ref="Q6:R6"/>
    <mergeCell ref="A7:B7"/>
    <mergeCell ref="Q7:R7"/>
    <mergeCell ref="A8:B8"/>
    <mergeCell ref="Q8:R8"/>
    <mergeCell ref="A15:B15"/>
    <mergeCell ref="Q15:R15"/>
    <mergeCell ref="A16:B16"/>
    <mergeCell ref="Q16:R16"/>
    <mergeCell ref="A17:B17"/>
    <mergeCell ref="Q17:R17"/>
    <mergeCell ref="A12:B12"/>
    <mergeCell ref="Q12:R12"/>
    <mergeCell ref="A13:C13"/>
    <mergeCell ref="Q13:R13"/>
    <mergeCell ref="A14:B14"/>
    <mergeCell ref="Q14:R14"/>
    <mergeCell ref="A21:C21"/>
    <mergeCell ref="Q21:R21"/>
    <mergeCell ref="A22:B22"/>
    <mergeCell ref="A23:B23"/>
    <mergeCell ref="E23:G23"/>
    <mergeCell ref="A24:C24"/>
    <mergeCell ref="A18:B18"/>
    <mergeCell ref="Q18:R18"/>
    <mergeCell ref="A19:B19"/>
    <mergeCell ref="Q19:R19"/>
    <mergeCell ref="A20:B20"/>
    <mergeCell ref="Q20:R20"/>
    <mergeCell ref="B34:C34"/>
    <mergeCell ref="Q34:R34"/>
    <mergeCell ref="B35:C35"/>
    <mergeCell ref="B42:C42"/>
    <mergeCell ref="Q42:R42"/>
    <mergeCell ref="B43:C43"/>
    <mergeCell ref="A25:B25"/>
    <mergeCell ref="A26:B26"/>
    <mergeCell ref="A28:C28"/>
    <mergeCell ref="Q28:R28"/>
    <mergeCell ref="B29:C29"/>
    <mergeCell ref="B30:C30"/>
    <mergeCell ref="A73:B73"/>
    <mergeCell ref="E73:F73"/>
    <mergeCell ref="A74:B74"/>
    <mergeCell ref="E74:F74"/>
    <mergeCell ref="A75:B75"/>
    <mergeCell ref="E75:F75"/>
    <mergeCell ref="E45:G45"/>
    <mergeCell ref="A49:C49"/>
    <mergeCell ref="Q55:S55"/>
    <mergeCell ref="A72:C72"/>
    <mergeCell ref="E72:G72"/>
    <mergeCell ref="I72:K72"/>
    <mergeCell ref="M72:O72"/>
    <mergeCell ref="Q72:S72"/>
    <mergeCell ref="E79:F79"/>
    <mergeCell ref="E80:F80"/>
    <mergeCell ref="E81:F81"/>
    <mergeCell ref="E82:F82"/>
    <mergeCell ref="E83:F83"/>
    <mergeCell ref="E84:F84"/>
    <mergeCell ref="A76:B76"/>
    <mergeCell ref="E76:F76"/>
    <mergeCell ref="A77:B77"/>
    <mergeCell ref="E77:F77"/>
    <mergeCell ref="A78:B78"/>
    <mergeCell ref="E78:F78"/>
    <mergeCell ref="E91:F91"/>
    <mergeCell ref="E92:F92"/>
    <mergeCell ref="E93:F93"/>
    <mergeCell ref="E94:F94"/>
    <mergeCell ref="E95:F95"/>
    <mergeCell ref="E96:F96"/>
    <mergeCell ref="E85:F85"/>
    <mergeCell ref="E86:F86"/>
    <mergeCell ref="E87:F87"/>
    <mergeCell ref="E88:F88"/>
    <mergeCell ref="E89:F89"/>
    <mergeCell ref="E90:F90"/>
    <mergeCell ref="E106:F106"/>
    <mergeCell ref="A101:C101"/>
    <mergeCell ref="E101:F101"/>
    <mergeCell ref="E102:F102"/>
    <mergeCell ref="E103:F103"/>
    <mergeCell ref="E104:F104"/>
    <mergeCell ref="E105:F105"/>
    <mergeCell ref="E97:F97"/>
    <mergeCell ref="A98:C98"/>
    <mergeCell ref="E98:F98"/>
    <mergeCell ref="A99:C99"/>
    <mergeCell ref="E99:F99"/>
    <mergeCell ref="A100:C100"/>
    <mergeCell ref="E100:F100"/>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W121"/>
  <sheetViews>
    <sheetView workbookViewId="0">
      <selection activeCell="K13" sqref="K13"/>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3.25" x14ac:dyDescent="0.35">
      <c r="A1" s="512" t="str">
        <f ca="1">MID(CELL("filename",A1),FIND(IF(ISERROR(FIND("]",CELL("filename",A1))),"$","]"),CELL("filename",A1))+1,256)</f>
        <v>Ambassador 12</v>
      </c>
      <c r="B1" s="512"/>
      <c r="C1" s="512"/>
      <c r="D1" s="265"/>
      <c r="E1" s="506" t="s">
        <v>15</v>
      </c>
      <c r="F1" s="506"/>
      <c r="G1" s="506"/>
      <c r="I1" s="506" t="s">
        <v>15</v>
      </c>
      <c r="J1" s="506"/>
      <c r="K1" s="506"/>
      <c r="M1" s="506" t="s">
        <v>15</v>
      </c>
      <c r="N1" s="506"/>
      <c r="O1" s="506"/>
      <c r="Q1" s="506" t="s">
        <v>135</v>
      </c>
      <c r="R1" s="506"/>
      <c r="S1" s="506"/>
      <c r="T1" s="239"/>
      <c r="U1" s="239"/>
    </row>
    <row r="2" spans="1:21" s="245" customFormat="1" ht="13.5" thickBot="1" x14ac:dyDescent="0.25">
      <c r="A2" s="242"/>
      <c r="B2" s="243"/>
      <c r="C2" s="244" t="s">
        <v>16</v>
      </c>
      <c r="D2" s="243"/>
      <c r="E2" s="492" t="str">
        <f>Badges!B6</f>
        <v>Photography</v>
      </c>
      <c r="F2" s="492"/>
      <c r="G2" s="492"/>
      <c r="H2" s="241"/>
      <c r="I2" s="247">
        <v>3</v>
      </c>
      <c r="J2" s="248" t="str">
        <f>Badges!C61</f>
        <v>Dig into national or state public policy</v>
      </c>
      <c r="K2" s="249"/>
      <c r="L2" s="241"/>
      <c r="M2" s="247">
        <v>3</v>
      </c>
      <c r="N2" s="248" t="str">
        <f>Badges!C130</f>
        <v>Share sisterhood around the world</v>
      </c>
      <c r="O2" s="249"/>
      <c r="P2" s="241"/>
      <c r="Q2" s="493" t="str">
        <f>'Age-Level'!B5</f>
        <v>Gold Torch Award</v>
      </c>
      <c r="R2" s="494"/>
      <c r="S2" s="251" t="str">
        <f>IF('Age-Level'!O8="C","C",IF('Age-Level'!O8="P","P",""))</f>
        <v/>
      </c>
      <c r="T2" s="239"/>
      <c r="U2" s="239"/>
    </row>
    <row r="3" spans="1:21" x14ac:dyDescent="0.2">
      <c r="A3" s="510" t="s">
        <v>132</v>
      </c>
      <c r="B3" s="511"/>
      <c r="C3" s="246">
        <f>INT(COUNTIF(C5:C12,"C"))+INT(COUNTIF(C14:C26,"C"))</f>
        <v>0</v>
      </c>
      <c r="E3" s="247">
        <v>1</v>
      </c>
      <c r="F3" s="248" t="str">
        <f>Badges!C7</f>
        <v>Expore the power of photography</v>
      </c>
      <c r="G3" s="249"/>
      <c r="I3" s="247"/>
      <c r="J3" s="248" t="str">
        <f>Badges!C62</f>
        <v>Track your issue</v>
      </c>
      <c r="K3" s="250" t="str">
        <f>IF(Badges!O62="A","A"," ")</f>
        <v xml:space="preserve"> </v>
      </c>
      <c r="M3" s="247"/>
      <c r="N3" s="248" t="str">
        <f>Badges!C131</f>
        <v>Explore an issue affecting girls and</v>
      </c>
      <c r="O3" s="250" t="str">
        <f>IF(Badges!O131="A","A"," ")</f>
        <v xml:space="preserve"> </v>
      </c>
      <c r="Q3" s="471" t="str">
        <f>'Age-Level'!B9</f>
        <v>Ambassador Community Service bar</v>
      </c>
      <c r="R3" s="472"/>
      <c r="S3" s="251" t="str">
        <f>IF('Age-Level'!O9="C","C",IF('Age-Level'!O9="P","P",""))</f>
        <v/>
      </c>
      <c r="T3" s="239"/>
      <c r="U3" s="239"/>
    </row>
    <row r="4" spans="1:21" x14ac:dyDescent="0.2">
      <c r="A4" s="500" t="str">
        <f>Summary!A3</f>
        <v>Legacy</v>
      </c>
      <c r="B4" s="500"/>
      <c r="C4" s="500"/>
      <c r="E4" s="247"/>
      <c r="F4" s="248" t="str">
        <f>Badges!C8</f>
        <v>Go to a photography exhibit</v>
      </c>
      <c r="G4" s="250" t="str">
        <f>IF(Badges!O8="A","A"," ")</f>
        <v xml:space="preserve"> </v>
      </c>
      <c r="I4" s="247"/>
      <c r="J4" s="248" t="str">
        <f>Badges!C63</f>
        <v>Talk to an interest gorup that promotes</v>
      </c>
      <c r="K4" s="250" t="str">
        <f>IF(Badges!O63="A","A"," ")</f>
        <v xml:space="preserve"> </v>
      </c>
      <c r="M4" s="247"/>
      <c r="N4" s="248" t="str">
        <f>Badges!C132</f>
        <v>Organize an event on women and STEM</v>
      </c>
      <c r="O4" s="250" t="str">
        <f>IF(Badges!O132="A","A"," ")</f>
        <v xml:space="preserve"> </v>
      </c>
      <c r="Q4" s="471" t="str">
        <f>'Age-Level'!B12</f>
        <v>Ambassador Service to Girl Scouting bar</v>
      </c>
      <c r="R4" s="472"/>
      <c r="S4" s="251" t="str">
        <f>IF('Age-Level'!O10="C","C",IF('Age-Level'!O10="P","P",""))</f>
        <v/>
      </c>
      <c r="T4" s="239"/>
      <c r="U4" s="239"/>
    </row>
    <row r="5" spans="1:21" x14ac:dyDescent="0.2">
      <c r="A5" s="501" t="str">
        <f>Summary!A4</f>
        <v>Photography</v>
      </c>
      <c r="B5" s="502"/>
      <c r="C5" s="252" t="str">
        <f>IF(Badges!O28="C","C",IF(Badges!O28="P","P",""))</f>
        <v/>
      </c>
      <c r="E5" s="247"/>
      <c r="F5" s="248" t="str">
        <f>Badges!C9</f>
        <v>Create a photography timeline.</v>
      </c>
      <c r="G5" s="250" t="str">
        <f>IF(Badges!O9="A","A"," ")</f>
        <v xml:space="preserve"> </v>
      </c>
      <c r="I5" s="247"/>
      <c r="J5" s="248" t="str">
        <f>Badges!C64</f>
        <v>Compare three different states' positions</v>
      </c>
      <c r="K5" s="250" t="str">
        <f>IF(Badges!O64="A","A"," ")</f>
        <v xml:space="preserve"> </v>
      </c>
      <c r="M5" s="247"/>
      <c r="N5" s="248" t="str">
        <f>Badges!C133</f>
        <v>Interview a global citizen</v>
      </c>
      <c r="O5" s="250" t="str">
        <f>IF(Badges!O133="A","A"," ")</f>
        <v xml:space="preserve"> </v>
      </c>
      <c r="Q5" s="471" t="str">
        <f>'Age-Level'!B15</f>
        <v>Ambassador Volunteer in Training</v>
      </c>
      <c r="R5" s="472"/>
      <c r="S5" s="251" t="str">
        <f>IF('Age-Level'!O19="C","C",IF('Age-Level'!O19="P","P",""))</f>
        <v/>
      </c>
      <c r="T5" s="239"/>
      <c r="U5" s="239"/>
    </row>
    <row r="6" spans="1:21" x14ac:dyDescent="0.2">
      <c r="A6" s="490" t="str">
        <f>Summary!A5</f>
        <v>Coaching</v>
      </c>
      <c r="B6" s="491"/>
      <c r="C6" s="252" t="str">
        <f>IF(Badges!O51="C","C",IF(Badges!O51="P","P",""))</f>
        <v/>
      </c>
      <c r="E6" s="247"/>
      <c r="F6" s="248" t="str">
        <f>Badges!C10</f>
        <v>Make sticky-note comics</v>
      </c>
      <c r="G6" s="250" t="str">
        <f>IF(Badges!O10="A","A"," ")</f>
        <v xml:space="preserve"> </v>
      </c>
      <c r="I6" s="247">
        <v>4</v>
      </c>
      <c r="J6" s="248" t="str">
        <f>Badges!C65</f>
        <v>Explore local or community policy</v>
      </c>
      <c r="K6" s="249"/>
      <c r="M6" s="247">
        <v>4</v>
      </c>
      <c r="N6" s="248" t="str">
        <f>Badges!C134</f>
        <v>Leave your wolrd better than you found it</v>
      </c>
      <c r="O6" s="249"/>
      <c r="Q6" s="471" t="str">
        <f>'Age-Level'!B20</f>
        <v>Journey Summit Pin</v>
      </c>
      <c r="R6" s="472"/>
      <c r="S6" s="251" t="str">
        <f>IF('Age-Level'!O21="C","C",IF('Age-Level'!O21="P","P",""))</f>
        <v/>
      </c>
      <c r="T6" s="239"/>
      <c r="U6" s="239"/>
    </row>
    <row r="7" spans="1:21" x14ac:dyDescent="0.2">
      <c r="A7" s="490" t="str">
        <f>Summary!A6</f>
        <v>Public Policy</v>
      </c>
      <c r="B7" s="491"/>
      <c r="C7" s="252" t="str">
        <f>IF(Badges!O74="C","C",IF(Badges!O74="P","P",""))</f>
        <v/>
      </c>
      <c r="E7" s="247">
        <v>2</v>
      </c>
      <c r="F7" s="248" t="str">
        <f>Badges!C11</f>
        <v>Focus on composition</v>
      </c>
      <c r="G7" s="249"/>
      <c r="I7" s="247"/>
      <c r="J7" s="248" t="str">
        <f>Badges!C66</f>
        <v>Attend a meeting</v>
      </c>
      <c r="K7" s="250" t="str">
        <f>IF(Badges!O66="A","A"," ")</f>
        <v xml:space="preserve"> </v>
      </c>
      <c r="M7" s="247"/>
      <c r="N7" s="248" t="str">
        <f>Badges!C135</f>
        <v xml:space="preserve">Find ideas to use your leaderhship </v>
      </c>
      <c r="O7" s="250" t="str">
        <f>IF(Badges!O135="A","A"," ")</f>
        <v xml:space="preserve"> </v>
      </c>
      <c r="Q7" s="471" t="str">
        <f>'Age-Level'!C23</f>
        <v>Cookie Rally (Year 1)</v>
      </c>
      <c r="R7" s="472"/>
      <c r="S7" s="257" t="str">
        <f>IF('Age-Level'!O23="A","A"," ")</f>
        <v xml:space="preserve"> </v>
      </c>
    </row>
    <row r="8" spans="1:21" x14ac:dyDescent="0.2">
      <c r="A8" s="490" t="str">
        <f>Summary!A7</f>
        <v>Dinner Party</v>
      </c>
      <c r="B8" s="491"/>
      <c r="C8" s="252" t="str">
        <f>IF(Badges!O97="C","C",IF(Badges!O97="P","P",""))</f>
        <v/>
      </c>
      <c r="E8" s="247"/>
      <c r="F8" s="248" t="str">
        <f>Badges!C12</f>
        <v>Capture a day in the life</v>
      </c>
      <c r="G8" s="250" t="str">
        <f>IF(Badges!O12="A","A"," ")</f>
        <v xml:space="preserve"> </v>
      </c>
      <c r="I8" s="247"/>
      <c r="J8" s="248" t="str">
        <f>Badges!C67</f>
        <v>Compare different local positions</v>
      </c>
      <c r="K8" s="250" t="str">
        <f>IF(Badges!O67="A","A"," ")</f>
        <v xml:space="preserve"> </v>
      </c>
      <c r="M8" s="247"/>
      <c r="N8" s="248" t="str">
        <f>Badges!C136</f>
        <v>Gather ideas to work for a healthy</v>
      </c>
      <c r="O8" s="250" t="str">
        <f>IF(Badges!O136="A","A"," ")</f>
        <v xml:space="preserve"> </v>
      </c>
      <c r="Q8" s="471" t="str">
        <f>'Age-Level'!C24</f>
        <v>Cookie Sales (Year 1)</v>
      </c>
      <c r="R8" s="472"/>
      <c r="S8" s="257" t="str">
        <f>IF('Age-Level'!O24="A","A"," ")</f>
        <v xml:space="preserve"> </v>
      </c>
    </row>
    <row r="9" spans="1:21" x14ac:dyDescent="0.2">
      <c r="A9" s="490" t="str">
        <f>Summary!A8</f>
        <v>Ambassador First Aid</v>
      </c>
      <c r="B9" s="491"/>
      <c r="C9" s="252" t="str">
        <f>IF(Badges!O120="C","C",IF(Badges!O120="P","P",""))</f>
        <v/>
      </c>
      <c r="E9" s="247"/>
      <c r="F9" s="248" t="str">
        <f>Badges!C13</f>
        <v>Photograph weather patterns</v>
      </c>
      <c r="G9" s="250" t="str">
        <f>IF(Badges!O13="A","A"," ")</f>
        <v xml:space="preserve"> </v>
      </c>
      <c r="I9" s="247"/>
      <c r="J9" s="248" t="str">
        <f>Badges!C68</f>
        <v>Visit your local legislator's office</v>
      </c>
      <c r="K9" s="250" t="str">
        <f>IF(Badges!O68="A","A"," ")</f>
        <v xml:space="preserve"> </v>
      </c>
      <c r="M9" s="247"/>
      <c r="N9" s="248" t="str">
        <f>Badges!C137</f>
        <v>Brainstorm idea for social change</v>
      </c>
      <c r="O9" s="250" t="str">
        <f>IF(Badges!O137="A","A"," ")</f>
        <v xml:space="preserve"> </v>
      </c>
      <c r="Q9" s="471" t="str">
        <f>'Age-Level'!C25</f>
        <v>Cookie Pin (Year 1)</v>
      </c>
      <c r="R9" s="472"/>
      <c r="S9" s="257" t="str">
        <f>IF('Age-Level'!O25="A","A"," ")</f>
        <v xml:space="preserve"> </v>
      </c>
    </row>
    <row r="10" spans="1:21" x14ac:dyDescent="0.2">
      <c r="A10" s="490" t="str">
        <f>Summary!A9</f>
        <v>Ambassador Girl Scout Way</v>
      </c>
      <c r="B10" s="491"/>
      <c r="C10" s="253" t="str">
        <f>IF(Badges!O143="C","C",IF(Badges!O143="P","P",""))</f>
        <v/>
      </c>
      <c r="E10" s="247"/>
      <c r="F10" s="248" t="str">
        <f>Badges!C14</f>
        <v>Take 5 photos form a different</v>
      </c>
      <c r="G10" s="250" t="str">
        <f>IF(Badges!O14="A","A"," ")</f>
        <v xml:space="preserve"> </v>
      </c>
      <c r="I10" s="247">
        <v>5</v>
      </c>
      <c r="J10" s="248" t="str">
        <f>Badges!C69</f>
        <v>See public policy creation in action</v>
      </c>
      <c r="K10" s="249"/>
      <c r="M10" s="247">
        <v>5</v>
      </c>
      <c r="N10" s="248" t="str">
        <f>Badges!C138</f>
        <v>Enjoy Girl Scout traditions!</v>
      </c>
      <c r="O10" s="249"/>
      <c r="Q10" s="471" t="str">
        <f>'Age-Level'!C26</f>
        <v>Cookie Rally (Year 2)</v>
      </c>
      <c r="R10" s="472"/>
      <c r="S10" s="257" t="str">
        <f>IF('Age-Level'!O26="A","A"," ")</f>
        <v xml:space="preserve"> </v>
      </c>
    </row>
    <row r="11" spans="1:21" x14ac:dyDescent="0.2">
      <c r="A11" s="509" t="str">
        <f>Summary!A10</f>
        <v>Water</v>
      </c>
      <c r="B11" s="491"/>
      <c r="C11" s="252" t="str">
        <f>IF(Badges!O166="C","C",IF(Badges!O166="P","P",""))</f>
        <v/>
      </c>
      <c r="E11" s="247">
        <v>3</v>
      </c>
      <c r="F11" s="248" t="str">
        <f>Badges!C15</f>
        <v>Focus on light</v>
      </c>
      <c r="G11" s="249"/>
      <c r="I11" s="247"/>
      <c r="J11" s="248" t="str">
        <f>Badges!C70</f>
        <v>Shadow a policy-maker</v>
      </c>
      <c r="K11" s="250" t="str">
        <f>IF(Badges!O70="A","A"," ")</f>
        <v xml:space="preserve"> </v>
      </c>
      <c r="M11" s="247"/>
      <c r="N11" s="248" t="str">
        <f>Badges!C139</f>
        <v>Pass down a tradition</v>
      </c>
      <c r="O11" s="250" t="str">
        <f>IF(Badges!O139="A","A"," ")</f>
        <v xml:space="preserve"> </v>
      </c>
      <c r="Q11" s="471" t="str">
        <f>'Age-Level'!C27</f>
        <v>Cookie Sales (Year 2)</v>
      </c>
      <c r="R11" s="472"/>
      <c r="S11" s="257" t="str">
        <f>IF('Age-Level'!O27="A","A"," ")</f>
        <v xml:space="preserve"> </v>
      </c>
    </row>
    <row r="12" spans="1:21" x14ac:dyDescent="0.2">
      <c r="A12" s="507"/>
      <c r="B12" s="507"/>
      <c r="C12" s="336"/>
      <c r="E12" s="247"/>
      <c r="F12" s="248" t="str">
        <f>Badges!C16</f>
        <v>Invite friends to a shoot day</v>
      </c>
      <c r="G12" s="250" t="str">
        <f>IF(Badges!O16="A","A"," ")</f>
        <v xml:space="preserve"> </v>
      </c>
      <c r="I12" s="247"/>
      <c r="J12" s="248" t="str">
        <f>Badges!C71</f>
        <v>Volunteer at an office</v>
      </c>
      <c r="K12" s="250" t="str">
        <f>IF(Badges!O71="A","A"," ")</f>
        <v xml:space="preserve"> </v>
      </c>
      <c r="M12" s="247"/>
      <c r="N12" s="248" t="str">
        <f>Badges!C140</f>
        <v>Start a Girl Scout tradition of your own</v>
      </c>
      <c r="O12" s="250" t="str">
        <f>IF(Badges!O140="A","A"," ")</f>
        <v xml:space="preserve"> </v>
      </c>
      <c r="Q12" s="471" t="str">
        <f>'Age-Level'!C28</f>
        <v>Cookie Pin (Year 2)</v>
      </c>
      <c r="R12" s="472"/>
      <c r="S12" s="257" t="str">
        <f>IF('Age-Level'!O28="A","A"," ")</f>
        <v xml:space="preserve"> </v>
      </c>
    </row>
    <row r="13" spans="1:21" x14ac:dyDescent="0.2">
      <c r="A13" s="500" t="str">
        <f>Summary!A3</f>
        <v>Legacy</v>
      </c>
      <c r="B13" s="500"/>
      <c r="C13" s="500"/>
      <c r="E13" s="247"/>
      <c r="F13" s="248" t="str">
        <f>Badges!C17</f>
        <v>Capture the same person or object</v>
      </c>
      <c r="G13" s="250" t="str">
        <f>IF(Badges!O17="A","A"," ")</f>
        <v xml:space="preserve"> </v>
      </c>
      <c r="I13" s="247"/>
      <c r="J13" s="248" t="str">
        <f>Badges!C72</f>
        <v>Interview a policy-maker</v>
      </c>
      <c r="K13" s="250" t="str">
        <f>IF(Badges!O72="A","A"," ")</f>
        <v xml:space="preserve"> </v>
      </c>
      <c r="M13" s="247"/>
      <c r="N13" s="248" t="str">
        <f>Badges!C141</f>
        <v>Share the Girl Scout way by example</v>
      </c>
      <c r="O13" s="250" t="str">
        <f>IF(Badges!O141="A","A"," ")</f>
        <v xml:space="preserve"> </v>
      </c>
      <c r="Q13" s="471" t="str">
        <f>'Age-Level'!C30</f>
        <v>Fall Sales (Year 1)</v>
      </c>
      <c r="R13" s="472"/>
      <c r="S13" s="252" t="str">
        <f>IF('Age-Level'!O30="A","A","")</f>
        <v/>
      </c>
    </row>
    <row r="14" spans="1:21" x14ac:dyDescent="0.2">
      <c r="A14" s="501" t="str">
        <f>Summary!A4</f>
        <v>Photography</v>
      </c>
      <c r="B14" s="502"/>
      <c r="C14" s="251" t="str">
        <f>IF(Badges!O28="C","C",IF(Badges!O28="P","P",""))</f>
        <v/>
      </c>
      <c r="E14" s="247"/>
      <c r="F14" s="248" t="str">
        <f>Badges!C18</f>
        <v>Grow your image</v>
      </c>
      <c r="G14" s="250" t="str">
        <f>IF(Badges!O18="A","A"," ")</f>
        <v xml:space="preserve"> </v>
      </c>
      <c r="I14" s="339" t="str">
        <f>Badges!B75</f>
        <v>Dinner Party</v>
      </c>
      <c r="J14" s="340"/>
      <c r="K14" s="340"/>
      <c r="M14" s="339" t="str">
        <f>Badges!B144</f>
        <v>Water</v>
      </c>
      <c r="N14" s="340"/>
      <c r="O14" s="340"/>
      <c r="Q14" s="471" t="str">
        <f>'Age-Level'!C31</f>
        <v>Fall Sales (Year 2)</v>
      </c>
      <c r="R14" s="472"/>
      <c r="S14" s="252" t="str">
        <f>IF('Age-Level'!O31="A","A","")</f>
        <v/>
      </c>
    </row>
    <row r="15" spans="1:21" x14ac:dyDescent="0.2">
      <c r="A15" s="490" t="str">
        <f>Summary!A5</f>
        <v>Coaching</v>
      </c>
      <c r="B15" s="491"/>
      <c r="C15" s="252" t="str">
        <f>IF(Badges!O51="C","C",IF(Badges!O51="P","P",""))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471" t="str">
        <f>'Age-Level'!C33</f>
        <v>Thinking Day (Year 1)</v>
      </c>
      <c r="R15" s="472"/>
      <c r="S15" s="252" t="str">
        <f>IF('Age-Level'!O33="A","A","")</f>
        <v/>
      </c>
    </row>
    <row r="16" spans="1:21" x14ac:dyDescent="0.2">
      <c r="A16" s="490" t="str">
        <f>Summary!A6</f>
        <v>Public Policy</v>
      </c>
      <c r="B16" s="491"/>
      <c r="C16" s="252" t="str">
        <f>IF(Badges!O74="C","C",IF(Badges!O74="P","P",""))</f>
        <v/>
      </c>
      <c r="E16" s="247"/>
      <c r="F16" s="248" t="str">
        <f>Badges!C20</f>
        <v xml:space="preserve">Take photos of a group </v>
      </c>
      <c r="G16" s="250" t="str">
        <f>IF(Badges!O20="A","A"," ")</f>
        <v xml:space="preserve"> </v>
      </c>
      <c r="I16" s="247"/>
      <c r="J16" s="248" t="str">
        <f>Badges!C77</f>
        <v>Interview a caterer, event planner, chef</v>
      </c>
      <c r="K16" s="250" t="str">
        <f>IF(Badges!O77="A","A"," ")</f>
        <v xml:space="preserve"> </v>
      </c>
      <c r="M16" s="247"/>
      <c r="N16" s="248" t="str">
        <f>Badges!C146</f>
        <v>Visit water in its natural state</v>
      </c>
      <c r="O16" s="250" t="str">
        <f>IF(Badges!O146="A","A"," ")</f>
        <v xml:space="preserve"> </v>
      </c>
      <c r="Q16" s="471" t="str">
        <f>'Age-Level'!C34</f>
        <v>Thinking Day (Year 2)</v>
      </c>
      <c r="R16" s="472"/>
      <c r="S16" s="252" t="str">
        <f>IF('Age-Level'!O34="A","A","")</f>
        <v/>
      </c>
    </row>
    <row r="17" spans="1:19" x14ac:dyDescent="0.2">
      <c r="A17" s="490" t="str">
        <f>Summary!A7</f>
        <v>Dinner Party</v>
      </c>
      <c r="B17" s="491"/>
      <c r="C17" s="252" t="str">
        <f>IF(Badges!O97="C","C",IF(Badges!O97="P","P",""))</f>
        <v/>
      </c>
      <c r="E17" s="247"/>
      <c r="F17" s="248" t="str">
        <f>Badges!C21</f>
        <v>Take photos of faces in motion</v>
      </c>
      <c r="G17" s="250" t="str">
        <f>IF(Badges!O21="A","A"," ")</f>
        <v xml:space="preserve"> </v>
      </c>
      <c r="I17" s="247"/>
      <c r="J17" s="248" t="str">
        <f>Badges!C78</f>
        <v>Collect recipes from cooking shows</v>
      </c>
      <c r="K17" s="250" t="str">
        <f>IF(Badges!O78="A","A"," ")</f>
        <v xml:space="preserve"> </v>
      </c>
      <c r="M17" s="247"/>
      <c r="N17" s="248" t="str">
        <f>Badges!C147</f>
        <v>Try a new water skill</v>
      </c>
      <c r="O17" s="250" t="str">
        <f>IF(Badges!O147="A","A"," ")</f>
        <v xml:space="preserve"> </v>
      </c>
      <c r="Q17" s="471" t="str">
        <f>'Age-Level'!C36</f>
        <v>Global Action Award</v>
      </c>
      <c r="R17" s="472"/>
      <c r="S17" s="252" t="str">
        <f>IF('Age-Level'!O36="A","A","")</f>
        <v/>
      </c>
    </row>
    <row r="18" spans="1:19" x14ac:dyDescent="0.2">
      <c r="A18" s="490" t="str">
        <f>Summary!A8</f>
        <v>Ambassador First Aid</v>
      </c>
      <c r="B18" s="491"/>
      <c r="C18" s="252" t="str">
        <f>IF(Badges!O120="C","C",IF(Badges!O120="P","P",""))</f>
        <v/>
      </c>
      <c r="E18" s="247"/>
      <c r="F18" s="248" t="str">
        <f>Badges!C22</f>
        <v>Take photos of objects in motion</v>
      </c>
      <c r="G18" s="250" t="str">
        <f>IF(Badges!O22="A","A"," ")</f>
        <v xml:space="preserve"> </v>
      </c>
      <c r="I18" s="247"/>
      <c r="J18" s="248" t="str">
        <f>Badges!C79</f>
        <v>Build a men around your favorite</v>
      </c>
      <c r="K18" s="250" t="str">
        <f>IF(Badges!O79="A","A"," ")</f>
        <v xml:space="preserve"> </v>
      </c>
      <c r="M18" s="247"/>
      <c r="N18" s="248" t="str">
        <f>Badges!C148</f>
        <v>Enjoy a water activity you already know</v>
      </c>
      <c r="O18" s="250" t="str">
        <f>IF(Badges!O148="A","A"," ")</f>
        <v xml:space="preserve"> </v>
      </c>
      <c r="Q18" s="471" t="str">
        <f>'Age-Level'!C38</f>
        <v>International Friendship Recognition</v>
      </c>
      <c r="R18" s="472"/>
      <c r="S18" s="252" t="str">
        <f>IF('Age-Level'!O38="A","A","")</f>
        <v/>
      </c>
    </row>
    <row r="19" spans="1:19" x14ac:dyDescent="0.2">
      <c r="A19" s="490" t="str">
        <f>Summary!A9</f>
        <v>Ambassador Girl Scout Way</v>
      </c>
      <c r="B19" s="491"/>
      <c r="C19" s="252" t="str">
        <f>IF(Badges!O143="C","C",IF(Badges!O143="P","P",""))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471" t="str">
        <f>'Age-Level'!C40</f>
        <v>Investiture</v>
      </c>
      <c r="R19" s="472"/>
      <c r="S19" s="252" t="str">
        <f>IF('Age-Level'!O40="A","A","")</f>
        <v/>
      </c>
    </row>
    <row r="20" spans="1:19" x14ac:dyDescent="0.2">
      <c r="A20" s="507" t="str">
        <f>Summary!A10</f>
        <v>Water</v>
      </c>
      <c r="B20" s="508"/>
      <c r="C20" s="253" t="str">
        <f>IF(Badges!O166="C","C",IF(Badges!O166="P","P",""))</f>
        <v/>
      </c>
      <c r="E20" s="247"/>
      <c r="F20" s="248" t="str">
        <f>Badges!C24</f>
        <v>Stage a photo exhibit</v>
      </c>
      <c r="G20" s="250" t="str">
        <f>IF(Badges!O24="A","A"," ")</f>
        <v xml:space="preserve"> </v>
      </c>
      <c r="I20" s="247"/>
      <c r="J20" s="248" t="str">
        <f>Badges!C81</f>
        <v>Camparison shop</v>
      </c>
      <c r="K20" s="250" t="str">
        <f>IF(Badges!O81="A","A"," ")</f>
        <v xml:space="preserve"> </v>
      </c>
      <c r="M20" s="247"/>
      <c r="N20" s="248" t="str">
        <f>Badges!C150</f>
        <v>Delve into water literature</v>
      </c>
      <c r="O20" s="250" t="str">
        <f>IF(Badges!O150="A","A"," ")</f>
        <v xml:space="preserve"> </v>
      </c>
      <c r="Q20" s="471" t="str">
        <f>'Age-Level'!C41</f>
        <v>Rededication (1st year)</v>
      </c>
      <c r="R20" s="472"/>
      <c r="S20" s="262" t="str">
        <f>IF('Age-Level'!O41="C","C","")</f>
        <v/>
      </c>
    </row>
    <row r="21" spans="1:19" x14ac:dyDescent="0.2">
      <c r="A21" s="500" t="str">
        <f>Summary!A11</f>
        <v>Financial Literacy</v>
      </c>
      <c r="B21" s="500"/>
      <c r="C21" s="500"/>
      <c r="E21" s="247"/>
      <c r="F21" s="248" t="str">
        <f>Badges!C25</f>
        <v>Make a digital slide show</v>
      </c>
      <c r="G21" s="250" t="str">
        <f>IF(Badges!O25="A","A"," ")</f>
        <v xml:space="preserve"> </v>
      </c>
      <c r="I21" s="247"/>
      <c r="J21" s="248" t="str">
        <f>Badges!C82</f>
        <v>Consult with a professional chef</v>
      </c>
      <c r="K21" s="250" t="str">
        <f>IF(Badges!O82="A","A"," ")</f>
        <v xml:space="preserve"> </v>
      </c>
      <c r="M21" s="247"/>
      <c r="N21" s="248" t="str">
        <f>Badges!C151</f>
        <v xml:space="preserve">Enjoy an exhibit or event that features </v>
      </c>
      <c r="O21" s="250" t="str">
        <f>IF(Badges!O151="A","A"," ")</f>
        <v xml:space="preserve"> </v>
      </c>
      <c r="Q21" s="471" t="str">
        <f>'Age-Level'!C42</f>
        <v>Rededication (2nd year)</v>
      </c>
      <c r="R21" s="472"/>
      <c r="S21" s="262" t="str">
        <f>IF('Age-Level'!O42="C","C","")</f>
        <v/>
      </c>
    </row>
    <row r="22" spans="1:19" x14ac:dyDescent="0.2">
      <c r="A22" s="501" t="str">
        <f>Summary!A12</f>
        <v>On My Own</v>
      </c>
      <c r="B22" s="502"/>
      <c r="C22" s="251" t="str">
        <f>IF(Badges!O190="C","C",IF(Badges!O190="P","P",""))</f>
        <v/>
      </c>
      <c r="E22" s="247"/>
      <c r="F22" s="248" t="str">
        <f>Badges!C26</f>
        <v>Create a photo album or scrapbook</v>
      </c>
      <c r="G22" s="250" t="str">
        <f>IF(Badges!O26="A","A"," ")</f>
        <v xml:space="preserve"> </v>
      </c>
      <c r="I22" s="247"/>
      <c r="J22" s="248" t="str">
        <f>Badges!C83</f>
        <v>Learn about alternative ways to shop</v>
      </c>
      <c r="K22" s="250" t="str">
        <f>IF(Badges!O83="A","A"," ")</f>
        <v xml:space="preserve"> </v>
      </c>
      <c r="M22" s="247"/>
      <c r="N22" s="248" t="str">
        <f>Badges!C152</f>
        <v>Create your own water composition</v>
      </c>
      <c r="O22" s="250" t="str">
        <f>IF(Badges!O152="A","A"," ")</f>
        <v xml:space="preserve"> </v>
      </c>
      <c r="Q22" s="342" t="str">
        <f>'Age-Level'!B43</f>
        <v>My Promise, My Faith (Year 1)</v>
      </c>
      <c r="R22" s="343"/>
      <c r="S22" s="262"/>
    </row>
    <row r="23" spans="1:19" x14ac:dyDescent="0.2">
      <c r="A23" s="490" t="str">
        <f>Summary!A13</f>
        <v>Good Credit</v>
      </c>
      <c r="B23" s="491"/>
      <c r="C23" s="251" t="str">
        <f>IF(Badges!O213="C","C",IF(Badges!O213="P","P",""))</f>
        <v/>
      </c>
      <c r="E23" s="492" t="str">
        <f>Badges!B29</f>
        <v>Coaching</v>
      </c>
      <c r="F23" s="492"/>
      <c r="G23" s="492"/>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IF('Age-Level'!O44="A","A","")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IF(Badges!O85="A","A"," ")</f>
        <v xml:space="preserve"> </v>
      </c>
      <c r="M24" s="247"/>
      <c r="N24" s="248" t="str">
        <f>Badges!C154</f>
        <v>Visit a water facility and explore its</v>
      </c>
      <c r="O24" s="250" t="str">
        <f>IF(Badges!O154="A","A"," ")</f>
        <v xml:space="preserve"> </v>
      </c>
      <c r="Q24" s="267">
        <v>2</v>
      </c>
      <c r="R24" s="344" t="str">
        <f>'Age-Level'!C45</f>
        <v>Find a woman in your community</v>
      </c>
      <c r="S24" s="262" t="str">
        <f>IF('Age-Level'!O45="A","A","")</f>
        <v/>
      </c>
    </row>
    <row r="25" spans="1:19" x14ac:dyDescent="0.2">
      <c r="A25" s="490" t="str">
        <f>Summary!A15</f>
        <v>Research and Development</v>
      </c>
      <c r="B25" s="491"/>
      <c r="C25" s="252" t="str">
        <f>IF(Badges!O227="C","C",IF(Badges!O227="P","P",""))</f>
        <v/>
      </c>
      <c r="E25" s="247"/>
      <c r="F25" s="248" t="str">
        <f>Badges!C31</f>
        <v>Talk to a great coach</v>
      </c>
      <c r="G25" s="250" t="str">
        <f>IF(Badges!O31="A","A"," ")</f>
        <v xml:space="preserve"> </v>
      </c>
      <c r="I25" s="247"/>
      <c r="J25" s="248" t="str">
        <f>Badges!C86</f>
        <v>Make a menu timeline</v>
      </c>
      <c r="K25" s="250" t="str">
        <f>IF(Badges!O86="A","A"," ")</f>
        <v xml:space="preserve"> </v>
      </c>
      <c r="M25" s="247"/>
      <c r="N25" s="248" t="str">
        <f>Badges!C155</f>
        <v>Investigate endangered marine life</v>
      </c>
      <c r="O25" s="250" t="str">
        <f>IF(Badges!O155="A","A"," ")</f>
        <v xml:space="preserve"> </v>
      </c>
      <c r="Q25" s="267">
        <v>3</v>
      </c>
      <c r="R25" s="344" t="str">
        <f>'Age-Level'!C46</f>
        <v>Gather three inspirational quotes</v>
      </c>
      <c r="S25" s="262" t="str">
        <f>IF('Age-Level'!O46="A","A","")</f>
        <v/>
      </c>
    </row>
    <row r="26" spans="1:19" x14ac:dyDescent="0.2">
      <c r="A26" s="490" t="str">
        <f>Summary!A16</f>
        <v>P &amp; L</v>
      </c>
      <c r="B26" s="491"/>
      <c r="C26" s="252" t="str">
        <f>IF(Badges!O240="C","C",IF(Badges!O240="P","P",""))</f>
        <v/>
      </c>
      <c r="E26" s="247"/>
      <c r="F26" s="248" t="str">
        <f>Badges!C32</f>
        <v>Watch three sports documentaries</v>
      </c>
      <c r="G26" s="250" t="str">
        <f>IF(Badges!O32="A","A"," ")</f>
        <v xml:space="preserve"> </v>
      </c>
      <c r="I26" s="247"/>
      <c r="J26" s="248" t="str">
        <f>Badges!C87</f>
        <v>Prepare a test meal for family or friends</v>
      </c>
      <c r="K26" s="250" t="str">
        <f>IF(Badges!O87="A","A"," ")</f>
        <v xml:space="preserve"> </v>
      </c>
      <c r="M26" s="247"/>
      <c r="N26" s="248" t="str">
        <f>Badges!C156</f>
        <v>Investigate water as a hazard</v>
      </c>
      <c r="O26" s="250" t="str">
        <f>IF(Badges!O156="A","A"," ")</f>
        <v xml:space="preserve"> </v>
      </c>
      <c r="Q26" s="267">
        <v>4</v>
      </c>
      <c r="R26" s="344" t="str">
        <f>'Age-Level'!C47</f>
        <v>Make something to remind you</v>
      </c>
      <c r="S26" s="262" t="str">
        <f>IF('Age-Level'!O47="A","A","")</f>
        <v/>
      </c>
    </row>
    <row r="27" spans="1:19" x14ac:dyDescent="0.2">
      <c r="A27" s="346"/>
      <c r="B27" s="346"/>
      <c r="C27" s="266"/>
      <c r="E27" s="247"/>
      <c r="F27" s="248" t="str">
        <f>Badges!C33</f>
        <v>Attend a coaching clinic or seminar</v>
      </c>
      <c r="G27" s="250" t="str">
        <f>IF(Badges!O33="A","A","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IF('Age-Level'!O48="A","A","")</f>
        <v/>
      </c>
    </row>
    <row r="28" spans="1:19" x14ac:dyDescent="0.2">
      <c r="A28" s="484" t="s">
        <v>84</v>
      </c>
      <c r="B28" s="484"/>
      <c r="C28" s="484"/>
      <c r="E28" s="247">
        <v>2</v>
      </c>
      <c r="F28" s="248" t="str">
        <f>Badges!C34</f>
        <v>Conduct a first assessment</v>
      </c>
      <c r="G28" s="249"/>
      <c r="I28" s="247"/>
      <c r="J28" s="248" t="str">
        <f>Badges!C89</f>
        <v>Expreiment with garnishes</v>
      </c>
      <c r="K28" s="250" t="str">
        <f>IF(Badges!O89="A","A"," ")</f>
        <v xml:space="preserve"> </v>
      </c>
      <c r="M28" s="247"/>
      <c r="N28" s="248" t="str">
        <f>Badges!C158</f>
        <v>Interview a water scientist</v>
      </c>
      <c r="O28" s="250" t="str">
        <f>IF(Badges!O158="A","A","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IF(Badges!O35="A","A"," ")</f>
        <v xml:space="preserve"> </v>
      </c>
      <c r="I29" s="247"/>
      <c r="J29" s="248" t="str">
        <f>Badges!C90</f>
        <v>Present food in interesting shapes</v>
      </c>
      <c r="K29" s="250" t="str">
        <f>IF(Badges!O90="A","A"," ")</f>
        <v xml:space="preserve"> </v>
      </c>
      <c r="M29" s="247"/>
      <c r="N29" s="248" t="str">
        <f>Badges!C159</f>
        <v>Explore the world of hydroelectricity</v>
      </c>
      <c r="O29" s="250" t="str">
        <f>IF(Badges!O159="A","A"," ")</f>
        <v xml:space="preserve"> </v>
      </c>
      <c r="Q29" s="268">
        <v>1</v>
      </c>
      <c r="R29" s="344" t="str">
        <f>'Age-Level'!C51</f>
        <v>Choose one line from the Law</v>
      </c>
      <c r="S29" s="262" t="str">
        <f>IF('Age-Level'!O51="A","A","")</f>
        <v/>
      </c>
    </row>
    <row r="30" spans="1:19" x14ac:dyDescent="0.2">
      <c r="B30" s="477" t="str">
        <f>Journey!B7</f>
        <v>The Girl Scout Advocate Award</v>
      </c>
      <c r="C30" s="478"/>
      <c r="E30" s="247"/>
      <c r="F30" s="248" t="str">
        <f>Badges!C36</f>
        <v>Host an initial session</v>
      </c>
      <c r="G30" s="250" t="str">
        <f>IF(Badges!O36="A","A"," ")</f>
        <v xml:space="preserve"> </v>
      </c>
      <c r="I30" s="247"/>
      <c r="J30" s="248" t="str">
        <f>Badges!C91</f>
        <v>Use serving ware in unusual ways</v>
      </c>
      <c r="K30" s="250" t="str">
        <f>IF(Badges!O91="A","A"," ")</f>
        <v xml:space="preserve"> </v>
      </c>
      <c r="M30" s="247"/>
      <c r="N30" s="248" t="str">
        <f>Badges!C160</f>
        <v>Design your own water innovation</v>
      </c>
      <c r="O30" s="250" t="str">
        <f>IF(Badges!O160="A","A"," ")</f>
        <v xml:space="preserve"> </v>
      </c>
      <c r="Q30" s="267">
        <v>2</v>
      </c>
      <c r="R30" s="344" t="str">
        <f>'Age-Level'!C52</f>
        <v>Find a woman in your community</v>
      </c>
      <c r="S30" s="262" t="str">
        <f>IF('Age-Level'!O52="A","A","")</f>
        <v/>
      </c>
    </row>
    <row r="31" spans="1:19" x14ac:dyDescent="0.2">
      <c r="B31" s="256">
        <f>Journey!N8</f>
        <v>0</v>
      </c>
      <c r="C31" s="252" t="str">
        <f>IF(Journey!O8="C","C",IF(Journey!O8="P","P",""))</f>
        <v/>
      </c>
      <c r="E31" s="247"/>
      <c r="F31" s="248" t="str">
        <f>Badges!C37</f>
        <v>Prepare a goal chart together</v>
      </c>
      <c r="G31" s="250" t="str">
        <f>IF(Badges!O37="A","A","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IF('Age-Level'!O53="A","A","")</f>
        <v/>
      </c>
    </row>
    <row r="32" spans="1:19" x14ac:dyDescent="0.2">
      <c r="B32" s="256">
        <f>Journey!N9</f>
        <v>0</v>
      </c>
      <c r="C32" s="252" t="str">
        <f>IF(Journey!O9="C","C",IF(Journey!O9="P","P",""))</f>
        <v/>
      </c>
      <c r="E32" s="339" t="str">
        <f>Badges!B29</f>
        <v>Coaching</v>
      </c>
      <c r="F32" s="340"/>
      <c r="G32" s="340"/>
      <c r="I32" s="247"/>
      <c r="J32" s="248" t="str">
        <f>Badges!C93</f>
        <v>Decorate according to your menu theme</v>
      </c>
      <c r="K32" s="250" t="str">
        <f>IF(Badges!O93="A","A"," ")</f>
        <v xml:space="preserve"> </v>
      </c>
      <c r="M32" s="247"/>
      <c r="N32" s="248" t="str">
        <f>Badges!C162</f>
        <v>Celebrate water with younger Girl Scouts</v>
      </c>
      <c r="O32" s="250" t="str">
        <f>IF(Badges!O162="A","A"," ")</f>
        <v xml:space="preserve"> </v>
      </c>
      <c r="Q32" s="267">
        <v>4</v>
      </c>
      <c r="R32" s="344" t="str">
        <f>'Age-Level'!C54</f>
        <v>Make something to remind you</v>
      </c>
      <c r="S32" s="262" t="str">
        <f>IF('Age-Level'!O54="A","A","")</f>
        <v/>
      </c>
    </row>
    <row r="33" spans="1:19" x14ac:dyDescent="0.2">
      <c r="B33" s="256">
        <f>Journey!N10</f>
        <v>0</v>
      </c>
      <c r="C33" s="252" t="str">
        <f>IF(Journey!O10="C","C",IF(Journey!O10="P","P",""))</f>
        <v/>
      </c>
      <c r="E33" s="247">
        <v>3</v>
      </c>
      <c r="F33" s="248" t="str">
        <f>Badges!C38</f>
        <v>Design your coaching plan</v>
      </c>
      <c r="G33" s="249"/>
      <c r="I33" s="247"/>
      <c r="J33" s="248" t="str">
        <f>Badges!C94</f>
        <v>Celebrate a special occasion</v>
      </c>
      <c r="K33" s="250" t="str">
        <f>IF(Badges!O94="A","A"," ")</f>
        <v xml:space="preserve"> </v>
      </c>
      <c r="M33" s="247"/>
      <c r="N33" s="248" t="str">
        <f>Badges!C163</f>
        <v>Share a water issue that matters to you</v>
      </c>
      <c r="O33" s="250" t="str">
        <f>IF(Badges!O163="A","A"," ")</f>
        <v xml:space="preserve"> </v>
      </c>
      <c r="Q33" s="267">
        <v>5</v>
      </c>
      <c r="R33" s="344" t="str">
        <f>'Age-Level'!C55</f>
        <v xml:space="preserve">Make a commitment to live what </v>
      </c>
      <c r="S33" s="364" t="str">
        <f>IF('Age-Level'!O55="A","A","")</f>
        <v/>
      </c>
    </row>
    <row r="34" spans="1:19" x14ac:dyDescent="0.2">
      <c r="A34" s="284"/>
      <c r="B34" s="473" t="str">
        <f>Journey!A14</f>
        <v>JUSTICE</v>
      </c>
      <c r="C34" s="474"/>
      <c r="E34" s="247"/>
      <c r="F34" s="248" t="str">
        <f>Badges!C39</f>
        <v xml:space="preserve">Design a special warm-up </v>
      </c>
      <c r="G34" s="250" t="str">
        <f>IF(Badges!O39="A","A"," ")</f>
        <v xml:space="preserve"> </v>
      </c>
      <c r="I34" s="247"/>
      <c r="J34" s="248" t="str">
        <f>Badges!C95</f>
        <v>Use food and fun to forge new friendships</v>
      </c>
      <c r="K34" s="250" t="str">
        <f>IF(Badges!O95="A","A"," ")</f>
        <v xml:space="preserve"> </v>
      </c>
      <c r="M34" s="247"/>
      <c r="N34" s="248" t="str">
        <f>Badges!C164</f>
        <v>Guide a group to a water place</v>
      </c>
      <c r="O34" s="250" t="str">
        <f>IF(Badges!O164="A","A"," ")</f>
        <v xml:space="preserve"> </v>
      </c>
      <c r="Q34" s="471" t="str">
        <f>'Age-Level'!B57</f>
        <v>Safety Award</v>
      </c>
      <c r="R34" s="472"/>
      <c r="S34" s="364"/>
    </row>
    <row r="35" spans="1:19" x14ac:dyDescent="0.2">
      <c r="A35" s="284"/>
      <c r="B35" s="479" t="str">
        <f>Journey!B15</f>
        <v>Sage Award</v>
      </c>
      <c r="C35" s="480"/>
      <c r="E35" s="247"/>
      <c r="F35" s="248" t="str">
        <f>Badges!C40</f>
        <v>Research and choose</v>
      </c>
      <c r="G35" s="250" t="str">
        <f>IF(Badges!O40="A","A","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IF('Age-Level'!O58="A","A","")</f>
        <v/>
      </c>
    </row>
    <row r="36" spans="1:19" x14ac:dyDescent="0.2">
      <c r="A36" s="284"/>
      <c r="B36" s="256">
        <f>Journey!N16</f>
        <v>0</v>
      </c>
      <c r="C36" s="252" t="str">
        <f>IF(Journey!O16="C","C",IF(Journey!O16="P","P",""))</f>
        <v/>
      </c>
      <c r="E36" s="247"/>
      <c r="F36" s="248" t="str">
        <f>Badges!C41</f>
        <v>Open and close each session</v>
      </c>
      <c r="G36" s="250" t="str">
        <f>IF(Badges!O41="A","A","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IF('Age-Level'!O59="A","A","")</f>
        <v/>
      </c>
    </row>
    <row r="37" spans="1:19" x14ac:dyDescent="0.2">
      <c r="A37" s="284"/>
      <c r="B37" s="256">
        <f>Journey!N17</f>
        <v>0</v>
      </c>
      <c r="C37" s="252" t="str">
        <f>IF(Journey!O17="C","C",IF(Journey!O17="P","P",""))</f>
        <v/>
      </c>
      <c r="E37" s="247">
        <v>4</v>
      </c>
      <c r="F37" s="248" t="str">
        <f>Badges!C42</f>
        <v>Put your plan in action</v>
      </c>
      <c r="G37" s="249"/>
      <c r="I37" s="247"/>
      <c r="J37" s="248" t="str">
        <f>Badges!C100</f>
        <v>Backcountry</v>
      </c>
      <c r="K37" s="250" t="str">
        <f>IF(Badges!O100="A","A"," ")</f>
        <v xml:space="preserve"> </v>
      </c>
      <c r="M37" s="247"/>
      <c r="N37" s="248" t="str">
        <f>Badges!C170</f>
        <v>Take a tour</v>
      </c>
      <c r="O37" s="250" t="str">
        <f>IF(Badges!O170="A","A"," ")</f>
        <v xml:space="preserve"> </v>
      </c>
      <c r="Q37" s="267">
        <v>3</v>
      </c>
      <c r="R37" s="344" t="str">
        <f>'Age-Level'!C60</f>
        <v>Teach a Daisy or Brownie what to do if</v>
      </c>
      <c r="S37" s="262" t="str">
        <f>IF('Age-Level'!O60="A","A","")</f>
        <v/>
      </c>
    </row>
    <row r="38" spans="1:19" x14ac:dyDescent="0.2">
      <c r="A38" s="284"/>
      <c r="B38" s="256">
        <f>Journey!N18</f>
        <v>0</v>
      </c>
      <c r="C38" s="252" t="str">
        <f>IF(Journey!O18="C","C",IF(Journey!O18="P","P",""))</f>
        <v/>
      </c>
      <c r="E38" s="247"/>
      <c r="F38" s="248" t="str">
        <f>Badges!C43</f>
        <v>Add a morale-boosting time-out</v>
      </c>
      <c r="G38" s="250" t="str">
        <f>IF(Badges!O43="A","A"," ")</f>
        <v xml:space="preserve"> </v>
      </c>
      <c r="I38" s="247"/>
      <c r="J38" s="248" t="str">
        <f>Badges!C101</f>
        <v>Open water</v>
      </c>
      <c r="K38" s="250" t="str">
        <f>IF(Badges!O101="A","A"," ")</f>
        <v xml:space="preserve"> </v>
      </c>
      <c r="M38" s="247"/>
      <c r="N38" s="248" t="str">
        <f>Badges!C171</f>
        <v>Interview a new tenant or homeowner</v>
      </c>
      <c r="O38" s="250" t="str">
        <f>IF(Badges!O171="A","A"," ")</f>
        <v xml:space="preserve"> </v>
      </c>
      <c r="Q38" s="267">
        <v>4</v>
      </c>
      <c r="R38" s="344" t="str">
        <f>'Age-Level'!C61</f>
        <v>With your family, make sure you have</v>
      </c>
      <c r="S38" s="262" t="str">
        <f>IF('Age-Level'!O61="A","A","")</f>
        <v/>
      </c>
    </row>
    <row r="39" spans="1:19" x14ac:dyDescent="0.2">
      <c r="A39" s="284"/>
      <c r="B39" s="256">
        <f>Journey!N19</f>
        <v>0</v>
      </c>
      <c r="C39" s="252" t="str">
        <f>IF(Journey!O19="C","C",IF(Journey!O19="P","P",""))</f>
        <v/>
      </c>
      <c r="E39" s="247"/>
      <c r="F39" s="248" t="str">
        <f>Badges!C44</f>
        <v>Ask your players to coach you!</v>
      </c>
      <c r="G39" s="250" t="str">
        <f>IF(Badges!O44="A","A"," ")</f>
        <v xml:space="preserve"> </v>
      </c>
      <c r="I39" s="247"/>
      <c r="J39" s="248" t="str">
        <f>Badges!C102</f>
        <v>Mountains</v>
      </c>
      <c r="K39" s="250" t="str">
        <f>IF(Badges!O102="A","A"," ")</f>
        <v xml:space="preserve"> </v>
      </c>
      <c r="M39" s="247"/>
      <c r="N39" s="248" t="str">
        <f>Badges!C172</f>
        <v>Be chart smart</v>
      </c>
      <c r="O39" s="250" t="str">
        <f>IF(Badges!O172="A","A"," ")</f>
        <v xml:space="preserve"> </v>
      </c>
      <c r="Q39" s="267">
        <v>5</v>
      </c>
      <c r="R39" s="344" t="str">
        <f>'Age-Level'!C62</f>
        <v>Discuss bullying with your Girl Scout</v>
      </c>
      <c r="S39" s="262" t="str">
        <f>IF('Age-Level'!O62="A","A","")</f>
        <v/>
      </c>
    </row>
    <row r="40" spans="1:19" x14ac:dyDescent="0.2">
      <c r="A40" s="284"/>
      <c r="B40" s="256">
        <f>Journey!N20</f>
        <v>0</v>
      </c>
      <c r="C40" s="252" t="str">
        <f>IF(Journey!O20="C","C",IF(Journey!O20="P","P",""))</f>
        <v/>
      </c>
      <c r="E40" s="247"/>
      <c r="F40" s="248" t="str">
        <f>Badges!C45</f>
        <v xml:space="preserve">Bring in another coah to watch </v>
      </c>
      <c r="G40" s="250" t="str">
        <f>IF(Badges!O45="A","A","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Journey!N21</f>
        <v>0</v>
      </c>
      <c r="C41" s="252" t="str">
        <f>IF(Journey!O21="C","C",IF(Journey!O21="P","P",""))</f>
        <v/>
      </c>
      <c r="E41" s="247">
        <v>5</v>
      </c>
      <c r="F41" s="248" t="str">
        <f>Badges!C46</f>
        <v>Attend the big event</v>
      </c>
      <c r="G41" s="249"/>
      <c r="I41" s="247"/>
      <c r="J41" s="248" t="str">
        <f>Badges!C104</f>
        <v>Wilderness rescue</v>
      </c>
      <c r="K41" s="250" t="str">
        <f>IF(Badges!O104="A","A"," ")</f>
        <v xml:space="preserve"> </v>
      </c>
      <c r="M41" s="247"/>
      <c r="N41" s="248" t="str">
        <f>Badges!C174</f>
        <v>Focus on your finances</v>
      </c>
      <c r="O41" s="250" t="str">
        <f>IF(Badges!O174="A","A"," ")</f>
        <v xml:space="preserve"> </v>
      </c>
    </row>
    <row r="42" spans="1:19" x14ac:dyDescent="0.2">
      <c r="A42" s="254"/>
      <c r="B42" s="475" t="str">
        <f>Journey!A25</f>
        <v>BLISS: Live it! Give It!</v>
      </c>
      <c r="C42" s="476"/>
      <c r="E42" s="247"/>
      <c r="F42" s="248" t="str">
        <f>Badges!C47</f>
        <v>Meet with your players for a relaxing</v>
      </c>
      <c r="G42" s="250" t="str">
        <f>IF(Badges!O47="A","A"," ")</f>
        <v xml:space="preserve"> </v>
      </c>
      <c r="I42" s="247"/>
      <c r="J42" s="248" t="str">
        <f>Badges!C105</f>
        <v>Disaster preparedness</v>
      </c>
      <c r="K42" s="250" t="str">
        <f>IF(Badges!O105="A","A"," ")</f>
        <v xml:space="preserve"> </v>
      </c>
      <c r="M42" s="247"/>
      <c r="N42" s="248" t="str">
        <f>Badges!C175</f>
        <v>Shop talk</v>
      </c>
      <c r="O42" s="250" t="str">
        <f>IF(Badges!O175="A","A"," ")</f>
        <v xml:space="preserve"> </v>
      </c>
      <c r="Q42" s="505"/>
      <c r="R42" s="505"/>
      <c r="S42" s="240"/>
    </row>
    <row r="43" spans="1:19" x14ac:dyDescent="0.2">
      <c r="B43" s="477" t="str">
        <f>Journey!B26</f>
        <v>Dream Maker Award</v>
      </c>
      <c r="C43" s="478"/>
      <c r="E43" s="247"/>
      <c r="F43" s="248" t="str">
        <f>Badges!C48</f>
        <v>Host a celebration</v>
      </c>
      <c r="G43" s="250" t="str">
        <f>IF(Badges!O48="A","A"," ")</f>
        <v xml:space="preserve"> </v>
      </c>
      <c r="I43" s="247"/>
      <c r="J43" s="248" t="str">
        <f>Badges!C106</f>
        <v>Military medicine</v>
      </c>
      <c r="K43" s="250" t="str">
        <f>IF(Badges!O106="A","A"," ")</f>
        <v xml:space="preserve"> </v>
      </c>
      <c r="M43" s="247"/>
      <c r="N43" s="248" t="str">
        <f>Badges!C176</f>
        <v>Audit request</v>
      </c>
      <c r="O43" s="250" t="str">
        <f>IF(Badges!O176="A","A"," ")</f>
        <v xml:space="preserve"> </v>
      </c>
      <c r="Q43" s="267"/>
      <c r="R43" s="267"/>
      <c r="S43" s="240"/>
    </row>
    <row r="44" spans="1:19" x14ac:dyDescent="0.2">
      <c r="B44" s="256">
        <f>Journey!N27</f>
        <v>0</v>
      </c>
      <c r="C44" s="252" t="str">
        <f>IF(Journey!O27="C","C",IF(Journey!O27="P","P",""))</f>
        <v/>
      </c>
      <c r="E44" s="247"/>
      <c r="F44" s="248" t="str">
        <f>Badges!C49</f>
        <v>Make a "trading card" for each athlete</v>
      </c>
      <c r="G44" s="250" t="str">
        <f>IF(Badges!O49="A","A","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Journey!N28</f>
        <v>0</v>
      </c>
      <c r="C45" s="252" t="str">
        <f>IF(Journey!O28="C","C",IF(Journey!O28="P","P",""))</f>
        <v/>
      </c>
      <c r="E45" s="492" t="str">
        <f>Badges!B52</f>
        <v>Public Policy</v>
      </c>
      <c r="F45" s="492"/>
      <c r="G45" s="492"/>
      <c r="I45" s="247"/>
      <c r="J45" s="248" t="str">
        <f>Badges!C108</f>
        <v>Take a wilderness first aid course</v>
      </c>
      <c r="K45" s="250" t="str">
        <f>IF(Badges!O108="A","A"," ")</f>
        <v xml:space="preserve"> </v>
      </c>
      <c r="M45" s="247"/>
      <c r="N45" s="248" t="str">
        <f>Badges!C178</f>
        <v>Hooray for hobbies!</v>
      </c>
      <c r="O45" s="250" t="str">
        <f>IF(Badges!O178="A","A"," ")</f>
        <v xml:space="preserve"> </v>
      </c>
      <c r="Q45" s="267"/>
      <c r="R45" s="267"/>
      <c r="S45" s="240"/>
    </row>
    <row r="46" spans="1:19" x14ac:dyDescent="0.2">
      <c r="B46" s="256">
        <f>Journey!N29</f>
        <v>0</v>
      </c>
      <c r="C46" s="252" t="str">
        <f>IF(Journey!O29="C","C",IF(Journey!O29="P","P",""))</f>
        <v/>
      </c>
      <c r="E46" s="247">
        <v>1</v>
      </c>
      <c r="F46" s="248" t="str">
        <f>Badges!C53</f>
        <v>Find out how activitists advocate for change</v>
      </c>
      <c r="G46" s="249" t="s">
        <v>26</v>
      </c>
      <c r="I46" s="247"/>
      <c r="J46" s="248" t="str">
        <f>Badges!C109</f>
        <v>Interview a doctor, nurse, EMT, or first</v>
      </c>
      <c r="K46" s="250" t="str">
        <f>IF(Badges!O109="A","A"," ")</f>
        <v xml:space="preserve"> </v>
      </c>
      <c r="M46" s="247"/>
      <c r="N46" s="248" t="str">
        <f>Badges!C179</f>
        <v>Treat yourself</v>
      </c>
      <c r="O46" s="250" t="str">
        <f>IF(Badges!O179="A","A"," ")</f>
        <v xml:space="preserve"> </v>
      </c>
      <c r="Q46" s="267"/>
      <c r="R46" s="267"/>
      <c r="S46" s="240"/>
    </row>
    <row r="47" spans="1:19" x14ac:dyDescent="0.2">
      <c r="B47" s="256">
        <f>Journey!N30</f>
        <v>0</v>
      </c>
      <c r="C47" s="252" t="str">
        <f>IF(Journey!O30="C","C",IF(Journey!O30="P","P",""))</f>
        <v/>
      </c>
      <c r="E47" s="247"/>
      <c r="F47" s="248" t="str">
        <f>Badges!C54</f>
        <v>Interview an activist</v>
      </c>
      <c r="G47" s="250" t="str">
        <f>IF(Badges!O54="A","A"," ")</f>
        <v xml:space="preserve"> </v>
      </c>
      <c r="I47" s="247"/>
      <c r="J47" s="248" t="str">
        <f>Badges!C110</f>
        <v xml:space="preserve">Discover how to use what's on hand in </v>
      </c>
      <c r="K47" s="250" t="str">
        <f>IF(Badges!O110="A","A"," ")</f>
        <v xml:space="preserve"> </v>
      </c>
      <c r="M47" s="247"/>
      <c r="N47" s="248" t="str">
        <f>Badges!C180</f>
        <v>Class act</v>
      </c>
      <c r="O47" s="250" t="str">
        <f>IF(Badges!O180="A","A"," ")</f>
        <v xml:space="preserve"> </v>
      </c>
      <c r="Q47" s="267"/>
      <c r="R47" s="267"/>
      <c r="S47" s="240"/>
    </row>
    <row r="48" spans="1:19" x14ac:dyDescent="0.2">
      <c r="B48" s="264"/>
      <c r="C48" s="264"/>
      <c r="E48" s="247"/>
      <c r="F48" s="248" t="str">
        <f>Badges!C55</f>
        <v>Watch a documentary or movie</v>
      </c>
      <c r="G48" s="250" t="str">
        <f>IF(Badges!O55="A","A"," ")</f>
        <v xml:space="preserve"> </v>
      </c>
      <c r="I48" s="339" t="str">
        <f>Badges!B98</f>
        <v>Ambassador First Aid</v>
      </c>
      <c r="J48" s="340"/>
      <c r="K48" s="340"/>
      <c r="M48" s="247">
        <v>4</v>
      </c>
      <c r="N48" s="248" t="str">
        <f>Badges!C181</f>
        <v>Plan for the unexpected</v>
      </c>
      <c r="O48" s="249"/>
    </row>
    <row r="49" spans="1:19" x14ac:dyDescent="0.2">
      <c r="A49" s="484" t="s">
        <v>316</v>
      </c>
      <c r="B49" s="484"/>
      <c r="C49" s="484"/>
      <c r="E49" s="247"/>
      <c r="F49" s="248" t="str">
        <f>Badges!C56</f>
        <v xml:space="preserve">Read about women who change the </v>
      </c>
      <c r="G49" s="250" t="str">
        <f>IF(Badges!O56="A","A"," ")</f>
        <v xml:space="preserve"> </v>
      </c>
      <c r="I49" s="247">
        <v>4</v>
      </c>
      <c r="J49" s="248" t="str">
        <f>Badges!C111</f>
        <v>Know how to move an injured person</v>
      </c>
      <c r="K49" s="249"/>
      <c r="M49" s="247"/>
      <c r="N49" s="248" t="str">
        <f>Badges!C182</f>
        <v>Interview your network</v>
      </c>
      <c r="O49" s="250" t="str">
        <f>IF(Badges!O182="A","A"," ")</f>
        <v xml:space="preserve"> </v>
      </c>
    </row>
    <row r="50" spans="1:19" x14ac:dyDescent="0.2">
      <c r="A50" s="259"/>
      <c r="B50" s="345" t="str">
        <f>Bridging!B6</f>
        <v>Pass It On!</v>
      </c>
      <c r="C50" s="251" t="str">
        <f>IF(Bridging!O10="C","C",IF(Bridging!O10="P","P",""))</f>
        <v/>
      </c>
      <c r="E50" s="247">
        <v>2</v>
      </c>
      <c r="F50" s="248" t="str">
        <f>Badges!C57</f>
        <v>Engage as a global citizen</v>
      </c>
      <c r="G50" s="249"/>
      <c r="I50" s="247"/>
      <c r="J50" s="248" t="str">
        <f>Badges!C112</f>
        <v>Visit a medical school</v>
      </c>
      <c r="K50" s="250" t="str">
        <f>IF(Badges!O112="A","A"," ")</f>
        <v xml:space="preserve"> </v>
      </c>
      <c r="M50" s="247"/>
      <c r="N50" s="248" t="str">
        <f>Badges!C183</f>
        <v>Interview a Financial guru</v>
      </c>
      <c r="O50" s="250" t="str">
        <f>IF(Badges!O183="A","A"," ")</f>
        <v xml:space="preserve"> </v>
      </c>
    </row>
    <row r="51" spans="1:19" x14ac:dyDescent="0.2">
      <c r="A51" s="259"/>
      <c r="B51" s="260" t="str">
        <f>Bridging!B11</f>
        <v>Look Ahead!</v>
      </c>
      <c r="C51" s="251" t="str">
        <f>IF(Bridging!O15="C","C",IF(Bridging!O15="P","P",""))</f>
        <v/>
      </c>
      <c r="E51" s="247"/>
      <c r="F51" s="248" t="str">
        <f>Badges!C58</f>
        <v>Compare laws</v>
      </c>
      <c r="G51" s="250" t="str">
        <f>IF(Badges!O58="A","A"," ")</f>
        <v xml:space="preserve"> </v>
      </c>
      <c r="I51" s="247"/>
      <c r="J51" s="248" t="str">
        <f>Badges!C113</f>
        <v>Take a wilderness first aid course</v>
      </c>
      <c r="K51" s="250" t="str">
        <f>IF(Badges!O113="A","A"," ")</f>
        <v xml:space="preserve"> </v>
      </c>
      <c r="M51" s="247"/>
      <c r="N51" s="248" t="str">
        <f>Badges!C184</f>
        <v>Interview an insurance expert</v>
      </c>
      <c r="O51" s="250" t="str">
        <f>IF(Badges!O184="A","A"," ")</f>
        <v xml:space="preserve"> </v>
      </c>
    </row>
    <row r="52" spans="1:19" x14ac:dyDescent="0.2">
      <c r="A52" s="259"/>
      <c r="B52" s="344" t="str">
        <f>Bridging!C16</f>
        <v>Plan a Ceremony</v>
      </c>
      <c r="C52" s="251" t="str">
        <f>IF(Bridging!O17="C","C",IF(Bridging!O17="P","P",""))</f>
        <v/>
      </c>
      <c r="E52" s="247"/>
      <c r="F52" s="248" t="str">
        <f>Badges!C59</f>
        <v xml:space="preserve">Track a public-policy issue being </v>
      </c>
      <c r="G52" s="250" t="str">
        <f>IF(Badges!O59="A","A"," ")</f>
        <v xml:space="preserve"> </v>
      </c>
      <c r="I52" s="247"/>
      <c r="J52" s="248" t="str">
        <f>Badges!C114</f>
        <v>Organize a mock emergency drill</v>
      </c>
      <c r="K52" s="250" t="str">
        <f>IF(Badges!O114="A","A"," ")</f>
        <v xml:space="preserve"> </v>
      </c>
      <c r="M52" s="339" t="str">
        <f>Badges!B168</f>
        <v>On My Own</v>
      </c>
      <c r="N52" s="340"/>
      <c r="O52" s="340"/>
    </row>
    <row r="53" spans="1:19" x14ac:dyDescent="0.2">
      <c r="B53" s="261" t="s">
        <v>134</v>
      </c>
      <c r="C53" s="251" t="str">
        <f>IF(Bridging!O18="C","C",IF(Bridging!O18="P","P",""))</f>
        <v/>
      </c>
      <c r="E53" s="247"/>
      <c r="F53" s="248" t="str">
        <f>Badges!C60</f>
        <v>Explore an international NGO</v>
      </c>
      <c r="G53" s="250" t="str">
        <f>IF(Badges!O60="A","A","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IF(Badges!O116="A","A"," ")</f>
        <v xml:space="preserve"> </v>
      </c>
      <c r="M54" s="247"/>
      <c r="N54" s="248" t="str">
        <f>Badges!C186</f>
        <v>Plan for presents</v>
      </c>
      <c r="O54" s="250" t="str">
        <f>IF(Badges!O186="A","A"," ")</f>
        <v xml:space="preserve"> </v>
      </c>
      <c r="Q54" s="267"/>
      <c r="R54" s="267"/>
      <c r="S54" s="240"/>
    </row>
    <row r="55" spans="1:19" x14ac:dyDescent="0.2">
      <c r="I55" s="247"/>
      <c r="J55" s="248" t="str">
        <f>Badges!C117</f>
        <v>Investigate extreme first aid</v>
      </c>
      <c r="K55" s="250" t="str">
        <f>IF(Badges!O117="A","A"," ")</f>
        <v xml:space="preserve"> </v>
      </c>
      <c r="M55" s="247"/>
      <c r="N55" s="248" t="str">
        <f>Badges!C187</f>
        <v>Budget for your time</v>
      </c>
      <c r="O55" s="250" t="str">
        <f>IF(Badges!O187="A","A"," ")</f>
        <v xml:space="preserve"> </v>
      </c>
      <c r="Q55" s="496"/>
      <c r="R55" s="496"/>
      <c r="S55" s="496"/>
    </row>
    <row r="56" spans="1:19" x14ac:dyDescent="0.2">
      <c r="I56" s="247"/>
      <c r="J56" s="248" t="str">
        <f>Badges!C118</f>
        <v>Interview an everyday hero</v>
      </c>
      <c r="K56" s="250" t="str">
        <f>IF(Badges!O118="A","A"," ")</f>
        <v xml:space="preserve"> </v>
      </c>
      <c r="M56" s="247"/>
      <c r="N56" s="248" t="str">
        <f>Badges!C188</f>
        <v>Charity starts… with a budget</v>
      </c>
      <c r="O56" s="250" t="str">
        <f>IF(Badges!O188="A","A","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IF(Badges!O123="A","A"," ")</f>
        <v xml:space="preserve"> </v>
      </c>
      <c r="M59" s="247"/>
      <c r="N59" s="248" t="str">
        <f>Badges!C217</f>
        <v>Invest some R&amp;D</v>
      </c>
      <c r="O59" s="250" t="str">
        <f>IF(Badges!O217="A","A"," ")</f>
        <v xml:space="preserve"> </v>
      </c>
    </row>
    <row r="60" spans="1:19" x14ac:dyDescent="0.2">
      <c r="I60" s="247"/>
      <c r="J60" s="248" t="str">
        <f>Badges!C124</f>
        <v xml:space="preserve">Ogranize a songfest for younger </v>
      </c>
      <c r="K60" s="250" t="str">
        <f>IF(Badges!O124="A","A"," ")</f>
        <v xml:space="preserve"> </v>
      </c>
      <c r="M60" s="247">
        <v>2</v>
      </c>
      <c r="N60" s="248" t="str">
        <f>Badges!C218</f>
        <v>Reasearch how other companies innovate</v>
      </c>
      <c r="O60" s="249"/>
    </row>
    <row r="61" spans="1:19" x14ac:dyDescent="0.2">
      <c r="I61" s="247"/>
      <c r="J61" s="248" t="str">
        <f>Badges!C125</f>
        <v>Bring generations together in song</v>
      </c>
      <c r="K61" s="250" t="str">
        <f>IF(Badges!O125="A","A"," ")</f>
        <v xml:space="preserve"> </v>
      </c>
      <c r="M61" s="247"/>
      <c r="N61" s="248" t="str">
        <f>Badges!C219</f>
        <v>Find at least three other companies</v>
      </c>
      <c r="O61" s="250" t="str">
        <f>IF(Badges!O219="A","A"," ")</f>
        <v xml:space="preserve"> </v>
      </c>
    </row>
    <row r="62" spans="1:19"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IF(Badges!O127="A","A"," ")</f>
        <v xml:space="preserve"> </v>
      </c>
      <c r="M63" s="247"/>
      <c r="N63" s="248" t="str">
        <f>Badges!C221</f>
        <v>Developing a new product</v>
      </c>
      <c r="O63" s="250" t="str">
        <f>IF(Badges!O221="A","A"," ")</f>
        <v xml:space="preserve"> </v>
      </c>
    </row>
    <row r="64" spans="1:19" x14ac:dyDescent="0.2">
      <c r="I64" s="247"/>
      <c r="J64" s="248" t="str">
        <f>Badges!C128</f>
        <v>Make World Thinking Day cards</v>
      </c>
      <c r="K64" s="250" t="str">
        <f>IF(Badges!O128="A","A","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IF(Badges!O129="A","A"," ")</f>
        <v xml:space="preserve"> </v>
      </c>
      <c r="M65" s="247"/>
      <c r="N65" s="248" t="str">
        <f>Badges!C223</f>
        <v>If you're considering serveral</v>
      </c>
      <c r="O65" s="250" t="str">
        <f>IF(Badges!O223="A","A","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IF(Badges!O225="A","A","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484"/>
      <c r="G72" s="484"/>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Own'!O28="C","C",IF('Council Own'!O28="P","P",""))</f>
        <v/>
      </c>
      <c r="E73" s="493" t="str">
        <f>'Fun Patches'!C5</f>
        <v>&lt;LIST PATCH HERE&gt;</v>
      </c>
      <c r="F73" s="494"/>
      <c r="G73" s="250" t="str">
        <f>IF('Fun Patches'!O5="A","A","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Own'!O52="C","C",IF('Council Own'!O52="P","P",""))</f>
        <v/>
      </c>
      <c r="E74" s="471" t="str">
        <f>'Fun Patches'!C6</f>
        <v>&lt;LIST PATCH HERE&gt;</v>
      </c>
      <c r="F74" s="472"/>
      <c r="G74" s="257" t="str">
        <f>IF('Fun Patches'!O6="A","A"," ")</f>
        <v xml:space="preserve"> </v>
      </c>
      <c r="H74" s="254"/>
      <c r="I74" s="247">
        <v>1</v>
      </c>
      <c r="J74" s="344" t="str">
        <f>'Council Own'!C7</f>
        <v>&lt;List Requirement Here&gt;</v>
      </c>
      <c r="K74" s="257" t="str">
        <f>IF('Council Own'!O7="A","A"," ")</f>
        <v xml:space="preserve"> </v>
      </c>
      <c r="L74" s="254"/>
      <c r="M74" s="247">
        <v>1</v>
      </c>
      <c r="N74" s="344" t="str">
        <f>'Council Own'!C55</f>
        <v>&lt;List Requirement Here&gt;</v>
      </c>
      <c r="O74" s="257" t="str">
        <f>IF('Council Own'!O55="A","A"," ")</f>
        <v xml:space="preserve"> </v>
      </c>
      <c r="Q74" s="247">
        <v>1</v>
      </c>
      <c r="R74" s="344" t="str">
        <f>'Council Own'!C103</f>
        <v>&lt;List Requirement Here&gt;</v>
      </c>
      <c r="S74" s="257" t="str">
        <f>IF('Council Own'!O103="A","A"," ")</f>
        <v xml:space="preserve"> </v>
      </c>
    </row>
    <row r="75" spans="1:19" x14ac:dyDescent="0.2">
      <c r="A75" s="485" t="str">
        <f>'Council Own'!B54</f>
        <v>&lt;&lt;List Badge Here&gt;&gt;</v>
      </c>
      <c r="B75" s="486"/>
      <c r="C75" s="252" t="str">
        <f>IF('Council Own'!O76="C","C",IF('Council Own'!O76="P","P",""))</f>
        <v/>
      </c>
      <c r="E75" s="471" t="str">
        <f>'Fun Patches'!C7</f>
        <v>&lt;LIST PATCH HERE&gt;</v>
      </c>
      <c r="F75" s="472"/>
      <c r="G75" s="257" t="str">
        <f>IF('Fun Patches'!O7="A","A"," ")</f>
        <v xml:space="preserve"> </v>
      </c>
      <c r="H75" s="254"/>
      <c r="I75" s="247"/>
      <c r="J75" s="344" t="str">
        <f>'Council Own'!C8</f>
        <v>&lt;List Requirement Here&gt;</v>
      </c>
      <c r="K75" s="257" t="str">
        <f>IF('Council Own'!O8="A","A"," ")</f>
        <v xml:space="preserve"> </v>
      </c>
      <c r="L75" s="254"/>
      <c r="M75" s="247"/>
      <c r="N75" s="344" t="str">
        <f>'Council Own'!C56</f>
        <v>&lt;List Requirement Here&gt;</v>
      </c>
      <c r="O75" s="257" t="str">
        <f>IF('Council Own'!O56="A","A"," ")</f>
        <v xml:space="preserve"> </v>
      </c>
      <c r="Q75" s="247"/>
      <c r="R75" s="344" t="str">
        <f>'Council Own'!C104</f>
        <v>&lt;List Requirement Here&gt;</v>
      </c>
      <c r="S75" s="257" t="str">
        <f>IF('Council Own'!O104="A","A"," ")</f>
        <v xml:space="preserve"> </v>
      </c>
    </row>
    <row r="76" spans="1:19" x14ac:dyDescent="0.2">
      <c r="A76" s="485" t="str">
        <f>'Council Own'!B78</f>
        <v>&lt;&lt;List Badge Here&gt;&gt;</v>
      </c>
      <c r="B76" s="486"/>
      <c r="C76" s="252" t="str">
        <f>IF('Council Own'!O100="C","C",IF('Council Own'!O100="P","P",""))</f>
        <v/>
      </c>
      <c r="E76" s="471" t="str">
        <f>'Fun Patches'!C8</f>
        <v>&lt;LIST PATCH HERE&gt;</v>
      </c>
      <c r="F76" s="472"/>
      <c r="G76" s="257" t="str">
        <f>IF('Fun Patches'!O8="A","A"," ")</f>
        <v xml:space="preserve"> </v>
      </c>
      <c r="H76" s="254"/>
      <c r="I76" s="247"/>
      <c r="J76" s="344" t="str">
        <f>'Council Own'!C9</f>
        <v>&lt;List Requirement Here&gt;</v>
      </c>
      <c r="K76" s="257" t="str">
        <f>IF('Council Own'!O9="A","A"," ")</f>
        <v xml:space="preserve"> </v>
      </c>
      <c r="L76" s="254"/>
      <c r="M76" s="247"/>
      <c r="N76" s="344" t="str">
        <f>'Council Own'!C57</f>
        <v>&lt;List Requirement Here&gt;</v>
      </c>
      <c r="O76" s="257" t="str">
        <f>IF('Council Own'!O57="A","A"," ")</f>
        <v xml:space="preserve"> </v>
      </c>
      <c r="Q76" s="247"/>
      <c r="R76" s="344" t="str">
        <f>'Council Own'!C105</f>
        <v>&lt;List Requirement Here&gt;</v>
      </c>
      <c r="S76" s="257" t="str">
        <f>IF('Council Own'!O105="A","A"," ")</f>
        <v xml:space="preserve"> </v>
      </c>
    </row>
    <row r="77" spans="1:19" x14ac:dyDescent="0.2">
      <c r="A77" s="485" t="str">
        <f>'Council Own'!B102</f>
        <v>&lt;&lt;List Badge Here&gt;&gt;</v>
      </c>
      <c r="B77" s="486"/>
      <c r="C77" s="252" t="str">
        <f>IF('Council Own'!O124="C","C",IF('Council Own'!O124="P","P",""))</f>
        <v/>
      </c>
      <c r="E77" s="471" t="str">
        <f>'Fun Patches'!C9</f>
        <v>&lt;LIST PATCH HERE&gt;</v>
      </c>
      <c r="F77" s="472"/>
      <c r="G77" s="257" t="str">
        <f>IF('Fun Patches'!O9="A","A"," ")</f>
        <v xml:space="preserve"> </v>
      </c>
      <c r="H77" s="254"/>
      <c r="I77" s="247"/>
      <c r="J77" s="344" t="str">
        <f>'Council Own'!C10</f>
        <v>&lt;List Requirement Here&gt;</v>
      </c>
      <c r="K77" s="257" t="str">
        <f>IF('Council Own'!O10="A","A"," ")</f>
        <v xml:space="preserve"> </v>
      </c>
      <c r="L77" s="254"/>
      <c r="M77" s="247"/>
      <c r="N77" s="344" t="str">
        <f>'Council Own'!C58</f>
        <v>&lt;List Requirement Here&gt;</v>
      </c>
      <c r="O77" s="257" t="str">
        <f>IF('Council Own'!O58="A","A"," ")</f>
        <v xml:space="preserve"> </v>
      </c>
      <c r="Q77" s="247"/>
      <c r="R77" s="344" t="str">
        <f>'Council Own'!C106</f>
        <v>&lt;List Requirement Here&gt;</v>
      </c>
      <c r="S77" s="257" t="str">
        <f>IF('Council Own'!O106="A","A"," ")</f>
        <v xml:space="preserve"> </v>
      </c>
    </row>
    <row r="78" spans="1:19" x14ac:dyDescent="0.2">
      <c r="A78" s="485" t="str">
        <f>'Council Own'!B126</f>
        <v>&lt;&lt;List Badge Here&gt;&gt;</v>
      </c>
      <c r="B78" s="486"/>
      <c r="C78" s="252" t="str">
        <f>IF('Council Own'!O148="C","C",IF('Council Own'!O148="P","P",""))</f>
        <v/>
      </c>
      <c r="E78" s="471" t="str">
        <f>'Fun Patches'!C10</f>
        <v>&lt;LIST PATCH HERE&gt;</v>
      </c>
      <c r="F78" s="472"/>
      <c r="G78" s="257" t="str">
        <f>IF('Fun Patches'!O10="A","A"," ")</f>
        <v xml:space="preserve"> </v>
      </c>
      <c r="I78" s="247">
        <v>2</v>
      </c>
      <c r="J78" s="344" t="str">
        <f>'Council Own'!C11</f>
        <v>&lt;List Requirement Here&gt;</v>
      </c>
      <c r="K78" s="257" t="str">
        <f>IF('Council Own'!O11="A","A"," ")</f>
        <v xml:space="preserve"> </v>
      </c>
      <c r="M78" s="247">
        <v>2</v>
      </c>
      <c r="N78" s="344" t="str">
        <f>'Council Own'!C59</f>
        <v>&lt;List Requirement Here&gt;</v>
      </c>
      <c r="O78" s="257" t="str">
        <f>IF('Council Own'!O59="A","A"," ")</f>
        <v xml:space="preserve"> </v>
      </c>
      <c r="Q78" s="247">
        <v>2</v>
      </c>
      <c r="R78" s="344" t="str">
        <f>'Council Own'!C107</f>
        <v>&lt;List Requirement Here&gt;</v>
      </c>
      <c r="S78" s="257" t="str">
        <f>IF('Council Own'!O107="A","A"," ")</f>
        <v xml:space="preserve"> </v>
      </c>
    </row>
    <row r="79" spans="1:19" x14ac:dyDescent="0.2">
      <c r="E79" s="471" t="str">
        <f>'Fun Patches'!C11</f>
        <v>&lt;LIST PATCH HERE&gt;</v>
      </c>
      <c r="F79" s="472"/>
      <c r="G79" s="257" t="str">
        <f>IF('Fun Patches'!O11="A","A"," ")</f>
        <v xml:space="preserve"> </v>
      </c>
      <c r="I79" s="247"/>
      <c r="J79" s="344" t="str">
        <f>'Council Own'!C12</f>
        <v>&lt;List Requirement Here&gt;</v>
      </c>
      <c r="K79" s="257" t="str">
        <f>IF('Council Own'!O12="A","A"," ")</f>
        <v xml:space="preserve"> </v>
      </c>
      <c r="M79" s="247"/>
      <c r="N79" s="344" t="str">
        <f>'Council Own'!C60</f>
        <v>&lt;List Requirement Here&gt;</v>
      </c>
      <c r="O79" s="257" t="str">
        <f>IF('Council Own'!O60="A","A"," ")</f>
        <v xml:space="preserve"> </v>
      </c>
      <c r="Q79" s="247"/>
      <c r="R79" s="344" t="str">
        <f>'Council Own'!C108</f>
        <v>&lt;List Requirement Here&gt;</v>
      </c>
      <c r="S79" s="257" t="str">
        <f>IF('Council Own'!O108="A","A"," ")</f>
        <v xml:space="preserve"> </v>
      </c>
    </row>
    <row r="80" spans="1:19" x14ac:dyDescent="0.2">
      <c r="E80" s="471" t="str">
        <f>'Fun Patches'!C12</f>
        <v>&lt;LIST PATCH HERE&gt;</v>
      </c>
      <c r="F80" s="472"/>
      <c r="G80" s="257" t="str">
        <f>IF('Fun Patches'!O12="A","A"," ")</f>
        <v xml:space="preserve"> </v>
      </c>
      <c r="I80" s="247"/>
      <c r="J80" s="344" t="str">
        <f>'Council Own'!C13</f>
        <v>&lt;List Requirement Here&gt;</v>
      </c>
      <c r="K80" s="257" t="str">
        <f>IF('Council Own'!O13="A","A"," ")</f>
        <v xml:space="preserve"> </v>
      </c>
      <c r="M80" s="247"/>
      <c r="N80" s="344" t="str">
        <f>'Council Own'!C61</f>
        <v>&lt;List Requirement Here&gt;</v>
      </c>
      <c r="O80" s="257" t="str">
        <f>IF('Council Own'!O61="A","A"," ")</f>
        <v xml:space="preserve"> </v>
      </c>
      <c r="Q80" s="247"/>
      <c r="R80" s="344" t="str">
        <f>'Council Own'!C109</f>
        <v>&lt;List Requirement Here&gt;</v>
      </c>
      <c r="S80" s="257" t="str">
        <f>IF('Council Own'!O109="A","A"," ")</f>
        <v xml:space="preserve"> </v>
      </c>
    </row>
    <row r="81" spans="1:22" x14ac:dyDescent="0.2">
      <c r="E81" s="471" t="str">
        <f>'Fun Patches'!C13</f>
        <v>&lt;LIST PATCH HERE&gt;</v>
      </c>
      <c r="F81" s="472"/>
      <c r="G81" s="257" t="str">
        <f>IF('Fun Patches'!O13="A","A"," ")</f>
        <v xml:space="preserve"> </v>
      </c>
      <c r="I81" s="247"/>
      <c r="J81" s="344" t="str">
        <f>'Council Own'!C14</f>
        <v>&lt;List Requirement Here&gt;</v>
      </c>
      <c r="K81" s="257" t="str">
        <f>IF('Council Own'!O14="A","A"," ")</f>
        <v xml:space="preserve"> </v>
      </c>
      <c r="M81" s="247"/>
      <c r="N81" s="344" t="str">
        <f>'Council Own'!C62</f>
        <v>&lt;List Requirement Here&gt;</v>
      </c>
      <c r="O81" s="257" t="str">
        <f>IF('Council Own'!O62="A","A"," ")</f>
        <v xml:space="preserve"> </v>
      </c>
      <c r="Q81" s="247"/>
      <c r="R81" s="344" t="str">
        <f>'Council Own'!C110</f>
        <v>&lt;List Requirement Here&gt;</v>
      </c>
      <c r="S81" s="257" t="str">
        <f>IF('Council Own'!O110="A","A"," ")</f>
        <v xml:space="preserve"> </v>
      </c>
    </row>
    <row r="82" spans="1:22" x14ac:dyDescent="0.2">
      <c r="E82" s="471" t="str">
        <f>'Fun Patches'!C14</f>
        <v>&lt;LIST PATCH HERE&gt;</v>
      </c>
      <c r="F82" s="472"/>
      <c r="G82" s="257" t="str">
        <f>IF('Fun Patches'!O14="A","A"," ")</f>
        <v xml:space="preserve"> </v>
      </c>
      <c r="I82" s="247">
        <v>3</v>
      </c>
      <c r="J82" s="344" t="str">
        <f>'Council Own'!C15</f>
        <v>&lt;List Requirement Here&gt;</v>
      </c>
      <c r="K82" s="257" t="str">
        <f>IF('Council Own'!O15="A","A"," ")</f>
        <v xml:space="preserve"> </v>
      </c>
      <c r="M82" s="247">
        <v>3</v>
      </c>
      <c r="N82" s="344" t="str">
        <f>'Council Own'!C63</f>
        <v>&lt;List Requirement Here&gt;</v>
      </c>
      <c r="O82" s="257" t="str">
        <f>IF('Council Own'!O63="A","A"," ")</f>
        <v xml:space="preserve"> </v>
      </c>
      <c r="Q82" s="247">
        <v>3</v>
      </c>
      <c r="R82" s="344" t="str">
        <f>'Council Own'!C111</f>
        <v>&lt;List Requirement Here&gt;</v>
      </c>
      <c r="S82" s="257" t="str">
        <f>IF('Council Own'!O111="A","A"," ")</f>
        <v xml:space="preserve"> </v>
      </c>
    </row>
    <row r="83" spans="1:22" x14ac:dyDescent="0.2">
      <c r="E83" s="471" t="str">
        <f>'Fun Patches'!C15</f>
        <v>&lt;LIST PATCH HERE&gt;</v>
      </c>
      <c r="F83" s="472"/>
      <c r="G83" s="257" t="str">
        <f>IF('Fun Patches'!O15="A","A"," ")</f>
        <v xml:space="preserve"> </v>
      </c>
      <c r="I83" s="247"/>
      <c r="J83" s="344" t="str">
        <f>'Council Own'!C16</f>
        <v>&lt;List Requirement Here&gt;</v>
      </c>
      <c r="K83" s="257" t="str">
        <f>IF('Council Own'!O16="A","A"," ")</f>
        <v xml:space="preserve"> </v>
      </c>
      <c r="M83" s="247"/>
      <c r="N83" s="344" t="str">
        <f>'Council Own'!C64</f>
        <v>&lt;List Requirement Here&gt;</v>
      </c>
      <c r="O83" s="257" t="str">
        <f>IF('Council Own'!O64="A","A"," ")</f>
        <v xml:space="preserve"> </v>
      </c>
      <c r="Q83" s="247"/>
      <c r="R83" s="344" t="str">
        <f>'Council Own'!C112</f>
        <v>&lt;List Requirement Here&gt;</v>
      </c>
      <c r="S83" s="257" t="str">
        <f>IF('Council Own'!O112="A","A"," ")</f>
        <v xml:space="preserve"> </v>
      </c>
    </row>
    <row r="84" spans="1:22" x14ac:dyDescent="0.2">
      <c r="E84" s="471" t="str">
        <f>'Fun Patches'!C16</f>
        <v>&lt;LIST PATCH HERE&gt;</v>
      </c>
      <c r="F84" s="472"/>
      <c r="G84" s="257" t="str">
        <f>IF('Fun Patches'!O16="A","A"," ")</f>
        <v xml:space="preserve"> </v>
      </c>
      <c r="I84" s="247"/>
      <c r="J84" s="344" t="str">
        <f>'Council Own'!C17</f>
        <v>&lt;List Requirement Here&gt;</v>
      </c>
      <c r="K84" s="257" t="str">
        <f>IF('Council Own'!O17="A","A"," ")</f>
        <v xml:space="preserve"> </v>
      </c>
      <c r="M84" s="247"/>
      <c r="N84" s="344" t="str">
        <f>'Council Own'!C65</f>
        <v>&lt;List Requirement Here&gt;</v>
      </c>
      <c r="O84" s="257" t="str">
        <f>IF('Council Own'!O65="A","A"," ")</f>
        <v xml:space="preserve"> </v>
      </c>
      <c r="Q84" s="247"/>
      <c r="R84" s="344" t="str">
        <f>'Council Own'!C113</f>
        <v>&lt;List Requirement Here&gt;</v>
      </c>
      <c r="S84" s="257" t="str">
        <f>IF('Council Own'!O113="A","A"," ")</f>
        <v xml:space="preserve"> </v>
      </c>
    </row>
    <row r="85" spans="1:22" x14ac:dyDescent="0.2">
      <c r="E85" s="471" t="str">
        <f>'Fun Patches'!C17</f>
        <v>&lt;LIST PATCH HERE&gt;</v>
      </c>
      <c r="F85" s="472"/>
      <c r="G85" s="250" t="str">
        <f>IF('Fun Patches'!O17="A","A"," ")</f>
        <v xml:space="preserve"> </v>
      </c>
      <c r="I85" s="247"/>
      <c r="J85" s="344" t="str">
        <f>'Council Own'!C18</f>
        <v>&lt;List Requirement Here&gt;</v>
      </c>
      <c r="K85" s="257" t="str">
        <f>IF('Council Own'!O18="A","A"," ")</f>
        <v xml:space="preserve"> </v>
      </c>
      <c r="M85" s="247"/>
      <c r="N85" s="344" t="str">
        <f>'Council Own'!C66</f>
        <v>&lt;List Requirement Here&gt;</v>
      </c>
      <c r="O85" s="257" t="str">
        <f>IF('Council Own'!O66="A","A"," ")</f>
        <v xml:space="preserve"> </v>
      </c>
      <c r="Q85" s="247"/>
      <c r="R85" s="344" t="str">
        <f>'Council Own'!C114</f>
        <v>&lt;List Requirement Here&gt;</v>
      </c>
      <c r="S85" s="257" t="str">
        <f>IF('Council Own'!O114="A","A"," ")</f>
        <v xml:space="preserve"> </v>
      </c>
    </row>
    <row r="86" spans="1:22" x14ac:dyDescent="0.2">
      <c r="A86" s="242"/>
      <c r="B86" s="243"/>
      <c r="C86" s="244"/>
      <c r="E86" s="471" t="str">
        <f>'Fun Patches'!C18</f>
        <v>&lt;LIST PATCH HERE&gt;</v>
      </c>
      <c r="F86" s="472"/>
      <c r="G86" s="257" t="str">
        <f>IF('Fun Patches'!O18="A","A"," ")</f>
        <v xml:space="preserve"> </v>
      </c>
      <c r="I86" s="247">
        <v>4</v>
      </c>
      <c r="J86" s="344" t="str">
        <f>'Council Own'!C19</f>
        <v>&lt;List Requirement Here&gt;</v>
      </c>
      <c r="K86" s="257" t="str">
        <f>IF('Council Own'!O19="A","A"," ")</f>
        <v xml:space="preserve"> </v>
      </c>
      <c r="M86" s="247">
        <v>4</v>
      </c>
      <c r="N86" s="344" t="str">
        <f>'Council Own'!C67</f>
        <v>&lt;List Requirement Here&gt;</v>
      </c>
      <c r="O86" s="257" t="str">
        <f>IF('Council Own'!O67="A","A"," ")</f>
        <v xml:space="preserve"> </v>
      </c>
      <c r="Q86" s="247">
        <v>4</v>
      </c>
      <c r="R86" s="344" t="str">
        <f>'Council Own'!C115</f>
        <v>&lt;List Requirement Here&gt;</v>
      </c>
      <c r="S86" s="257" t="str">
        <f>IF('Council Own'!O115="A","A"," ")</f>
        <v xml:space="preserve"> </v>
      </c>
    </row>
    <row r="87" spans="1:22" x14ac:dyDescent="0.2">
      <c r="E87" s="471" t="str">
        <f>'Fun Patches'!C19</f>
        <v>&lt;LIST PATCH HERE&gt;</v>
      </c>
      <c r="F87" s="472"/>
      <c r="G87" s="257" t="str">
        <f>IF('Fun Patches'!O19="A","A"," ")</f>
        <v xml:space="preserve"> </v>
      </c>
      <c r="I87" s="247"/>
      <c r="J87" s="344" t="str">
        <f>'Council Own'!C20</f>
        <v>&lt;List Requirement Here&gt;</v>
      </c>
      <c r="K87" s="257" t="str">
        <f>IF('Council Own'!O20="A","A"," ")</f>
        <v xml:space="preserve"> </v>
      </c>
      <c r="M87" s="247"/>
      <c r="N87" s="344" t="str">
        <f>'Council Own'!C68</f>
        <v>&lt;List Requirement Here&gt;</v>
      </c>
      <c r="O87" s="257" t="str">
        <f>IF('Council Own'!O68="A","A"," ")</f>
        <v xml:space="preserve"> </v>
      </c>
      <c r="Q87" s="247"/>
      <c r="R87" s="344" t="str">
        <f>'Council Own'!C116</f>
        <v>&lt;List Requirement Here&gt;</v>
      </c>
      <c r="S87" s="257" t="str">
        <f>IF('Council Own'!O116="A","A"," ")</f>
        <v xml:space="preserve"> </v>
      </c>
    </row>
    <row r="88" spans="1:22" x14ac:dyDescent="0.2">
      <c r="E88" s="471" t="str">
        <f>'Fun Patches'!C20</f>
        <v>&lt;LIST PATCH HERE&gt;</v>
      </c>
      <c r="F88" s="472"/>
      <c r="G88" s="257" t="str">
        <f>IF('Fun Patches'!O20="A","A"," ")</f>
        <v xml:space="preserve"> </v>
      </c>
      <c r="I88" s="247"/>
      <c r="J88" s="344" t="str">
        <f>'Council Own'!C21</f>
        <v>&lt;List Requirement Here&gt;</v>
      </c>
      <c r="K88" s="257" t="str">
        <f>IF('Council Own'!O21="A","A"," ")</f>
        <v xml:space="preserve"> </v>
      </c>
      <c r="M88" s="247"/>
      <c r="N88" s="344" t="str">
        <f>'Council Own'!C69</f>
        <v>&lt;List Requirement Here&gt;</v>
      </c>
      <c r="O88" s="257" t="str">
        <f>IF('Council Own'!O69="A","A"," ")</f>
        <v xml:space="preserve"> </v>
      </c>
      <c r="Q88" s="247"/>
      <c r="R88" s="344" t="str">
        <f>'Council Own'!C117</f>
        <v>&lt;List Requirement Here&gt;</v>
      </c>
      <c r="S88" s="257" t="str">
        <f>IF('Council Own'!O117="A","A"," ")</f>
        <v xml:space="preserve"> </v>
      </c>
    </row>
    <row r="89" spans="1:22" x14ac:dyDescent="0.2">
      <c r="E89" s="471" t="str">
        <f>'Fun Patches'!C21</f>
        <v>&lt;LIST PATCH HERE&gt;</v>
      </c>
      <c r="F89" s="472"/>
      <c r="G89" s="257" t="str">
        <f>IF('Fun Patches'!O21="A","A"," ")</f>
        <v xml:space="preserve"> </v>
      </c>
      <c r="I89" s="247"/>
      <c r="J89" s="344" t="str">
        <f>'Council Own'!C22</f>
        <v>&lt;List Requirement Here&gt;</v>
      </c>
      <c r="K89" s="257" t="str">
        <f>IF('Council Own'!O22="A","A"," ")</f>
        <v xml:space="preserve"> </v>
      </c>
      <c r="M89" s="247"/>
      <c r="N89" s="344" t="str">
        <f>'Council Own'!C70</f>
        <v>&lt;List Requirement Here&gt;</v>
      </c>
      <c r="O89" s="257" t="str">
        <f>IF('Council Own'!O70="A","A"," ")</f>
        <v xml:space="preserve"> </v>
      </c>
      <c r="Q89" s="247"/>
      <c r="R89" s="344" t="str">
        <f>'Council Own'!C118</f>
        <v>&lt;List Requirement Here&gt;</v>
      </c>
      <c r="S89" s="257" t="str">
        <f>IF('Council Own'!O118="A","A"," ")</f>
        <v xml:space="preserve"> </v>
      </c>
    </row>
    <row r="90" spans="1:22" x14ac:dyDescent="0.2">
      <c r="E90" s="471" t="str">
        <f>'Fun Patches'!C22</f>
        <v>&lt;LIST PATCH HERE&gt;</v>
      </c>
      <c r="F90" s="472"/>
      <c r="G90" s="257" t="str">
        <f>IF('Fun Patches'!O22="A","A"," ")</f>
        <v xml:space="preserve"> </v>
      </c>
      <c r="I90" s="247">
        <v>5</v>
      </c>
      <c r="J90" s="344" t="str">
        <f>'Council Own'!C23</f>
        <v>&lt;List Requirement Here&gt;</v>
      </c>
      <c r="K90" s="257" t="str">
        <f>IF('Council Own'!O23="A","A"," ")</f>
        <v xml:space="preserve"> </v>
      </c>
      <c r="M90" s="247">
        <v>5</v>
      </c>
      <c r="N90" s="344" t="str">
        <f>'Council Own'!C71</f>
        <v>&lt;List Requirement Here&gt;</v>
      </c>
      <c r="O90" s="257" t="str">
        <f>IF('Council Own'!O71="A","A"," ")</f>
        <v xml:space="preserve"> </v>
      </c>
      <c r="Q90" s="247">
        <v>5</v>
      </c>
      <c r="R90" s="344" t="str">
        <f>'Council Own'!C119</f>
        <v>&lt;List Requirement Here&gt;</v>
      </c>
      <c r="S90" s="257" t="str">
        <f>IF('Council Own'!O119="A","A"," ")</f>
        <v xml:space="preserve"> </v>
      </c>
    </row>
    <row r="91" spans="1:22" x14ac:dyDescent="0.2">
      <c r="E91" s="471" t="str">
        <f>'Fun Patches'!C23</f>
        <v>&lt;LIST PATCH HERE&gt;</v>
      </c>
      <c r="F91" s="472"/>
      <c r="G91" s="257" t="str">
        <f>IF('Fun Patches'!O23="A","A"," ")</f>
        <v xml:space="preserve"> </v>
      </c>
      <c r="I91" s="247"/>
      <c r="J91" s="344" t="str">
        <f>'Council Own'!C24</f>
        <v>&lt;List Requirement Here&gt;</v>
      </c>
      <c r="K91" s="257" t="str">
        <f>IF('Council Own'!O24="A","A"," ")</f>
        <v xml:space="preserve"> </v>
      </c>
      <c r="M91" s="247"/>
      <c r="N91" s="344" t="str">
        <f>'Council Own'!C72</f>
        <v>&lt;List Requirement Here&gt;</v>
      </c>
      <c r="O91" s="257" t="str">
        <f>IF('Council Own'!O72="A","A"," ")</f>
        <v xml:space="preserve"> </v>
      </c>
      <c r="Q91" s="247"/>
      <c r="R91" s="344" t="str">
        <f>'Council Own'!C120</f>
        <v>&lt;List Requirement Here&gt;</v>
      </c>
      <c r="S91" s="257" t="str">
        <f>IF('Council Own'!O120="A","A"," ")</f>
        <v xml:space="preserve"> </v>
      </c>
    </row>
    <row r="92" spans="1:22" x14ac:dyDescent="0.2">
      <c r="E92" s="471" t="str">
        <f>'Fun Patches'!C24</f>
        <v>&lt;LIST PATCH HERE&gt;</v>
      </c>
      <c r="F92" s="472"/>
      <c r="G92" s="257" t="str">
        <f>IF('Fun Patches'!O24="A","A"," ")</f>
        <v xml:space="preserve"> </v>
      </c>
      <c r="I92" s="247"/>
      <c r="J92" s="344" t="str">
        <f>'Council Own'!C25</f>
        <v>&lt;List Requirement Here&gt;</v>
      </c>
      <c r="K92" s="257" t="str">
        <f>IF('Council Own'!O25="A","A"," ")</f>
        <v xml:space="preserve"> </v>
      </c>
      <c r="M92" s="247"/>
      <c r="N92" s="344" t="str">
        <f>'Council Own'!C73</f>
        <v>&lt;List Requirement Here&gt;</v>
      </c>
      <c r="O92" s="257" t="str">
        <f>IF('Council Own'!O73="A","A"," ")</f>
        <v xml:space="preserve"> </v>
      </c>
      <c r="Q92" s="247"/>
      <c r="R92" s="344" t="str">
        <f>'Council Own'!C121</f>
        <v>&lt;List Requirement Here&gt;</v>
      </c>
      <c r="S92" s="257" t="str">
        <f>IF('Council Own'!O121="A","A"," ")</f>
        <v xml:space="preserve"> </v>
      </c>
    </row>
    <row r="93" spans="1:22" x14ac:dyDescent="0.2">
      <c r="E93" s="471" t="str">
        <f>'Fun Patches'!C25</f>
        <v>&lt;LIST PATCH HERE&gt;</v>
      </c>
      <c r="F93" s="472"/>
      <c r="G93" s="257" t="str">
        <f>IF('Fun Patches'!O25="A","A"," ")</f>
        <v xml:space="preserve"> </v>
      </c>
      <c r="I93" s="247"/>
      <c r="J93" s="344" t="str">
        <f>'Council Own'!C26</f>
        <v>&lt;List Requirement Here&gt;</v>
      </c>
      <c r="K93" s="257" t="str">
        <f>IF('Council Own'!O26="A","A"," ")</f>
        <v xml:space="preserve"> </v>
      </c>
      <c r="M93" s="247"/>
      <c r="N93" s="344" t="str">
        <f>'Council Own'!C74</f>
        <v>&lt;List Requirement Here&gt;</v>
      </c>
      <c r="O93" s="257" t="str">
        <f>IF('Council Own'!O68="A","A"," ")</f>
        <v xml:space="preserve"> </v>
      </c>
      <c r="Q93" s="247"/>
      <c r="R93" s="344" t="str">
        <f>'Council Own'!C122</f>
        <v>&lt;List Requirement Here&gt;</v>
      </c>
      <c r="S93" s="257" t="str">
        <f>IF('Council Own'!O122="A","A"," ")</f>
        <v xml:space="preserve"> </v>
      </c>
    </row>
    <row r="94" spans="1:22" x14ac:dyDescent="0.2">
      <c r="E94" s="471" t="str">
        <f>'Fun Patches'!C26</f>
        <v>&lt;LIST PATCH HERE&gt;</v>
      </c>
      <c r="F94" s="472"/>
      <c r="G94" s="257" t="str">
        <f>IF('Fun Patches'!O26="A","A","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Patches'!O27="A","A"," ")</f>
        <v xml:space="preserve"> </v>
      </c>
      <c r="I95" s="247">
        <v>1</v>
      </c>
      <c r="J95" s="344" t="str">
        <f>'Council Own'!C31</f>
        <v>&lt;List Requirement Here&gt;</v>
      </c>
      <c r="K95" s="257" t="str">
        <f>IF('Council Own'!O31="A","A"," ")</f>
        <v xml:space="preserve"> </v>
      </c>
      <c r="M95" s="247">
        <v>1</v>
      </c>
      <c r="N95" s="344" t="str">
        <f>'Council Own'!C79</f>
        <v>&lt;List Requirement Here&gt;</v>
      </c>
      <c r="O95" s="257" t="str">
        <f>IF('Council Own'!O79="A","A"," ")</f>
        <v xml:space="preserve"> </v>
      </c>
      <c r="Q95" s="247">
        <v>1</v>
      </c>
      <c r="R95" s="344" t="str">
        <f>'Council Own'!C127</f>
        <v>&lt;List Requirement Here&gt;</v>
      </c>
      <c r="S95" s="257" t="str">
        <f>IF('Council Own'!O127="A","A"," ")</f>
        <v xml:space="preserve"> </v>
      </c>
    </row>
    <row r="96" spans="1:22" x14ac:dyDescent="0.2">
      <c r="E96" s="471" t="str">
        <f>'Fun Patches'!C28</f>
        <v>&lt;LIST PATCH HERE&gt;</v>
      </c>
      <c r="F96" s="472"/>
      <c r="G96" s="257" t="str">
        <f>IF('Fun Patches'!O28="A","A"," ")</f>
        <v xml:space="preserve"> </v>
      </c>
      <c r="I96" s="247"/>
      <c r="J96" s="344" t="str">
        <f>'Council Own'!C32</f>
        <v>&lt;List Requirement Here&gt;</v>
      </c>
      <c r="K96" s="257" t="str">
        <f>IF('Council Own'!O32="A","A"," ")</f>
        <v xml:space="preserve"> </v>
      </c>
      <c r="M96" s="247"/>
      <c r="N96" s="344" t="str">
        <f>'Council Own'!C80</f>
        <v>&lt;List Requirement Here&gt;</v>
      </c>
      <c r="O96" s="257" t="str">
        <f>IF('Council Own'!O80="A","A"," ")</f>
        <v xml:space="preserve"> </v>
      </c>
      <c r="Q96" s="247"/>
      <c r="R96" s="344" t="str">
        <f>'Council Own'!C128</f>
        <v>&lt;List Requirement Here&gt;</v>
      </c>
      <c r="S96" s="257" t="str">
        <f>IF('Council Own'!O128="A","A"," ")</f>
        <v xml:space="preserve"> </v>
      </c>
      <c r="U96" s="245"/>
      <c r="V96" s="245"/>
    </row>
    <row r="97" spans="1:23" x14ac:dyDescent="0.2">
      <c r="E97" s="471" t="str">
        <f>'Fun Patches'!C29</f>
        <v>&lt;LIST PATCH HERE&gt;</v>
      </c>
      <c r="F97" s="472"/>
      <c r="G97" s="257" t="str">
        <f>IF('Fun Patches'!O29="A","A"," ")</f>
        <v xml:space="preserve"> </v>
      </c>
      <c r="I97" s="247"/>
      <c r="J97" s="344" t="str">
        <f>'Council Own'!C33</f>
        <v>&lt;List Requirement Here&gt;</v>
      </c>
      <c r="K97" s="257" t="str">
        <f>IF('Council Own'!O33="A","A"," ")</f>
        <v xml:space="preserve"> </v>
      </c>
      <c r="M97" s="247"/>
      <c r="N97" s="344" t="str">
        <f>'Council Own'!C81</f>
        <v>&lt;List Requirement Here&gt;</v>
      </c>
      <c r="O97" s="257" t="str">
        <f>IF('Council Own'!O81="A","A"," ")</f>
        <v xml:space="preserve"> </v>
      </c>
      <c r="Q97" s="247"/>
      <c r="R97" s="344" t="str">
        <f>'Council Own'!C129</f>
        <v>&lt;List Requirement Here&gt;</v>
      </c>
      <c r="S97" s="257" t="str">
        <f>IF('Council Own'!O129="A","A"," ")</f>
        <v xml:space="preserve"> </v>
      </c>
      <c r="U97" s="245"/>
      <c r="V97" s="245"/>
    </row>
    <row r="98" spans="1:23" x14ac:dyDescent="0.2">
      <c r="A98" s="484" t="s">
        <v>75</v>
      </c>
      <c r="B98" s="484"/>
      <c r="C98" s="484"/>
      <c r="E98" s="471" t="str">
        <f>'Fun Patches'!C30</f>
        <v>&lt;LIST PATCH HERE&gt;</v>
      </c>
      <c r="F98" s="472"/>
      <c r="G98" s="257" t="str">
        <f>IF('Fun Patches'!O30="A","A"," ")</f>
        <v xml:space="preserve"> </v>
      </c>
      <c r="I98" s="247"/>
      <c r="J98" s="344" t="str">
        <f>'Council Own'!C34</f>
        <v>&lt;List Requirement Here&gt;</v>
      </c>
      <c r="K98" s="257" t="str">
        <f>IF('Council Own'!O34="A","A"," ")</f>
        <v xml:space="preserve"> </v>
      </c>
      <c r="M98" s="247"/>
      <c r="N98" s="344" t="str">
        <f>'Council Own'!C82</f>
        <v>&lt;List Requirement Here&gt;</v>
      </c>
      <c r="O98" s="257" t="str">
        <f>IF('Council Own'!O82="A","A"," ")</f>
        <v xml:space="preserve"> </v>
      </c>
      <c r="Q98" s="247"/>
      <c r="R98" s="344" t="str">
        <f>'Council Own'!C130</f>
        <v>&lt;List Requirement Here&gt;</v>
      </c>
      <c r="S98" s="257" t="str">
        <f>IF('Council Own'!O130="A","A"," ")</f>
        <v xml:space="preserve"> </v>
      </c>
      <c r="U98" s="245"/>
      <c r="V98" s="245"/>
    </row>
    <row r="99" spans="1:23" ht="14.25" customHeight="1" x14ac:dyDescent="0.2">
      <c r="A99" s="481" t="s">
        <v>72</v>
      </c>
      <c r="B99" s="482"/>
      <c r="C99" s="483"/>
      <c r="E99" s="471" t="str">
        <f>'Fun Patches'!C31</f>
        <v>&lt;LIST PATCH HERE&gt;</v>
      </c>
      <c r="F99" s="472"/>
      <c r="G99" s="257" t="str">
        <f>IF('Fun Patches'!O31="A","A"," ")</f>
        <v xml:space="preserve"> </v>
      </c>
      <c r="I99" s="247">
        <v>2</v>
      </c>
      <c r="J99" s="344" t="str">
        <f>'Council Own'!C35</f>
        <v>&lt;List Requirement Here&gt;</v>
      </c>
      <c r="K99" s="257" t="str">
        <f>IF('Council Own'!O35="A","A"," ")</f>
        <v xml:space="preserve"> </v>
      </c>
      <c r="M99" s="247">
        <v>2</v>
      </c>
      <c r="N99" s="344" t="str">
        <f>'Council Own'!C83</f>
        <v>&lt;List Requirement Here&gt;</v>
      </c>
      <c r="O99" s="257" t="str">
        <f>IF('Council Own'!O83="A","A"," ")</f>
        <v xml:space="preserve"> </v>
      </c>
      <c r="Q99" s="247">
        <v>2</v>
      </c>
      <c r="R99" s="344" t="str">
        <f>'Council Own'!C131</f>
        <v>&lt;List Requirement Here&gt;</v>
      </c>
      <c r="S99" s="257" t="str">
        <f>IF('Council Own'!O131="A","A"," ")</f>
        <v xml:space="preserve"> </v>
      </c>
      <c r="U99" s="245"/>
      <c r="V99" s="245"/>
    </row>
    <row r="100" spans="1:23" x14ac:dyDescent="0.2">
      <c r="A100" s="481" t="s">
        <v>73</v>
      </c>
      <c r="B100" s="482"/>
      <c r="C100" s="483"/>
      <c r="E100" s="471" t="str">
        <f>'Fun Patches'!C32</f>
        <v>&lt;LIST PATCH HERE&gt;</v>
      </c>
      <c r="F100" s="472"/>
      <c r="G100" s="257" t="str">
        <f>IF('Fun Patches'!O32="A","A"," ")</f>
        <v xml:space="preserve"> </v>
      </c>
      <c r="I100" s="247"/>
      <c r="J100" s="344" t="str">
        <f>'Council Own'!C36</f>
        <v>&lt;List Requirement Here&gt;</v>
      </c>
      <c r="K100" s="257" t="str">
        <f>IF('Council Own'!O36="A","A"," ")</f>
        <v xml:space="preserve"> </v>
      </c>
      <c r="M100" s="247"/>
      <c r="N100" s="344" t="str">
        <f>'Council Own'!C84</f>
        <v>&lt;List Requirement Here&gt;</v>
      </c>
      <c r="O100" s="257" t="str">
        <f>IF('Council Own'!O84="A","A"," ")</f>
        <v xml:space="preserve"> </v>
      </c>
      <c r="Q100" s="247"/>
      <c r="R100" s="344" t="str">
        <f>'Council Own'!C132</f>
        <v>&lt;List Requirement Here&gt;</v>
      </c>
      <c r="S100" s="257" t="str">
        <f>IF('Council Own'!O132="A","A"," ")</f>
        <v xml:space="preserve"> </v>
      </c>
      <c r="U100" s="337"/>
      <c r="V100" s="338"/>
      <c r="W100" s="341"/>
    </row>
    <row r="101" spans="1:23" x14ac:dyDescent="0.2">
      <c r="A101" s="468" t="s">
        <v>74</v>
      </c>
      <c r="B101" s="469"/>
      <c r="C101" s="470"/>
      <c r="E101" s="471" t="str">
        <f>'Fun Patches'!C33</f>
        <v>&lt;LIST PATCH HERE&gt;</v>
      </c>
      <c r="F101" s="472"/>
      <c r="G101" s="257" t="str">
        <f>IF('Fun Patches'!O33="A","A"," ")</f>
        <v xml:space="preserve"> </v>
      </c>
      <c r="I101" s="247"/>
      <c r="J101" s="344" t="str">
        <f>'Council Own'!C37</f>
        <v>&lt;List Requirement Here&gt;</v>
      </c>
      <c r="K101" s="257" t="str">
        <f>IF('Council Own'!O37="A","A"," ")</f>
        <v xml:space="preserve"> </v>
      </c>
      <c r="M101" s="247"/>
      <c r="N101" s="344" t="str">
        <f>'Council Own'!C85</f>
        <v>&lt;List Requirement Here&gt;</v>
      </c>
      <c r="O101" s="257" t="str">
        <f>IF('Council Own'!O85="A","A"," ")</f>
        <v xml:space="preserve"> </v>
      </c>
      <c r="Q101" s="247"/>
      <c r="R101" s="344" t="str">
        <f>'Council Own'!C133</f>
        <v>&lt;List Requirement Here&gt;</v>
      </c>
      <c r="S101" s="257" t="str">
        <f>IF('Council Own'!O133="A","A"," ")</f>
        <v xml:space="preserve"> </v>
      </c>
      <c r="U101" s="245"/>
      <c r="V101" s="245"/>
    </row>
    <row r="102" spans="1:23" x14ac:dyDescent="0.2">
      <c r="E102" s="471" t="str">
        <f>'Fun Patches'!C34</f>
        <v>&lt;LIST PATCH HERE&gt;</v>
      </c>
      <c r="F102" s="472"/>
      <c r="G102" s="257" t="str">
        <f>IF('Fun Patches'!O34="A","A"," ")</f>
        <v xml:space="preserve"> </v>
      </c>
      <c r="I102" s="247"/>
      <c r="J102" s="344" t="str">
        <f>'Council Own'!C38</f>
        <v>&lt;List Requirement Here&gt;</v>
      </c>
      <c r="K102" s="257" t="str">
        <f>IF('Council Own'!O38="A","A"," ")</f>
        <v xml:space="preserve"> </v>
      </c>
      <c r="M102" s="247"/>
      <c r="N102" s="344" t="str">
        <f>'Council Own'!C86</f>
        <v>&lt;List Requirement Here&gt;</v>
      </c>
      <c r="O102" s="257" t="str">
        <f>IF('Council Own'!O86="A","A"," ")</f>
        <v xml:space="preserve"> </v>
      </c>
      <c r="Q102" s="247"/>
      <c r="R102" s="344" t="str">
        <f>'Council Own'!C134</f>
        <v>&lt;List Requirement Here&gt;</v>
      </c>
      <c r="S102" s="257" t="str">
        <f>IF('Council Own'!O134="A","A"," ")</f>
        <v xml:space="preserve"> </v>
      </c>
      <c r="U102" s="245"/>
      <c r="V102" s="245"/>
    </row>
    <row r="103" spans="1:23" x14ac:dyDescent="0.2">
      <c r="E103" s="471" t="str">
        <f>'Fun Patches'!C35</f>
        <v>&lt;LIST PATCH HERE&gt;</v>
      </c>
      <c r="F103" s="472"/>
      <c r="G103" s="257" t="str">
        <f>IF('Fun Patches'!O35="A","A"," ")</f>
        <v xml:space="preserve"> </v>
      </c>
      <c r="I103" s="247">
        <v>3</v>
      </c>
      <c r="J103" s="344" t="str">
        <f>'Council Own'!C39</f>
        <v>&lt;List Requirement Here&gt;</v>
      </c>
      <c r="K103" s="257" t="str">
        <f>IF('Council Own'!O39="A","A"," ")</f>
        <v xml:space="preserve"> </v>
      </c>
      <c r="M103" s="247">
        <v>3</v>
      </c>
      <c r="N103" s="344" t="str">
        <f>'Council Own'!C87</f>
        <v>&lt;List Requirement Here&gt;</v>
      </c>
      <c r="O103" s="257" t="str">
        <f>IF('Council Own'!O87="A","A"," ")</f>
        <v xml:space="preserve"> </v>
      </c>
      <c r="Q103" s="247">
        <v>3</v>
      </c>
      <c r="R103" s="344" t="str">
        <f>'Council Own'!C135</f>
        <v>&lt;List Requirement Here&gt;</v>
      </c>
      <c r="S103" s="257" t="str">
        <f>IF('Council Own'!O135="A","A"," ")</f>
        <v xml:space="preserve"> </v>
      </c>
      <c r="U103" s="245"/>
      <c r="V103" s="245"/>
    </row>
    <row r="104" spans="1:23" x14ac:dyDescent="0.2">
      <c r="E104" s="471" t="str">
        <f>'Fun Patches'!C36</f>
        <v>&lt;LIST PATCH HERE&gt;</v>
      </c>
      <c r="F104" s="472"/>
      <c r="G104" s="257" t="str">
        <f>IF('Fun Patches'!O36="A","A"," ")</f>
        <v xml:space="preserve"> </v>
      </c>
      <c r="I104" s="247"/>
      <c r="J104" s="344" t="str">
        <f>'Council Own'!C40</f>
        <v>&lt;List Requirement Here&gt;</v>
      </c>
      <c r="K104" s="257" t="str">
        <f>IF('Council Own'!O40="A","A"," ")</f>
        <v xml:space="preserve"> </v>
      </c>
      <c r="M104" s="247"/>
      <c r="N104" s="344" t="str">
        <f>'Council Own'!C88</f>
        <v>&lt;List Requirement Here&gt;</v>
      </c>
      <c r="O104" s="257" t="str">
        <f>IF('Council Own'!O88="A","A"," ")</f>
        <v xml:space="preserve"> </v>
      </c>
      <c r="Q104" s="247"/>
      <c r="R104" s="344" t="str">
        <f>'Council Own'!C136</f>
        <v>&lt;List Requirement Here&gt;</v>
      </c>
      <c r="S104" s="257" t="str">
        <f>IF('Council Own'!O136="A","A"," ")</f>
        <v xml:space="preserve"> </v>
      </c>
      <c r="U104" s="245"/>
      <c r="V104" s="245"/>
    </row>
    <row r="105" spans="1:23" x14ac:dyDescent="0.2">
      <c r="E105" s="471" t="str">
        <f>'Fun Patches'!C37</f>
        <v>&lt;LIST PATCH HERE&gt;</v>
      </c>
      <c r="F105" s="472"/>
      <c r="G105" s="257" t="str">
        <f>IF('Fun Patches'!O37="A","A"," ")</f>
        <v xml:space="preserve"> </v>
      </c>
      <c r="I105" s="247"/>
      <c r="J105" s="344" t="str">
        <f>'Council Own'!C41</f>
        <v>&lt;List Requirement Here&gt;</v>
      </c>
      <c r="K105" s="257" t="str">
        <f>IF('Council Own'!O41="A","A"," ")</f>
        <v xml:space="preserve"> </v>
      </c>
      <c r="M105" s="247"/>
      <c r="N105" s="344" t="str">
        <f>'Council Own'!C89</f>
        <v>&lt;List Requirement Here&gt;</v>
      </c>
      <c r="O105" s="257" t="str">
        <f>IF('Council Own'!O89="A","A"," ")</f>
        <v xml:space="preserve"> </v>
      </c>
      <c r="Q105" s="247"/>
      <c r="R105" s="344" t="str">
        <f>'Council Own'!C137</f>
        <v>&lt;List Requirement Here&gt;</v>
      </c>
      <c r="S105" s="257" t="str">
        <f>IF('Council Own'!O137="A","A"," ")</f>
        <v xml:space="preserve"> </v>
      </c>
      <c r="U105" s="245"/>
      <c r="V105" s="245"/>
    </row>
    <row r="106" spans="1:23" x14ac:dyDescent="0.2">
      <c r="E106" s="471" t="str">
        <f>'Fun Patches'!C38</f>
        <v>&lt;LIST PATCH HERE&gt;</v>
      </c>
      <c r="F106" s="472"/>
      <c r="G106" s="257" t="str">
        <f>IF('Fun Patches'!O38="A","A"," ")</f>
        <v xml:space="preserve"> </v>
      </c>
      <c r="I106" s="247"/>
      <c r="J106" s="344" t="str">
        <f>'Council Own'!C42</f>
        <v>&lt;List Requirement Here&gt;</v>
      </c>
      <c r="K106" s="257" t="str">
        <f>IF('Council Own'!O42="A","A"," ")</f>
        <v xml:space="preserve"> </v>
      </c>
      <c r="M106" s="247"/>
      <c r="N106" s="344" t="str">
        <f>'Council Own'!C90</f>
        <v>&lt;List Requirement Here&gt;</v>
      </c>
      <c r="O106" s="257" t="str">
        <f>IF('Council Own'!O90="A","A"," ")</f>
        <v xml:space="preserve"> </v>
      </c>
      <c r="Q106" s="247"/>
      <c r="R106" s="344" t="str">
        <f>'Council Own'!C138</f>
        <v>&lt;List Requirement Here&gt;</v>
      </c>
      <c r="S106" s="257" t="str">
        <f>IF('Council Own'!O138="A","A"," ")</f>
        <v xml:space="preserve"> </v>
      </c>
      <c r="U106" s="245"/>
      <c r="V106" s="245"/>
    </row>
    <row r="107" spans="1:23" x14ac:dyDescent="0.2">
      <c r="E107" s="284"/>
      <c r="F107" s="263"/>
      <c r="G107" s="341"/>
      <c r="I107" s="247">
        <v>4</v>
      </c>
      <c r="J107" s="344" t="str">
        <f>'Council Own'!C43</f>
        <v>&lt;List Requirement Here&gt;</v>
      </c>
      <c r="K107" s="257" t="str">
        <f>IF('Council Own'!O43="A","A"," ")</f>
        <v xml:space="preserve"> </v>
      </c>
      <c r="M107" s="247">
        <v>4</v>
      </c>
      <c r="N107" s="344" t="str">
        <f>'Council Own'!C91</f>
        <v>&lt;List Requirement Here&gt;</v>
      </c>
      <c r="O107" s="257" t="str">
        <f>IF('Council Own'!O91="A","A"," ")</f>
        <v xml:space="preserve"> </v>
      </c>
      <c r="Q107" s="247">
        <v>4</v>
      </c>
      <c r="R107" s="344" t="str">
        <f>'Council Own'!C139</f>
        <v>&lt;List Requirement Here&gt;</v>
      </c>
      <c r="S107" s="257" t="str">
        <f>IF('Council Own'!O139="A","A"," ")</f>
        <v xml:space="preserve"> </v>
      </c>
      <c r="U107" s="245"/>
      <c r="V107" s="245"/>
    </row>
    <row r="108" spans="1:23" x14ac:dyDescent="0.2">
      <c r="I108" s="247"/>
      <c r="J108" s="344" t="str">
        <f>'Council Own'!C44</f>
        <v>&lt;List Requirement Here&gt;</v>
      </c>
      <c r="K108" s="257" t="str">
        <f>IF('Council Own'!O44="A","A"," ")</f>
        <v xml:space="preserve"> </v>
      </c>
      <c r="M108" s="247"/>
      <c r="N108" s="344" t="str">
        <f>'Council Own'!C92</f>
        <v>&lt;List Requirement Here&gt;</v>
      </c>
      <c r="O108" s="257" t="str">
        <f>IF('Council Own'!O92="A","A"," ")</f>
        <v xml:space="preserve"> </v>
      </c>
      <c r="Q108" s="247"/>
      <c r="R108" s="344" t="str">
        <f>'Council Own'!C140</f>
        <v>&lt;List Requirement Here&gt;</v>
      </c>
      <c r="S108" s="257" t="str">
        <f>IF('Council Own'!O140="A","A"," ")</f>
        <v xml:space="preserve"> </v>
      </c>
      <c r="U108" s="245"/>
      <c r="V108" s="245"/>
    </row>
    <row r="109" spans="1:23" x14ac:dyDescent="0.2">
      <c r="I109" s="247"/>
      <c r="J109" s="344" t="str">
        <f>'Council Own'!C45</f>
        <v>&lt;List Requirement Here&gt;</v>
      </c>
      <c r="K109" s="257" t="str">
        <f>IF('Council Own'!O45="A","A"," ")</f>
        <v xml:space="preserve"> </v>
      </c>
      <c r="M109" s="247"/>
      <c r="N109" s="344" t="str">
        <f>'Council Own'!C93</f>
        <v>&lt;List Requirement Here&gt;</v>
      </c>
      <c r="O109" s="257" t="str">
        <f>IF('Council Own'!O93="A","A"," ")</f>
        <v xml:space="preserve"> </v>
      </c>
      <c r="Q109" s="247"/>
      <c r="R109" s="344" t="str">
        <f>'Council Own'!C141</f>
        <v>&lt;List Requirement Here&gt;</v>
      </c>
      <c r="S109" s="257" t="str">
        <f>IF('Council Own'!O141="A","A"," ")</f>
        <v xml:space="preserve"> </v>
      </c>
      <c r="U109" s="245"/>
      <c r="V109" s="245"/>
    </row>
    <row r="110" spans="1:23" x14ac:dyDescent="0.2">
      <c r="I110" s="247"/>
      <c r="J110" s="344" t="str">
        <f>'Council Own'!C46</f>
        <v>&lt;List Requirement Here&gt;</v>
      </c>
      <c r="K110" s="257" t="str">
        <f>IF('Council Own'!O46="A","A"," ")</f>
        <v xml:space="preserve"> </v>
      </c>
      <c r="M110" s="247"/>
      <c r="N110" s="344" t="str">
        <f>'Council Own'!C94</f>
        <v>&lt;List Requirement Here&gt;</v>
      </c>
      <c r="O110" s="257" t="str">
        <f>IF('Council Own'!O94="A","A"," ")</f>
        <v xml:space="preserve"> </v>
      </c>
      <c r="Q110" s="247"/>
      <c r="R110" s="344" t="str">
        <f>'Council Own'!C142</f>
        <v>&lt;List Requirement Here&gt;</v>
      </c>
      <c r="S110" s="257" t="str">
        <f>IF('Council Own'!O142="A","A"," ")</f>
        <v xml:space="preserve"> </v>
      </c>
      <c r="U110" s="245"/>
      <c r="V110" s="245"/>
    </row>
    <row r="111" spans="1:23" x14ac:dyDescent="0.2">
      <c r="I111" s="247">
        <v>5</v>
      </c>
      <c r="J111" s="344" t="str">
        <f>'Council Own'!C47</f>
        <v>&lt;List Requirement Here&gt;</v>
      </c>
      <c r="K111" s="257" t="str">
        <f>IF('Council Own'!O47="A","A"," ")</f>
        <v xml:space="preserve"> </v>
      </c>
      <c r="M111" s="247">
        <v>5</v>
      </c>
      <c r="N111" s="344" t="str">
        <f>'Council Own'!C95</f>
        <v>&lt;List Requirement Here&gt;</v>
      </c>
      <c r="O111" s="257" t="str">
        <f>IF('Council Own'!O95="A","A"," ")</f>
        <v xml:space="preserve"> </v>
      </c>
      <c r="Q111" s="247">
        <v>5</v>
      </c>
      <c r="R111" s="344" t="str">
        <f>'Council Own'!C143</f>
        <v>&lt;List Requirement Here&gt;</v>
      </c>
      <c r="S111" s="257" t="str">
        <f>IF('Council Own'!O143="A","A"," ")</f>
        <v xml:space="preserve"> </v>
      </c>
      <c r="U111" s="338"/>
      <c r="V111" s="338"/>
      <c r="W111" s="341"/>
    </row>
    <row r="112" spans="1:23" x14ac:dyDescent="0.2">
      <c r="I112" s="247"/>
      <c r="J112" s="344" t="str">
        <f>'Council Own'!C48</f>
        <v>&lt;List Requirement Here&gt;</v>
      </c>
      <c r="K112" s="257" t="str">
        <f>IF('Council Own'!O48="A","A"," ")</f>
        <v xml:space="preserve"> </v>
      </c>
      <c r="M112" s="247"/>
      <c r="N112" s="344" t="str">
        <f>'Council Own'!C96</f>
        <v>&lt;List Requirement Here&gt;</v>
      </c>
      <c r="O112" s="257" t="str">
        <f>IF('Council Own'!O96="A","A"," ")</f>
        <v xml:space="preserve"> </v>
      </c>
      <c r="Q112" s="247"/>
      <c r="R112" s="344" t="str">
        <f>'Council Own'!C144</f>
        <v>&lt;List Requirement Here&gt;</v>
      </c>
      <c r="S112" s="257" t="str">
        <f>IF('Council Own'!O144="A","A"," ")</f>
        <v xml:space="preserve"> </v>
      </c>
      <c r="U112" s="245"/>
      <c r="V112" s="245"/>
    </row>
    <row r="113" spans="9:22" x14ac:dyDescent="0.2">
      <c r="I113" s="247"/>
      <c r="J113" s="344" t="str">
        <f>'Council Own'!C49</f>
        <v>&lt;List Requirement Here&gt;</v>
      </c>
      <c r="K113" s="257" t="str">
        <f>IF('Council Own'!O49="A","A"," ")</f>
        <v xml:space="preserve"> </v>
      </c>
      <c r="M113" s="247"/>
      <c r="N113" s="344" t="str">
        <f>'Council Own'!C97</f>
        <v>&lt;List Requirement Here&gt;</v>
      </c>
      <c r="O113" s="257" t="str">
        <f>IF('Council Own'!O97="A","A"," ")</f>
        <v xml:space="preserve"> </v>
      </c>
      <c r="Q113" s="247"/>
      <c r="R113" s="344" t="str">
        <f>'Council Own'!C145</f>
        <v>&lt;List Requirement Here&gt;</v>
      </c>
      <c r="S113" s="257" t="str">
        <f>IF('Council Own'!O145="A","A"," ")</f>
        <v xml:space="preserve"> </v>
      </c>
      <c r="U113" s="245"/>
      <c r="V113" s="245"/>
    </row>
    <row r="114" spans="9:22" x14ac:dyDescent="0.2">
      <c r="I114" s="247"/>
      <c r="J114" s="344" t="str">
        <f>'Council Own'!C50</f>
        <v>&lt;List Requirement Here&gt;</v>
      </c>
      <c r="K114" s="257" t="str">
        <f>IF('Council Own'!O50="A","A"," ")</f>
        <v xml:space="preserve"> </v>
      </c>
      <c r="M114" s="247"/>
      <c r="N114" s="344" t="str">
        <f>'Council Own'!C98</f>
        <v>&lt;List Requirement Here&gt;</v>
      </c>
      <c r="O114" s="257" t="str">
        <f>IF('Council Own'!O98="A","A"," ")</f>
        <v xml:space="preserve"> </v>
      </c>
      <c r="Q114" s="247"/>
      <c r="R114" s="344" t="str">
        <f>'Council Own'!C146</f>
        <v>&lt;List Requirement Here&gt;</v>
      </c>
      <c r="S114" s="257" t="str">
        <f>IF('Council Own'!O146="A","A","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sheetData>
  <sheetProtection password="9A15" sheet="1" objects="1" scenarios="1"/>
  <mergeCells count="113">
    <mergeCell ref="A3:B3"/>
    <mergeCell ref="Q3:R3"/>
    <mergeCell ref="A4:C4"/>
    <mergeCell ref="Q4:R4"/>
    <mergeCell ref="A5:B5"/>
    <mergeCell ref="Q5:R5"/>
    <mergeCell ref="A1:C1"/>
    <mergeCell ref="E1:G1"/>
    <mergeCell ref="I1:K1"/>
    <mergeCell ref="M1:O1"/>
    <mergeCell ref="Q1:S1"/>
    <mergeCell ref="E2:G2"/>
    <mergeCell ref="Q2:R2"/>
    <mergeCell ref="A9:B9"/>
    <mergeCell ref="Q9:R9"/>
    <mergeCell ref="A10:B10"/>
    <mergeCell ref="Q10:R10"/>
    <mergeCell ref="A11:B11"/>
    <mergeCell ref="Q11:R11"/>
    <mergeCell ref="A6:B6"/>
    <mergeCell ref="Q6:R6"/>
    <mergeCell ref="A7:B7"/>
    <mergeCell ref="Q7:R7"/>
    <mergeCell ref="A8:B8"/>
    <mergeCell ref="Q8:R8"/>
    <mergeCell ref="A15:B15"/>
    <mergeCell ref="Q15:R15"/>
    <mergeCell ref="A16:B16"/>
    <mergeCell ref="Q16:R16"/>
    <mergeCell ref="A17:B17"/>
    <mergeCell ref="Q17:R17"/>
    <mergeCell ref="A12:B12"/>
    <mergeCell ref="Q12:R12"/>
    <mergeCell ref="A13:C13"/>
    <mergeCell ref="Q13:R13"/>
    <mergeCell ref="A14:B14"/>
    <mergeCell ref="Q14:R14"/>
    <mergeCell ref="A21:C21"/>
    <mergeCell ref="Q21:R21"/>
    <mergeCell ref="A22:B22"/>
    <mergeCell ref="A23:B23"/>
    <mergeCell ref="E23:G23"/>
    <mergeCell ref="A24:C24"/>
    <mergeCell ref="A18:B18"/>
    <mergeCell ref="Q18:R18"/>
    <mergeCell ref="A19:B19"/>
    <mergeCell ref="Q19:R19"/>
    <mergeCell ref="A20:B20"/>
    <mergeCell ref="Q20:R20"/>
    <mergeCell ref="B34:C34"/>
    <mergeCell ref="Q34:R34"/>
    <mergeCell ref="B35:C35"/>
    <mergeCell ref="B42:C42"/>
    <mergeCell ref="Q42:R42"/>
    <mergeCell ref="B43:C43"/>
    <mergeCell ref="A25:B25"/>
    <mergeCell ref="A26:B26"/>
    <mergeCell ref="A28:C28"/>
    <mergeCell ref="Q28:R28"/>
    <mergeCell ref="B29:C29"/>
    <mergeCell ref="B30:C30"/>
    <mergeCell ref="A73:B73"/>
    <mergeCell ref="E73:F73"/>
    <mergeCell ref="A74:B74"/>
    <mergeCell ref="E74:F74"/>
    <mergeCell ref="A75:B75"/>
    <mergeCell ref="E75:F75"/>
    <mergeCell ref="E45:G45"/>
    <mergeCell ref="A49:C49"/>
    <mergeCell ref="Q55:S55"/>
    <mergeCell ref="A72:C72"/>
    <mergeCell ref="E72:G72"/>
    <mergeCell ref="I72:K72"/>
    <mergeCell ref="M72:O72"/>
    <mergeCell ref="Q72:S72"/>
    <mergeCell ref="E79:F79"/>
    <mergeCell ref="E80:F80"/>
    <mergeCell ref="E81:F81"/>
    <mergeCell ref="E82:F82"/>
    <mergeCell ref="E83:F83"/>
    <mergeCell ref="E84:F84"/>
    <mergeCell ref="A76:B76"/>
    <mergeCell ref="E76:F76"/>
    <mergeCell ref="A77:B77"/>
    <mergeCell ref="E77:F77"/>
    <mergeCell ref="A78:B78"/>
    <mergeCell ref="E78:F78"/>
    <mergeCell ref="E91:F91"/>
    <mergeCell ref="E92:F92"/>
    <mergeCell ref="E93:F93"/>
    <mergeCell ref="E94:F94"/>
    <mergeCell ref="E95:F95"/>
    <mergeCell ref="E96:F96"/>
    <mergeCell ref="E85:F85"/>
    <mergeCell ref="E86:F86"/>
    <mergeCell ref="E87:F87"/>
    <mergeCell ref="E88:F88"/>
    <mergeCell ref="E89:F89"/>
    <mergeCell ref="E90:F90"/>
    <mergeCell ref="E106:F106"/>
    <mergeCell ref="A101:C101"/>
    <mergeCell ref="E101:F101"/>
    <mergeCell ref="E102:F102"/>
    <mergeCell ref="E103:F103"/>
    <mergeCell ref="E104:F104"/>
    <mergeCell ref="E105:F105"/>
    <mergeCell ref="E97:F97"/>
    <mergeCell ref="A98:C98"/>
    <mergeCell ref="E98:F98"/>
    <mergeCell ref="A99:C99"/>
    <mergeCell ref="E99:F99"/>
    <mergeCell ref="A100:C100"/>
    <mergeCell ref="E100:F100"/>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W121"/>
  <sheetViews>
    <sheetView topLeftCell="A17" workbookViewId="0">
      <selection activeCell="O38" sqref="O38"/>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3.25" x14ac:dyDescent="0.35">
      <c r="A1" s="512" t="str">
        <f ca="1">MID(CELL("filename",A1),FIND(IF(ISERROR(FIND("]",CELL("filename",A1))),"$","]"),CELL("filename",A1))+1,256)</f>
        <v>Ambassador 13</v>
      </c>
      <c r="B1" s="512"/>
      <c r="C1" s="512"/>
      <c r="D1" s="265"/>
      <c r="E1" s="506" t="s">
        <v>15</v>
      </c>
      <c r="F1" s="506"/>
      <c r="G1" s="506"/>
      <c r="I1" s="506" t="s">
        <v>15</v>
      </c>
      <c r="J1" s="506"/>
      <c r="K1" s="506"/>
      <c r="M1" s="506" t="s">
        <v>15</v>
      </c>
      <c r="N1" s="506"/>
      <c r="O1" s="506"/>
      <c r="Q1" s="506" t="s">
        <v>135</v>
      </c>
      <c r="R1" s="506"/>
      <c r="S1" s="506"/>
      <c r="T1" s="239"/>
      <c r="U1" s="239"/>
    </row>
    <row r="2" spans="1:21" s="245" customFormat="1" ht="13.5" thickBot="1" x14ac:dyDescent="0.25">
      <c r="A2" s="242"/>
      <c r="B2" s="243"/>
      <c r="C2" s="244" t="s">
        <v>16</v>
      </c>
      <c r="D2" s="243"/>
      <c r="E2" s="492" t="str">
        <f>Badges!B6</f>
        <v>Photography</v>
      </c>
      <c r="F2" s="492"/>
      <c r="G2" s="492"/>
      <c r="H2" s="241"/>
      <c r="I2" s="247">
        <v>3</v>
      </c>
      <c r="J2" s="248" t="str">
        <f>Badges!C61</f>
        <v>Dig into national or state public policy</v>
      </c>
      <c r="K2" s="249"/>
      <c r="L2" s="241"/>
      <c r="M2" s="247">
        <v>3</v>
      </c>
      <c r="N2" s="248" t="str">
        <f>Badges!C130</f>
        <v>Share sisterhood around the world</v>
      </c>
      <c r="O2" s="249"/>
      <c r="P2" s="241"/>
      <c r="Q2" s="493" t="str">
        <f>'Age-Level'!B5</f>
        <v>Gold Torch Award</v>
      </c>
      <c r="R2" s="494"/>
      <c r="S2" s="251" t="str">
        <f>IF('Age-Level'!P8="C","C",IF('Age-Level'!P8="P","P",""))</f>
        <v/>
      </c>
      <c r="T2" s="239"/>
      <c r="U2" s="239"/>
    </row>
    <row r="3" spans="1:21" x14ac:dyDescent="0.2">
      <c r="A3" s="510" t="s">
        <v>132</v>
      </c>
      <c r="B3" s="511"/>
      <c r="C3" s="246">
        <f>INT(COUNTIF(C5:C12,"C"))+INT(COUNTIF(C14:C26,"C"))</f>
        <v>0</v>
      </c>
      <c r="E3" s="247">
        <v>1</v>
      </c>
      <c r="F3" s="248" t="str">
        <f>Badges!C7</f>
        <v>Expore the power of photography</v>
      </c>
      <c r="G3" s="249"/>
      <c r="I3" s="247"/>
      <c r="J3" s="248" t="str">
        <f>Badges!C62</f>
        <v>Track your issue</v>
      </c>
      <c r="K3" s="250" t="str">
        <f>IF(Badges!P62="A","A"," ")</f>
        <v xml:space="preserve"> </v>
      </c>
      <c r="M3" s="247"/>
      <c r="N3" s="248" t="str">
        <f>Badges!C131</f>
        <v>Explore an issue affecting girls and</v>
      </c>
      <c r="O3" s="250" t="str">
        <f>IF(Badges!P131="A","A"," ")</f>
        <v xml:space="preserve"> </v>
      </c>
      <c r="Q3" s="471" t="str">
        <f>'Age-Level'!B9</f>
        <v>Ambassador Community Service bar</v>
      </c>
      <c r="R3" s="472"/>
      <c r="S3" s="251" t="str">
        <f>IF('Age-Level'!P9="C","C",IF('Age-Level'!P9="P","P",""))</f>
        <v/>
      </c>
      <c r="T3" s="239"/>
      <c r="U3" s="239"/>
    </row>
    <row r="4" spans="1:21" x14ac:dyDescent="0.2">
      <c r="A4" s="500" t="str">
        <f>Summary!A3</f>
        <v>Legacy</v>
      </c>
      <c r="B4" s="500"/>
      <c r="C4" s="500"/>
      <c r="E4" s="247"/>
      <c r="F4" s="248" t="str">
        <f>Badges!C8</f>
        <v>Go to a photography exhibit</v>
      </c>
      <c r="G4" s="250" t="str">
        <f>IF(Badges!P8="A","A"," ")</f>
        <v xml:space="preserve"> </v>
      </c>
      <c r="I4" s="247"/>
      <c r="J4" s="248" t="str">
        <f>Badges!C63</f>
        <v>Talk to an interest gorup that promotes</v>
      </c>
      <c r="K4" s="250" t="str">
        <f>IF(Badges!P63="A","A"," ")</f>
        <v xml:space="preserve"> </v>
      </c>
      <c r="M4" s="247"/>
      <c r="N4" s="248" t="str">
        <f>Badges!C132</f>
        <v>Organize an event on women and STEM</v>
      </c>
      <c r="O4" s="250" t="str">
        <f>IF(Badges!P132="A","A"," ")</f>
        <v xml:space="preserve"> </v>
      </c>
      <c r="Q4" s="471" t="str">
        <f>'Age-Level'!B12</f>
        <v>Ambassador Service to Girl Scouting bar</v>
      </c>
      <c r="R4" s="472"/>
      <c r="S4" s="251" t="str">
        <f>IF('Age-Level'!P10="C","C",IF('Age-Level'!P10="P","P",""))</f>
        <v/>
      </c>
      <c r="T4" s="239"/>
      <c r="U4" s="239"/>
    </row>
    <row r="5" spans="1:21" x14ac:dyDescent="0.2">
      <c r="A5" s="501" t="str">
        <f>Summary!A4</f>
        <v>Photography</v>
      </c>
      <c r="B5" s="502"/>
      <c r="C5" s="252" t="str">
        <f>IF(Badges!P28="C","C",IF(Badges!P28="P","P",""))</f>
        <v/>
      </c>
      <c r="E5" s="247"/>
      <c r="F5" s="248" t="str">
        <f>Badges!C9</f>
        <v>Create a photography timeline.</v>
      </c>
      <c r="G5" s="250" t="str">
        <f>IF(Badges!P9="A","A"," ")</f>
        <v xml:space="preserve"> </v>
      </c>
      <c r="I5" s="247"/>
      <c r="J5" s="248" t="str">
        <f>Badges!C64</f>
        <v>Compare three different states' positions</v>
      </c>
      <c r="K5" s="250" t="str">
        <f>IF(Badges!P64="A","A"," ")</f>
        <v xml:space="preserve"> </v>
      </c>
      <c r="M5" s="247"/>
      <c r="N5" s="248" t="str">
        <f>Badges!C133</f>
        <v>Interview a global citizen</v>
      </c>
      <c r="O5" s="250" t="str">
        <f>IF(Badges!P133="A","A"," ")</f>
        <v xml:space="preserve"> </v>
      </c>
      <c r="Q5" s="471" t="str">
        <f>'Age-Level'!B15</f>
        <v>Ambassador Volunteer in Training</v>
      </c>
      <c r="R5" s="472"/>
      <c r="S5" s="251" t="str">
        <f>IF('Age-Level'!P19="C","C",IF('Age-Level'!P19="P","P",""))</f>
        <v/>
      </c>
      <c r="T5" s="239"/>
      <c r="U5" s="239"/>
    </row>
    <row r="6" spans="1:21" x14ac:dyDescent="0.2">
      <c r="A6" s="490" t="str">
        <f>Summary!A5</f>
        <v>Coaching</v>
      </c>
      <c r="B6" s="491"/>
      <c r="C6" s="252" t="str">
        <f>IF(Badges!P51="C","C",IF(Badges!P51="P","P",""))</f>
        <v/>
      </c>
      <c r="E6" s="247"/>
      <c r="F6" s="248" t="str">
        <f>Badges!C10</f>
        <v>Make sticky-note comics</v>
      </c>
      <c r="G6" s="250" t="str">
        <f>IF(Badges!P10="A","A"," ")</f>
        <v xml:space="preserve"> </v>
      </c>
      <c r="I6" s="247">
        <v>4</v>
      </c>
      <c r="J6" s="248" t="str">
        <f>Badges!C65</f>
        <v>Explore local or community policy</v>
      </c>
      <c r="K6" s="249"/>
      <c r="M6" s="247">
        <v>4</v>
      </c>
      <c r="N6" s="248" t="str">
        <f>Badges!C134</f>
        <v>Leave your wolrd better than you found it</v>
      </c>
      <c r="O6" s="249"/>
      <c r="Q6" s="471" t="str">
        <f>'Age-Level'!B20</f>
        <v>Journey Summit Pin</v>
      </c>
      <c r="R6" s="472"/>
      <c r="S6" s="251" t="str">
        <f>IF('Age-Level'!P21="C","C",IF('Age-Level'!P21="P","P",""))</f>
        <v/>
      </c>
      <c r="T6" s="239"/>
      <c r="U6" s="239"/>
    </row>
    <row r="7" spans="1:21" x14ac:dyDescent="0.2">
      <c r="A7" s="490" t="str">
        <f>Summary!A6</f>
        <v>Public Policy</v>
      </c>
      <c r="B7" s="491"/>
      <c r="C7" s="252" t="str">
        <f>IF(Badges!P74="C","C",IF(Badges!P74="P","P",""))</f>
        <v/>
      </c>
      <c r="E7" s="247">
        <v>2</v>
      </c>
      <c r="F7" s="248" t="str">
        <f>Badges!C11</f>
        <v>Focus on composition</v>
      </c>
      <c r="G7" s="249"/>
      <c r="I7" s="247"/>
      <c r="J7" s="248" t="str">
        <f>Badges!C66</f>
        <v>Attend a meeting</v>
      </c>
      <c r="K7" s="250" t="str">
        <f>IF(Badges!P66="A","A"," ")</f>
        <v xml:space="preserve"> </v>
      </c>
      <c r="M7" s="247"/>
      <c r="N7" s="248" t="str">
        <f>Badges!C135</f>
        <v xml:space="preserve">Find ideas to use your leaderhship </v>
      </c>
      <c r="O7" s="250" t="str">
        <f>IF(Badges!P135="A","A"," ")</f>
        <v xml:space="preserve"> </v>
      </c>
      <c r="Q7" s="471" t="str">
        <f>'Age-Level'!C23</f>
        <v>Cookie Rally (Year 1)</v>
      </c>
      <c r="R7" s="472"/>
      <c r="S7" s="257" t="str">
        <f>IF('Age-Level'!P23="A","A"," ")</f>
        <v xml:space="preserve"> </v>
      </c>
    </row>
    <row r="8" spans="1:21" x14ac:dyDescent="0.2">
      <c r="A8" s="490" t="str">
        <f>Summary!A7</f>
        <v>Dinner Party</v>
      </c>
      <c r="B8" s="491"/>
      <c r="C8" s="252" t="str">
        <f>IF(Badges!P97="C","C",IF(Badges!P97="P","P",""))</f>
        <v/>
      </c>
      <c r="E8" s="247"/>
      <c r="F8" s="248" t="str">
        <f>Badges!C12</f>
        <v>Capture a day in the life</v>
      </c>
      <c r="G8" s="250" t="str">
        <f>IF(Badges!P12="A","A"," ")</f>
        <v xml:space="preserve"> </v>
      </c>
      <c r="I8" s="247"/>
      <c r="J8" s="248" t="str">
        <f>Badges!C67</f>
        <v>Compare different local positions</v>
      </c>
      <c r="K8" s="250" t="str">
        <f>IF(Badges!P67="A","A"," ")</f>
        <v xml:space="preserve"> </v>
      </c>
      <c r="M8" s="247"/>
      <c r="N8" s="248" t="str">
        <f>Badges!C136</f>
        <v>Gather ideas to work for a healthy</v>
      </c>
      <c r="O8" s="250" t="str">
        <f>IF(Badges!P136="A","A"," ")</f>
        <v xml:space="preserve"> </v>
      </c>
      <c r="Q8" s="471" t="str">
        <f>'Age-Level'!C24</f>
        <v>Cookie Sales (Year 1)</v>
      </c>
      <c r="R8" s="472"/>
      <c r="S8" s="257" t="str">
        <f>IF('Age-Level'!P24="A","A"," ")</f>
        <v xml:space="preserve"> </v>
      </c>
    </row>
    <row r="9" spans="1:21" x14ac:dyDescent="0.2">
      <c r="A9" s="490" t="str">
        <f>Summary!A8</f>
        <v>Ambassador First Aid</v>
      </c>
      <c r="B9" s="491"/>
      <c r="C9" s="252" t="str">
        <f>IF(Badges!P120="C","C",IF(Badges!P120="P","P",""))</f>
        <v/>
      </c>
      <c r="E9" s="247"/>
      <c r="F9" s="248" t="str">
        <f>Badges!C13</f>
        <v>Photograph weather patterns</v>
      </c>
      <c r="G9" s="250" t="str">
        <f>IF(Badges!P13="A","A"," ")</f>
        <v xml:space="preserve"> </v>
      </c>
      <c r="I9" s="247"/>
      <c r="J9" s="248" t="str">
        <f>Badges!C68</f>
        <v>Visit your local legislator's office</v>
      </c>
      <c r="K9" s="250" t="str">
        <f>IF(Badges!P68="A","A"," ")</f>
        <v xml:space="preserve"> </v>
      </c>
      <c r="M9" s="247"/>
      <c r="N9" s="248" t="str">
        <f>Badges!C137</f>
        <v>Brainstorm idea for social change</v>
      </c>
      <c r="O9" s="250" t="str">
        <f>IF(Badges!P137="A","A"," ")</f>
        <v xml:space="preserve"> </v>
      </c>
      <c r="Q9" s="471" t="str">
        <f>'Age-Level'!C25</f>
        <v>Cookie Pin (Year 1)</v>
      </c>
      <c r="R9" s="472"/>
      <c r="S9" s="257" t="str">
        <f>IF('Age-Level'!P25="A","A"," ")</f>
        <v xml:space="preserve"> </v>
      </c>
    </row>
    <row r="10" spans="1:21" x14ac:dyDescent="0.2">
      <c r="A10" s="490" t="str">
        <f>Summary!A9</f>
        <v>Ambassador Girl Scout Way</v>
      </c>
      <c r="B10" s="491"/>
      <c r="C10" s="253" t="str">
        <f>IF(Badges!P143="C","C",IF(Badges!P143="P","P",""))</f>
        <v/>
      </c>
      <c r="E10" s="247"/>
      <c r="F10" s="248" t="str">
        <f>Badges!C14</f>
        <v>Take 5 photos form a different</v>
      </c>
      <c r="G10" s="250" t="str">
        <f>IF(Badges!P14="A","A"," ")</f>
        <v xml:space="preserve"> </v>
      </c>
      <c r="I10" s="247">
        <v>5</v>
      </c>
      <c r="J10" s="248" t="str">
        <f>Badges!C69</f>
        <v>See public policy creation in action</v>
      </c>
      <c r="K10" s="249"/>
      <c r="M10" s="247">
        <v>5</v>
      </c>
      <c r="N10" s="248" t="str">
        <f>Badges!C138</f>
        <v>Enjoy Girl Scout traditions!</v>
      </c>
      <c r="O10" s="249"/>
      <c r="Q10" s="471" t="str">
        <f>'Age-Level'!C26</f>
        <v>Cookie Rally (Year 2)</v>
      </c>
      <c r="R10" s="472"/>
      <c r="S10" s="257" t="str">
        <f>IF('Age-Level'!P26="A","A"," ")</f>
        <v xml:space="preserve"> </v>
      </c>
    </row>
    <row r="11" spans="1:21" x14ac:dyDescent="0.2">
      <c r="A11" s="509" t="str">
        <f>Summary!A10</f>
        <v>Water</v>
      </c>
      <c r="B11" s="491"/>
      <c r="C11" s="252" t="str">
        <f>IF(Badges!P166="C","C",IF(Badges!P166="P","P",""))</f>
        <v/>
      </c>
      <c r="E11" s="247">
        <v>3</v>
      </c>
      <c r="F11" s="248" t="str">
        <f>Badges!C15</f>
        <v>Focus on light</v>
      </c>
      <c r="G11" s="249"/>
      <c r="I11" s="247"/>
      <c r="J11" s="248" t="str">
        <f>Badges!C70</f>
        <v>Shadow a policy-maker</v>
      </c>
      <c r="K11" s="250" t="str">
        <f>IF(Badges!P70="A","A"," ")</f>
        <v xml:space="preserve"> </v>
      </c>
      <c r="M11" s="247"/>
      <c r="N11" s="248" t="str">
        <f>Badges!C139</f>
        <v>Pass down a tradition</v>
      </c>
      <c r="O11" s="250" t="str">
        <f>IF(Badges!P139="A","A"," ")</f>
        <v xml:space="preserve"> </v>
      </c>
      <c r="Q11" s="471" t="str">
        <f>'Age-Level'!C27</f>
        <v>Cookie Sales (Year 2)</v>
      </c>
      <c r="R11" s="472"/>
      <c r="S11" s="257" t="str">
        <f>IF('Age-Level'!P27="A","A"," ")</f>
        <v xml:space="preserve"> </v>
      </c>
    </row>
    <row r="12" spans="1:21" x14ac:dyDescent="0.2">
      <c r="A12" s="507"/>
      <c r="B12" s="507"/>
      <c r="C12" s="336"/>
      <c r="E12" s="247"/>
      <c r="F12" s="248" t="str">
        <f>Badges!C16</f>
        <v>Invite friends to a shoot day</v>
      </c>
      <c r="G12" s="250" t="str">
        <f>IF(Badges!P16="A","A"," ")</f>
        <v xml:space="preserve"> </v>
      </c>
      <c r="I12" s="247"/>
      <c r="J12" s="248" t="str">
        <f>Badges!C71</f>
        <v>Volunteer at an office</v>
      </c>
      <c r="K12" s="250" t="str">
        <f>IF(Badges!P71="A","A"," ")</f>
        <v xml:space="preserve"> </v>
      </c>
      <c r="M12" s="247"/>
      <c r="N12" s="248" t="str">
        <f>Badges!C140</f>
        <v>Start a Girl Scout tradition of your own</v>
      </c>
      <c r="O12" s="250" t="str">
        <f>IF(Badges!P140="A","A"," ")</f>
        <v xml:space="preserve"> </v>
      </c>
      <c r="Q12" s="471" t="str">
        <f>'Age-Level'!C28</f>
        <v>Cookie Pin (Year 2)</v>
      </c>
      <c r="R12" s="472"/>
      <c r="S12" s="257" t="str">
        <f>IF('Age-Level'!P28="A","A"," ")</f>
        <v xml:space="preserve"> </v>
      </c>
    </row>
    <row r="13" spans="1:21" x14ac:dyDescent="0.2">
      <c r="A13" s="500" t="str">
        <f>Summary!A3</f>
        <v>Legacy</v>
      </c>
      <c r="B13" s="500"/>
      <c r="C13" s="500"/>
      <c r="E13" s="247"/>
      <c r="F13" s="248" t="str">
        <f>Badges!C17</f>
        <v>Capture the same person or object</v>
      </c>
      <c r="G13" s="250" t="str">
        <f>IF(Badges!P17="A","A"," ")</f>
        <v xml:space="preserve"> </v>
      </c>
      <c r="I13" s="247"/>
      <c r="J13" s="248" t="str">
        <f>Badges!C72</f>
        <v>Interview a policy-maker</v>
      </c>
      <c r="K13" s="250" t="str">
        <f>IF(Badges!P72="A","A"," ")</f>
        <v xml:space="preserve"> </v>
      </c>
      <c r="M13" s="247"/>
      <c r="N13" s="248" t="str">
        <f>Badges!C141</f>
        <v>Share the Girl Scout way by example</v>
      </c>
      <c r="O13" s="250" t="str">
        <f>IF(Badges!P141="A","A"," ")</f>
        <v xml:space="preserve"> </v>
      </c>
      <c r="Q13" s="471" t="str">
        <f>'Age-Level'!C30</f>
        <v>Fall Sales (Year 1)</v>
      </c>
      <c r="R13" s="472"/>
      <c r="S13" s="252" t="str">
        <f>IF('Age-Level'!P30="A","A","")</f>
        <v/>
      </c>
    </row>
    <row r="14" spans="1:21" x14ac:dyDescent="0.2">
      <c r="A14" s="501" t="str">
        <f>Summary!A4</f>
        <v>Photography</v>
      </c>
      <c r="B14" s="502"/>
      <c r="C14" s="251" t="str">
        <f>IF(Badges!P28="C","C",IF(Badges!P28="P","P",""))</f>
        <v/>
      </c>
      <c r="E14" s="247"/>
      <c r="F14" s="248" t="str">
        <f>Badges!C18</f>
        <v>Grow your image</v>
      </c>
      <c r="G14" s="250" t="str">
        <f>IF(Badges!P18="A","A"," ")</f>
        <v xml:space="preserve"> </v>
      </c>
      <c r="I14" s="339" t="str">
        <f>Badges!B75</f>
        <v>Dinner Party</v>
      </c>
      <c r="J14" s="340"/>
      <c r="K14" s="340"/>
      <c r="M14" s="339" t="str">
        <f>Badges!B144</f>
        <v>Water</v>
      </c>
      <c r="N14" s="340"/>
      <c r="O14" s="340"/>
      <c r="Q14" s="471" t="str">
        <f>'Age-Level'!C31</f>
        <v>Fall Sales (Year 2)</v>
      </c>
      <c r="R14" s="472"/>
      <c r="S14" s="252" t="str">
        <f>IF('Age-Level'!P31="A","A","")</f>
        <v/>
      </c>
    </row>
    <row r="15" spans="1:21" x14ac:dyDescent="0.2">
      <c r="A15" s="490" t="str">
        <f>Summary!A5</f>
        <v>Coaching</v>
      </c>
      <c r="B15" s="491"/>
      <c r="C15" s="252" t="str">
        <f>IF(Badges!P51="C","C",IF(Badges!P51="P","P",""))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471" t="str">
        <f>'Age-Level'!C33</f>
        <v>Thinking Day (Year 1)</v>
      </c>
      <c r="R15" s="472"/>
      <c r="S15" s="252" t="str">
        <f>IF('Age-Level'!P33="A","A","")</f>
        <v/>
      </c>
    </row>
    <row r="16" spans="1:21" x14ac:dyDescent="0.2">
      <c r="A16" s="490" t="str">
        <f>Summary!A6</f>
        <v>Public Policy</v>
      </c>
      <c r="B16" s="491"/>
      <c r="C16" s="252" t="str">
        <f>IF(Badges!P74="C","C",IF(Badges!P74="P","P",""))</f>
        <v/>
      </c>
      <c r="E16" s="247"/>
      <c r="F16" s="248" t="str">
        <f>Badges!C20</f>
        <v xml:space="preserve">Take photos of a group </v>
      </c>
      <c r="G16" s="250" t="str">
        <f>IF(Badges!P20="A","A"," ")</f>
        <v xml:space="preserve"> </v>
      </c>
      <c r="I16" s="247"/>
      <c r="J16" s="248" t="str">
        <f>Badges!C77</f>
        <v>Interview a caterer, event planner, chef</v>
      </c>
      <c r="K16" s="250" t="str">
        <f>IF(Badges!P77="A","A"," ")</f>
        <v xml:space="preserve"> </v>
      </c>
      <c r="M16" s="247"/>
      <c r="N16" s="248" t="str">
        <f>Badges!C146</f>
        <v>Visit water in its natural state</v>
      </c>
      <c r="O16" s="250" t="str">
        <f>IF(Badges!P146="A","A"," ")</f>
        <v xml:space="preserve"> </v>
      </c>
      <c r="Q16" s="471" t="str">
        <f>'Age-Level'!C34</f>
        <v>Thinking Day (Year 2)</v>
      </c>
      <c r="R16" s="472"/>
      <c r="S16" s="252" t="str">
        <f>IF('Age-Level'!P34="A","A","")</f>
        <v/>
      </c>
    </row>
    <row r="17" spans="1:19" x14ac:dyDescent="0.2">
      <c r="A17" s="490" t="str">
        <f>Summary!A7</f>
        <v>Dinner Party</v>
      </c>
      <c r="B17" s="491"/>
      <c r="C17" s="252" t="str">
        <f>IF(Badges!P97="C","C",IF(Badges!P97="P","P",""))</f>
        <v/>
      </c>
      <c r="E17" s="247"/>
      <c r="F17" s="248" t="str">
        <f>Badges!C21</f>
        <v>Take photos of faces in motion</v>
      </c>
      <c r="G17" s="250" t="str">
        <f>IF(Badges!P21="A","A"," ")</f>
        <v xml:space="preserve"> </v>
      </c>
      <c r="I17" s="247"/>
      <c r="J17" s="248" t="str">
        <f>Badges!C78</f>
        <v>Collect recipes from cooking shows</v>
      </c>
      <c r="K17" s="250" t="str">
        <f>IF(Badges!P78="A","A"," ")</f>
        <v xml:space="preserve"> </v>
      </c>
      <c r="M17" s="247"/>
      <c r="N17" s="248" t="str">
        <f>Badges!C147</f>
        <v>Try a new water skill</v>
      </c>
      <c r="O17" s="250" t="str">
        <f>IF(Badges!P147="A","A"," ")</f>
        <v xml:space="preserve"> </v>
      </c>
      <c r="Q17" s="471" t="str">
        <f>'Age-Level'!C36</f>
        <v>Global Action Award</v>
      </c>
      <c r="R17" s="472"/>
      <c r="S17" s="252" t="str">
        <f>IF('Age-Level'!P36="A","A","")</f>
        <v/>
      </c>
    </row>
    <row r="18" spans="1:19" x14ac:dyDescent="0.2">
      <c r="A18" s="490" t="str">
        <f>Summary!A8</f>
        <v>Ambassador First Aid</v>
      </c>
      <c r="B18" s="491"/>
      <c r="C18" s="252" t="str">
        <f>IF(Badges!P120="C","C",IF(Badges!P120="P","P",""))</f>
        <v/>
      </c>
      <c r="E18" s="247"/>
      <c r="F18" s="248" t="str">
        <f>Badges!C22</f>
        <v>Take photos of objects in motion</v>
      </c>
      <c r="G18" s="250" t="str">
        <f>IF(Badges!P22="A","A"," ")</f>
        <v xml:space="preserve"> </v>
      </c>
      <c r="I18" s="247"/>
      <c r="J18" s="248" t="str">
        <f>Badges!C79</f>
        <v>Build a men around your favorite</v>
      </c>
      <c r="K18" s="250" t="str">
        <f>IF(Badges!P79="A","A"," ")</f>
        <v xml:space="preserve"> </v>
      </c>
      <c r="M18" s="247"/>
      <c r="N18" s="248" t="str">
        <f>Badges!C148</f>
        <v>Enjoy a water activity you already know</v>
      </c>
      <c r="O18" s="250" t="str">
        <f>IF(Badges!P148="A","A"," ")</f>
        <v xml:space="preserve"> </v>
      </c>
      <c r="Q18" s="471" t="str">
        <f>'Age-Level'!C38</f>
        <v>International Friendship Recognition</v>
      </c>
      <c r="R18" s="472"/>
      <c r="S18" s="252" t="str">
        <f>IF('Age-Level'!P38="A","A","")</f>
        <v/>
      </c>
    </row>
    <row r="19" spans="1:19" x14ac:dyDescent="0.2">
      <c r="A19" s="490" t="str">
        <f>Summary!A9</f>
        <v>Ambassador Girl Scout Way</v>
      </c>
      <c r="B19" s="491"/>
      <c r="C19" s="252" t="str">
        <f>IF(Badges!P143="C","C",IF(Badges!P143="P","P",""))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471" t="str">
        <f>'Age-Level'!C40</f>
        <v>Investiture</v>
      </c>
      <c r="R19" s="472"/>
      <c r="S19" s="252" t="str">
        <f>IF('Age-Level'!P40="A","A","")</f>
        <v/>
      </c>
    </row>
    <row r="20" spans="1:19" x14ac:dyDescent="0.2">
      <c r="A20" s="507" t="str">
        <f>Summary!A10</f>
        <v>Water</v>
      </c>
      <c r="B20" s="508"/>
      <c r="C20" s="253" t="str">
        <f>IF(Badges!P166="C","C",IF(Badges!P166="P","P",""))</f>
        <v/>
      </c>
      <c r="E20" s="247"/>
      <c r="F20" s="248" t="str">
        <f>Badges!C24</f>
        <v>Stage a photo exhibit</v>
      </c>
      <c r="G20" s="250" t="str">
        <f>IF(Badges!P24="A","A"," ")</f>
        <v xml:space="preserve"> </v>
      </c>
      <c r="I20" s="247"/>
      <c r="J20" s="248" t="str">
        <f>Badges!C81</f>
        <v>Camparison shop</v>
      </c>
      <c r="K20" s="250" t="str">
        <f>IF(Badges!P81="A","A"," ")</f>
        <v xml:space="preserve"> </v>
      </c>
      <c r="M20" s="247"/>
      <c r="N20" s="248" t="str">
        <f>Badges!C150</f>
        <v>Delve into water literature</v>
      </c>
      <c r="O20" s="250" t="str">
        <f>IF(Badges!P150="A","A"," ")</f>
        <v xml:space="preserve"> </v>
      </c>
      <c r="Q20" s="471" t="str">
        <f>'Age-Level'!C41</f>
        <v>Rededication (1st year)</v>
      </c>
      <c r="R20" s="472"/>
      <c r="S20" s="262" t="str">
        <f>IF('Age-Level'!P41="C","C","")</f>
        <v/>
      </c>
    </row>
    <row r="21" spans="1:19" x14ac:dyDescent="0.2">
      <c r="A21" s="500" t="str">
        <f>Summary!A11</f>
        <v>Financial Literacy</v>
      </c>
      <c r="B21" s="500"/>
      <c r="C21" s="500"/>
      <c r="E21" s="247"/>
      <c r="F21" s="248" t="str">
        <f>Badges!C25</f>
        <v>Make a digital slide show</v>
      </c>
      <c r="G21" s="250" t="str">
        <f>IF(Badges!P25="A","A"," ")</f>
        <v xml:space="preserve"> </v>
      </c>
      <c r="I21" s="247"/>
      <c r="J21" s="248" t="str">
        <f>Badges!C82</f>
        <v>Consult with a professional chef</v>
      </c>
      <c r="K21" s="250" t="str">
        <f>IF(Badges!P82="A","A"," ")</f>
        <v xml:space="preserve"> </v>
      </c>
      <c r="M21" s="247"/>
      <c r="N21" s="248" t="str">
        <f>Badges!C151</f>
        <v xml:space="preserve">Enjoy an exhibit or event that features </v>
      </c>
      <c r="O21" s="250" t="str">
        <f>IF(Badges!P151="A","A"," ")</f>
        <v xml:space="preserve"> </v>
      </c>
      <c r="Q21" s="471" t="str">
        <f>'Age-Level'!C42</f>
        <v>Rededication (2nd year)</v>
      </c>
      <c r="R21" s="472"/>
      <c r="S21" s="262" t="str">
        <f>IF('Age-Level'!P42="C","C","")</f>
        <v/>
      </c>
    </row>
    <row r="22" spans="1:19" x14ac:dyDescent="0.2">
      <c r="A22" s="501" t="str">
        <f>Summary!A12</f>
        <v>On My Own</v>
      </c>
      <c r="B22" s="502"/>
      <c r="C22" s="251" t="str">
        <f>IF(Badges!P190="C","C",IF(Badges!P190="P","P",""))</f>
        <v/>
      </c>
      <c r="E22" s="247"/>
      <c r="F22" s="248" t="str">
        <f>Badges!C26</f>
        <v>Create a photo album or scrapbook</v>
      </c>
      <c r="G22" s="250" t="str">
        <f>IF(Badges!P26="A","A"," ")</f>
        <v xml:space="preserve"> </v>
      </c>
      <c r="I22" s="247"/>
      <c r="J22" s="248" t="str">
        <f>Badges!C83</f>
        <v>Learn about alternative ways to shop</v>
      </c>
      <c r="K22" s="250" t="str">
        <f>IF(Badges!P83="A","A"," ")</f>
        <v xml:space="preserve"> </v>
      </c>
      <c r="M22" s="247"/>
      <c r="N22" s="248" t="str">
        <f>Badges!C152</f>
        <v>Create your own water composition</v>
      </c>
      <c r="O22" s="250" t="str">
        <f>IF(Badges!P152="A","A"," ")</f>
        <v xml:space="preserve"> </v>
      </c>
      <c r="Q22" s="342" t="str">
        <f>'Age-Level'!B43</f>
        <v>My Promise, My Faith (Year 1)</v>
      </c>
      <c r="R22" s="343"/>
      <c r="S22" s="262"/>
    </row>
    <row r="23" spans="1:19" x14ac:dyDescent="0.2">
      <c r="A23" s="490" t="str">
        <f>Summary!A13</f>
        <v>Good Credit</v>
      </c>
      <c r="B23" s="491"/>
      <c r="C23" s="251" t="str">
        <f>IF(Badges!P213="C","C",IF(Badges!P213="P","P",""))</f>
        <v/>
      </c>
      <c r="E23" s="492" t="str">
        <f>Badges!B29</f>
        <v>Coaching</v>
      </c>
      <c r="F23" s="492"/>
      <c r="G23" s="492"/>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IF('Age-Level'!P44="A","A","")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IF(Badges!P85="A","A"," ")</f>
        <v xml:space="preserve"> </v>
      </c>
      <c r="M24" s="247"/>
      <c r="N24" s="248" t="str">
        <f>Badges!C154</f>
        <v>Visit a water facility and explore its</v>
      </c>
      <c r="O24" s="250" t="str">
        <f>IF(Badges!P154="A","A"," ")</f>
        <v xml:space="preserve"> </v>
      </c>
      <c r="Q24" s="267">
        <v>2</v>
      </c>
      <c r="R24" s="344" t="str">
        <f>'Age-Level'!C45</f>
        <v>Find a woman in your community</v>
      </c>
      <c r="S24" s="262" t="str">
        <f>IF('Age-Level'!P45="A","A","")</f>
        <v/>
      </c>
    </row>
    <row r="25" spans="1:19" x14ac:dyDescent="0.2">
      <c r="A25" s="490" t="str">
        <f>Summary!A15</f>
        <v>Research and Development</v>
      </c>
      <c r="B25" s="491"/>
      <c r="C25" s="252" t="str">
        <f>IF(Badges!P227="C","C",IF(Badges!P227="P","P",""))</f>
        <v/>
      </c>
      <c r="E25" s="247"/>
      <c r="F25" s="248" t="str">
        <f>Badges!C31</f>
        <v>Talk to a great coach</v>
      </c>
      <c r="G25" s="250" t="str">
        <f>IF(Badges!P31="A","A"," ")</f>
        <v xml:space="preserve"> </v>
      </c>
      <c r="I25" s="247"/>
      <c r="J25" s="248" t="str">
        <f>Badges!C86</f>
        <v>Make a menu timeline</v>
      </c>
      <c r="K25" s="250" t="str">
        <f>IF(Badges!P86="A","A"," ")</f>
        <v xml:space="preserve"> </v>
      </c>
      <c r="M25" s="247"/>
      <c r="N25" s="248" t="str">
        <f>Badges!C155</f>
        <v>Investigate endangered marine life</v>
      </c>
      <c r="O25" s="250" t="str">
        <f>IF(Badges!P155="A","A"," ")</f>
        <v xml:space="preserve"> </v>
      </c>
      <c r="Q25" s="267">
        <v>3</v>
      </c>
      <c r="R25" s="344" t="str">
        <f>'Age-Level'!C46</f>
        <v>Gather three inspirational quotes</v>
      </c>
      <c r="S25" s="262" t="str">
        <f>IF('Age-Level'!P46="A","A","")</f>
        <v/>
      </c>
    </row>
    <row r="26" spans="1:19" x14ac:dyDescent="0.2">
      <c r="A26" s="490" t="str">
        <f>Summary!A16</f>
        <v>P &amp; L</v>
      </c>
      <c r="B26" s="491"/>
      <c r="C26" s="252" t="str">
        <f>IF(Badges!P240="C","C",IF(Badges!P240="P","P",""))</f>
        <v/>
      </c>
      <c r="E26" s="247"/>
      <c r="F26" s="248" t="str">
        <f>Badges!C32</f>
        <v>Watch three sports documentaries</v>
      </c>
      <c r="G26" s="250" t="str">
        <f>IF(Badges!P32="A","A"," ")</f>
        <v xml:space="preserve"> </v>
      </c>
      <c r="I26" s="247"/>
      <c r="J26" s="248" t="str">
        <f>Badges!C87</f>
        <v>Prepare a test meal for family or friends</v>
      </c>
      <c r="K26" s="250" t="str">
        <f>IF(Badges!P87="A","A"," ")</f>
        <v xml:space="preserve"> </v>
      </c>
      <c r="M26" s="247"/>
      <c r="N26" s="248" t="str">
        <f>Badges!C156</f>
        <v>Investigate water as a hazard</v>
      </c>
      <c r="O26" s="250" t="str">
        <f>IF(Badges!P156="A","A"," ")</f>
        <v xml:space="preserve"> </v>
      </c>
      <c r="Q26" s="267">
        <v>4</v>
      </c>
      <c r="R26" s="344" t="str">
        <f>'Age-Level'!C47</f>
        <v>Make something to remind you</v>
      </c>
      <c r="S26" s="262" t="str">
        <f>IF('Age-Level'!P47="A","A","")</f>
        <v/>
      </c>
    </row>
    <row r="27" spans="1:19" x14ac:dyDescent="0.2">
      <c r="A27" s="346"/>
      <c r="B27" s="346"/>
      <c r="C27" s="266"/>
      <c r="E27" s="247"/>
      <c r="F27" s="248" t="str">
        <f>Badges!C33</f>
        <v>Attend a coaching clinic or seminar</v>
      </c>
      <c r="G27" s="250" t="str">
        <f>IF(Badges!P33="A","A","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IF('Age-Level'!P48="A","A","")</f>
        <v/>
      </c>
    </row>
    <row r="28" spans="1:19" x14ac:dyDescent="0.2">
      <c r="A28" s="484" t="s">
        <v>84</v>
      </c>
      <c r="B28" s="484"/>
      <c r="C28" s="484"/>
      <c r="E28" s="247">
        <v>2</v>
      </c>
      <c r="F28" s="248" t="str">
        <f>Badges!C34</f>
        <v>Conduct a first assessment</v>
      </c>
      <c r="G28" s="249"/>
      <c r="I28" s="247"/>
      <c r="J28" s="248" t="str">
        <f>Badges!C89</f>
        <v>Expreiment with garnishes</v>
      </c>
      <c r="K28" s="250" t="str">
        <f>IF(Badges!P89="A","A"," ")</f>
        <v xml:space="preserve"> </v>
      </c>
      <c r="M28" s="247"/>
      <c r="N28" s="248" t="str">
        <f>Badges!C158</f>
        <v>Interview a water scientist</v>
      </c>
      <c r="O28" s="250" t="str">
        <f>IF(Badges!P158="A","A","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IF(Badges!P35="A","A"," ")</f>
        <v xml:space="preserve"> </v>
      </c>
      <c r="I29" s="247"/>
      <c r="J29" s="248" t="str">
        <f>Badges!C90</f>
        <v>Present food in interesting shapes</v>
      </c>
      <c r="K29" s="250" t="str">
        <f>IF(Badges!P90="A","A"," ")</f>
        <v xml:space="preserve"> </v>
      </c>
      <c r="M29" s="247"/>
      <c r="N29" s="248" t="str">
        <f>Badges!C159</f>
        <v>Explore the world of hydroelectricity</v>
      </c>
      <c r="O29" s="250" t="str">
        <f>IF(Badges!P159="A","A"," ")</f>
        <v xml:space="preserve"> </v>
      </c>
      <c r="Q29" s="268">
        <v>1</v>
      </c>
      <c r="R29" s="344" t="str">
        <f>'Age-Level'!C51</f>
        <v>Choose one line from the Law</v>
      </c>
      <c r="S29" s="262" t="str">
        <f>IF('Age-Level'!P51="A","A","")</f>
        <v/>
      </c>
    </row>
    <row r="30" spans="1:19" x14ac:dyDescent="0.2">
      <c r="B30" s="477" t="str">
        <f>Journey!B7</f>
        <v>The Girl Scout Advocate Award</v>
      </c>
      <c r="C30" s="478"/>
      <c r="E30" s="247"/>
      <c r="F30" s="248" t="str">
        <f>Badges!C36</f>
        <v>Host an initial session</v>
      </c>
      <c r="G30" s="250" t="str">
        <f>IF(Badges!P36="A","A"," ")</f>
        <v xml:space="preserve"> </v>
      </c>
      <c r="I30" s="247"/>
      <c r="J30" s="248" t="str">
        <f>Badges!C91</f>
        <v>Use serving ware in unusual ways</v>
      </c>
      <c r="K30" s="250" t="str">
        <f>IF(Badges!P91="A","A"," ")</f>
        <v xml:space="preserve"> </v>
      </c>
      <c r="M30" s="247"/>
      <c r="N30" s="248" t="str">
        <f>Badges!C160</f>
        <v>Design your own water innovation</v>
      </c>
      <c r="O30" s="250" t="str">
        <f>IF(Badges!P160="A","A"," ")</f>
        <v xml:space="preserve"> </v>
      </c>
      <c r="Q30" s="267">
        <v>2</v>
      </c>
      <c r="R30" s="344" t="str">
        <f>'Age-Level'!C52</f>
        <v>Find a woman in your community</v>
      </c>
      <c r="S30" s="262" t="str">
        <f>IF('Age-Level'!P52="A","A","")</f>
        <v/>
      </c>
    </row>
    <row r="31" spans="1:19" x14ac:dyDescent="0.2">
      <c r="B31" s="256">
        <f>Journey!O8</f>
        <v>0</v>
      </c>
      <c r="C31" s="252" t="str">
        <f>IF(Journey!P8="C","C",IF(Journey!P8="P","P",""))</f>
        <v/>
      </c>
      <c r="E31" s="247"/>
      <c r="F31" s="248" t="str">
        <f>Badges!C37</f>
        <v>Prepare a goal chart together</v>
      </c>
      <c r="G31" s="250" t="str">
        <f>IF(Badges!P37="A","A","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IF('Age-Level'!P53="A","A","")</f>
        <v/>
      </c>
    </row>
    <row r="32" spans="1:19" x14ac:dyDescent="0.2">
      <c r="B32" s="256">
        <f>Journey!O9</f>
        <v>0</v>
      </c>
      <c r="C32" s="252" t="str">
        <f>IF(Journey!P9="C","C",IF(Journey!P9="P","P",""))</f>
        <v/>
      </c>
      <c r="E32" s="339" t="str">
        <f>Badges!B29</f>
        <v>Coaching</v>
      </c>
      <c r="F32" s="340"/>
      <c r="G32" s="340"/>
      <c r="I32" s="247"/>
      <c r="J32" s="248" t="str">
        <f>Badges!C93</f>
        <v>Decorate according to your menu theme</v>
      </c>
      <c r="K32" s="250" t="str">
        <f>IF(Badges!P93="A","A"," ")</f>
        <v xml:space="preserve"> </v>
      </c>
      <c r="M32" s="247"/>
      <c r="N32" s="248" t="str">
        <f>Badges!C162</f>
        <v>Celebrate water with younger Girl Scouts</v>
      </c>
      <c r="O32" s="250" t="str">
        <f>IF(Badges!P162="A","A"," ")</f>
        <v xml:space="preserve"> </v>
      </c>
      <c r="Q32" s="267">
        <v>4</v>
      </c>
      <c r="R32" s="344" t="str">
        <f>'Age-Level'!C54</f>
        <v>Make something to remind you</v>
      </c>
      <c r="S32" s="262" t="str">
        <f>IF('Age-Level'!P54="A","A","")</f>
        <v/>
      </c>
    </row>
    <row r="33" spans="1:19" x14ac:dyDescent="0.2">
      <c r="B33" s="256">
        <f>Journey!O10</f>
        <v>0</v>
      </c>
      <c r="C33" s="252" t="str">
        <f>IF(Journey!P10="C","C",IF(Journey!P10="P","P",""))</f>
        <v/>
      </c>
      <c r="E33" s="247">
        <v>3</v>
      </c>
      <c r="F33" s="248" t="str">
        <f>Badges!C38</f>
        <v>Design your coaching plan</v>
      </c>
      <c r="G33" s="249"/>
      <c r="I33" s="247"/>
      <c r="J33" s="248" t="str">
        <f>Badges!C94</f>
        <v>Celebrate a special occasion</v>
      </c>
      <c r="K33" s="250" t="str">
        <f>IF(Badges!P94="A","A"," ")</f>
        <v xml:space="preserve"> </v>
      </c>
      <c r="M33" s="247"/>
      <c r="N33" s="248" t="str">
        <f>Badges!C163</f>
        <v>Share a water issue that matters to you</v>
      </c>
      <c r="O33" s="250" t="str">
        <f>IF(Badges!P163="A","A"," ")</f>
        <v xml:space="preserve"> </v>
      </c>
      <c r="Q33" s="267">
        <v>5</v>
      </c>
      <c r="R33" s="344" t="str">
        <f>'Age-Level'!C55</f>
        <v xml:space="preserve">Make a commitment to live what </v>
      </c>
      <c r="S33" s="364" t="str">
        <f>IF('Age-Level'!P55="A","A","")</f>
        <v/>
      </c>
    </row>
    <row r="34" spans="1:19" x14ac:dyDescent="0.2">
      <c r="A34" s="284"/>
      <c r="B34" s="473" t="str">
        <f>Journey!A14</f>
        <v>JUSTICE</v>
      </c>
      <c r="C34" s="474"/>
      <c r="E34" s="247"/>
      <c r="F34" s="248" t="str">
        <f>Badges!C39</f>
        <v xml:space="preserve">Design a special warm-up </v>
      </c>
      <c r="G34" s="250" t="str">
        <f>IF(Badges!P39="A","A"," ")</f>
        <v xml:space="preserve"> </v>
      </c>
      <c r="I34" s="247"/>
      <c r="J34" s="248" t="str">
        <f>Badges!C95</f>
        <v>Use food and fun to forge new friendships</v>
      </c>
      <c r="K34" s="250" t="str">
        <f>IF(Badges!P95="A","A"," ")</f>
        <v xml:space="preserve"> </v>
      </c>
      <c r="M34" s="247"/>
      <c r="N34" s="248" t="str">
        <f>Badges!C164</f>
        <v>Guide a group to a water place</v>
      </c>
      <c r="O34" s="250" t="str">
        <f>IF(Badges!P164="A","A"," ")</f>
        <v xml:space="preserve"> </v>
      </c>
      <c r="Q34" s="471" t="str">
        <f>'Age-Level'!B57</f>
        <v>Safety Award</v>
      </c>
      <c r="R34" s="472"/>
      <c r="S34" s="364"/>
    </row>
    <row r="35" spans="1:19" x14ac:dyDescent="0.2">
      <c r="A35" s="284"/>
      <c r="B35" s="479" t="str">
        <f>Journey!B15</f>
        <v>Sage Award</v>
      </c>
      <c r="C35" s="480"/>
      <c r="E35" s="247"/>
      <c r="F35" s="248" t="str">
        <f>Badges!C40</f>
        <v>Research and choose</v>
      </c>
      <c r="G35" s="250" t="str">
        <f>IF(Badges!P40="A","A","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IF('Age-Level'!P58="A","A","")</f>
        <v/>
      </c>
    </row>
    <row r="36" spans="1:19" x14ac:dyDescent="0.2">
      <c r="A36" s="284"/>
      <c r="B36" s="256">
        <f>Journey!O16</f>
        <v>0</v>
      </c>
      <c r="C36" s="252" t="str">
        <f>IF(Journey!P16="C","C",IF(Journey!P16="P","P",""))</f>
        <v/>
      </c>
      <c r="E36" s="247"/>
      <c r="F36" s="248" t="str">
        <f>Badges!C41</f>
        <v>Open and close each session</v>
      </c>
      <c r="G36" s="250" t="str">
        <f>IF(Badges!P41="A","A","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IF('Age-Level'!P59="A","A","")</f>
        <v/>
      </c>
    </row>
    <row r="37" spans="1:19" x14ac:dyDescent="0.2">
      <c r="A37" s="284"/>
      <c r="B37" s="256">
        <f>Journey!O17</f>
        <v>0</v>
      </c>
      <c r="C37" s="252" t="str">
        <f>IF(Journey!P17="C","C",IF(Journey!P17="P","P",""))</f>
        <v/>
      </c>
      <c r="E37" s="247">
        <v>4</v>
      </c>
      <c r="F37" s="248" t="str">
        <f>Badges!C42</f>
        <v>Put your plan in action</v>
      </c>
      <c r="G37" s="249"/>
      <c r="I37" s="247"/>
      <c r="J37" s="248" t="str">
        <f>Badges!C100</f>
        <v>Backcountry</v>
      </c>
      <c r="K37" s="250" t="str">
        <f>IF(Badges!P100="A","A"," ")</f>
        <v xml:space="preserve"> </v>
      </c>
      <c r="M37" s="247"/>
      <c r="N37" s="248" t="str">
        <f>Badges!C170</f>
        <v>Take a tour</v>
      </c>
      <c r="O37" s="250" t="str">
        <f>IF(Badges!P170="A","A"," ")</f>
        <v xml:space="preserve"> </v>
      </c>
      <c r="Q37" s="267">
        <v>3</v>
      </c>
      <c r="R37" s="344" t="str">
        <f>'Age-Level'!C60</f>
        <v>Teach a Daisy or Brownie what to do if</v>
      </c>
      <c r="S37" s="262" t="str">
        <f>IF('Age-Level'!P60="A","A","")</f>
        <v/>
      </c>
    </row>
    <row r="38" spans="1:19" x14ac:dyDescent="0.2">
      <c r="A38" s="284"/>
      <c r="B38" s="256">
        <f>Journey!O18</f>
        <v>0</v>
      </c>
      <c r="C38" s="252" t="str">
        <f>IF(Journey!P18="C","C",IF(Journey!P18="P","P",""))</f>
        <v/>
      </c>
      <c r="E38" s="247"/>
      <c r="F38" s="248" t="str">
        <f>Badges!C43</f>
        <v>Add a morale-boosting time-out</v>
      </c>
      <c r="G38" s="250" t="str">
        <f>IF(Badges!P43="A","A"," ")</f>
        <v xml:space="preserve"> </v>
      </c>
      <c r="I38" s="247"/>
      <c r="J38" s="248" t="str">
        <f>Badges!C101</f>
        <v>Open water</v>
      </c>
      <c r="K38" s="250" t="str">
        <f>IF(Badges!P101="A","A"," ")</f>
        <v xml:space="preserve"> </v>
      </c>
      <c r="M38" s="247"/>
      <c r="N38" s="248" t="str">
        <f>Badges!C171</f>
        <v>Interview a new tenant or homeowner</v>
      </c>
      <c r="O38" s="250" t="str">
        <f>IF(Badges!P171="A","A"," ")</f>
        <v xml:space="preserve"> </v>
      </c>
      <c r="Q38" s="267">
        <v>4</v>
      </c>
      <c r="R38" s="344" t="str">
        <f>'Age-Level'!C61</f>
        <v>With your family, make sure you have</v>
      </c>
      <c r="S38" s="262" t="str">
        <f>IF('Age-Level'!P61="A","A","")</f>
        <v/>
      </c>
    </row>
    <row r="39" spans="1:19" x14ac:dyDescent="0.2">
      <c r="A39" s="284"/>
      <c r="B39" s="256">
        <f>Journey!O19</f>
        <v>0</v>
      </c>
      <c r="C39" s="252" t="str">
        <f>IF(Journey!P19="C","C",IF(Journey!P19="P","P",""))</f>
        <v/>
      </c>
      <c r="E39" s="247"/>
      <c r="F39" s="248" t="str">
        <f>Badges!C44</f>
        <v>Ask your players to coach you!</v>
      </c>
      <c r="G39" s="250" t="str">
        <f>IF(Badges!P44="A","A"," ")</f>
        <v xml:space="preserve"> </v>
      </c>
      <c r="I39" s="247"/>
      <c r="J39" s="248" t="str">
        <f>Badges!C102</f>
        <v>Mountains</v>
      </c>
      <c r="K39" s="250" t="str">
        <f>IF(Badges!P102="A","A"," ")</f>
        <v xml:space="preserve"> </v>
      </c>
      <c r="M39" s="247"/>
      <c r="N39" s="248" t="str">
        <f>Badges!C172</f>
        <v>Be chart smart</v>
      </c>
      <c r="O39" s="250" t="str">
        <f>IF(Badges!P172="A","A"," ")</f>
        <v xml:space="preserve"> </v>
      </c>
      <c r="Q39" s="267">
        <v>5</v>
      </c>
      <c r="R39" s="344" t="str">
        <f>'Age-Level'!C62</f>
        <v>Discuss bullying with your Girl Scout</v>
      </c>
      <c r="S39" s="262" t="str">
        <f>IF('Age-Level'!P62="A","A","")</f>
        <v/>
      </c>
    </row>
    <row r="40" spans="1:19" x14ac:dyDescent="0.2">
      <c r="A40" s="284"/>
      <c r="B40" s="256">
        <f>Journey!O20</f>
        <v>0</v>
      </c>
      <c r="C40" s="252" t="str">
        <f>IF(Journey!P20="C","C",IF(Journey!P20="P","P",""))</f>
        <v/>
      </c>
      <c r="E40" s="247"/>
      <c r="F40" s="248" t="str">
        <f>Badges!C45</f>
        <v xml:space="preserve">Bring in another coah to watch </v>
      </c>
      <c r="G40" s="250" t="str">
        <f>IF(Badges!P45="A","A","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Journey!O21</f>
        <v>0</v>
      </c>
      <c r="C41" s="252" t="str">
        <f>IF(Journey!P21="C","C",IF(Journey!P21="P","P",""))</f>
        <v/>
      </c>
      <c r="E41" s="247">
        <v>5</v>
      </c>
      <c r="F41" s="248" t="str">
        <f>Badges!C46</f>
        <v>Attend the big event</v>
      </c>
      <c r="G41" s="249"/>
      <c r="I41" s="247"/>
      <c r="J41" s="248" t="str">
        <f>Badges!C104</f>
        <v>Wilderness rescue</v>
      </c>
      <c r="K41" s="250" t="str">
        <f>IF(Badges!P104="A","A"," ")</f>
        <v xml:space="preserve"> </v>
      </c>
      <c r="M41" s="247"/>
      <c r="N41" s="248" t="str">
        <f>Badges!C174</f>
        <v>Focus on your finances</v>
      </c>
      <c r="O41" s="250" t="str">
        <f>IF(Badges!P174="A","A"," ")</f>
        <v xml:space="preserve"> </v>
      </c>
    </row>
    <row r="42" spans="1:19" x14ac:dyDescent="0.2">
      <c r="A42" s="254"/>
      <c r="B42" s="475" t="str">
        <f>Journey!A25</f>
        <v>BLISS: Live it! Give It!</v>
      </c>
      <c r="C42" s="476"/>
      <c r="E42" s="247"/>
      <c r="F42" s="248" t="str">
        <f>Badges!C47</f>
        <v>Meet with your players for a relaxing</v>
      </c>
      <c r="G42" s="250" t="str">
        <f>IF(Badges!P47="A","A"," ")</f>
        <v xml:space="preserve"> </v>
      </c>
      <c r="I42" s="247"/>
      <c r="J42" s="248" t="str">
        <f>Badges!C105</f>
        <v>Disaster preparedness</v>
      </c>
      <c r="K42" s="250" t="str">
        <f>IF(Badges!P105="A","A"," ")</f>
        <v xml:space="preserve"> </v>
      </c>
      <c r="M42" s="247"/>
      <c r="N42" s="248" t="str">
        <f>Badges!C175</f>
        <v>Shop talk</v>
      </c>
      <c r="O42" s="250" t="str">
        <f>IF(Badges!P175="A","A"," ")</f>
        <v xml:space="preserve"> </v>
      </c>
      <c r="Q42" s="505"/>
      <c r="R42" s="505"/>
      <c r="S42" s="240"/>
    </row>
    <row r="43" spans="1:19" x14ac:dyDescent="0.2">
      <c r="B43" s="477" t="str">
        <f>Journey!B26</f>
        <v>Dream Maker Award</v>
      </c>
      <c r="C43" s="478"/>
      <c r="E43" s="247"/>
      <c r="F43" s="248" t="str">
        <f>Badges!C48</f>
        <v>Host a celebration</v>
      </c>
      <c r="G43" s="250" t="str">
        <f>IF(Badges!P48="A","A"," ")</f>
        <v xml:space="preserve"> </v>
      </c>
      <c r="I43" s="247"/>
      <c r="J43" s="248" t="str">
        <f>Badges!C106</f>
        <v>Military medicine</v>
      </c>
      <c r="K43" s="250" t="str">
        <f>IF(Badges!P106="A","A"," ")</f>
        <v xml:space="preserve"> </v>
      </c>
      <c r="M43" s="247"/>
      <c r="N43" s="248" t="str">
        <f>Badges!C176</f>
        <v>Audit request</v>
      </c>
      <c r="O43" s="250" t="str">
        <f>IF(Badges!P176="A","A"," ")</f>
        <v xml:space="preserve"> </v>
      </c>
      <c r="Q43" s="267"/>
      <c r="R43" s="267"/>
      <c r="S43" s="240"/>
    </row>
    <row r="44" spans="1:19" x14ac:dyDescent="0.2">
      <c r="B44" s="256">
        <f>Journey!O27</f>
        <v>0</v>
      </c>
      <c r="C44" s="252" t="str">
        <f>IF(Journey!P27="C","C",IF(Journey!P27="P","P",""))</f>
        <v/>
      </c>
      <c r="E44" s="247"/>
      <c r="F44" s="248" t="str">
        <f>Badges!C49</f>
        <v>Make a "trading card" for each athlete</v>
      </c>
      <c r="G44" s="250" t="str">
        <f>IF(Badges!P49="A","A","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Journey!O28</f>
        <v>0</v>
      </c>
      <c r="C45" s="252" t="str">
        <f>IF(Journey!P28="C","C",IF(Journey!P28="P","P",""))</f>
        <v/>
      </c>
      <c r="E45" s="492" t="str">
        <f>Badges!B52</f>
        <v>Public Policy</v>
      </c>
      <c r="F45" s="492"/>
      <c r="G45" s="492"/>
      <c r="I45" s="247"/>
      <c r="J45" s="248" t="str">
        <f>Badges!C108</f>
        <v>Take a wilderness first aid course</v>
      </c>
      <c r="K45" s="250" t="str">
        <f>IF(Badges!P108="A","A"," ")</f>
        <v xml:space="preserve"> </v>
      </c>
      <c r="M45" s="247"/>
      <c r="N45" s="248" t="str">
        <f>Badges!C178</f>
        <v>Hooray for hobbies!</v>
      </c>
      <c r="O45" s="250" t="str">
        <f>IF(Badges!P178="A","A"," ")</f>
        <v xml:space="preserve"> </v>
      </c>
      <c r="Q45" s="267"/>
      <c r="R45" s="267"/>
      <c r="S45" s="240"/>
    </row>
    <row r="46" spans="1:19" x14ac:dyDescent="0.2">
      <c r="B46" s="256">
        <f>Journey!O29</f>
        <v>0</v>
      </c>
      <c r="C46" s="252" t="str">
        <f>IF(Journey!P29="C","C",IF(Journey!P29="P","P",""))</f>
        <v/>
      </c>
      <c r="E46" s="247">
        <v>1</v>
      </c>
      <c r="F46" s="248" t="str">
        <f>Badges!C53</f>
        <v>Find out how activitists advocate for change</v>
      </c>
      <c r="G46" s="249" t="s">
        <v>26</v>
      </c>
      <c r="I46" s="247"/>
      <c r="J46" s="248" t="str">
        <f>Badges!C109</f>
        <v>Interview a doctor, nurse, EMT, or first</v>
      </c>
      <c r="K46" s="250" t="str">
        <f>IF(Badges!P109="A","A"," ")</f>
        <v xml:space="preserve"> </v>
      </c>
      <c r="M46" s="247"/>
      <c r="N46" s="248" t="str">
        <f>Badges!C179</f>
        <v>Treat yourself</v>
      </c>
      <c r="O46" s="250" t="str">
        <f>IF(Badges!P179="A","A"," ")</f>
        <v xml:space="preserve"> </v>
      </c>
      <c r="Q46" s="267"/>
      <c r="R46" s="267"/>
      <c r="S46" s="240"/>
    </row>
    <row r="47" spans="1:19" x14ac:dyDescent="0.2">
      <c r="B47" s="256">
        <f>Journey!O30</f>
        <v>0</v>
      </c>
      <c r="C47" s="252" t="str">
        <f>IF(Journey!P30="C","C",IF(Journey!P30="P","P",""))</f>
        <v/>
      </c>
      <c r="E47" s="247"/>
      <c r="F47" s="248" t="str">
        <f>Badges!C54</f>
        <v>Interview an activist</v>
      </c>
      <c r="G47" s="250" t="str">
        <f>IF(Badges!P54="A","A"," ")</f>
        <v xml:space="preserve"> </v>
      </c>
      <c r="I47" s="247"/>
      <c r="J47" s="248" t="str">
        <f>Badges!C110</f>
        <v xml:space="preserve">Discover how to use what's on hand in </v>
      </c>
      <c r="K47" s="250" t="str">
        <f>IF(Badges!P110="A","A"," ")</f>
        <v xml:space="preserve"> </v>
      </c>
      <c r="M47" s="247"/>
      <c r="N47" s="248" t="str">
        <f>Badges!C180</f>
        <v>Class act</v>
      </c>
      <c r="O47" s="250" t="str">
        <f>IF(Badges!P180="A","A"," ")</f>
        <v xml:space="preserve"> </v>
      </c>
      <c r="Q47" s="267"/>
      <c r="R47" s="267"/>
      <c r="S47" s="240"/>
    </row>
    <row r="48" spans="1:19" x14ac:dyDescent="0.2">
      <c r="B48" s="264"/>
      <c r="C48" s="264"/>
      <c r="E48" s="247"/>
      <c r="F48" s="248" t="str">
        <f>Badges!C55</f>
        <v>Watch a documentary or movie</v>
      </c>
      <c r="G48" s="250" t="str">
        <f>IF(Badges!P55="A","A"," ")</f>
        <v xml:space="preserve"> </v>
      </c>
      <c r="I48" s="339" t="str">
        <f>Badges!B98</f>
        <v>Ambassador First Aid</v>
      </c>
      <c r="J48" s="340"/>
      <c r="K48" s="340"/>
      <c r="M48" s="247">
        <v>4</v>
      </c>
      <c r="N48" s="248" t="str">
        <f>Badges!C181</f>
        <v>Plan for the unexpected</v>
      </c>
      <c r="O48" s="249"/>
    </row>
    <row r="49" spans="1:19" x14ac:dyDescent="0.2">
      <c r="A49" s="484" t="s">
        <v>316</v>
      </c>
      <c r="B49" s="484"/>
      <c r="C49" s="484"/>
      <c r="E49" s="247"/>
      <c r="F49" s="248" t="str">
        <f>Badges!C56</f>
        <v xml:space="preserve">Read about women who change the </v>
      </c>
      <c r="G49" s="250" t="str">
        <f>IF(Badges!P56="A","A"," ")</f>
        <v xml:space="preserve"> </v>
      </c>
      <c r="I49" s="247">
        <v>4</v>
      </c>
      <c r="J49" s="248" t="str">
        <f>Badges!C111</f>
        <v>Know how to move an injured person</v>
      </c>
      <c r="K49" s="249"/>
      <c r="M49" s="247"/>
      <c r="N49" s="248" t="str">
        <f>Badges!C182</f>
        <v>Interview your network</v>
      </c>
      <c r="O49" s="250" t="str">
        <f>IF(Badges!P182="A","A"," ")</f>
        <v xml:space="preserve"> </v>
      </c>
    </row>
    <row r="50" spans="1:19" x14ac:dyDescent="0.2">
      <c r="A50" s="259"/>
      <c r="B50" s="345" t="str">
        <f>Bridging!B6</f>
        <v>Pass It On!</v>
      </c>
      <c r="C50" s="251" t="str">
        <f>IF(Bridging!P10="C","C",IF(Bridging!P10="P","P",""))</f>
        <v/>
      </c>
      <c r="E50" s="247">
        <v>2</v>
      </c>
      <c r="F50" s="248" t="str">
        <f>Badges!C57</f>
        <v>Engage as a global citizen</v>
      </c>
      <c r="G50" s="249"/>
      <c r="I50" s="247"/>
      <c r="J50" s="248" t="str">
        <f>Badges!C112</f>
        <v>Visit a medical school</v>
      </c>
      <c r="K50" s="250" t="str">
        <f>IF(Badges!P112="A","A"," ")</f>
        <v xml:space="preserve"> </v>
      </c>
      <c r="M50" s="247"/>
      <c r="N50" s="248" t="str">
        <f>Badges!C183</f>
        <v>Interview a Financial guru</v>
      </c>
      <c r="O50" s="250" t="str">
        <f>IF(Badges!P183="A","A"," ")</f>
        <v xml:space="preserve"> </v>
      </c>
    </row>
    <row r="51" spans="1:19" x14ac:dyDescent="0.2">
      <c r="A51" s="259"/>
      <c r="B51" s="260" t="str">
        <f>Bridging!B11</f>
        <v>Look Ahead!</v>
      </c>
      <c r="C51" s="251" t="str">
        <f>IF(Bridging!P15="C","C",IF(Bridging!P15="P","P",""))</f>
        <v/>
      </c>
      <c r="E51" s="247"/>
      <c r="F51" s="248" t="str">
        <f>Badges!C58</f>
        <v>Compare laws</v>
      </c>
      <c r="G51" s="250" t="str">
        <f>IF(Badges!P58="A","A"," ")</f>
        <v xml:space="preserve"> </v>
      </c>
      <c r="I51" s="247"/>
      <c r="J51" s="248" t="str">
        <f>Badges!C113</f>
        <v>Take a wilderness first aid course</v>
      </c>
      <c r="K51" s="250" t="str">
        <f>IF(Badges!P113="A","A"," ")</f>
        <v xml:space="preserve"> </v>
      </c>
      <c r="M51" s="247"/>
      <c r="N51" s="248" t="str">
        <f>Badges!C184</f>
        <v>Interview an insurance expert</v>
      </c>
      <c r="O51" s="250" t="str">
        <f>IF(Badges!P184="A","A"," ")</f>
        <v xml:space="preserve"> </v>
      </c>
    </row>
    <row r="52" spans="1:19" x14ac:dyDescent="0.2">
      <c r="A52" s="259"/>
      <c r="B52" s="344" t="str">
        <f>Bridging!C16</f>
        <v>Plan a Ceremony</v>
      </c>
      <c r="C52" s="251" t="str">
        <f>IF(Bridging!P17="C","C",IF(Bridging!P17="P","P",""))</f>
        <v/>
      </c>
      <c r="E52" s="247"/>
      <c r="F52" s="248" t="str">
        <f>Badges!C59</f>
        <v xml:space="preserve">Track a public-policy issue being </v>
      </c>
      <c r="G52" s="250" t="str">
        <f>IF(Badges!P59="A","A"," ")</f>
        <v xml:space="preserve"> </v>
      </c>
      <c r="I52" s="247"/>
      <c r="J52" s="248" t="str">
        <f>Badges!C114</f>
        <v>Organize a mock emergency drill</v>
      </c>
      <c r="K52" s="250" t="str">
        <f>IF(Badges!P114="A","A"," ")</f>
        <v xml:space="preserve"> </v>
      </c>
      <c r="M52" s="339" t="str">
        <f>Badges!B168</f>
        <v>On My Own</v>
      </c>
      <c r="N52" s="340"/>
      <c r="O52" s="340"/>
    </row>
    <row r="53" spans="1:19" x14ac:dyDescent="0.2">
      <c r="B53" s="261" t="s">
        <v>134</v>
      </c>
      <c r="C53" s="251" t="str">
        <f>IF(Bridging!P18="C","C",IF(Bridging!P18="P","P",""))</f>
        <v/>
      </c>
      <c r="E53" s="247"/>
      <c r="F53" s="248" t="str">
        <f>Badges!C60</f>
        <v>Explore an international NGO</v>
      </c>
      <c r="G53" s="250" t="str">
        <f>IF(Badges!P60="A","A","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IF(Badges!P116="A","A"," ")</f>
        <v xml:space="preserve"> </v>
      </c>
      <c r="M54" s="247"/>
      <c r="N54" s="248" t="str">
        <f>Badges!C186</f>
        <v>Plan for presents</v>
      </c>
      <c r="O54" s="250" t="str">
        <f>IF(Badges!P186="A","A"," ")</f>
        <v xml:space="preserve"> </v>
      </c>
      <c r="Q54" s="267"/>
      <c r="R54" s="267"/>
      <c r="S54" s="240"/>
    </row>
    <row r="55" spans="1:19" x14ac:dyDescent="0.2">
      <c r="I55" s="247"/>
      <c r="J55" s="248" t="str">
        <f>Badges!C117</f>
        <v>Investigate extreme first aid</v>
      </c>
      <c r="K55" s="250" t="str">
        <f>IF(Badges!P117="A","A"," ")</f>
        <v xml:space="preserve"> </v>
      </c>
      <c r="M55" s="247"/>
      <c r="N55" s="248" t="str">
        <f>Badges!C187</f>
        <v>Budget for your time</v>
      </c>
      <c r="O55" s="250" t="str">
        <f>IF(Badges!P187="A","A"," ")</f>
        <v xml:space="preserve"> </v>
      </c>
      <c r="Q55" s="496"/>
      <c r="R55" s="496"/>
      <c r="S55" s="496"/>
    </row>
    <row r="56" spans="1:19" x14ac:dyDescent="0.2">
      <c r="I56" s="247"/>
      <c r="J56" s="248" t="str">
        <f>Badges!C118</f>
        <v>Interview an everyday hero</v>
      </c>
      <c r="K56" s="250" t="str">
        <f>IF(Badges!P118="A","A"," ")</f>
        <v xml:space="preserve"> </v>
      </c>
      <c r="M56" s="247"/>
      <c r="N56" s="248" t="str">
        <f>Badges!C188</f>
        <v>Charity starts… with a budget</v>
      </c>
      <c r="O56" s="250" t="str">
        <f>IF(Badges!P188="A","A","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IF(Badges!P123="A","A"," ")</f>
        <v xml:space="preserve"> </v>
      </c>
      <c r="M59" s="247"/>
      <c r="N59" s="248" t="str">
        <f>Badges!C217</f>
        <v>Invest some R&amp;D</v>
      </c>
      <c r="O59" s="250" t="str">
        <f>IF(Badges!P217="A","A"," ")</f>
        <v xml:space="preserve"> </v>
      </c>
    </row>
    <row r="60" spans="1:19" x14ac:dyDescent="0.2">
      <c r="I60" s="247"/>
      <c r="J60" s="248" t="str">
        <f>Badges!C124</f>
        <v xml:space="preserve">Ogranize a songfest for younger </v>
      </c>
      <c r="K60" s="250" t="str">
        <f>IF(Badges!P124="A","A"," ")</f>
        <v xml:space="preserve"> </v>
      </c>
      <c r="M60" s="247">
        <v>2</v>
      </c>
      <c r="N60" s="248" t="str">
        <f>Badges!C218</f>
        <v>Reasearch how other companies innovate</v>
      </c>
      <c r="O60" s="249"/>
    </row>
    <row r="61" spans="1:19" x14ac:dyDescent="0.2">
      <c r="I61" s="247"/>
      <c r="J61" s="248" t="str">
        <f>Badges!C125</f>
        <v>Bring generations together in song</v>
      </c>
      <c r="K61" s="250" t="str">
        <f>IF(Badges!P125="A","A"," ")</f>
        <v xml:space="preserve"> </v>
      </c>
      <c r="M61" s="247"/>
      <c r="N61" s="248" t="str">
        <f>Badges!C219</f>
        <v>Find at least three other companies</v>
      </c>
      <c r="O61" s="250" t="str">
        <f>IF(Badges!P219="A","A"," ")</f>
        <v xml:space="preserve"> </v>
      </c>
    </row>
    <row r="62" spans="1:19"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IF(Badges!P127="A","A"," ")</f>
        <v xml:space="preserve"> </v>
      </c>
      <c r="M63" s="247"/>
      <c r="N63" s="248" t="str">
        <f>Badges!C221</f>
        <v>Developing a new product</v>
      </c>
      <c r="O63" s="250" t="str">
        <f>IF(Badges!P221="A","A"," ")</f>
        <v xml:space="preserve"> </v>
      </c>
    </row>
    <row r="64" spans="1:19" x14ac:dyDescent="0.2">
      <c r="I64" s="247"/>
      <c r="J64" s="248" t="str">
        <f>Badges!C128</f>
        <v>Make World Thinking Day cards</v>
      </c>
      <c r="K64" s="250" t="str">
        <f>IF(Badges!P128="A","A","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IF(Badges!P129="A","A"," ")</f>
        <v xml:space="preserve"> </v>
      </c>
      <c r="M65" s="247"/>
      <c r="N65" s="248" t="str">
        <f>Badges!C223</f>
        <v>If you're considering serveral</v>
      </c>
      <c r="O65" s="250" t="str">
        <f>IF(Badges!P223="A","A","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IF(Badges!P225="A","A","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484"/>
      <c r="G72" s="484"/>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Own'!P28="C","C",IF('Council Own'!P28="P","P",""))</f>
        <v/>
      </c>
      <c r="E73" s="493" t="str">
        <f>'Fun Patches'!C5</f>
        <v>&lt;LIST PATCH HERE&gt;</v>
      </c>
      <c r="F73" s="494"/>
      <c r="G73" s="250" t="str">
        <f>IF('Fun Patches'!P5="A","A","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Own'!P52="C","C",IF('Council Own'!P52="P","P",""))</f>
        <v/>
      </c>
      <c r="E74" s="471" t="str">
        <f>'Fun Patches'!C6</f>
        <v>&lt;LIST PATCH HERE&gt;</v>
      </c>
      <c r="F74" s="472"/>
      <c r="G74" s="257" t="str">
        <f>IF('Fun Patches'!P6="A","A"," ")</f>
        <v xml:space="preserve"> </v>
      </c>
      <c r="H74" s="254"/>
      <c r="I74" s="247">
        <v>1</v>
      </c>
      <c r="J74" s="344" t="str">
        <f>'Council Own'!C7</f>
        <v>&lt;List Requirement Here&gt;</v>
      </c>
      <c r="K74" s="257" t="str">
        <f>IF('Council Own'!P7="A","A"," ")</f>
        <v xml:space="preserve"> </v>
      </c>
      <c r="L74" s="254"/>
      <c r="M74" s="247">
        <v>1</v>
      </c>
      <c r="N74" s="344" t="str">
        <f>'Council Own'!C55</f>
        <v>&lt;List Requirement Here&gt;</v>
      </c>
      <c r="O74" s="257" t="str">
        <f>IF('Council Own'!P55="A","A"," ")</f>
        <v xml:space="preserve"> </v>
      </c>
      <c r="Q74" s="247">
        <v>1</v>
      </c>
      <c r="R74" s="344" t="str">
        <f>'Council Own'!C103</f>
        <v>&lt;List Requirement Here&gt;</v>
      </c>
      <c r="S74" s="257" t="str">
        <f>IF('Council Own'!P103="A","A"," ")</f>
        <v xml:space="preserve"> </v>
      </c>
    </row>
    <row r="75" spans="1:19" x14ac:dyDescent="0.2">
      <c r="A75" s="485" t="str">
        <f>'Council Own'!B54</f>
        <v>&lt;&lt;List Badge Here&gt;&gt;</v>
      </c>
      <c r="B75" s="486"/>
      <c r="C75" s="252" t="str">
        <f>IF('Council Own'!P76="C","C",IF('Council Own'!P76="P","P",""))</f>
        <v/>
      </c>
      <c r="E75" s="471" t="str">
        <f>'Fun Patches'!C7</f>
        <v>&lt;LIST PATCH HERE&gt;</v>
      </c>
      <c r="F75" s="472"/>
      <c r="G75" s="257" t="str">
        <f>IF('Fun Patches'!P7="A","A"," ")</f>
        <v xml:space="preserve"> </v>
      </c>
      <c r="H75" s="254"/>
      <c r="I75" s="247"/>
      <c r="J75" s="344" t="str">
        <f>'Council Own'!C8</f>
        <v>&lt;List Requirement Here&gt;</v>
      </c>
      <c r="K75" s="257" t="str">
        <f>IF('Council Own'!P8="A","A"," ")</f>
        <v xml:space="preserve"> </v>
      </c>
      <c r="L75" s="254"/>
      <c r="M75" s="247"/>
      <c r="N75" s="344" t="str">
        <f>'Council Own'!C56</f>
        <v>&lt;List Requirement Here&gt;</v>
      </c>
      <c r="O75" s="257" t="str">
        <f>IF('Council Own'!P56="A","A"," ")</f>
        <v xml:space="preserve"> </v>
      </c>
      <c r="Q75" s="247"/>
      <c r="R75" s="344" t="str">
        <f>'Council Own'!C104</f>
        <v>&lt;List Requirement Here&gt;</v>
      </c>
      <c r="S75" s="257" t="str">
        <f>IF('Council Own'!P104="A","A"," ")</f>
        <v xml:space="preserve"> </v>
      </c>
    </row>
    <row r="76" spans="1:19" x14ac:dyDescent="0.2">
      <c r="A76" s="485" t="str">
        <f>'Council Own'!B78</f>
        <v>&lt;&lt;List Badge Here&gt;&gt;</v>
      </c>
      <c r="B76" s="486"/>
      <c r="C76" s="252" t="str">
        <f>IF('Council Own'!P100="C","C",IF('Council Own'!P100="P","P",""))</f>
        <v/>
      </c>
      <c r="E76" s="471" t="str">
        <f>'Fun Patches'!C8</f>
        <v>&lt;LIST PATCH HERE&gt;</v>
      </c>
      <c r="F76" s="472"/>
      <c r="G76" s="257" t="str">
        <f>IF('Fun Patches'!P8="A","A"," ")</f>
        <v xml:space="preserve"> </v>
      </c>
      <c r="H76" s="254"/>
      <c r="I76" s="247"/>
      <c r="J76" s="344" t="str">
        <f>'Council Own'!C9</f>
        <v>&lt;List Requirement Here&gt;</v>
      </c>
      <c r="K76" s="257" t="str">
        <f>IF('Council Own'!P9="A","A"," ")</f>
        <v xml:space="preserve"> </v>
      </c>
      <c r="L76" s="254"/>
      <c r="M76" s="247"/>
      <c r="N76" s="344" t="str">
        <f>'Council Own'!C57</f>
        <v>&lt;List Requirement Here&gt;</v>
      </c>
      <c r="O76" s="257" t="str">
        <f>IF('Council Own'!P57="A","A"," ")</f>
        <v xml:space="preserve"> </v>
      </c>
      <c r="Q76" s="247"/>
      <c r="R76" s="344" t="str">
        <f>'Council Own'!C105</f>
        <v>&lt;List Requirement Here&gt;</v>
      </c>
      <c r="S76" s="257" t="str">
        <f>IF('Council Own'!P105="A","A"," ")</f>
        <v xml:space="preserve"> </v>
      </c>
    </row>
    <row r="77" spans="1:19" x14ac:dyDescent="0.2">
      <c r="A77" s="485" t="str">
        <f>'Council Own'!B102</f>
        <v>&lt;&lt;List Badge Here&gt;&gt;</v>
      </c>
      <c r="B77" s="486"/>
      <c r="C77" s="252" t="str">
        <f>IF('Council Own'!P124="C","C",IF('Council Own'!P124="P","P",""))</f>
        <v/>
      </c>
      <c r="E77" s="471" t="str">
        <f>'Fun Patches'!C9</f>
        <v>&lt;LIST PATCH HERE&gt;</v>
      </c>
      <c r="F77" s="472"/>
      <c r="G77" s="257" t="str">
        <f>IF('Fun Patches'!P9="A","A"," ")</f>
        <v xml:space="preserve"> </v>
      </c>
      <c r="H77" s="254"/>
      <c r="I77" s="247"/>
      <c r="J77" s="344" t="str">
        <f>'Council Own'!C10</f>
        <v>&lt;List Requirement Here&gt;</v>
      </c>
      <c r="K77" s="257" t="str">
        <f>IF('Council Own'!P10="A","A"," ")</f>
        <v xml:space="preserve"> </v>
      </c>
      <c r="L77" s="254"/>
      <c r="M77" s="247"/>
      <c r="N77" s="344" t="str">
        <f>'Council Own'!C58</f>
        <v>&lt;List Requirement Here&gt;</v>
      </c>
      <c r="O77" s="257" t="str">
        <f>IF('Council Own'!P58="A","A"," ")</f>
        <v xml:space="preserve"> </v>
      </c>
      <c r="Q77" s="247"/>
      <c r="R77" s="344" t="str">
        <f>'Council Own'!C106</f>
        <v>&lt;List Requirement Here&gt;</v>
      </c>
      <c r="S77" s="257" t="str">
        <f>IF('Council Own'!P106="A","A"," ")</f>
        <v xml:space="preserve"> </v>
      </c>
    </row>
    <row r="78" spans="1:19" x14ac:dyDescent="0.2">
      <c r="A78" s="485" t="str">
        <f>'Council Own'!B126</f>
        <v>&lt;&lt;List Badge Here&gt;&gt;</v>
      </c>
      <c r="B78" s="486"/>
      <c r="C78" s="252" t="str">
        <f>IF('Council Own'!P148="C","C",IF('Council Own'!P148="P","P",""))</f>
        <v/>
      </c>
      <c r="E78" s="471" t="str">
        <f>'Fun Patches'!C10</f>
        <v>&lt;LIST PATCH HERE&gt;</v>
      </c>
      <c r="F78" s="472"/>
      <c r="G78" s="257" t="str">
        <f>IF('Fun Patches'!P10="A","A"," ")</f>
        <v xml:space="preserve"> </v>
      </c>
      <c r="I78" s="247">
        <v>2</v>
      </c>
      <c r="J78" s="344" t="str">
        <f>'Council Own'!C11</f>
        <v>&lt;List Requirement Here&gt;</v>
      </c>
      <c r="K78" s="257" t="str">
        <f>IF('Council Own'!P11="A","A"," ")</f>
        <v xml:space="preserve"> </v>
      </c>
      <c r="M78" s="247">
        <v>2</v>
      </c>
      <c r="N78" s="344" t="str">
        <f>'Council Own'!C59</f>
        <v>&lt;List Requirement Here&gt;</v>
      </c>
      <c r="O78" s="257" t="str">
        <f>IF('Council Own'!P59="A","A"," ")</f>
        <v xml:space="preserve"> </v>
      </c>
      <c r="Q78" s="247">
        <v>2</v>
      </c>
      <c r="R78" s="344" t="str">
        <f>'Council Own'!C107</f>
        <v>&lt;List Requirement Here&gt;</v>
      </c>
      <c r="S78" s="257" t="str">
        <f>IF('Council Own'!P107="A","A"," ")</f>
        <v xml:space="preserve"> </v>
      </c>
    </row>
    <row r="79" spans="1:19" x14ac:dyDescent="0.2">
      <c r="E79" s="471" t="str">
        <f>'Fun Patches'!C11</f>
        <v>&lt;LIST PATCH HERE&gt;</v>
      </c>
      <c r="F79" s="472"/>
      <c r="G79" s="257" t="str">
        <f>IF('Fun Patches'!P11="A","A"," ")</f>
        <v xml:space="preserve"> </v>
      </c>
      <c r="I79" s="247"/>
      <c r="J79" s="344" t="str">
        <f>'Council Own'!C12</f>
        <v>&lt;List Requirement Here&gt;</v>
      </c>
      <c r="K79" s="257" t="str">
        <f>IF('Council Own'!P12="A","A"," ")</f>
        <v xml:space="preserve"> </v>
      </c>
      <c r="M79" s="247"/>
      <c r="N79" s="344" t="str">
        <f>'Council Own'!C60</f>
        <v>&lt;List Requirement Here&gt;</v>
      </c>
      <c r="O79" s="257" t="str">
        <f>IF('Council Own'!P60="A","A"," ")</f>
        <v xml:space="preserve"> </v>
      </c>
      <c r="Q79" s="247"/>
      <c r="R79" s="344" t="str">
        <f>'Council Own'!C108</f>
        <v>&lt;List Requirement Here&gt;</v>
      </c>
      <c r="S79" s="257" t="str">
        <f>IF('Council Own'!P108="A","A"," ")</f>
        <v xml:space="preserve"> </v>
      </c>
    </row>
    <row r="80" spans="1:19" x14ac:dyDescent="0.2">
      <c r="E80" s="471" t="str">
        <f>'Fun Patches'!C12</f>
        <v>&lt;LIST PATCH HERE&gt;</v>
      </c>
      <c r="F80" s="472"/>
      <c r="G80" s="257" t="str">
        <f>IF('Fun Patches'!P12="A","A"," ")</f>
        <v xml:space="preserve"> </v>
      </c>
      <c r="I80" s="247"/>
      <c r="J80" s="344" t="str">
        <f>'Council Own'!C13</f>
        <v>&lt;List Requirement Here&gt;</v>
      </c>
      <c r="K80" s="257" t="str">
        <f>IF('Council Own'!P13="A","A"," ")</f>
        <v xml:space="preserve"> </v>
      </c>
      <c r="M80" s="247"/>
      <c r="N80" s="344" t="str">
        <f>'Council Own'!C61</f>
        <v>&lt;List Requirement Here&gt;</v>
      </c>
      <c r="O80" s="257" t="str">
        <f>IF('Council Own'!P61="A","A"," ")</f>
        <v xml:space="preserve"> </v>
      </c>
      <c r="Q80" s="247"/>
      <c r="R80" s="344" t="str">
        <f>'Council Own'!C109</f>
        <v>&lt;List Requirement Here&gt;</v>
      </c>
      <c r="S80" s="257" t="str">
        <f>IF('Council Own'!P109="A","A"," ")</f>
        <v xml:space="preserve"> </v>
      </c>
    </row>
    <row r="81" spans="1:22" x14ac:dyDescent="0.2">
      <c r="E81" s="471" t="str">
        <f>'Fun Patches'!C13</f>
        <v>&lt;LIST PATCH HERE&gt;</v>
      </c>
      <c r="F81" s="472"/>
      <c r="G81" s="257" t="str">
        <f>IF('Fun Patches'!P13="A","A"," ")</f>
        <v xml:space="preserve"> </v>
      </c>
      <c r="I81" s="247"/>
      <c r="J81" s="344" t="str">
        <f>'Council Own'!C14</f>
        <v>&lt;List Requirement Here&gt;</v>
      </c>
      <c r="K81" s="257" t="str">
        <f>IF('Council Own'!P14="A","A"," ")</f>
        <v xml:space="preserve"> </v>
      </c>
      <c r="M81" s="247"/>
      <c r="N81" s="344" t="str">
        <f>'Council Own'!C62</f>
        <v>&lt;List Requirement Here&gt;</v>
      </c>
      <c r="O81" s="257" t="str">
        <f>IF('Council Own'!P62="A","A"," ")</f>
        <v xml:space="preserve"> </v>
      </c>
      <c r="Q81" s="247"/>
      <c r="R81" s="344" t="str">
        <f>'Council Own'!C110</f>
        <v>&lt;List Requirement Here&gt;</v>
      </c>
      <c r="S81" s="257" t="str">
        <f>IF('Council Own'!P110="A","A"," ")</f>
        <v xml:space="preserve"> </v>
      </c>
    </row>
    <row r="82" spans="1:22" x14ac:dyDescent="0.2">
      <c r="E82" s="471" t="str">
        <f>'Fun Patches'!C14</f>
        <v>&lt;LIST PATCH HERE&gt;</v>
      </c>
      <c r="F82" s="472"/>
      <c r="G82" s="257" t="str">
        <f>IF('Fun Patches'!P14="A","A"," ")</f>
        <v xml:space="preserve"> </v>
      </c>
      <c r="I82" s="247">
        <v>3</v>
      </c>
      <c r="J82" s="344" t="str">
        <f>'Council Own'!C15</f>
        <v>&lt;List Requirement Here&gt;</v>
      </c>
      <c r="K82" s="257" t="str">
        <f>IF('Council Own'!P15="A","A"," ")</f>
        <v xml:space="preserve"> </v>
      </c>
      <c r="M82" s="247">
        <v>3</v>
      </c>
      <c r="N82" s="344" t="str">
        <f>'Council Own'!C63</f>
        <v>&lt;List Requirement Here&gt;</v>
      </c>
      <c r="O82" s="257" t="str">
        <f>IF('Council Own'!P63="A","A"," ")</f>
        <v xml:space="preserve"> </v>
      </c>
      <c r="Q82" s="247">
        <v>3</v>
      </c>
      <c r="R82" s="344" t="str">
        <f>'Council Own'!C111</f>
        <v>&lt;List Requirement Here&gt;</v>
      </c>
      <c r="S82" s="257" t="str">
        <f>IF('Council Own'!P111="A","A"," ")</f>
        <v xml:space="preserve"> </v>
      </c>
    </row>
    <row r="83" spans="1:22" x14ac:dyDescent="0.2">
      <c r="E83" s="471" t="str">
        <f>'Fun Patches'!C15</f>
        <v>&lt;LIST PATCH HERE&gt;</v>
      </c>
      <c r="F83" s="472"/>
      <c r="G83" s="257" t="str">
        <f>IF('Fun Patches'!P15="A","A"," ")</f>
        <v xml:space="preserve"> </v>
      </c>
      <c r="I83" s="247"/>
      <c r="J83" s="344" t="str">
        <f>'Council Own'!C16</f>
        <v>&lt;List Requirement Here&gt;</v>
      </c>
      <c r="K83" s="257" t="str">
        <f>IF('Council Own'!P16="A","A"," ")</f>
        <v xml:space="preserve"> </v>
      </c>
      <c r="M83" s="247"/>
      <c r="N83" s="344" t="str">
        <f>'Council Own'!C64</f>
        <v>&lt;List Requirement Here&gt;</v>
      </c>
      <c r="O83" s="257" t="str">
        <f>IF('Council Own'!P64="A","A"," ")</f>
        <v xml:space="preserve"> </v>
      </c>
      <c r="Q83" s="247"/>
      <c r="R83" s="344" t="str">
        <f>'Council Own'!C112</f>
        <v>&lt;List Requirement Here&gt;</v>
      </c>
      <c r="S83" s="257" t="str">
        <f>IF('Council Own'!P112="A","A"," ")</f>
        <v xml:space="preserve"> </v>
      </c>
    </row>
    <row r="84" spans="1:22" x14ac:dyDescent="0.2">
      <c r="E84" s="471" t="str">
        <f>'Fun Patches'!C16</f>
        <v>&lt;LIST PATCH HERE&gt;</v>
      </c>
      <c r="F84" s="472"/>
      <c r="G84" s="257" t="str">
        <f>IF('Fun Patches'!P16="A","A"," ")</f>
        <v xml:space="preserve"> </v>
      </c>
      <c r="I84" s="247"/>
      <c r="J84" s="344" t="str">
        <f>'Council Own'!C17</f>
        <v>&lt;List Requirement Here&gt;</v>
      </c>
      <c r="K84" s="257" t="str">
        <f>IF('Council Own'!P17="A","A"," ")</f>
        <v xml:space="preserve"> </v>
      </c>
      <c r="M84" s="247"/>
      <c r="N84" s="344" t="str">
        <f>'Council Own'!C65</f>
        <v>&lt;List Requirement Here&gt;</v>
      </c>
      <c r="O84" s="257" t="str">
        <f>IF('Council Own'!P65="A","A"," ")</f>
        <v xml:space="preserve"> </v>
      </c>
      <c r="Q84" s="247"/>
      <c r="R84" s="344" t="str">
        <f>'Council Own'!C113</f>
        <v>&lt;List Requirement Here&gt;</v>
      </c>
      <c r="S84" s="257" t="str">
        <f>IF('Council Own'!P113="A","A"," ")</f>
        <v xml:space="preserve"> </v>
      </c>
    </row>
    <row r="85" spans="1:22" x14ac:dyDescent="0.2">
      <c r="E85" s="471" t="str">
        <f>'Fun Patches'!C17</f>
        <v>&lt;LIST PATCH HERE&gt;</v>
      </c>
      <c r="F85" s="472"/>
      <c r="G85" s="250" t="str">
        <f>IF('Fun Patches'!P17="A","A"," ")</f>
        <v xml:space="preserve"> </v>
      </c>
      <c r="I85" s="247"/>
      <c r="J85" s="344" t="str">
        <f>'Council Own'!C18</f>
        <v>&lt;List Requirement Here&gt;</v>
      </c>
      <c r="K85" s="257" t="str">
        <f>IF('Council Own'!P18="A","A"," ")</f>
        <v xml:space="preserve"> </v>
      </c>
      <c r="M85" s="247"/>
      <c r="N85" s="344" t="str">
        <f>'Council Own'!C66</f>
        <v>&lt;List Requirement Here&gt;</v>
      </c>
      <c r="O85" s="257" t="str">
        <f>IF('Council Own'!P66="A","A"," ")</f>
        <v xml:space="preserve"> </v>
      </c>
      <c r="Q85" s="247"/>
      <c r="R85" s="344" t="str">
        <f>'Council Own'!C114</f>
        <v>&lt;List Requirement Here&gt;</v>
      </c>
      <c r="S85" s="257" t="str">
        <f>IF('Council Own'!P114="A","A"," ")</f>
        <v xml:space="preserve"> </v>
      </c>
    </row>
    <row r="86" spans="1:22" x14ac:dyDescent="0.2">
      <c r="A86" s="242"/>
      <c r="B86" s="243"/>
      <c r="C86" s="244"/>
      <c r="E86" s="471" t="str">
        <f>'Fun Patches'!C18</f>
        <v>&lt;LIST PATCH HERE&gt;</v>
      </c>
      <c r="F86" s="472"/>
      <c r="G86" s="257" t="str">
        <f>IF('Fun Patches'!P18="A","A"," ")</f>
        <v xml:space="preserve"> </v>
      </c>
      <c r="I86" s="247">
        <v>4</v>
      </c>
      <c r="J86" s="344" t="str">
        <f>'Council Own'!C19</f>
        <v>&lt;List Requirement Here&gt;</v>
      </c>
      <c r="K86" s="257" t="str">
        <f>IF('Council Own'!P19="A","A"," ")</f>
        <v xml:space="preserve"> </v>
      </c>
      <c r="M86" s="247">
        <v>4</v>
      </c>
      <c r="N86" s="344" t="str">
        <f>'Council Own'!C67</f>
        <v>&lt;List Requirement Here&gt;</v>
      </c>
      <c r="O86" s="257" t="str">
        <f>IF('Council Own'!P67="A","A"," ")</f>
        <v xml:space="preserve"> </v>
      </c>
      <c r="Q86" s="247">
        <v>4</v>
      </c>
      <c r="R86" s="344" t="str">
        <f>'Council Own'!C115</f>
        <v>&lt;List Requirement Here&gt;</v>
      </c>
      <c r="S86" s="257" t="str">
        <f>IF('Council Own'!P115="A","A"," ")</f>
        <v xml:space="preserve"> </v>
      </c>
    </row>
    <row r="87" spans="1:22" x14ac:dyDescent="0.2">
      <c r="E87" s="471" t="str">
        <f>'Fun Patches'!C19</f>
        <v>&lt;LIST PATCH HERE&gt;</v>
      </c>
      <c r="F87" s="472"/>
      <c r="G87" s="257" t="str">
        <f>IF('Fun Patches'!P19="A","A"," ")</f>
        <v xml:space="preserve"> </v>
      </c>
      <c r="I87" s="247"/>
      <c r="J87" s="344" t="str">
        <f>'Council Own'!C20</f>
        <v>&lt;List Requirement Here&gt;</v>
      </c>
      <c r="K87" s="257" t="str">
        <f>IF('Council Own'!P20="A","A"," ")</f>
        <v xml:space="preserve"> </v>
      </c>
      <c r="M87" s="247"/>
      <c r="N87" s="344" t="str">
        <f>'Council Own'!C68</f>
        <v>&lt;List Requirement Here&gt;</v>
      </c>
      <c r="O87" s="257" t="str">
        <f>IF('Council Own'!P68="A","A"," ")</f>
        <v xml:space="preserve"> </v>
      </c>
      <c r="Q87" s="247"/>
      <c r="R87" s="344" t="str">
        <f>'Council Own'!C116</f>
        <v>&lt;List Requirement Here&gt;</v>
      </c>
      <c r="S87" s="257" t="str">
        <f>IF('Council Own'!P116="A","A"," ")</f>
        <v xml:space="preserve"> </v>
      </c>
    </row>
    <row r="88" spans="1:22" x14ac:dyDescent="0.2">
      <c r="E88" s="471" t="str">
        <f>'Fun Patches'!C20</f>
        <v>&lt;LIST PATCH HERE&gt;</v>
      </c>
      <c r="F88" s="472"/>
      <c r="G88" s="257" t="str">
        <f>IF('Fun Patches'!P20="A","A"," ")</f>
        <v xml:space="preserve"> </v>
      </c>
      <c r="I88" s="247"/>
      <c r="J88" s="344" t="str">
        <f>'Council Own'!C21</f>
        <v>&lt;List Requirement Here&gt;</v>
      </c>
      <c r="K88" s="257" t="str">
        <f>IF('Council Own'!P21="A","A"," ")</f>
        <v xml:space="preserve"> </v>
      </c>
      <c r="M88" s="247"/>
      <c r="N88" s="344" t="str">
        <f>'Council Own'!C69</f>
        <v>&lt;List Requirement Here&gt;</v>
      </c>
      <c r="O88" s="257" t="str">
        <f>IF('Council Own'!P69="A","A"," ")</f>
        <v xml:space="preserve"> </v>
      </c>
      <c r="Q88" s="247"/>
      <c r="R88" s="344" t="str">
        <f>'Council Own'!C117</f>
        <v>&lt;List Requirement Here&gt;</v>
      </c>
      <c r="S88" s="257" t="str">
        <f>IF('Council Own'!P117="A","A"," ")</f>
        <v xml:space="preserve"> </v>
      </c>
    </row>
    <row r="89" spans="1:22" x14ac:dyDescent="0.2">
      <c r="E89" s="471" t="str">
        <f>'Fun Patches'!C21</f>
        <v>&lt;LIST PATCH HERE&gt;</v>
      </c>
      <c r="F89" s="472"/>
      <c r="G89" s="257" t="str">
        <f>IF('Fun Patches'!P21="A","A"," ")</f>
        <v xml:space="preserve"> </v>
      </c>
      <c r="I89" s="247"/>
      <c r="J89" s="344" t="str">
        <f>'Council Own'!C22</f>
        <v>&lt;List Requirement Here&gt;</v>
      </c>
      <c r="K89" s="257" t="str">
        <f>IF('Council Own'!P22="A","A"," ")</f>
        <v xml:space="preserve"> </v>
      </c>
      <c r="M89" s="247"/>
      <c r="N89" s="344" t="str">
        <f>'Council Own'!C70</f>
        <v>&lt;List Requirement Here&gt;</v>
      </c>
      <c r="O89" s="257" t="str">
        <f>IF('Council Own'!P70="A","A"," ")</f>
        <v xml:space="preserve"> </v>
      </c>
      <c r="Q89" s="247"/>
      <c r="R89" s="344" t="str">
        <f>'Council Own'!C118</f>
        <v>&lt;List Requirement Here&gt;</v>
      </c>
      <c r="S89" s="257" t="str">
        <f>IF('Council Own'!P118="A","A"," ")</f>
        <v xml:space="preserve"> </v>
      </c>
    </row>
    <row r="90" spans="1:22" x14ac:dyDescent="0.2">
      <c r="E90" s="471" t="str">
        <f>'Fun Patches'!C22</f>
        <v>&lt;LIST PATCH HERE&gt;</v>
      </c>
      <c r="F90" s="472"/>
      <c r="G90" s="257" t="str">
        <f>IF('Fun Patches'!P22="A","A"," ")</f>
        <v xml:space="preserve"> </v>
      </c>
      <c r="I90" s="247">
        <v>5</v>
      </c>
      <c r="J90" s="344" t="str">
        <f>'Council Own'!C23</f>
        <v>&lt;List Requirement Here&gt;</v>
      </c>
      <c r="K90" s="257" t="str">
        <f>IF('Council Own'!P23="A","A"," ")</f>
        <v xml:space="preserve"> </v>
      </c>
      <c r="M90" s="247">
        <v>5</v>
      </c>
      <c r="N90" s="344" t="str">
        <f>'Council Own'!C71</f>
        <v>&lt;List Requirement Here&gt;</v>
      </c>
      <c r="O90" s="257" t="str">
        <f>IF('Council Own'!P71="A","A"," ")</f>
        <v xml:space="preserve"> </v>
      </c>
      <c r="Q90" s="247">
        <v>5</v>
      </c>
      <c r="R90" s="344" t="str">
        <f>'Council Own'!C119</f>
        <v>&lt;List Requirement Here&gt;</v>
      </c>
      <c r="S90" s="257" t="str">
        <f>IF('Council Own'!P119="A","A"," ")</f>
        <v xml:space="preserve"> </v>
      </c>
    </row>
    <row r="91" spans="1:22" x14ac:dyDescent="0.2">
      <c r="E91" s="471" t="str">
        <f>'Fun Patches'!C23</f>
        <v>&lt;LIST PATCH HERE&gt;</v>
      </c>
      <c r="F91" s="472"/>
      <c r="G91" s="257" t="str">
        <f>IF('Fun Patches'!P23="A","A"," ")</f>
        <v xml:space="preserve"> </v>
      </c>
      <c r="I91" s="247"/>
      <c r="J91" s="344" t="str">
        <f>'Council Own'!C24</f>
        <v>&lt;List Requirement Here&gt;</v>
      </c>
      <c r="K91" s="257" t="str">
        <f>IF('Council Own'!P24="A","A"," ")</f>
        <v xml:space="preserve"> </v>
      </c>
      <c r="M91" s="247"/>
      <c r="N91" s="344" t="str">
        <f>'Council Own'!C72</f>
        <v>&lt;List Requirement Here&gt;</v>
      </c>
      <c r="O91" s="257" t="str">
        <f>IF('Council Own'!P72="A","A"," ")</f>
        <v xml:space="preserve"> </v>
      </c>
      <c r="Q91" s="247"/>
      <c r="R91" s="344" t="str">
        <f>'Council Own'!C120</f>
        <v>&lt;List Requirement Here&gt;</v>
      </c>
      <c r="S91" s="257" t="str">
        <f>IF('Council Own'!P120="A","A"," ")</f>
        <v xml:space="preserve"> </v>
      </c>
    </row>
    <row r="92" spans="1:22" x14ac:dyDescent="0.2">
      <c r="E92" s="471" t="str">
        <f>'Fun Patches'!C24</f>
        <v>&lt;LIST PATCH HERE&gt;</v>
      </c>
      <c r="F92" s="472"/>
      <c r="G92" s="257" t="str">
        <f>IF('Fun Patches'!P24="A","A"," ")</f>
        <v xml:space="preserve"> </v>
      </c>
      <c r="I92" s="247"/>
      <c r="J92" s="344" t="str">
        <f>'Council Own'!C25</f>
        <v>&lt;List Requirement Here&gt;</v>
      </c>
      <c r="K92" s="257" t="str">
        <f>IF('Council Own'!P25="A","A"," ")</f>
        <v xml:space="preserve"> </v>
      </c>
      <c r="M92" s="247"/>
      <c r="N92" s="344" t="str">
        <f>'Council Own'!C73</f>
        <v>&lt;List Requirement Here&gt;</v>
      </c>
      <c r="O92" s="257" t="str">
        <f>IF('Council Own'!P73="A","A"," ")</f>
        <v xml:space="preserve"> </v>
      </c>
      <c r="Q92" s="247"/>
      <c r="R92" s="344" t="str">
        <f>'Council Own'!C121</f>
        <v>&lt;List Requirement Here&gt;</v>
      </c>
      <c r="S92" s="257" t="str">
        <f>IF('Council Own'!P121="A","A"," ")</f>
        <v xml:space="preserve"> </v>
      </c>
    </row>
    <row r="93" spans="1:22" x14ac:dyDescent="0.2">
      <c r="E93" s="471" t="str">
        <f>'Fun Patches'!C25</f>
        <v>&lt;LIST PATCH HERE&gt;</v>
      </c>
      <c r="F93" s="472"/>
      <c r="G93" s="257" t="str">
        <f>IF('Fun Patches'!P25="A","A"," ")</f>
        <v xml:space="preserve"> </v>
      </c>
      <c r="I93" s="247"/>
      <c r="J93" s="344" t="str">
        <f>'Council Own'!C26</f>
        <v>&lt;List Requirement Here&gt;</v>
      </c>
      <c r="K93" s="257" t="str">
        <f>IF('Council Own'!P26="A","A"," ")</f>
        <v xml:space="preserve"> </v>
      </c>
      <c r="M93" s="247"/>
      <c r="N93" s="344" t="str">
        <f>'Council Own'!C74</f>
        <v>&lt;List Requirement Here&gt;</v>
      </c>
      <c r="O93" s="257" t="str">
        <f>IF('Council Own'!P68="A","A"," ")</f>
        <v xml:space="preserve"> </v>
      </c>
      <c r="Q93" s="247"/>
      <c r="R93" s="344" t="str">
        <f>'Council Own'!C122</f>
        <v>&lt;List Requirement Here&gt;</v>
      </c>
      <c r="S93" s="257" t="str">
        <f>IF('Council Own'!P122="A","A"," ")</f>
        <v xml:space="preserve"> </v>
      </c>
    </row>
    <row r="94" spans="1:22" x14ac:dyDescent="0.2">
      <c r="E94" s="471" t="str">
        <f>'Fun Patches'!C26</f>
        <v>&lt;LIST PATCH HERE&gt;</v>
      </c>
      <c r="F94" s="472"/>
      <c r="G94" s="257" t="str">
        <f>IF('Fun Patches'!P26="A","A","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Patches'!P27="A","A"," ")</f>
        <v xml:space="preserve"> </v>
      </c>
      <c r="I95" s="247">
        <v>1</v>
      </c>
      <c r="J95" s="344" t="str">
        <f>'Council Own'!C31</f>
        <v>&lt;List Requirement Here&gt;</v>
      </c>
      <c r="K95" s="257" t="str">
        <f>IF('Council Own'!P31="A","A"," ")</f>
        <v xml:space="preserve"> </v>
      </c>
      <c r="M95" s="247">
        <v>1</v>
      </c>
      <c r="N95" s="344" t="str">
        <f>'Council Own'!C79</f>
        <v>&lt;List Requirement Here&gt;</v>
      </c>
      <c r="O95" s="257" t="str">
        <f>IF('Council Own'!P79="A","A"," ")</f>
        <v xml:space="preserve"> </v>
      </c>
      <c r="Q95" s="247">
        <v>1</v>
      </c>
      <c r="R95" s="344" t="str">
        <f>'Council Own'!C127</f>
        <v>&lt;List Requirement Here&gt;</v>
      </c>
      <c r="S95" s="257" t="str">
        <f>IF('Council Own'!P127="A","A"," ")</f>
        <v xml:space="preserve"> </v>
      </c>
    </row>
    <row r="96" spans="1:22" x14ac:dyDescent="0.2">
      <c r="E96" s="471" t="str">
        <f>'Fun Patches'!C28</f>
        <v>&lt;LIST PATCH HERE&gt;</v>
      </c>
      <c r="F96" s="472"/>
      <c r="G96" s="257" t="str">
        <f>IF('Fun Patches'!P28="A","A"," ")</f>
        <v xml:space="preserve"> </v>
      </c>
      <c r="I96" s="247"/>
      <c r="J96" s="344" t="str">
        <f>'Council Own'!C32</f>
        <v>&lt;List Requirement Here&gt;</v>
      </c>
      <c r="K96" s="257" t="str">
        <f>IF('Council Own'!P32="A","A"," ")</f>
        <v xml:space="preserve"> </v>
      </c>
      <c r="M96" s="247"/>
      <c r="N96" s="344" t="str">
        <f>'Council Own'!C80</f>
        <v>&lt;List Requirement Here&gt;</v>
      </c>
      <c r="O96" s="257" t="str">
        <f>IF('Council Own'!P80="A","A"," ")</f>
        <v xml:space="preserve"> </v>
      </c>
      <c r="Q96" s="247"/>
      <c r="R96" s="344" t="str">
        <f>'Council Own'!C128</f>
        <v>&lt;List Requirement Here&gt;</v>
      </c>
      <c r="S96" s="257" t="str">
        <f>IF('Council Own'!P128="A","A"," ")</f>
        <v xml:space="preserve"> </v>
      </c>
      <c r="U96" s="245"/>
      <c r="V96" s="245"/>
    </row>
    <row r="97" spans="1:23" x14ac:dyDescent="0.2">
      <c r="E97" s="471" t="str">
        <f>'Fun Patches'!C29</f>
        <v>&lt;LIST PATCH HERE&gt;</v>
      </c>
      <c r="F97" s="472"/>
      <c r="G97" s="257" t="str">
        <f>IF('Fun Patches'!P29="A","A"," ")</f>
        <v xml:space="preserve"> </v>
      </c>
      <c r="I97" s="247"/>
      <c r="J97" s="344" t="str">
        <f>'Council Own'!C33</f>
        <v>&lt;List Requirement Here&gt;</v>
      </c>
      <c r="K97" s="257" t="str">
        <f>IF('Council Own'!P33="A","A"," ")</f>
        <v xml:space="preserve"> </v>
      </c>
      <c r="M97" s="247"/>
      <c r="N97" s="344" t="str">
        <f>'Council Own'!C81</f>
        <v>&lt;List Requirement Here&gt;</v>
      </c>
      <c r="O97" s="257" t="str">
        <f>IF('Council Own'!P81="A","A"," ")</f>
        <v xml:space="preserve"> </v>
      </c>
      <c r="Q97" s="247"/>
      <c r="R97" s="344" t="str">
        <f>'Council Own'!C129</f>
        <v>&lt;List Requirement Here&gt;</v>
      </c>
      <c r="S97" s="257" t="str">
        <f>IF('Council Own'!P129="A","A"," ")</f>
        <v xml:space="preserve"> </v>
      </c>
      <c r="U97" s="245"/>
      <c r="V97" s="245"/>
    </row>
    <row r="98" spans="1:23" x14ac:dyDescent="0.2">
      <c r="A98" s="484" t="s">
        <v>75</v>
      </c>
      <c r="B98" s="484"/>
      <c r="C98" s="484"/>
      <c r="E98" s="471" t="str">
        <f>'Fun Patches'!C30</f>
        <v>&lt;LIST PATCH HERE&gt;</v>
      </c>
      <c r="F98" s="472"/>
      <c r="G98" s="257" t="str">
        <f>IF('Fun Patches'!P30="A","A"," ")</f>
        <v xml:space="preserve"> </v>
      </c>
      <c r="I98" s="247"/>
      <c r="J98" s="344" t="str">
        <f>'Council Own'!C34</f>
        <v>&lt;List Requirement Here&gt;</v>
      </c>
      <c r="K98" s="257" t="str">
        <f>IF('Council Own'!P34="A","A"," ")</f>
        <v xml:space="preserve"> </v>
      </c>
      <c r="M98" s="247"/>
      <c r="N98" s="344" t="str">
        <f>'Council Own'!C82</f>
        <v>&lt;List Requirement Here&gt;</v>
      </c>
      <c r="O98" s="257" t="str">
        <f>IF('Council Own'!P82="A","A"," ")</f>
        <v xml:space="preserve"> </v>
      </c>
      <c r="Q98" s="247"/>
      <c r="R98" s="344" t="str">
        <f>'Council Own'!C130</f>
        <v>&lt;List Requirement Here&gt;</v>
      </c>
      <c r="S98" s="257" t="str">
        <f>IF('Council Own'!P130="A","A"," ")</f>
        <v xml:space="preserve"> </v>
      </c>
      <c r="U98" s="245"/>
      <c r="V98" s="245"/>
    </row>
    <row r="99" spans="1:23" ht="14.25" customHeight="1" x14ac:dyDescent="0.2">
      <c r="A99" s="481" t="s">
        <v>72</v>
      </c>
      <c r="B99" s="482"/>
      <c r="C99" s="483"/>
      <c r="E99" s="471" t="str">
        <f>'Fun Patches'!C31</f>
        <v>&lt;LIST PATCH HERE&gt;</v>
      </c>
      <c r="F99" s="472"/>
      <c r="G99" s="257" t="str">
        <f>IF('Fun Patches'!P31="A","A"," ")</f>
        <v xml:space="preserve"> </v>
      </c>
      <c r="I99" s="247">
        <v>2</v>
      </c>
      <c r="J99" s="344" t="str">
        <f>'Council Own'!C35</f>
        <v>&lt;List Requirement Here&gt;</v>
      </c>
      <c r="K99" s="257" t="str">
        <f>IF('Council Own'!P35="A","A"," ")</f>
        <v xml:space="preserve"> </v>
      </c>
      <c r="M99" s="247">
        <v>2</v>
      </c>
      <c r="N99" s="344" t="str">
        <f>'Council Own'!C83</f>
        <v>&lt;List Requirement Here&gt;</v>
      </c>
      <c r="O99" s="257" t="str">
        <f>IF('Council Own'!P83="A","A"," ")</f>
        <v xml:space="preserve"> </v>
      </c>
      <c r="Q99" s="247">
        <v>2</v>
      </c>
      <c r="R99" s="344" t="str">
        <f>'Council Own'!C131</f>
        <v>&lt;List Requirement Here&gt;</v>
      </c>
      <c r="S99" s="257" t="str">
        <f>IF('Council Own'!P131="A","A"," ")</f>
        <v xml:space="preserve"> </v>
      </c>
      <c r="U99" s="245"/>
      <c r="V99" s="245"/>
    </row>
    <row r="100" spans="1:23" x14ac:dyDescent="0.2">
      <c r="A100" s="481" t="s">
        <v>73</v>
      </c>
      <c r="B100" s="482"/>
      <c r="C100" s="483"/>
      <c r="E100" s="471" t="str">
        <f>'Fun Patches'!C32</f>
        <v>&lt;LIST PATCH HERE&gt;</v>
      </c>
      <c r="F100" s="472"/>
      <c r="G100" s="257" t="str">
        <f>IF('Fun Patches'!P32="A","A"," ")</f>
        <v xml:space="preserve"> </v>
      </c>
      <c r="I100" s="247"/>
      <c r="J100" s="344" t="str">
        <f>'Council Own'!C36</f>
        <v>&lt;List Requirement Here&gt;</v>
      </c>
      <c r="K100" s="257" t="str">
        <f>IF('Council Own'!P36="A","A"," ")</f>
        <v xml:space="preserve"> </v>
      </c>
      <c r="M100" s="247"/>
      <c r="N100" s="344" t="str">
        <f>'Council Own'!C84</f>
        <v>&lt;List Requirement Here&gt;</v>
      </c>
      <c r="O100" s="257" t="str">
        <f>IF('Council Own'!P84="A","A"," ")</f>
        <v xml:space="preserve"> </v>
      </c>
      <c r="Q100" s="247"/>
      <c r="R100" s="344" t="str">
        <f>'Council Own'!C132</f>
        <v>&lt;List Requirement Here&gt;</v>
      </c>
      <c r="S100" s="257" t="str">
        <f>IF('Council Own'!P132="A","A"," ")</f>
        <v xml:space="preserve"> </v>
      </c>
      <c r="U100" s="337"/>
      <c r="V100" s="338"/>
      <c r="W100" s="341"/>
    </row>
    <row r="101" spans="1:23" x14ac:dyDescent="0.2">
      <c r="A101" s="468" t="s">
        <v>74</v>
      </c>
      <c r="B101" s="469"/>
      <c r="C101" s="470"/>
      <c r="E101" s="471" t="str">
        <f>'Fun Patches'!C33</f>
        <v>&lt;LIST PATCH HERE&gt;</v>
      </c>
      <c r="F101" s="472"/>
      <c r="G101" s="257" t="str">
        <f>IF('Fun Patches'!P33="A","A"," ")</f>
        <v xml:space="preserve"> </v>
      </c>
      <c r="I101" s="247"/>
      <c r="J101" s="344" t="str">
        <f>'Council Own'!C37</f>
        <v>&lt;List Requirement Here&gt;</v>
      </c>
      <c r="K101" s="257" t="str">
        <f>IF('Council Own'!P37="A","A"," ")</f>
        <v xml:space="preserve"> </v>
      </c>
      <c r="M101" s="247"/>
      <c r="N101" s="344" t="str">
        <f>'Council Own'!C85</f>
        <v>&lt;List Requirement Here&gt;</v>
      </c>
      <c r="O101" s="257" t="str">
        <f>IF('Council Own'!P85="A","A"," ")</f>
        <v xml:space="preserve"> </v>
      </c>
      <c r="Q101" s="247"/>
      <c r="R101" s="344" t="str">
        <f>'Council Own'!C133</f>
        <v>&lt;List Requirement Here&gt;</v>
      </c>
      <c r="S101" s="257" t="str">
        <f>IF('Council Own'!P133="A","A"," ")</f>
        <v xml:space="preserve"> </v>
      </c>
      <c r="U101" s="245"/>
      <c r="V101" s="245"/>
    </row>
    <row r="102" spans="1:23" x14ac:dyDescent="0.2">
      <c r="E102" s="471" t="str">
        <f>'Fun Patches'!C34</f>
        <v>&lt;LIST PATCH HERE&gt;</v>
      </c>
      <c r="F102" s="472"/>
      <c r="G102" s="257" t="str">
        <f>IF('Fun Patches'!P34="A","A"," ")</f>
        <v xml:space="preserve"> </v>
      </c>
      <c r="I102" s="247"/>
      <c r="J102" s="344" t="str">
        <f>'Council Own'!C38</f>
        <v>&lt;List Requirement Here&gt;</v>
      </c>
      <c r="K102" s="257" t="str">
        <f>IF('Council Own'!P38="A","A"," ")</f>
        <v xml:space="preserve"> </v>
      </c>
      <c r="M102" s="247"/>
      <c r="N102" s="344" t="str">
        <f>'Council Own'!C86</f>
        <v>&lt;List Requirement Here&gt;</v>
      </c>
      <c r="O102" s="257" t="str">
        <f>IF('Council Own'!P86="A","A"," ")</f>
        <v xml:space="preserve"> </v>
      </c>
      <c r="Q102" s="247"/>
      <c r="R102" s="344" t="str">
        <f>'Council Own'!C134</f>
        <v>&lt;List Requirement Here&gt;</v>
      </c>
      <c r="S102" s="257" t="str">
        <f>IF('Council Own'!P134="A","A"," ")</f>
        <v xml:space="preserve"> </v>
      </c>
      <c r="U102" s="245"/>
      <c r="V102" s="245"/>
    </row>
    <row r="103" spans="1:23" x14ac:dyDescent="0.2">
      <c r="E103" s="471" t="str">
        <f>'Fun Patches'!C35</f>
        <v>&lt;LIST PATCH HERE&gt;</v>
      </c>
      <c r="F103" s="472"/>
      <c r="G103" s="257" t="str">
        <f>IF('Fun Patches'!P35="A","A"," ")</f>
        <v xml:space="preserve"> </v>
      </c>
      <c r="I103" s="247">
        <v>3</v>
      </c>
      <c r="J103" s="344" t="str">
        <f>'Council Own'!C39</f>
        <v>&lt;List Requirement Here&gt;</v>
      </c>
      <c r="K103" s="257" t="str">
        <f>IF('Council Own'!P39="A","A"," ")</f>
        <v xml:space="preserve"> </v>
      </c>
      <c r="M103" s="247">
        <v>3</v>
      </c>
      <c r="N103" s="344" t="str">
        <f>'Council Own'!C87</f>
        <v>&lt;List Requirement Here&gt;</v>
      </c>
      <c r="O103" s="257" t="str">
        <f>IF('Council Own'!P87="A","A"," ")</f>
        <v xml:space="preserve"> </v>
      </c>
      <c r="Q103" s="247">
        <v>3</v>
      </c>
      <c r="R103" s="344" t="str">
        <f>'Council Own'!C135</f>
        <v>&lt;List Requirement Here&gt;</v>
      </c>
      <c r="S103" s="257" t="str">
        <f>IF('Council Own'!P135="A","A"," ")</f>
        <v xml:space="preserve"> </v>
      </c>
      <c r="U103" s="245"/>
      <c r="V103" s="245"/>
    </row>
    <row r="104" spans="1:23" x14ac:dyDescent="0.2">
      <c r="E104" s="471" t="str">
        <f>'Fun Patches'!C36</f>
        <v>&lt;LIST PATCH HERE&gt;</v>
      </c>
      <c r="F104" s="472"/>
      <c r="G104" s="257" t="str">
        <f>IF('Fun Patches'!P36="A","A"," ")</f>
        <v xml:space="preserve"> </v>
      </c>
      <c r="I104" s="247"/>
      <c r="J104" s="344" t="str">
        <f>'Council Own'!C40</f>
        <v>&lt;List Requirement Here&gt;</v>
      </c>
      <c r="K104" s="257" t="str">
        <f>IF('Council Own'!P40="A","A"," ")</f>
        <v xml:space="preserve"> </v>
      </c>
      <c r="M104" s="247"/>
      <c r="N104" s="344" t="str">
        <f>'Council Own'!C88</f>
        <v>&lt;List Requirement Here&gt;</v>
      </c>
      <c r="O104" s="257" t="str">
        <f>IF('Council Own'!P88="A","A"," ")</f>
        <v xml:space="preserve"> </v>
      </c>
      <c r="Q104" s="247"/>
      <c r="R104" s="344" t="str">
        <f>'Council Own'!C136</f>
        <v>&lt;List Requirement Here&gt;</v>
      </c>
      <c r="S104" s="257" t="str">
        <f>IF('Council Own'!P136="A","A"," ")</f>
        <v xml:space="preserve"> </v>
      </c>
      <c r="U104" s="245"/>
      <c r="V104" s="245"/>
    </row>
    <row r="105" spans="1:23" x14ac:dyDescent="0.2">
      <c r="E105" s="471" t="str">
        <f>'Fun Patches'!C37</f>
        <v>&lt;LIST PATCH HERE&gt;</v>
      </c>
      <c r="F105" s="472"/>
      <c r="G105" s="257" t="str">
        <f>IF('Fun Patches'!P37="A","A"," ")</f>
        <v xml:space="preserve"> </v>
      </c>
      <c r="I105" s="247"/>
      <c r="J105" s="344" t="str">
        <f>'Council Own'!C41</f>
        <v>&lt;List Requirement Here&gt;</v>
      </c>
      <c r="K105" s="257" t="str">
        <f>IF('Council Own'!P41="A","A"," ")</f>
        <v xml:space="preserve"> </v>
      </c>
      <c r="M105" s="247"/>
      <c r="N105" s="344" t="str">
        <f>'Council Own'!C89</f>
        <v>&lt;List Requirement Here&gt;</v>
      </c>
      <c r="O105" s="257" t="str">
        <f>IF('Council Own'!P89="A","A"," ")</f>
        <v xml:space="preserve"> </v>
      </c>
      <c r="Q105" s="247"/>
      <c r="R105" s="344" t="str">
        <f>'Council Own'!C137</f>
        <v>&lt;List Requirement Here&gt;</v>
      </c>
      <c r="S105" s="257" t="str">
        <f>IF('Council Own'!P137="A","A"," ")</f>
        <v xml:space="preserve"> </v>
      </c>
      <c r="U105" s="245"/>
      <c r="V105" s="245"/>
    </row>
    <row r="106" spans="1:23" x14ac:dyDescent="0.2">
      <c r="E106" s="471" t="str">
        <f>'Fun Patches'!C38</f>
        <v>&lt;LIST PATCH HERE&gt;</v>
      </c>
      <c r="F106" s="472"/>
      <c r="G106" s="257" t="str">
        <f>IF('Fun Patches'!P38="A","A"," ")</f>
        <v xml:space="preserve"> </v>
      </c>
      <c r="I106" s="247"/>
      <c r="J106" s="344" t="str">
        <f>'Council Own'!C42</f>
        <v>&lt;List Requirement Here&gt;</v>
      </c>
      <c r="K106" s="257" t="str">
        <f>IF('Council Own'!P42="A","A"," ")</f>
        <v xml:space="preserve"> </v>
      </c>
      <c r="M106" s="247"/>
      <c r="N106" s="344" t="str">
        <f>'Council Own'!C90</f>
        <v>&lt;List Requirement Here&gt;</v>
      </c>
      <c r="O106" s="257" t="str">
        <f>IF('Council Own'!P90="A","A"," ")</f>
        <v xml:space="preserve"> </v>
      </c>
      <c r="Q106" s="247"/>
      <c r="R106" s="344" t="str">
        <f>'Council Own'!C138</f>
        <v>&lt;List Requirement Here&gt;</v>
      </c>
      <c r="S106" s="257" t="str">
        <f>IF('Council Own'!P138="A","A"," ")</f>
        <v xml:space="preserve"> </v>
      </c>
      <c r="U106" s="245"/>
      <c r="V106" s="245"/>
    </row>
    <row r="107" spans="1:23" x14ac:dyDescent="0.2">
      <c r="E107" s="284"/>
      <c r="F107" s="263"/>
      <c r="G107" s="341"/>
      <c r="I107" s="247">
        <v>4</v>
      </c>
      <c r="J107" s="344" t="str">
        <f>'Council Own'!C43</f>
        <v>&lt;List Requirement Here&gt;</v>
      </c>
      <c r="K107" s="257" t="str">
        <f>IF('Council Own'!P43="A","A"," ")</f>
        <v xml:space="preserve"> </v>
      </c>
      <c r="M107" s="247">
        <v>4</v>
      </c>
      <c r="N107" s="344" t="str">
        <f>'Council Own'!C91</f>
        <v>&lt;List Requirement Here&gt;</v>
      </c>
      <c r="O107" s="257" t="str">
        <f>IF('Council Own'!P91="A","A"," ")</f>
        <v xml:space="preserve"> </v>
      </c>
      <c r="Q107" s="247">
        <v>4</v>
      </c>
      <c r="R107" s="344" t="str">
        <f>'Council Own'!C139</f>
        <v>&lt;List Requirement Here&gt;</v>
      </c>
      <c r="S107" s="257" t="str">
        <f>IF('Council Own'!P139="A","A"," ")</f>
        <v xml:space="preserve"> </v>
      </c>
      <c r="U107" s="245"/>
      <c r="V107" s="245"/>
    </row>
    <row r="108" spans="1:23" x14ac:dyDescent="0.2">
      <c r="I108" s="247"/>
      <c r="J108" s="344" t="str">
        <f>'Council Own'!C44</f>
        <v>&lt;List Requirement Here&gt;</v>
      </c>
      <c r="K108" s="257" t="str">
        <f>IF('Council Own'!P44="A","A"," ")</f>
        <v xml:space="preserve"> </v>
      </c>
      <c r="M108" s="247"/>
      <c r="N108" s="344" t="str">
        <f>'Council Own'!C92</f>
        <v>&lt;List Requirement Here&gt;</v>
      </c>
      <c r="O108" s="257" t="str">
        <f>IF('Council Own'!P92="A","A"," ")</f>
        <v xml:space="preserve"> </v>
      </c>
      <c r="Q108" s="247"/>
      <c r="R108" s="344" t="str">
        <f>'Council Own'!C140</f>
        <v>&lt;List Requirement Here&gt;</v>
      </c>
      <c r="S108" s="257" t="str">
        <f>IF('Council Own'!P140="A","A"," ")</f>
        <v xml:space="preserve"> </v>
      </c>
      <c r="U108" s="245"/>
      <c r="V108" s="245"/>
    </row>
    <row r="109" spans="1:23" x14ac:dyDescent="0.2">
      <c r="I109" s="247"/>
      <c r="J109" s="344" t="str">
        <f>'Council Own'!C45</f>
        <v>&lt;List Requirement Here&gt;</v>
      </c>
      <c r="K109" s="257" t="str">
        <f>IF('Council Own'!P45="A","A"," ")</f>
        <v xml:space="preserve"> </v>
      </c>
      <c r="M109" s="247"/>
      <c r="N109" s="344" t="str">
        <f>'Council Own'!C93</f>
        <v>&lt;List Requirement Here&gt;</v>
      </c>
      <c r="O109" s="257" t="str">
        <f>IF('Council Own'!P93="A","A"," ")</f>
        <v xml:space="preserve"> </v>
      </c>
      <c r="Q109" s="247"/>
      <c r="R109" s="344" t="str">
        <f>'Council Own'!C141</f>
        <v>&lt;List Requirement Here&gt;</v>
      </c>
      <c r="S109" s="257" t="str">
        <f>IF('Council Own'!P141="A","A"," ")</f>
        <v xml:space="preserve"> </v>
      </c>
      <c r="U109" s="245"/>
      <c r="V109" s="245"/>
    </row>
    <row r="110" spans="1:23" x14ac:dyDescent="0.2">
      <c r="I110" s="247"/>
      <c r="J110" s="344" t="str">
        <f>'Council Own'!C46</f>
        <v>&lt;List Requirement Here&gt;</v>
      </c>
      <c r="K110" s="257" t="str">
        <f>IF('Council Own'!P46="A","A"," ")</f>
        <v xml:space="preserve"> </v>
      </c>
      <c r="M110" s="247"/>
      <c r="N110" s="344" t="str">
        <f>'Council Own'!C94</f>
        <v>&lt;List Requirement Here&gt;</v>
      </c>
      <c r="O110" s="257" t="str">
        <f>IF('Council Own'!P94="A","A"," ")</f>
        <v xml:space="preserve"> </v>
      </c>
      <c r="Q110" s="247"/>
      <c r="R110" s="344" t="str">
        <f>'Council Own'!C142</f>
        <v>&lt;List Requirement Here&gt;</v>
      </c>
      <c r="S110" s="257" t="str">
        <f>IF('Council Own'!P142="A","A"," ")</f>
        <v xml:space="preserve"> </v>
      </c>
      <c r="U110" s="245"/>
      <c r="V110" s="245"/>
    </row>
    <row r="111" spans="1:23" x14ac:dyDescent="0.2">
      <c r="I111" s="247">
        <v>5</v>
      </c>
      <c r="J111" s="344" t="str">
        <f>'Council Own'!C47</f>
        <v>&lt;List Requirement Here&gt;</v>
      </c>
      <c r="K111" s="257" t="str">
        <f>IF('Council Own'!P47="A","A"," ")</f>
        <v xml:space="preserve"> </v>
      </c>
      <c r="M111" s="247">
        <v>5</v>
      </c>
      <c r="N111" s="344" t="str">
        <f>'Council Own'!C95</f>
        <v>&lt;List Requirement Here&gt;</v>
      </c>
      <c r="O111" s="257" t="str">
        <f>IF('Council Own'!P95="A","A"," ")</f>
        <v xml:space="preserve"> </v>
      </c>
      <c r="Q111" s="247">
        <v>5</v>
      </c>
      <c r="R111" s="344" t="str">
        <f>'Council Own'!C143</f>
        <v>&lt;List Requirement Here&gt;</v>
      </c>
      <c r="S111" s="257" t="str">
        <f>IF('Council Own'!P143="A","A"," ")</f>
        <v xml:space="preserve"> </v>
      </c>
      <c r="U111" s="338"/>
      <c r="V111" s="338"/>
      <c r="W111" s="341"/>
    </row>
    <row r="112" spans="1:23" x14ac:dyDescent="0.2">
      <c r="I112" s="247"/>
      <c r="J112" s="344" t="str">
        <f>'Council Own'!C48</f>
        <v>&lt;List Requirement Here&gt;</v>
      </c>
      <c r="K112" s="257" t="str">
        <f>IF('Council Own'!P48="A","A"," ")</f>
        <v xml:space="preserve"> </v>
      </c>
      <c r="M112" s="247"/>
      <c r="N112" s="344" t="str">
        <f>'Council Own'!C96</f>
        <v>&lt;List Requirement Here&gt;</v>
      </c>
      <c r="O112" s="257" t="str">
        <f>IF('Council Own'!P96="A","A"," ")</f>
        <v xml:space="preserve"> </v>
      </c>
      <c r="Q112" s="247"/>
      <c r="R112" s="344" t="str">
        <f>'Council Own'!C144</f>
        <v>&lt;List Requirement Here&gt;</v>
      </c>
      <c r="S112" s="257" t="str">
        <f>IF('Council Own'!P144="A","A"," ")</f>
        <v xml:space="preserve"> </v>
      </c>
      <c r="U112" s="245"/>
      <c r="V112" s="245"/>
    </row>
    <row r="113" spans="9:22" x14ac:dyDescent="0.2">
      <c r="I113" s="247"/>
      <c r="J113" s="344" t="str">
        <f>'Council Own'!C49</f>
        <v>&lt;List Requirement Here&gt;</v>
      </c>
      <c r="K113" s="257" t="str">
        <f>IF('Council Own'!P49="A","A"," ")</f>
        <v xml:space="preserve"> </v>
      </c>
      <c r="M113" s="247"/>
      <c r="N113" s="344" t="str">
        <f>'Council Own'!C97</f>
        <v>&lt;List Requirement Here&gt;</v>
      </c>
      <c r="O113" s="257" t="str">
        <f>IF('Council Own'!P97="A","A"," ")</f>
        <v xml:space="preserve"> </v>
      </c>
      <c r="Q113" s="247"/>
      <c r="R113" s="344" t="str">
        <f>'Council Own'!C145</f>
        <v>&lt;List Requirement Here&gt;</v>
      </c>
      <c r="S113" s="257" t="str">
        <f>IF('Council Own'!P145="A","A"," ")</f>
        <v xml:space="preserve"> </v>
      </c>
      <c r="U113" s="245"/>
      <c r="V113" s="245"/>
    </row>
    <row r="114" spans="9:22" x14ac:dyDescent="0.2">
      <c r="I114" s="247"/>
      <c r="J114" s="344" t="str">
        <f>'Council Own'!C50</f>
        <v>&lt;List Requirement Here&gt;</v>
      </c>
      <c r="K114" s="257" t="str">
        <f>IF('Council Own'!P50="A","A"," ")</f>
        <v xml:space="preserve"> </v>
      </c>
      <c r="M114" s="247"/>
      <c r="N114" s="344" t="str">
        <f>'Council Own'!C98</f>
        <v>&lt;List Requirement Here&gt;</v>
      </c>
      <c r="O114" s="257" t="str">
        <f>IF('Council Own'!P98="A","A"," ")</f>
        <v xml:space="preserve"> </v>
      </c>
      <c r="Q114" s="247"/>
      <c r="R114" s="344" t="str">
        <f>'Council Own'!C146</f>
        <v>&lt;List Requirement Here&gt;</v>
      </c>
      <c r="S114" s="257" t="str">
        <f>IF('Council Own'!P146="A","A","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sheetData>
  <sheetProtection password="9A15" sheet="1" objects="1" scenarios="1"/>
  <mergeCells count="113">
    <mergeCell ref="A3:B3"/>
    <mergeCell ref="Q3:R3"/>
    <mergeCell ref="A4:C4"/>
    <mergeCell ref="Q4:R4"/>
    <mergeCell ref="A5:B5"/>
    <mergeCell ref="Q5:R5"/>
    <mergeCell ref="A1:C1"/>
    <mergeCell ref="E1:G1"/>
    <mergeCell ref="I1:K1"/>
    <mergeCell ref="M1:O1"/>
    <mergeCell ref="Q1:S1"/>
    <mergeCell ref="E2:G2"/>
    <mergeCell ref="Q2:R2"/>
    <mergeCell ref="A9:B9"/>
    <mergeCell ref="Q9:R9"/>
    <mergeCell ref="A10:B10"/>
    <mergeCell ref="Q10:R10"/>
    <mergeCell ref="A11:B11"/>
    <mergeCell ref="Q11:R11"/>
    <mergeCell ref="A6:B6"/>
    <mergeCell ref="Q6:R6"/>
    <mergeCell ref="A7:B7"/>
    <mergeCell ref="Q7:R7"/>
    <mergeCell ref="A8:B8"/>
    <mergeCell ref="Q8:R8"/>
    <mergeCell ref="A15:B15"/>
    <mergeCell ref="Q15:R15"/>
    <mergeCell ref="A16:B16"/>
    <mergeCell ref="Q16:R16"/>
    <mergeCell ref="A17:B17"/>
    <mergeCell ref="Q17:R17"/>
    <mergeCell ref="A12:B12"/>
    <mergeCell ref="Q12:R12"/>
    <mergeCell ref="A13:C13"/>
    <mergeCell ref="Q13:R13"/>
    <mergeCell ref="A14:B14"/>
    <mergeCell ref="Q14:R14"/>
    <mergeCell ref="A21:C21"/>
    <mergeCell ref="Q21:R21"/>
    <mergeCell ref="A22:B22"/>
    <mergeCell ref="A23:B23"/>
    <mergeCell ref="E23:G23"/>
    <mergeCell ref="A24:C24"/>
    <mergeCell ref="A18:B18"/>
    <mergeCell ref="Q18:R18"/>
    <mergeCell ref="A19:B19"/>
    <mergeCell ref="Q19:R19"/>
    <mergeCell ref="A20:B20"/>
    <mergeCell ref="Q20:R20"/>
    <mergeCell ref="B34:C34"/>
    <mergeCell ref="Q34:R34"/>
    <mergeCell ref="B35:C35"/>
    <mergeCell ref="B42:C42"/>
    <mergeCell ref="Q42:R42"/>
    <mergeCell ref="B43:C43"/>
    <mergeCell ref="A25:B25"/>
    <mergeCell ref="A26:B26"/>
    <mergeCell ref="A28:C28"/>
    <mergeCell ref="Q28:R28"/>
    <mergeCell ref="B29:C29"/>
    <mergeCell ref="B30:C30"/>
    <mergeCell ref="A73:B73"/>
    <mergeCell ref="E73:F73"/>
    <mergeCell ref="A74:B74"/>
    <mergeCell ref="E74:F74"/>
    <mergeCell ref="A75:B75"/>
    <mergeCell ref="E75:F75"/>
    <mergeCell ref="E45:G45"/>
    <mergeCell ref="A49:C49"/>
    <mergeCell ref="Q55:S55"/>
    <mergeCell ref="A72:C72"/>
    <mergeCell ref="E72:G72"/>
    <mergeCell ref="I72:K72"/>
    <mergeCell ref="M72:O72"/>
    <mergeCell ref="Q72:S72"/>
    <mergeCell ref="E79:F79"/>
    <mergeCell ref="E80:F80"/>
    <mergeCell ref="E81:F81"/>
    <mergeCell ref="E82:F82"/>
    <mergeCell ref="E83:F83"/>
    <mergeCell ref="E84:F84"/>
    <mergeCell ref="A76:B76"/>
    <mergeCell ref="E76:F76"/>
    <mergeCell ref="A77:B77"/>
    <mergeCell ref="E77:F77"/>
    <mergeCell ref="A78:B78"/>
    <mergeCell ref="E78:F78"/>
    <mergeCell ref="E91:F91"/>
    <mergeCell ref="E92:F92"/>
    <mergeCell ref="E93:F93"/>
    <mergeCell ref="E94:F94"/>
    <mergeCell ref="E95:F95"/>
    <mergeCell ref="E96:F96"/>
    <mergeCell ref="E85:F85"/>
    <mergeCell ref="E86:F86"/>
    <mergeCell ref="E87:F87"/>
    <mergeCell ref="E88:F88"/>
    <mergeCell ref="E89:F89"/>
    <mergeCell ref="E90:F90"/>
    <mergeCell ref="E106:F106"/>
    <mergeCell ref="A101:C101"/>
    <mergeCell ref="E101:F101"/>
    <mergeCell ref="E102:F102"/>
    <mergeCell ref="E103:F103"/>
    <mergeCell ref="E104:F104"/>
    <mergeCell ref="E105:F105"/>
    <mergeCell ref="E97:F97"/>
    <mergeCell ref="A98:C98"/>
    <mergeCell ref="E98:F98"/>
    <mergeCell ref="A99:C99"/>
    <mergeCell ref="E99:F99"/>
    <mergeCell ref="A100:C100"/>
    <mergeCell ref="E100:F100"/>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W121"/>
  <sheetViews>
    <sheetView workbookViewId="0">
      <selection sqref="A1:XFD1048576"/>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3.25" x14ac:dyDescent="0.35">
      <c r="A1" s="512" t="str">
        <f ca="1">MID(CELL("filename",A1),FIND(IF(ISERROR(FIND("]",CELL("filename",A1))),"$","]"),CELL("filename",A1))+1,256)</f>
        <v>Ambassador 14</v>
      </c>
      <c r="B1" s="512"/>
      <c r="C1" s="512"/>
      <c r="D1" s="265"/>
      <c r="E1" s="506" t="s">
        <v>15</v>
      </c>
      <c r="F1" s="506"/>
      <c r="G1" s="506"/>
      <c r="I1" s="506" t="s">
        <v>15</v>
      </c>
      <c r="J1" s="506"/>
      <c r="K1" s="506"/>
      <c r="M1" s="506" t="s">
        <v>15</v>
      </c>
      <c r="N1" s="506"/>
      <c r="O1" s="506"/>
      <c r="Q1" s="506" t="s">
        <v>135</v>
      </c>
      <c r="R1" s="506"/>
      <c r="S1" s="506"/>
      <c r="T1" s="239"/>
      <c r="U1" s="239"/>
    </row>
    <row r="2" spans="1:21" s="245" customFormat="1" ht="13.5" thickBot="1" x14ac:dyDescent="0.25">
      <c r="A2" s="242"/>
      <c r="B2" s="243"/>
      <c r="C2" s="244" t="s">
        <v>16</v>
      </c>
      <c r="D2" s="243"/>
      <c r="E2" s="492" t="str">
        <f>Badges!B6</f>
        <v>Photography</v>
      </c>
      <c r="F2" s="492"/>
      <c r="G2" s="492"/>
      <c r="H2" s="241"/>
      <c r="I2" s="247">
        <v>3</v>
      </c>
      <c r="J2" s="248" t="str">
        <f>Badges!C61</f>
        <v>Dig into national or state public policy</v>
      </c>
      <c r="K2" s="249"/>
      <c r="L2" s="241"/>
      <c r="M2" s="247">
        <v>3</v>
      </c>
      <c r="N2" s="248" t="str">
        <f>Badges!C130</f>
        <v>Share sisterhood around the world</v>
      </c>
      <c r="O2" s="249"/>
      <c r="P2" s="241"/>
      <c r="Q2" s="493" t="str">
        <f>'Age-Level'!B5</f>
        <v>Gold Torch Award</v>
      </c>
      <c r="R2" s="494"/>
      <c r="S2" s="251" t="str">
        <f>IF('Age-Level'!Q8="C","C",IF('Age-Level'!Q8="P","P",""))</f>
        <v/>
      </c>
      <c r="T2" s="239"/>
      <c r="U2" s="239"/>
    </row>
    <row r="3" spans="1:21" x14ac:dyDescent="0.2">
      <c r="A3" s="510" t="s">
        <v>132</v>
      </c>
      <c r="B3" s="511"/>
      <c r="C3" s="246">
        <f>INT(COUNTIF(C5:C12,"C"))+INT(COUNTIF(C14:C26,"C"))</f>
        <v>0</v>
      </c>
      <c r="E3" s="247">
        <v>1</v>
      </c>
      <c r="F3" s="248" t="str">
        <f>Badges!C7</f>
        <v>Expore the power of photography</v>
      </c>
      <c r="G3" s="249"/>
      <c r="I3" s="247"/>
      <c r="J3" s="248" t="str">
        <f>Badges!C62</f>
        <v>Track your issue</v>
      </c>
      <c r="K3" s="250" t="str">
        <f>IF(Badges!Q62="A","A"," ")</f>
        <v xml:space="preserve"> </v>
      </c>
      <c r="M3" s="247"/>
      <c r="N3" s="248" t="str">
        <f>Badges!C131</f>
        <v>Explore an issue affecting girls and</v>
      </c>
      <c r="O3" s="250" t="str">
        <f>IF(Badges!Q131="A","A"," ")</f>
        <v xml:space="preserve"> </v>
      </c>
      <c r="Q3" s="471" t="str">
        <f>'Age-Level'!B9</f>
        <v>Ambassador Community Service bar</v>
      </c>
      <c r="R3" s="472"/>
      <c r="S3" s="251" t="str">
        <f>IF('Age-Level'!Q9="C","C",IF('Age-Level'!Q9="P","P",""))</f>
        <v/>
      </c>
      <c r="T3" s="239"/>
      <c r="U3" s="239"/>
    </row>
    <row r="4" spans="1:21" x14ac:dyDescent="0.2">
      <c r="A4" s="500" t="str">
        <f>Summary!A3</f>
        <v>Legacy</v>
      </c>
      <c r="B4" s="500"/>
      <c r="C4" s="500"/>
      <c r="E4" s="247"/>
      <c r="F4" s="248" t="str">
        <f>Badges!C8</f>
        <v>Go to a photography exhibit</v>
      </c>
      <c r="G4" s="250" t="str">
        <f>IF(Badges!Q8="A","A"," ")</f>
        <v xml:space="preserve"> </v>
      </c>
      <c r="I4" s="247"/>
      <c r="J4" s="248" t="str">
        <f>Badges!C63</f>
        <v>Talk to an interest gorup that promotes</v>
      </c>
      <c r="K4" s="250" t="str">
        <f>IF(Badges!Q63="A","A"," ")</f>
        <v xml:space="preserve"> </v>
      </c>
      <c r="M4" s="247"/>
      <c r="N4" s="248" t="str">
        <f>Badges!C132</f>
        <v>Organize an event on women and STEM</v>
      </c>
      <c r="O4" s="250" t="str">
        <f>IF(Badges!Q132="A","A"," ")</f>
        <v xml:space="preserve"> </v>
      </c>
      <c r="Q4" s="471" t="str">
        <f>'Age-Level'!B12</f>
        <v>Ambassador Service to Girl Scouting bar</v>
      </c>
      <c r="R4" s="472"/>
      <c r="S4" s="251" t="str">
        <f>IF('Age-Level'!Q10="C","C",IF('Age-Level'!Q10="P","P",""))</f>
        <v/>
      </c>
      <c r="T4" s="239"/>
      <c r="U4" s="239"/>
    </row>
    <row r="5" spans="1:21" x14ac:dyDescent="0.2">
      <c r="A5" s="501" t="str">
        <f>Summary!A4</f>
        <v>Photography</v>
      </c>
      <c r="B5" s="502"/>
      <c r="C5" s="252" t="str">
        <f>IF(Badges!Q28="C","C",IF(Badges!Q28="P","P",""))</f>
        <v/>
      </c>
      <c r="E5" s="247"/>
      <c r="F5" s="248" t="str">
        <f>Badges!C9</f>
        <v>Create a photography timeline.</v>
      </c>
      <c r="G5" s="250" t="str">
        <f>IF(Badges!Q9="A","A"," ")</f>
        <v xml:space="preserve"> </v>
      </c>
      <c r="I5" s="247"/>
      <c r="J5" s="248" t="str">
        <f>Badges!C64</f>
        <v>Compare three different states' positions</v>
      </c>
      <c r="K5" s="250" t="str">
        <f>IF(Badges!Q64="A","A"," ")</f>
        <v xml:space="preserve"> </v>
      </c>
      <c r="M5" s="247"/>
      <c r="N5" s="248" t="str">
        <f>Badges!C133</f>
        <v>Interview a global citizen</v>
      </c>
      <c r="O5" s="250" t="str">
        <f>IF(Badges!Q133="A","A"," ")</f>
        <v xml:space="preserve"> </v>
      </c>
      <c r="Q5" s="471" t="str">
        <f>'Age-Level'!B15</f>
        <v>Ambassador Volunteer in Training</v>
      </c>
      <c r="R5" s="472"/>
      <c r="S5" s="251" t="str">
        <f>IF('Age-Level'!Q19="C","C",IF('Age-Level'!Q19="P","P",""))</f>
        <v/>
      </c>
      <c r="T5" s="239"/>
      <c r="U5" s="239"/>
    </row>
    <row r="6" spans="1:21" x14ac:dyDescent="0.2">
      <c r="A6" s="490" t="str">
        <f>Summary!A5</f>
        <v>Coaching</v>
      </c>
      <c r="B6" s="491"/>
      <c r="C6" s="252" t="str">
        <f>IF(Badges!Q51="C","C",IF(Badges!Q51="P","P",""))</f>
        <v/>
      </c>
      <c r="E6" s="247"/>
      <c r="F6" s="248" t="str">
        <f>Badges!C10</f>
        <v>Make sticky-note comics</v>
      </c>
      <c r="G6" s="250" t="str">
        <f>IF(Badges!Q10="A","A"," ")</f>
        <v xml:space="preserve"> </v>
      </c>
      <c r="I6" s="247">
        <v>4</v>
      </c>
      <c r="J6" s="248" t="str">
        <f>Badges!C65</f>
        <v>Explore local or community policy</v>
      </c>
      <c r="K6" s="249"/>
      <c r="M6" s="247">
        <v>4</v>
      </c>
      <c r="N6" s="248" t="str">
        <f>Badges!C134</f>
        <v>Leave your wolrd better than you found it</v>
      </c>
      <c r="O6" s="249"/>
      <c r="Q6" s="471" t="str">
        <f>'Age-Level'!B20</f>
        <v>Journey Summit Pin</v>
      </c>
      <c r="R6" s="472"/>
      <c r="S6" s="251" t="str">
        <f>IF('Age-Level'!Q21="C","C",IF('Age-Level'!Q21="P","P",""))</f>
        <v/>
      </c>
      <c r="T6" s="239"/>
      <c r="U6" s="239"/>
    </row>
    <row r="7" spans="1:21" x14ac:dyDescent="0.2">
      <c r="A7" s="490" t="str">
        <f>Summary!A6</f>
        <v>Public Policy</v>
      </c>
      <c r="B7" s="491"/>
      <c r="C7" s="252" t="str">
        <f>IF(Badges!Q74="C","C",IF(Badges!Q74="P","P",""))</f>
        <v/>
      </c>
      <c r="E7" s="247">
        <v>2</v>
      </c>
      <c r="F7" s="248" t="str">
        <f>Badges!C11</f>
        <v>Focus on composition</v>
      </c>
      <c r="G7" s="249"/>
      <c r="I7" s="247"/>
      <c r="J7" s="248" t="str">
        <f>Badges!C66</f>
        <v>Attend a meeting</v>
      </c>
      <c r="K7" s="250" t="str">
        <f>IF(Badges!Q66="A","A"," ")</f>
        <v xml:space="preserve"> </v>
      </c>
      <c r="M7" s="247"/>
      <c r="N7" s="248" t="str">
        <f>Badges!C135</f>
        <v xml:space="preserve">Find ideas to use your leaderhship </v>
      </c>
      <c r="O7" s="250" t="str">
        <f>IF(Badges!Q135="A","A"," ")</f>
        <v xml:space="preserve"> </v>
      </c>
      <c r="Q7" s="471" t="str">
        <f>'Age-Level'!C23</f>
        <v>Cookie Rally (Year 1)</v>
      </c>
      <c r="R7" s="472"/>
      <c r="S7" s="257" t="str">
        <f>IF('Age-Level'!Q23="A","A"," ")</f>
        <v xml:space="preserve"> </v>
      </c>
    </row>
    <row r="8" spans="1:21" x14ac:dyDescent="0.2">
      <c r="A8" s="490" t="str">
        <f>Summary!A7</f>
        <v>Dinner Party</v>
      </c>
      <c r="B8" s="491"/>
      <c r="C8" s="252" t="str">
        <f>IF(Badges!Q97="C","C",IF(Badges!Q97="P","P",""))</f>
        <v/>
      </c>
      <c r="E8" s="247"/>
      <c r="F8" s="248" t="str">
        <f>Badges!C12</f>
        <v>Capture a day in the life</v>
      </c>
      <c r="G8" s="250" t="str">
        <f>IF(Badges!Q12="A","A"," ")</f>
        <v xml:space="preserve"> </v>
      </c>
      <c r="I8" s="247"/>
      <c r="J8" s="248" t="str">
        <f>Badges!C67</f>
        <v>Compare different local positions</v>
      </c>
      <c r="K8" s="250" t="str">
        <f>IF(Badges!Q67="A","A"," ")</f>
        <v xml:space="preserve"> </v>
      </c>
      <c r="M8" s="247"/>
      <c r="N8" s="248" t="str">
        <f>Badges!C136</f>
        <v>Gather ideas to work for a healthy</v>
      </c>
      <c r="O8" s="250" t="str">
        <f>IF(Badges!Q136="A","A"," ")</f>
        <v xml:space="preserve"> </v>
      </c>
      <c r="Q8" s="471" t="str">
        <f>'Age-Level'!C24</f>
        <v>Cookie Sales (Year 1)</v>
      </c>
      <c r="R8" s="472"/>
      <c r="S8" s="257" t="str">
        <f>IF('Age-Level'!Q24="A","A"," ")</f>
        <v xml:space="preserve"> </v>
      </c>
    </row>
    <row r="9" spans="1:21" x14ac:dyDescent="0.2">
      <c r="A9" s="490" t="str">
        <f>Summary!A8</f>
        <v>Ambassador First Aid</v>
      </c>
      <c r="B9" s="491"/>
      <c r="C9" s="252" t="str">
        <f>IF(Badges!Q120="C","C",IF(Badges!Q120="P","P",""))</f>
        <v/>
      </c>
      <c r="E9" s="247"/>
      <c r="F9" s="248" t="str">
        <f>Badges!C13</f>
        <v>Photograph weather patterns</v>
      </c>
      <c r="G9" s="250" t="str">
        <f>IF(Badges!Q13="A","A"," ")</f>
        <v xml:space="preserve"> </v>
      </c>
      <c r="I9" s="247"/>
      <c r="J9" s="248" t="str">
        <f>Badges!C68</f>
        <v>Visit your local legislator's office</v>
      </c>
      <c r="K9" s="250" t="str">
        <f>IF(Badges!Q68="A","A"," ")</f>
        <v xml:space="preserve"> </v>
      </c>
      <c r="M9" s="247"/>
      <c r="N9" s="248" t="str">
        <f>Badges!C137</f>
        <v>Brainstorm idea for social change</v>
      </c>
      <c r="O9" s="250" t="str">
        <f>IF(Badges!Q137="A","A"," ")</f>
        <v xml:space="preserve"> </v>
      </c>
      <c r="Q9" s="471" t="str">
        <f>'Age-Level'!C25</f>
        <v>Cookie Pin (Year 1)</v>
      </c>
      <c r="R9" s="472"/>
      <c r="S9" s="257" t="str">
        <f>IF('Age-Level'!Q25="A","A"," ")</f>
        <v xml:space="preserve"> </v>
      </c>
    </row>
    <row r="10" spans="1:21" x14ac:dyDescent="0.2">
      <c r="A10" s="490" t="str">
        <f>Summary!A9</f>
        <v>Ambassador Girl Scout Way</v>
      </c>
      <c r="B10" s="491"/>
      <c r="C10" s="253" t="str">
        <f>IF(Badges!Q143="C","C",IF(Badges!Q143="P","P",""))</f>
        <v/>
      </c>
      <c r="E10" s="247"/>
      <c r="F10" s="248" t="str">
        <f>Badges!C14</f>
        <v>Take 5 photos form a different</v>
      </c>
      <c r="G10" s="250" t="str">
        <f>IF(Badges!Q14="A","A"," ")</f>
        <v xml:space="preserve"> </v>
      </c>
      <c r="I10" s="247">
        <v>5</v>
      </c>
      <c r="J10" s="248" t="str">
        <f>Badges!C69</f>
        <v>See public policy creation in action</v>
      </c>
      <c r="K10" s="249"/>
      <c r="M10" s="247">
        <v>5</v>
      </c>
      <c r="N10" s="248" t="str">
        <f>Badges!C138</f>
        <v>Enjoy Girl Scout traditions!</v>
      </c>
      <c r="O10" s="249"/>
      <c r="Q10" s="471" t="str">
        <f>'Age-Level'!C26</f>
        <v>Cookie Rally (Year 2)</v>
      </c>
      <c r="R10" s="472"/>
      <c r="S10" s="257" t="str">
        <f>IF('Age-Level'!Q26="A","A"," ")</f>
        <v xml:space="preserve"> </v>
      </c>
    </row>
    <row r="11" spans="1:21" x14ac:dyDescent="0.2">
      <c r="A11" s="509" t="str">
        <f>Summary!A10</f>
        <v>Water</v>
      </c>
      <c r="B11" s="491"/>
      <c r="C11" s="252" t="str">
        <f>IF(Badges!Q166="C","C",IF(Badges!Q166="P","P",""))</f>
        <v/>
      </c>
      <c r="E11" s="247">
        <v>3</v>
      </c>
      <c r="F11" s="248" t="str">
        <f>Badges!C15</f>
        <v>Focus on light</v>
      </c>
      <c r="G11" s="249"/>
      <c r="I11" s="247"/>
      <c r="J11" s="248" t="str">
        <f>Badges!C70</f>
        <v>Shadow a policy-maker</v>
      </c>
      <c r="K11" s="250" t="str">
        <f>IF(Badges!Q70="A","A"," ")</f>
        <v xml:space="preserve"> </v>
      </c>
      <c r="M11" s="247"/>
      <c r="N11" s="248" t="str">
        <f>Badges!C139</f>
        <v>Pass down a tradition</v>
      </c>
      <c r="O11" s="250" t="str">
        <f>IF(Badges!Q139="A","A"," ")</f>
        <v xml:space="preserve"> </v>
      </c>
      <c r="Q11" s="471" t="str">
        <f>'Age-Level'!C27</f>
        <v>Cookie Sales (Year 2)</v>
      </c>
      <c r="R11" s="472"/>
      <c r="S11" s="257" t="str">
        <f>IF('Age-Level'!Q27="A","A"," ")</f>
        <v xml:space="preserve"> </v>
      </c>
    </row>
    <row r="12" spans="1:21" x14ac:dyDescent="0.2">
      <c r="A12" s="507"/>
      <c r="B12" s="507"/>
      <c r="C12" s="336"/>
      <c r="E12" s="247"/>
      <c r="F12" s="248" t="str">
        <f>Badges!C16</f>
        <v>Invite friends to a shoot day</v>
      </c>
      <c r="G12" s="250" t="str">
        <f>IF(Badges!Q16="A","A"," ")</f>
        <v xml:space="preserve"> </v>
      </c>
      <c r="I12" s="247"/>
      <c r="J12" s="248" t="str">
        <f>Badges!C71</f>
        <v>Volunteer at an office</v>
      </c>
      <c r="K12" s="250" t="str">
        <f>IF(Badges!Q71="A","A"," ")</f>
        <v xml:space="preserve"> </v>
      </c>
      <c r="M12" s="247"/>
      <c r="N12" s="248" t="str">
        <f>Badges!C140</f>
        <v>Start a Girl Scout tradition of your own</v>
      </c>
      <c r="O12" s="250" t="str">
        <f>IF(Badges!Q140="A","A"," ")</f>
        <v xml:space="preserve"> </v>
      </c>
      <c r="Q12" s="471" t="str">
        <f>'Age-Level'!C28</f>
        <v>Cookie Pin (Year 2)</v>
      </c>
      <c r="R12" s="472"/>
      <c r="S12" s="257" t="str">
        <f>IF('Age-Level'!Q28="A","A"," ")</f>
        <v xml:space="preserve"> </v>
      </c>
    </row>
    <row r="13" spans="1:21" x14ac:dyDescent="0.2">
      <c r="A13" s="500" t="str">
        <f>Summary!A3</f>
        <v>Legacy</v>
      </c>
      <c r="B13" s="500"/>
      <c r="C13" s="500"/>
      <c r="E13" s="247"/>
      <c r="F13" s="248" t="str">
        <f>Badges!C17</f>
        <v>Capture the same person or object</v>
      </c>
      <c r="G13" s="250" t="str">
        <f>IF(Badges!Q17="A","A"," ")</f>
        <v xml:space="preserve"> </v>
      </c>
      <c r="I13" s="247"/>
      <c r="J13" s="248" t="str">
        <f>Badges!C72</f>
        <v>Interview a policy-maker</v>
      </c>
      <c r="K13" s="250" t="str">
        <f>IF(Badges!Q72="A","A"," ")</f>
        <v xml:space="preserve"> </v>
      </c>
      <c r="M13" s="247"/>
      <c r="N13" s="248" t="str">
        <f>Badges!C141</f>
        <v>Share the Girl Scout way by example</v>
      </c>
      <c r="O13" s="250" t="str">
        <f>IF(Badges!Q141="A","A"," ")</f>
        <v xml:space="preserve"> </v>
      </c>
      <c r="Q13" s="471" t="str">
        <f>'Age-Level'!C30</f>
        <v>Fall Sales (Year 1)</v>
      </c>
      <c r="R13" s="472"/>
      <c r="S13" s="252" t="str">
        <f>IF('Age-Level'!Q30="A","A","")</f>
        <v/>
      </c>
    </row>
    <row r="14" spans="1:21" x14ac:dyDescent="0.2">
      <c r="A14" s="501" t="str">
        <f>Summary!A4</f>
        <v>Photography</v>
      </c>
      <c r="B14" s="502"/>
      <c r="C14" s="251" t="str">
        <f>IF(Badges!Q28="C","C",IF(Badges!Q28="P","P",""))</f>
        <v/>
      </c>
      <c r="E14" s="247"/>
      <c r="F14" s="248" t="str">
        <f>Badges!C18</f>
        <v>Grow your image</v>
      </c>
      <c r="G14" s="250" t="str">
        <f>IF(Badges!Q18="A","A"," ")</f>
        <v xml:space="preserve"> </v>
      </c>
      <c r="I14" s="339" t="str">
        <f>Badges!B75</f>
        <v>Dinner Party</v>
      </c>
      <c r="J14" s="340"/>
      <c r="K14" s="340"/>
      <c r="M14" s="339" t="str">
        <f>Badges!B144</f>
        <v>Water</v>
      </c>
      <c r="N14" s="340"/>
      <c r="O14" s="340"/>
      <c r="Q14" s="471" t="str">
        <f>'Age-Level'!C31</f>
        <v>Fall Sales (Year 2)</v>
      </c>
      <c r="R14" s="472"/>
      <c r="S14" s="252" t="str">
        <f>IF('Age-Level'!Q31="A","A","")</f>
        <v/>
      </c>
    </row>
    <row r="15" spans="1:21" x14ac:dyDescent="0.2">
      <c r="A15" s="490" t="str">
        <f>Summary!A5</f>
        <v>Coaching</v>
      </c>
      <c r="B15" s="491"/>
      <c r="C15" s="252" t="str">
        <f>IF(Badges!Q51="C","C",IF(Badges!Q51="P","P",""))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471" t="str">
        <f>'Age-Level'!C33</f>
        <v>Thinking Day (Year 1)</v>
      </c>
      <c r="R15" s="472"/>
      <c r="S15" s="252" t="str">
        <f>IF('Age-Level'!Q33="A","A","")</f>
        <v/>
      </c>
    </row>
    <row r="16" spans="1:21" x14ac:dyDescent="0.2">
      <c r="A16" s="490" t="str">
        <f>Summary!A6</f>
        <v>Public Policy</v>
      </c>
      <c r="B16" s="491"/>
      <c r="C16" s="252" t="str">
        <f>IF(Badges!Q74="C","C",IF(Badges!Q74="P","P",""))</f>
        <v/>
      </c>
      <c r="E16" s="247"/>
      <c r="F16" s="248" t="str">
        <f>Badges!C20</f>
        <v xml:space="preserve">Take photos of a group </v>
      </c>
      <c r="G16" s="250" t="str">
        <f>IF(Badges!Q20="A","A"," ")</f>
        <v xml:space="preserve"> </v>
      </c>
      <c r="I16" s="247"/>
      <c r="J16" s="248" t="str">
        <f>Badges!C77</f>
        <v>Interview a caterer, event planner, chef</v>
      </c>
      <c r="K16" s="250" t="str">
        <f>IF(Badges!Q77="A","A"," ")</f>
        <v xml:space="preserve"> </v>
      </c>
      <c r="M16" s="247"/>
      <c r="N16" s="248" t="str">
        <f>Badges!C146</f>
        <v>Visit water in its natural state</v>
      </c>
      <c r="O16" s="250" t="str">
        <f>IF(Badges!Q146="A","A"," ")</f>
        <v xml:space="preserve"> </v>
      </c>
      <c r="Q16" s="471" t="str">
        <f>'Age-Level'!C34</f>
        <v>Thinking Day (Year 2)</v>
      </c>
      <c r="R16" s="472"/>
      <c r="S16" s="252" t="str">
        <f>IF('Age-Level'!Q34="A","A","")</f>
        <v/>
      </c>
    </row>
    <row r="17" spans="1:19" x14ac:dyDescent="0.2">
      <c r="A17" s="490" t="str">
        <f>Summary!A7</f>
        <v>Dinner Party</v>
      </c>
      <c r="B17" s="491"/>
      <c r="C17" s="252" t="str">
        <f>IF(Badges!Q97="C","C",IF(Badges!Q97="P","P",""))</f>
        <v/>
      </c>
      <c r="E17" s="247"/>
      <c r="F17" s="248" t="str">
        <f>Badges!C21</f>
        <v>Take photos of faces in motion</v>
      </c>
      <c r="G17" s="250" t="str">
        <f>IF(Badges!Q21="A","A"," ")</f>
        <v xml:space="preserve"> </v>
      </c>
      <c r="I17" s="247"/>
      <c r="J17" s="248" t="str">
        <f>Badges!C78</f>
        <v>Collect recipes from cooking shows</v>
      </c>
      <c r="K17" s="250" t="str">
        <f>IF(Badges!Q78="A","A"," ")</f>
        <v xml:space="preserve"> </v>
      </c>
      <c r="M17" s="247"/>
      <c r="N17" s="248" t="str">
        <f>Badges!C147</f>
        <v>Try a new water skill</v>
      </c>
      <c r="O17" s="250" t="str">
        <f>IF(Badges!Q147="A","A"," ")</f>
        <v xml:space="preserve"> </v>
      </c>
      <c r="Q17" s="471" t="str">
        <f>'Age-Level'!C36</f>
        <v>Global Action Award</v>
      </c>
      <c r="R17" s="472"/>
      <c r="S17" s="252" t="str">
        <f>IF('Age-Level'!Q36="A","A","")</f>
        <v/>
      </c>
    </row>
    <row r="18" spans="1:19" x14ac:dyDescent="0.2">
      <c r="A18" s="490" t="str">
        <f>Summary!A8</f>
        <v>Ambassador First Aid</v>
      </c>
      <c r="B18" s="491"/>
      <c r="C18" s="252" t="str">
        <f>IF(Badges!Q120="C","C",IF(Badges!Q120="P","P",""))</f>
        <v/>
      </c>
      <c r="E18" s="247"/>
      <c r="F18" s="248" t="str">
        <f>Badges!C22</f>
        <v>Take photos of objects in motion</v>
      </c>
      <c r="G18" s="250" t="str">
        <f>IF(Badges!Q22="A","A"," ")</f>
        <v xml:space="preserve"> </v>
      </c>
      <c r="I18" s="247"/>
      <c r="J18" s="248" t="str">
        <f>Badges!C79</f>
        <v>Build a men around your favorite</v>
      </c>
      <c r="K18" s="250" t="str">
        <f>IF(Badges!Q79="A","A"," ")</f>
        <v xml:space="preserve"> </v>
      </c>
      <c r="M18" s="247"/>
      <c r="N18" s="248" t="str">
        <f>Badges!C148</f>
        <v>Enjoy a water activity you already know</v>
      </c>
      <c r="O18" s="250" t="str">
        <f>IF(Badges!Q148="A","A"," ")</f>
        <v xml:space="preserve"> </v>
      </c>
      <c r="Q18" s="471" t="str">
        <f>'Age-Level'!C38</f>
        <v>International Friendship Recognition</v>
      </c>
      <c r="R18" s="472"/>
      <c r="S18" s="252" t="str">
        <f>IF('Age-Level'!Q38="A","A","")</f>
        <v/>
      </c>
    </row>
    <row r="19" spans="1:19" x14ac:dyDescent="0.2">
      <c r="A19" s="490" t="str">
        <f>Summary!A9</f>
        <v>Ambassador Girl Scout Way</v>
      </c>
      <c r="B19" s="491"/>
      <c r="C19" s="252" t="str">
        <f>IF(Badges!Q143="C","C",IF(Badges!Q143="P","P",""))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471" t="str">
        <f>'Age-Level'!C40</f>
        <v>Investiture</v>
      </c>
      <c r="R19" s="472"/>
      <c r="S19" s="252" t="str">
        <f>IF('Age-Level'!Q40="A","A","")</f>
        <v/>
      </c>
    </row>
    <row r="20" spans="1:19" x14ac:dyDescent="0.2">
      <c r="A20" s="507" t="str">
        <f>Summary!A10</f>
        <v>Water</v>
      </c>
      <c r="B20" s="508"/>
      <c r="C20" s="253" t="str">
        <f>IF(Badges!Q166="C","C",IF(Badges!Q166="P","P",""))</f>
        <v/>
      </c>
      <c r="E20" s="247"/>
      <c r="F20" s="248" t="str">
        <f>Badges!C24</f>
        <v>Stage a photo exhibit</v>
      </c>
      <c r="G20" s="250" t="str">
        <f>IF(Badges!Q24="A","A"," ")</f>
        <v xml:space="preserve"> </v>
      </c>
      <c r="I20" s="247"/>
      <c r="J20" s="248" t="str">
        <f>Badges!C81</f>
        <v>Camparison shop</v>
      </c>
      <c r="K20" s="250" t="str">
        <f>IF(Badges!Q81="A","A"," ")</f>
        <v xml:space="preserve"> </v>
      </c>
      <c r="M20" s="247"/>
      <c r="N20" s="248" t="str">
        <f>Badges!C150</f>
        <v>Delve into water literature</v>
      </c>
      <c r="O20" s="250" t="str">
        <f>IF(Badges!Q150="A","A"," ")</f>
        <v xml:space="preserve"> </v>
      </c>
      <c r="Q20" s="471" t="str">
        <f>'Age-Level'!C41</f>
        <v>Rededication (1st year)</v>
      </c>
      <c r="R20" s="472"/>
      <c r="S20" s="262" t="str">
        <f>IF('Age-Level'!Q41="C","C","")</f>
        <v/>
      </c>
    </row>
    <row r="21" spans="1:19" x14ac:dyDescent="0.2">
      <c r="A21" s="500" t="str">
        <f>Summary!A11</f>
        <v>Financial Literacy</v>
      </c>
      <c r="B21" s="500"/>
      <c r="C21" s="500"/>
      <c r="E21" s="247"/>
      <c r="F21" s="248" t="str">
        <f>Badges!C25</f>
        <v>Make a digital slide show</v>
      </c>
      <c r="G21" s="250" t="str">
        <f>IF(Badges!Q25="A","A"," ")</f>
        <v xml:space="preserve"> </v>
      </c>
      <c r="I21" s="247"/>
      <c r="J21" s="248" t="str">
        <f>Badges!C82</f>
        <v>Consult with a professional chef</v>
      </c>
      <c r="K21" s="250" t="str">
        <f>IF(Badges!Q82="A","A"," ")</f>
        <v xml:space="preserve"> </v>
      </c>
      <c r="M21" s="247"/>
      <c r="N21" s="248" t="str">
        <f>Badges!C151</f>
        <v xml:space="preserve">Enjoy an exhibit or event that features </v>
      </c>
      <c r="O21" s="250" t="str">
        <f>IF(Badges!Q151="A","A"," ")</f>
        <v xml:space="preserve"> </v>
      </c>
      <c r="Q21" s="471" t="str">
        <f>'Age-Level'!C42</f>
        <v>Rededication (2nd year)</v>
      </c>
      <c r="R21" s="472"/>
      <c r="S21" s="262" t="str">
        <f>IF('Age-Level'!Q42="C","C","")</f>
        <v/>
      </c>
    </row>
    <row r="22" spans="1:19" x14ac:dyDescent="0.2">
      <c r="A22" s="501" t="str">
        <f>Summary!A12</f>
        <v>On My Own</v>
      </c>
      <c r="B22" s="502"/>
      <c r="C22" s="251" t="str">
        <f>IF(Badges!Q190="C","C",IF(Badges!Q190="P","P",""))</f>
        <v/>
      </c>
      <c r="E22" s="247"/>
      <c r="F22" s="248" t="str">
        <f>Badges!C26</f>
        <v>Create a photo album or scrapbook</v>
      </c>
      <c r="G22" s="250" t="str">
        <f>IF(Badges!Q26="A","A"," ")</f>
        <v xml:space="preserve"> </v>
      </c>
      <c r="I22" s="247"/>
      <c r="J22" s="248" t="str">
        <f>Badges!C83</f>
        <v>Learn about alternative ways to shop</v>
      </c>
      <c r="K22" s="250" t="str">
        <f>IF(Badges!Q83="A","A"," ")</f>
        <v xml:space="preserve"> </v>
      </c>
      <c r="M22" s="247"/>
      <c r="N22" s="248" t="str">
        <f>Badges!C152</f>
        <v>Create your own water composition</v>
      </c>
      <c r="O22" s="250" t="str">
        <f>IF(Badges!Q152="A","A"," ")</f>
        <v xml:space="preserve"> </v>
      </c>
      <c r="Q22" s="342" t="str">
        <f>'Age-Level'!B43</f>
        <v>My Promise, My Faith (Year 1)</v>
      </c>
      <c r="R22" s="343"/>
      <c r="S22" s="262"/>
    </row>
    <row r="23" spans="1:19" x14ac:dyDescent="0.2">
      <c r="A23" s="490" t="str">
        <f>Summary!A13</f>
        <v>Good Credit</v>
      </c>
      <c r="B23" s="491"/>
      <c r="C23" s="251" t="str">
        <f>IF(Badges!Q213="C","C",IF(Badges!Q213="P","P",""))</f>
        <v/>
      </c>
      <c r="E23" s="492" t="str">
        <f>Badges!B29</f>
        <v>Coaching</v>
      </c>
      <c r="F23" s="492"/>
      <c r="G23" s="492"/>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IF('Age-Level'!Q44="A","A","")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IF(Badges!Q85="A","A"," ")</f>
        <v xml:space="preserve"> </v>
      </c>
      <c r="M24" s="247"/>
      <c r="N24" s="248" t="str">
        <f>Badges!C154</f>
        <v>Visit a water facility and explore its</v>
      </c>
      <c r="O24" s="250" t="str">
        <f>IF(Badges!Q154="A","A"," ")</f>
        <v xml:space="preserve"> </v>
      </c>
      <c r="Q24" s="267">
        <v>2</v>
      </c>
      <c r="R24" s="344" t="str">
        <f>'Age-Level'!C45</f>
        <v>Find a woman in your community</v>
      </c>
      <c r="S24" s="262" t="str">
        <f>IF('Age-Level'!Q45="A","A","")</f>
        <v/>
      </c>
    </row>
    <row r="25" spans="1:19" x14ac:dyDescent="0.2">
      <c r="A25" s="490" t="str">
        <f>Summary!A15</f>
        <v>Research and Development</v>
      </c>
      <c r="B25" s="491"/>
      <c r="C25" s="252" t="str">
        <f>IF(Badges!Q227="C","C",IF(Badges!Q227="P","P",""))</f>
        <v/>
      </c>
      <c r="E25" s="247"/>
      <c r="F25" s="248" t="str">
        <f>Badges!C31</f>
        <v>Talk to a great coach</v>
      </c>
      <c r="G25" s="250" t="str">
        <f>IF(Badges!Q31="A","A"," ")</f>
        <v xml:space="preserve"> </v>
      </c>
      <c r="I25" s="247"/>
      <c r="J25" s="248" t="str">
        <f>Badges!C86</f>
        <v>Make a menu timeline</v>
      </c>
      <c r="K25" s="250" t="str">
        <f>IF(Badges!Q86="A","A"," ")</f>
        <v xml:space="preserve"> </v>
      </c>
      <c r="M25" s="247"/>
      <c r="N25" s="248" t="str">
        <f>Badges!C155</f>
        <v>Investigate endangered marine life</v>
      </c>
      <c r="O25" s="250" t="str">
        <f>IF(Badges!Q155="A","A"," ")</f>
        <v xml:space="preserve"> </v>
      </c>
      <c r="Q25" s="267">
        <v>3</v>
      </c>
      <c r="R25" s="344" t="str">
        <f>'Age-Level'!C46</f>
        <v>Gather three inspirational quotes</v>
      </c>
      <c r="S25" s="262" t="str">
        <f>IF('Age-Level'!Q46="A","A","")</f>
        <v/>
      </c>
    </row>
    <row r="26" spans="1:19" x14ac:dyDescent="0.2">
      <c r="A26" s="490" t="str">
        <f>Summary!A16</f>
        <v>P &amp; L</v>
      </c>
      <c r="B26" s="491"/>
      <c r="C26" s="252" t="str">
        <f>IF(Badges!Q240="C","C",IF(Badges!Q240="P","P",""))</f>
        <v/>
      </c>
      <c r="E26" s="247"/>
      <c r="F26" s="248" t="str">
        <f>Badges!C32</f>
        <v>Watch three sports documentaries</v>
      </c>
      <c r="G26" s="250" t="str">
        <f>IF(Badges!Q32="A","A"," ")</f>
        <v xml:space="preserve"> </v>
      </c>
      <c r="I26" s="247"/>
      <c r="J26" s="248" t="str">
        <f>Badges!C87</f>
        <v>Prepare a test meal for family or friends</v>
      </c>
      <c r="K26" s="250" t="str">
        <f>IF(Badges!Q87="A","A"," ")</f>
        <v xml:space="preserve"> </v>
      </c>
      <c r="M26" s="247"/>
      <c r="N26" s="248" t="str">
        <f>Badges!C156</f>
        <v>Investigate water as a hazard</v>
      </c>
      <c r="O26" s="250" t="str">
        <f>IF(Badges!Q156="A","A"," ")</f>
        <v xml:space="preserve"> </v>
      </c>
      <c r="Q26" s="267">
        <v>4</v>
      </c>
      <c r="R26" s="344" t="str">
        <f>'Age-Level'!C47</f>
        <v>Make something to remind you</v>
      </c>
      <c r="S26" s="262" t="str">
        <f>IF('Age-Level'!Q47="A","A","")</f>
        <v/>
      </c>
    </row>
    <row r="27" spans="1:19" x14ac:dyDescent="0.2">
      <c r="A27" s="346"/>
      <c r="B27" s="346"/>
      <c r="C27" s="266"/>
      <c r="E27" s="247"/>
      <c r="F27" s="248" t="str">
        <f>Badges!C33</f>
        <v>Attend a coaching clinic or seminar</v>
      </c>
      <c r="G27" s="250" t="str">
        <f>IF(Badges!Q33="A","A","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IF('Age-Level'!Q48="A","A","")</f>
        <v/>
      </c>
    </row>
    <row r="28" spans="1:19" x14ac:dyDescent="0.2">
      <c r="A28" s="484" t="s">
        <v>84</v>
      </c>
      <c r="B28" s="484"/>
      <c r="C28" s="484"/>
      <c r="E28" s="247">
        <v>2</v>
      </c>
      <c r="F28" s="248" t="str">
        <f>Badges!C34</f>
        <v>Conduct a first assessment</v>
      </c>
      <c r="G28" s="249"/>
      <c r="I28" s="247"/>
      <c r="J28" s="248" t="str">
        <f>Badges!C89</f>
        <v>Expreiment with garnishes</v>
      </c>
      <c r="K28" s="250" t="str">
        <f>IF(Badges!Q89="A","A"," ")</f>
        <v xml:space="preserve"> </v>
      </c>
      <c r="M28" s="247"/>
      <c r="N28" s="248" t="str">
        <f>Badges!C158</f>
        <v>Interview a water scientist</v>
      </c>
      <c r="O28" s="250" t="str">
        <f>IF(Badges!Q158="A","A","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IF(Badges!Q35="A","A"," ")</f>
        <v xml:space="preserve"> </v>
      </c>
      <c r="I29" s="247"/>
      <c r="J29" s="248" t="str">
        <f>Badges!C90</f>
        <v>Present food in interesting shapes</v>
      </c>
      <c r="K29" s="250" t="str">
        <f>IF(Badges!Q90="A","A"," ")</f>
        <v xml:space="preserve"> </v>
      </c>
      <c r="M29" s="247"/>
      <c r="N29" s="248" t="str">
        <f>Badges!C159</f>
        <v>Explore the world of hydroelectricity</v>
      </c>
      <c r="O29" s="250" t="str">
        <f>IF(Badges!Q159="A","A"," ")</f>
        <v xml:space="preserve"> </v>
      </c>
      <c r="Q29" s="268">
        <v>1</v>
      </c>
      <c r="R29" s="344" t="str">
        <f>'Age-Level'!C51</f>
        <v>Choose one line from the Law</v>
      </c>
      <c r="S29" s="262" t="str">
        <f>IF('Age-Level'!Q51="A","A","")</f>
        <v/>
      </c>
    </row>
    <row r="30" spans="1:19" x14ac:dyDescent="0.2">
      <c r="B30" s="477" t="str">
        <f>Journey!B7</f>
        <v>The Girl Scout Advocate Award</v>
      </c>
      <c r="C30" s="478"/>
      <c r="E30" s="247"/>
      <c r="F30" s="248" t="str">
        <f>Badges!C36</f>
        <v>Host an initial session</v>
      </c>
      <c r="G30" s="250" t="str">
        <f>IF(Badges!Q36="A","A"," ")</f>
        <v xml:space="preserve"> </v>
      </c>
      <c r="I30" s="247"/>
      <c r="J30" s="248" t="str">
        <f>Badges!C91</f>
        <v>Use serving ware in unusual ways</v>
      </c>
      <c r="K30" s="250" t="str">
        <f>IF(Badges!Q91="A","A"," ")</f>
        <v xml:space="preserve"> </v>
      </c>
      <c r="M30" s="247"/>
      <c r="N30" s="248" t="str">
        <f>Badges!C160</f>
        <v>Design your own water innovation</v>
      </c>
      <c r="O30" s="250" t="str">
        <f>IF(Badges!Q160="A","A"," ")</f>
        <v xml:space="preserve"> </v>
      </c>
      <c r="Q30" s="267">
        <v>2</v>
      </c>
      <c r="R30" s="344" t="str">
        <f>'Age-Level'!C52</f>
        <v>Find a woman in your community</v>
      </c>
      <c r="S30" s="262" t="str">
        <f>IF('Age-Level'!Q52="A","A","")</f>
        <v/>
      </c>
    </row>
    <row r="31" spans="1:19" x14ac:dyDescent="0.2">
      <c r="B31" s="256">
        <f>Journey!P8</f>
        <v>0</v>
      </c>
      <c r="C31" s="252" t="str">
        <f>IF(Journey!Q8="C","C",IF(Journey!Q8="P","P",""))</f>
        <v/>
      </c>
      <c r="E31" s="247"/>
      <c r="F31" s="248" t="str">
        <f>Badges!C37</f>
        <v>Prepare a goal chart together</v>
      </c>
      <c r="G31" s="250" t="str">
        <f>IF(Badges!Q37="A","A","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IF('Age-Level'!Q53="A","A","")</f>
        <v/>
      </c>
    </row>
    <row r="32" spans="1:19" x14ac:dyDescent="0.2">
      <c r="B32" s="256">
        <f>Journey!P9</f>
        <v>0</v>
      </c>
      <c r="C32" s="252" t="str">
        <f>IF(Journey!Q9="C","C",IF(Journey!Q9="P","P",""))</f>
        <v/>
      </c>
      <c r="E32" s="339" t="str">
        <f>Badges!B29</f>
        <v>Coaching</v>
      </c>
      <c r="F32" s="340"/>
      <c r="G32" s="340"/>
      <c r="I32" s="247"/>
      <c r="J32" s="248" t="str">
        <f>Badges!C93</f>
        <v>Decorate according to your menu theme</v>
      </c>
      <c r="K32" s="250" t="str">
        <f>IF(Badges!Q93="A","A"," ")</f>
        <v xml:space="preserve"> </v>
      </c>
      <c r="M32" s="247"/>
      <c r="N32" s="248" t="str">
        <f>Badges!C162</f>
        <v>Celebrate water with younger Girl Scouts</v>
      </c>
      <c r="O32" s="250" t="str">
        <f>IF(Badges!Q162="A","A"," ")</f>
        <v xml:space="preserve"> </v>
      </c>
      <c r="Q32" s="267">
        <v>4</v>
      </c>
      <c r="R32" s="344" t="str">
        <f>'Age-Level'!C54</f>
        <v>Make something to remind you</v>
      </c>
      <c r="S32" s="262" t="str">
        <f>IF('Age-Level'!Q54="A","A","")</f>
        <v/>
      </c>
    </row>
    <row r="33" spans="1:19" x14ac:dyDescent="0.2">
      <c r="B33" s="256">
        <f>Journey!P10</f>
        <v>0</v>
      </c>
      <c r="C33" s="252" t="str">
        <f>IF(Journey!Q10="C","C",IF(Journey!Q10="P","P",""))</f>
        <v/>
      </c>
      <c r="E33" s="247">
        <v>3</v>
      </c>
      <c r="F33" s="248" t="str">
        <f>Badges!C38</f>
        <v>Design your coaching plan</v>
      </c>
      <c r="G33" s="249"/>
      <c r="I33" s="247"/>
      <c r="J33" s="248" t="str">
        <f>Badges!C94</f>
        <v>Celebrate a special occasion</v>
      </c>
      <c r="K33" s="250" t="str">
        <f>IF(Badges!Q94="A","A"," ")</f>
        <v xml:space="preserve"> </v>
      </c>
      <c r="M33" s="247"/>
      <c r="N33" s="248" t="str">
        <f>Badges!C163</f>
        <v>Share a water issue that matters to you</v>
      </c>
      <c r="O33" s="250" t="str">
        <f>IF(Badges!Q163="A","A"," ")</f>
        <v xml:space="preserve"> </v>
      </c>
      <c r="Q33" s="267">
        <v>5</v>
      </c>
      <c r="R33" s="344" t="str">
        <f>'Age-Level'!C55</f>
        <v xml:space="preserve">Make a commitment to live what </v>
      </c>
      <c r="S33" s="364" t="str">
        <f>IF('Age-Level'!Q55="A","A","")</f>
        <v/>
      </c>
    </row>
    <row r="34" spans="1:19" x14ac:dyDescent="0.2">
      <c r="A34" s="284"/>
      <c r="B34" s="473" t="str">
        <f>Journey!A14</f>
        <v>JUSTICE</v>
      </c>
      <c r="C34" s="474"/>
      <c r="E34" s="247"/>
      <c r="F34" s="248" t="str">
        <f>Badges!C39</f>
        <v xml:space="preserve">Design a special warm-up </v>
      </c>
      <c r="G34" s="250" t="str">
        <f>IF(Badges!Q39="A","A"," ")</f>
        <v xml:space="preserve"> </v>
      </c>
      <c r="I34" s="247"/>
      <c r="J34" s="248" t="str">
        <f>Badges!C95</f>
        <v>Use food and fun to forge new friendships</v>
      </c>
      <c r="K34" s="250" t="str">
        <f>IF(Badges!Q95="A","A"," ")</f>
        <v xml:space="preserve"> </v>
      </c>
      <c r="M34" s="247"/>
      <c r="N34" s="248" t="str">
        <f>Badges!C164</f>
        <v>Guide a group to a water place</v>
      </c>
      <c r="O34" s="250" t="str">
        <f>IF(Badges!Q164="A","A"," ")</f>
        <v xml:space="preserve"> </v>
      </c>
      <c r="Q34" s="471" t="str">
        <f>'Age-Level'!B57</f>
        <v>Safety Award</v>
      </c>
      <c r="R34" s="472"/>
      <c r="S34" s="364"/>
    </row>
    <row r="35" spans="1:19" x14ac:dyDescent="0.2">
      <c r="A35" s="284"/>
      <c r="B35" s="479" t="str">
        <f>Journey!B15</f>
        <v>Sage Award</v>
      </c>
      <c r="C35" s="480"/>
      <c r="E35" s="247"/>
      <c r="F35" s="248" t="str">
        <f>Badges!C40</f>
        <v>Research and choose</v>
      </c>
      <c r="G35" s="250" t="str">
        <f>IF(Badges!Q40="A","A","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IF('Age-Level'!Q58="A","A","")</f>
        <v/>
      </c>
    </row>
    <row r="36" spans="1:19" x14ac:dyDescent="0.2">
      <c r="A36" s="284"/>
      <c r="B36" s="256">
        <f>Journey!P16</f>
        <v>0</v>
      </c>
      <c r="C36" s="252" t="str">
        <f>IF(Journey!Q16="C","C",IF(Journey!Q16="P","P",""))</f>
        <v/>
      </c>
      <c r="E36" s="247"/>
      <c r="F36" s="248" t="str">
        <f>Badges!C41</f>
        <v>Open and close each session</v>
      </c>
      <c r="G36" s="250" t="str">
        <f>IF(Badges!Q41="A","A","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IF('Age-Level'!Q59="A","A","")</f>
        <v/>
      </c>
    </row>
    <row r="37" spans="1:19" x14ac:dyDescent="0.2">
      <c r="A37" s="284"/>
      <c r="B37" s="256">
        <f>Journey!P17</f>
        <v>0</v>
      </c>
      <c r="C37" s="252" t="str">
        <f>IF(Journey!Q17="C","C",IF(Journey!Q17="P","P",""))</f>
        <v/>
      </c>
      <c r="E37" s="247">
        <v>4</v>
      </c>
      <c r="F37" s="248" t="str">
        <f>Badges!C42</f>
        <v>Put your plan in action</v>
      </c>
      <c r="G37" s="249"/>
      <c r="I37" s="247"/>
      <c r="J37" s="248" t="str">
        <f>Badges!C100</f>
        <v>Backcountry</v>
      </c>
      <c r="K37" s="250" t="str">
        <f>IF(Badges!Q100="A","A"," ")</f>
        <v xml:space="preserve"> </v>
      </c>
      <c r="M37" s="247"/>
      <c r="N37" s="248" t="str">
        <f>Badges!C170</f>
        <v>Take a tour</v>
      </c>
      <c r="O37" s="250" t="str">
        <f>IF(Badges!Q170="A","A"," ")</f>
        <v xml:space="preserve"> </v>
      </c>
      <c r="Q37" s="267">
        <v>3</v>
      </c>
      <c r="R37" s="344" t="str">
        <f>'Age-Level'!C60</f>
        <v>Teach a Daisy or Brownie what to do if</v>
      </c>
      <c r="S37" s="262" t="str">
        <f>IF('Age-Level'!Q60="A","A","")</f>
        <v/>
      </c>
    </row>
    <row r="38" spans="1:19" x14ac:dyDescent="0.2">
      <c r="A38" s="284"/>
      <c r="B38" s="256">
        <f>Journey!P18</f>
        <v>0</v>
      </c>
      <c r="C38" s="252" t="str">
        <f>IF(Journey!Q18="C","C",IF(Journey!Q18="P","P",""))</f>
        <v/>
      </c>
      <c r="E38" s="247"/>
      <c r="F38" s="248" t="str">
        <f>Badges!C43</f>
        <v>Add a morale-boosting time-out</v>
      </c>
      <c r="G38" s="250" t="str">
        <f>IF(Badges!Q43="A","A"," ")</f>
        <v xml:space="preserve"> </v>
      </c>
      <c r="I38" s="247"/>
      <c r="J38" s="248" t="str">
        <f>Badges!C101</f>
        <v>Open water</v>
      </c>
      <c r="K38" s="250" t="str">
        <f>IF(Badges!Q101="A","A"," ")</f>
        <v xml:space="preserve"> </v>
      </c>
      <c r="M38" s="247"/>
      <c r="N38" s="248" t="str">
        <f>Badges!C171</f>
        <v>Interview a new tenant or homeowner</v>
      </c>
      <c r="O38" s="250" t="str">
        <f>IF(Badges!Q171="A","A"," ")</f>
        <v xml:space="preserve"> </v>
      </c>
      <c r="Q38" s="267">
        <v>4</v>
      </c>
      <c r="R38" s="344" t="str">
        <f>'Age-Level'!C61</f>
        <v>With your family, make sure you have</v>
      </c>
      <c r="S38" s="262" t="str">
        <f>IF('Age-Level'!Q61="A","A","")</f>
        <v/>
      </c>
    </row>
    <row r="39" spans="1:19" x14ac:dyDescent="0.2">
      <c r="A39" s="284"/>
      <c r="B39" s="256">
        <f>Journey!P19</f>
        <v>0</v>
      </c>
      <c r="C39" s="252" t="str">
        <f>IF(Journey!Q19="C","C",IF(Journey!Q19="P","P",""))</f>
        <v/>
      </c>
      <c r="E39" s="247"/>
      <c r="F39" s="248" t="str">
        <f>Badges!C44</f>
        <v>Ask your players to coach you!</v>
      </c>
      <c r="G39" s="250" t="str">
        <f>IF(Badges!Q44="A","A"," ")</f>
        <v xml:space="preserve"> </v>
      </c>
      <c r="I39" s="247"/>
      <c r="J39" s="248" t="str">
        <f>Badges!C102</f>
        <v>Mountains</v>
      </c>
      <c r="K39" s="250" t="str">
        <f>IF(Badges!Q102="A","A"," ")</f>
        <v xml:space="preserve"> </v>
      </c>
      <c r="M39" s="247"/>
      <c r="N39" s="248" t="str">
        <f>Badges!C172</f>
        <v>Be chart smart</v>
      </c>
      <c r="O39" s="250" t="str">
        <f>IF(Badges!Q172="A","A"," ")</f>
        <v xml:space="preserve"> </v>
      </c>
      <c r="Q39" s="267">
        <v>5</v>
      </c>
      <c r="R39" s="344" t="str">
        <f>'Age-Level'!C62</f>
        <v>Discuss bullying with your Girl Scout</v>
      </c>
      <c r="S39" s="262" t="str">
        <f>IF('Age-Level'!Q62="A","A","")</f>
        <v/>
      </c>
    </row>
    <row r="40" spans="1:19" x14ac:dyDescent="0.2">
      <c r="A40" s="284"/>
      <c r="B40" s="256">
        <f>Journey!P20</f>
        <v>0</v>
      </c>
      <c r="C40" s="252" t="str">
        <f>IF(Journey!Q20="C","C",IF(Journey!Q20="P","P",""))</f>
        <v/>
      </c>
      <c r="E40" s="247"/>
      <c r="F40" s="248" t="str">
        <f>Badges!C45</f>
        <v xml:space="preserve">Bring in another coah to watch </v>
      </c>
      <c r="G40" s="250" t="str">
        <f>IF(Badges!Q45="A","A","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Journey!P21</f>
        <v>0</v>
      </c>
      <c r="C41" s="252" t="str">
        <f>IF(Journey!Q21="C","C",IF(Journey!Q21="P","P",""))</f>
        <v/>
      </c>
      <c r="E41" s="247">
        <v>5</v>
      </c>
      <c r="F41" s="248" t="str">
        <f>Badges!C46</f>
        <v>Attend the big event</v>
      </c>
      <c r="G41" s="249"/>
      <c r="I41" s="247"/>
      <c r="J41" s="248" t="str">
        <f>Badges!C104</f>
        <v>Wilderness rescue</v>
      </c>
      <c r="K41" s="250" t="str">
        <f>IF(Badges!Q104="A","A"," ")</f>
        <v xml:space="preserve"> </v>
      </c>
      <c r="M41" s="247"/>
      <c r="N41" s="248" t="str">
        <f>Badges!C174</f>
        <v>Focus on your finances</v>
      </c>
      <c r="O41" s="250" t="str">
        <f>IF(Badges!Q174="A","A"," ")</f>
        <v xml:space="preserve"> </v>
      </c>
    </row>
    <row r="42" spans="1:19" x14ac:dyDescent="0.2">
      <c r="A42" s="254"/>
      <c r="B42" s="475" t="str">
        <f>Journey!A25</f>
        <v>BLISS: Live it! Give It!</v>
      </c>
      <c r="C42" s="476"/>
      <c r="E42" s="247"/>
      <c r="F42" s="248" t="str">
        <f>Badges!C47</f>
        <v>Meet with your players for a relaxing</v>
      </c>
      <c r="G42" s="250" t="str">
        <f>IF(Badges!Q47="A","A"," ")</f>
        <v xml:space="preserve"> </v>
      </c>
      <c r="I42" s="247"/>
      <c r="J42" s="248" t="str">
        <f>Badges!C105</f>
        <v>Disaster preparedness</v>
      </c>
      <c r="K42" s="250" t="str">
        <f>IF(Badges!Q105="A","A"," ")</f>
        <v xml:space="preserve"> </v>
      </c>
      <c r="M42" s="247"/>
      <c r="N42" s="248" t="str">
        <f>Badges!C175</f>
        <v>Shop talk</v>
      </c>
      <c r="O42" s="250" t="str">
        <f>IF(Badges!Q175="A","A"," ")</f>
        <v xml:space="preserve"> </v>
      </c>
      <c r="Q42" s="505"/>
      <c r="R42" s="505"/>
      <c r="S42" s="240"/>
    </row>
    <row r="43" spans="1:19" x14ac:dyDescent="0.2">
      <c r="B43" s="477" t="str">
        <f>Journey!B26</f>
        <v>Dream Maker Award</v>
      </c>
      <c r="C43" s="478"/>
      <c r="E43" s="247"/>
      <c r="F43" s="248" t="str">
        <f>Badges!C48</f>
        <v>Host a celebration</v>
      </c>
      <c r="G43" s="250" t="str">
        <f>IF(Badges!Q48="A","A"," ")</f>
        <v xml:space="preserve"> </v>
      </c>
      <c r="I43" s="247"/>
      <c r="J43" s="248" t="str">
        <f>Badges!C106</f>
        <v>Military medicine</v>
      </c>
      <c r="K43" s="250" t="str">
        <f>IF(Badges!Q106="A","A"," ")</f>
        <v xml:space="preserve"> </v>
      </c>
      <c r="M43" s="247"/>
      <c r="N43" s="248" t="str">
        <f>Badges!C176</f>
        <v>Audit request</v>
      </c>
      <c r="O43" s="250" t="str">
        <f>IF(Badges!Q176="A","A"," ")</f>
        <v xml:space="preserve"> </v>
      </c>
      <c r="Q43" s="267"/>
      <c r="R43" s="267"/>
      <c r="S43" s="240"/>
    </row>
    <row r="44" spans="1:19" x14ac:dyDescent="0.2">
      <c r="B44" s="256">
        <f>Journey!P27</f>
        <v>0</v>
      </c>
      <c r="C44" s="252" t="str">
        <f>IF(Journey!Q27="C","C",IF(Journey!Q27="P","P",""))</f>
        <v/>
      </c>
      <c r="E44" s="247"/>
      <c r="F44" s="248" t="str">
        <f>Badges!C49</f>
        <v>Make a "trading card" for each athlete</v>
      </c>
      <c r="G44" s="250" t="str">
        <f>IF(Badges!Q49="A","A","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Journey!P28</f>
        <v>0</v>
      </c>
      <c r="C45" s="252" t="str">
        <f>IF(Journey!Q28="C","C",IF(Journey!Q28="P","P",""))</f>
        <v/>
      </c>
      <c r="E45" s="492" t="str">
        <f>Badges!B52</f>
        <v>Public Policy</v>
      </c>
      <c r="F45" s="492"/>
      <c r="G45" s="492"/>
      <c r="I45" s="247"/>
      <c r="J45" s="248" t="str">
        <f>Badges!C108</f>
        <v>Take a wilderness first aid course</v>
      </c>
      <c r="K45" s="250" t="str">
        <f>IF(Badges!Q108="A","A"," ")</f>
        <v xml:space="preserve"> </v>
      </c>
      <c r="M45" s="247"/>
      <c r="N45" s="248" t="str">
        <f>Badges!C178</f>
        <v>Hooray for hobbies!</v>
      </c>
      <c r="O45" s="250" t="str">
        <f>IF(Badges!Q178="A","A"," ")</f>
        <v xml:space="preserve"> </v>
      </c>
      <c r="Q45" s="267"/>
      <c r="R45" s="267"/>
      <c r="S45" s="240"/>
    </row>
    <row r="46" spans="1:19" x14ac:dyDescent="0.2">
      <c r="B46" s="256">
        <f>Journey!P29</f>
        <v>0</v>
      </c>
      <c r="C46" s="252" t="str">
        <f>IF(Journey!Q29="C","C",IF(Journey!Q29="P","P",""))</f>
        <v/>
      </c>
      <c r="E46" s="247">
        <v>1</v>
      </c>
      <c r="F46" s="248" t="str">
        <f>Badges!C53</f>
        <v>Find out how activitists advocate for change</v>
      </c>
      <c r="G46" s="249" t="s">
        <v>26</v>
      </c>
      <c r="I46" s="247"/>
      <c r="J46" s="248" t="str">
        <f>Badges!C109</f>
        <v>Interview a doctor, nurse, EMT, or first</v>
      </c>
      <c r="K46" s="250" t="str">
        <f>IF(Badges!Q109="A","A"," ")</f>
        <v xml:space="preserve"> </v>
      </c>
      <c r="M46" s="247"/>
      <c r="N46" s="248" t="str">
        <f>Badges!C179</f>
        <v>Treat yourself</v>
      </c>
      <c r="O46" s="250" t="str">
        <f>IF(Badges!Q179="A","A"," ")</f>
        <v xml:space="preserve"> </v>
      </c>
      <c r="Q46" s="267"/>
      <c r="R46" s="267"/>
      <c r="S46" s="240"/>
    </row>
    <row r="47" spans="1:19" x14ac:dyDescent="0.2">
      <c r="B47" s="256">
        <f>Journey!P30</f>
        <v>0</v>
      </c>
      <c r="C47" s="252" t="str">
        <f>IF(Journey!Q30="C","C",IF(Journey!Q30="P","P",""))</f>
        <v/>
      </c>
      <c r="E47" s="247"/>
      <c r="F47" s="248" t="str">
        <f>Badges!C54</f>
        <v>Interview an activist</v>
      </c>
      <c r="G47" s="250" t="str">
        <f>IF(Badges!Q54="A","A"," ")</f>
        <v xml:space="preserve"> </v>
      </c>
      <c r="I47" s="247"/>
      <c r="J47" s="248" t="str">
        <f>Badges!C110</f>
        <v xml:space="preserve">Discover how to use what's on hand in </v>
      </c>
      <c r="K47" s="250" t="str">
        <f>IF(Badges!Q110="A","A"," ")</f>
        <v xml:space="preserve"> </v>
      </c>
      <c r="M47" s="247"/>
      <c r="N47" s="248" t="str">
        <f>Badges!C180</f>
        <v>Class act</v>
      </c>
      <c r="O47" s="250" t="str">
        <f>IF(Badges!Q180="A","A"," ")</f>
        <v xml:space="preserve"> </v>
      </c>
      <c r="Q47" s="267"/>
      <c r="R47" s="267"/>
      <c r="S47" s="240"/>
    </row>
    <row r="48" spans="1:19" x14ac:dyDescent="0.2">
      <c r="B48" s="264"/>
      <c r="C48" s="264"/>
      <c r="E48" s="247"/>
      <c r="F48" s="248" t="str">
        <f>Badges!C55</f>
        <v>Watch a documentary or movie</v>
      </c>
      <c r="G48" s="250" t="str">
        <f>IF(Badges!Q55="A","A"," ")</f>
        <v xml:space="preserve"> </v>
      </c>
      <c r="I48" s="339" t="str">
        <f>Badges!B98</f>
        <v>Ambassador First Aid</v>
      </c>
      <c r="J48" s="340"/>
      <c r="K48" s="340"/>
      <c r="M48" s="247">
        <v>4</v>
      </c>
      <c r="N48" s="248" t="str">
        <f>Badges!C181</f>
        <v>Plan for the unexpected</v>
      </c>
      <c r="O48" s="249"/>
    </row>
    <row r="49" spans="1:19" x14ac:dyDescent="0.2">
      <c r="A49" s="484" t="s">
        <v>316</v>
      </c>
      <c r="B49" s="484"/>
      <c r="C49" s="484"/>
      <c r="E49" s="247"/>
      <c r="F49" s="248" t="str">
        <f>Badges!C56</f>
        <v xml:space="preserve">Read about women who change the </v>
      </c>
      <c r="G49" s="250" t="str">
        <f>IF(Badges!Q56="A","A"," ")</f>
        <v xml:space="preserve"> </v>
      </c>
      <c r="I49" s="247">
        <v>4</v>
      </c>
      <c r="J49" s="248" t="str">
        <f>Badges!C111</f>
        <v>Know how to move an injured person</v>
      </c>
      <c r="K49" s="249"/>
      <c r="M49" s="247"/>
      <c r="N49" s="248" t="str">
        <f>Badges!C182</f>
        <v>Interview your network</v>
      </c>
      <c r="O49" s="250" t="str">
        <f>IF(Badges!Q182="A","A"," ")</f>
        <v xml:space="preserve"> </v>
      </c>
    </row>
    <row r="50" spans="1:19" x14ac:dyDescent="0.2">
      <c r="A50" s="259"/>
      <c r="B50" s="345" t="str">
        <f>Bridging!B6</f>
        <v>Pass It On!</v>
      </c>
      <c r="C50" s="251" t="str">
        <f>IF(Bridging!Q10="C","C",IF(Bridging!Q10="P","P",""))</f>
        <v/>
      </c>
      <c r="E50" s="247">
        <v>2</v>
      </c>
      <c r="F50" s="248" t="str">
        <f>Badges!C57</f>
        <v>Engage as a global citizen</v>
      </c>
      <c r="G50" s="249"/>
      <c r="I50" s="247"/>
      <c r="J50" s="248" t="str">
        <f>Badges!C112</f>
        <v>Visit a medical school</v>
      </c>
      <c r="K50" s="250" t="str">
        <f>IF(Badges!Q112="A","A"," ")</f>
        <v xml:space="preserve"> </v>
      </c>
      <c r="M50" s="247"/>
      <c r="N50" s="248" t="str">
        <f>Badges!C183</f>
        <v>Interview a Financial guru</v>
      </c>
      <c r="O50" s="250" t="str">
        <f>IF(Badges!Q183="A","A"," ")</f>
        <v xml:space="preserve"> </v>
      </c>
    </row>
    <row r="51" spans="1:19" x14ac:dyDescent="0.2">
      <c r="A51" s="259"/>
      <c r="B51" s="260" t="str">
        <f>Bridging!B11</f>
        <v>Look Ahead!</v>
      </c>
      <c r="C51" s="251" t="str">
        <f>IF(Bridging!Q15="C","C",IF(Bridging!Q15="P","P",""))</f>
        <v/>
      </c>
      <c r="E51" s="247"/>
      <c r="F51" s="248" t="str">
        <f>Badges!C58</f>
        <v>Compare laws</v>
      </c>
      <c r="G51" s="250" t="str">
        <f>IF(Badges!Q58="A","A"," ")</f>
        <v xml:space="preserve"> </v>
      </c>
      <c r="I51" s="247"/>
      <c r="J51" s="248" t="str">
        <f>Badges!C113</f>
        <v>Take a wilderness first aid course</v>
      </c>
      <c r="K51" s="250" t="str">
        <f>IF(Badges!Q113="A","A"," ")</f>
        <v xml:space="preserve"> </v>
      </c>
      <c r="M51" s="247"/>
      <c r="N51" s="248" t="str">
        <f>Badges!C184</f>
        <v>Interview an insurance expert</v>
      </c>
      <c r="O51" s="250" t="str">
        <f>IF(Badges!Q184="A","A"," ")</f>
        <v xml:space="preserve"> </v>
      </c>
    </row>
    <row r="52" spans="1:19" x14ac:dyDescent="0.2">
      <c r="A52" s="259"/>
      <c r="B52" s="344" t="str">
        <f>Bridging!C16</f>
        <v>Plan a Ceremony</v>
      </c>
      <c r="C52" s="251" t="str">
        <f>IF(Bridging!Q17="C","C",IF(Bridging!Q17="P","P",""))</f>
        <v/>
      </c>
      <c r="E52" s="247"/>
      <c r="F52" s="248" t="str">
        <f>Badges!C59</f>
        <v xml:space="preserve">Track a public-policy issue being </v>
      </c>
      <c r="G52" s="250" t="str">
        <f>IF(Badges!Q59="A","A"," ")</f>
        <v xml:space="preserve"> </v>
      </c>
      <c r="I52" s="247"/>
      <c r="J52" s="248" t="str">
        <f>Badges!C114</f>
        <v>Organize a mock emergency drill</v>
      </c>
      <c r="K52" s="250" t="str">
        <f>IF(Badges!Q114="A","A"," ")</f>
        <v xml:space="preserve"> </v>
      </c>
      <c r="M52" s="339" t="str">
        <f>Badges!B168</f>
        <v>On My Own</v>
      </c>
      <c r="N52" s="340"/>
      <c r="O52" s="340"/>
    </row>
    <row r="53" spans="1:19" x14ac:dyDescent="0.2">
      <c r="B53" s="261" t="s">
        <v>134</v>
      </c>
      <c r="C53" s="251" t="str">
        <f>IF(Bridging!Q18="C","C",IF(Bridging!Q18="P","P",""))</f>
        <v/>
      </c>
      <c r="E53" s="247"/>
      <c r="F53" s="248" t="str">
        <f>Badges!C60</f>
        <v>Explore an international NGO</v>
      </c>
      <c r="G53" s="250" t="str">
        <f>IF(Badges!Q60="A","A","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IF(Badges!Q116="A","A"," ")</f>
        <v xml:space="preserve"> </v>
      </c>
      <c r="M54" s="247"/>
      <c r="N54" s="248" t="str">
        <f>Badges!C186</f>
        <v>Plan for presents</v>
      </c>
      <c r="O54" s="250" t="str">
        <f>IF(Badges!Q186="A","A"," ")</f>
        <v xml:space="preserve"> </v>
      </c>
      <c r="Q54" s="267"/>
      <c r="R54" s="267"/>
      <c r="S54" s="240"/>
    </row>
    <row r="55" spans="1:19" x14ac:dyDescent="0.2">
      <c r="I55" s="247"/>
      <c r="J55" s="248" t="str">
        <f>Badges!C117</f>
        <v>Investigate extreme first aid</v>
      </c>
      <c r="K55" s="250" t="str">
        <f>IF(Badges!Q117="A","A"," ")</f>
        <v xml:space="preserve"> </v>
      </c>
      <c r="M55" s="247"/>
      <c r="N55" s="248" t="str">
        <f>Badges!C187</f>
        <v>Budget for your time</v>
      </c>
      <c r="O55" s="250" t="str">
        <f>IF(Badges!Q187="A","A"," ")</f>
        <v xml:space="preserve"> </v>
      </c>
      <c r="Q55" s="496"/>
      <c r="R55" s="496"/>
      <c r="S55" s="496"/>
    </row>
    <row r="56" spans="1:19" x14ac:dyDescent="0.2">
      <c r="I56" s="247"/>
      <c r="J56" s="248" t="str">
        <f>Badges!C118</f>
        <v>Interview an everyday hero</v>
      </c>
      <c r="K56" s="250" t="str">
        <f>IF(Badges!Q118="A","A"," ")</f>
        <v xml:space="preserve"> </v>
      </c>
      <c r="M56" s="247"/>
      <c r="N56" s="248" t="str">
        <f>Badges!C188</f>
        <v>Charity starts… with a budget</v>
      </c>
      <c r="O56" s="250" t="str">
        <f>IF(Badges!Q188="A","A","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IF(Badges!Q123="A","A"," ")</f>
        <v xml:space="preserve"> </v>
      </c>
      <c r="M59" s="247"/>
      <c r="N59" s="248" t="str">
        <f>Badges!C217</f>
        <v>Invest some R&amp;D</v>
      </c>
      <c r="O59" s="250" t="str">
        <f>IF(Badges!Q217="A","A"," ")</f>
        <v xml:space="preserve"> </v>
      </c>
    </row>
    <row r="60" spans="1:19" x14ac:dyDescent="0.2">
      <c r="I60" s="247"/>
      <c r="J60" s="248" t="str">
        <f>Badges!C124</f>
        <v xml:space="preserve">Ogranize a songfest for younger </v>
      </c>
      <c r="K60" s="250" t="str">
        <f>IF(Badges!Q124="A","A"," ")</f>
        <v xml:space="preserve"> </v>
      </c>
      <c r="M60" s="247">
        <v>2</v>
      </c>
      <c r="N60" s="248" t="str">
        <f>Badges!C218</f>
        <v>Reasearch how other companies innovate</v>
      </c>
      <c r="O60" s="249"/>
    </row>
    <row r="61" spans="1:19" x14ac:dyDescent="0.2">
      <c r="I61" s="247"/>
      <c r="J61" s="248" t="str">
        <f>Badges!C125</f>
        <v>Bring generations together in song</v>
      </c>
      <c r="K61" s="250" t="str">
        <f>IF(Badges!Q125="A","A"," ")</f>
        <v xml:space="preserve"> </v>
      </c>
      <c r="M61" s="247"/>
      <c r="N61" s="248" t="str">
        <f>Badges!C219</f>
        <v>Find at least three other companies</v>
      </c>
      <c r="O61" s="250" t="str">
        <f>IF(Badges!Q219="A","A"," ")</f>
        <v xml:space="preserve"> </v>
      </c>
    </row>
    <row r="62" spans="1:19"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IF(Badges!Q127="A","A"," ")</f>
        <v xml:space="preserve"> </v>
      </c>
      <c r="M63" s="247"/>
      <c r="N63" s="248" t="str">
        <f>Badges!C221</f>
        <v>Developing a new product</v>
      </c>
      <c r="O63" s="250" t="str">
        <f>IF(Badges!Q221="A","A"," ")</f>
        <v xml:space="preserve"> </v>
      </c>
    </row>
    <row r="64" spans="1:19" x14ac:dyDescent="0.2">
      <c r="I64" s="247"/>
      <c r="J64" s="248" t="str">
        <f>Badges!C128</f>
        <v>Make World Thinking Day cards</v>
      </c>
      <c r="K64" s="250" t="str">
        <f>IF(Badges!Q128="A","A","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IF(Badges!Q129="A","A"," ")</f>
        <v xml:space="preserve"> </v>
      </c>
      <c r="M65" s="247"/>
      <c r="N65" s="248" t="str">
        <f>Badges!C223</f>
        <v>If you're considering serveral</v>
      </c>
      <c r="O65" s="250" t="str">
        <f>IF(Badges!Q223="A","A","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IF(Badges!Q225="A","A","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484"/>
      <c r="G72" s="484"/>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Own'!Q28="C","C",IF('Council Own'!Q28="P","P",""))</f>
        <v/>
      </c>
      <c r="E73" s="493" t="str">
        <f>'Fun Patches'!C5</f>
        <v>&lt;LIST PATCH HERE&gt;</v>
      </c>
      <c r="F73" s="494"/>
      <c r="G73" s="250" t="str">
        <f>IF('Fun Patches'!Q5="A","A","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Own'!Q52="C","C",IF('Council Own'!Q52="P","P",""))</f>
        <v/>
      </c>
      <c r="E74" s="471" t="str">
        <f>'Fun Patches'!C6</f>
        <v>&lt;LIST PATCH HERE&gt;</v>
      </c>
      <c r="F74" s="472"/>
      <c r="G74" s="257" t="str">
        <f>IF('Fun Patches'!Q6="A","A"," ")</f>
        <v xml:space="preserve"> </v>
      </c>
      <c r="H74" s="254"/>
      <c r="I74" s="247">
        <v>1</v>
      </c>
      <c r="J74" s="344" t="str">
        <f>'Council Own'!C7</f>
        <v>&lt;List Requirement Here&gt;</v>
      </c>
      <c r="K74" s="257" t="str">
        <f>IF('Council Own'!Q7="A","A"," ")</f>
        <v xml:space="preserve"> </v>
      </c>
      <c r="L74" s="254"/>
      <c r="M74" s="247">
        <v>1</v>
      </c>
      <c r="N74" s="344" t="str">
        <f>'Council Own'!C55</f>
        <v>&lt;List Requirement Here&gt;</v>
      </c>
      <c r="O74" s="257" t="str">
        <f>IF('Council Own'!Q55="A","A"," ")</f>
        <v xml:space="preserve"> </v>
      </c>
      <c r="Q74" s="247">
        <v>1</v>
      </c>
      <c r="R74" s="344" t="str">
        <f>'Council Own'!C103</f>
        <v>&lt;List Requirement Here&gt;</v>
      </c>
      <c r="S74" s="257" t="str">
        <f>IF('Council Own'!Q103="A","A"," ")</f>
        <v xml:space="preserve"> </v>
      </c>
    </row>
    <row r="75" spans="1:19" x14ac:dyDescent="0.2">
      <c r="A75" s="485" t="str">
        <f>'Council Own'!B54</f>
        <v>&lt;&lt;List Badge Here&gt;&gt;</v>
      </c>
      <c r="B75" s="486"/>
      <c r="C75" s="252" t="str">
        <f>IF('Council Own'!Q76="C","C",IF('Council Own'!Q76="P","P",""))</f>
        <v/>
      </c>
      <c r="E75" s="471" t="str">
        <f>'Fun Patches'!C7</f>
        <v>&lt;LIST PATCH HERE&gt;</v>
      </c>
      <c r="F75" s="472"/>
      <c r="G75" s="257" t="str">
        <f>IF('Fun Patches'!Q7="A","A"," ")</f>
        <v xml:space="preserve"> </v>
      </c>
      <c r="H75" s="254"/>
      <c r="I75" s="247"/>
      <c r="J75" s="344" t="str">
        <f>'Council Own'!C8</f>
        <v>&lt;List Requirement Here&gt;</v>
      </c>
      <c r="K75" s="257" t="str">
        <f>IF('Council Own'!Q8="A","A"," ")</f>
        <v xml:space="preserve"> </v>
      </c>
      <c r="L75" s="254"/>
      <c r="M75" s="247"/>
      <c r="N75" s="344" t="str">
        <f>'Council Own'!C56</f>
        <v>&lt;List Requirement Here&gt;</v>
      </c>
      <c r="O75" s="257" t="str">
        <f>IF('Council Own'!Q56="A","A"," ")</f>
        <v xml:space="preserve"> </v>
      </c>
      <c r="Q75" s="247"/>
      <c r="R75" s="344" t="str">
        <f>'Council Own'!C104</f>
        <v>&lt;List Requirement Here&gt;</v>
      </c>
      <c r="S75" s="257" t="str">
        <f>IF('Council Own'!Q104="A","A"," ")</f>
        <v xml:space="preserve"> </v>
      </c>
    </row>
    <row r="76" spans="1:19" x14ac:dyDescent="0.2">
      <c r="A76" s="485" t="str">
        <f>'Council Own'!B78</f>
        <v>&lt;&lt;List Badge Here&gt;&gt;</v>
      </c>
      <c r="B76" s="486"/>
      <c r="C76" s="252" t="str">
        <f>IF('Council Own'!Q100="C","C",IF('Council Own'!Q100="P","P",""))</f>
        <v/>
      </c>
      <c r="E76" s="471" t="str">
        <f>'Fun Patches'!C8</f>
        <v>&lt;LIST PATCH HERE&gt;</v>
      </c>
      <c r="F76" s="472"/>
      <c r="G76" s="257" t="str">
        <f>IF('Fun Patches'!Q8="A","A"," ")</f>
        <v xml:space="preserve"> </v>
      </c>
      <c r="H76" s="254"/>
      <c r="I76" s="247"/>
      <c r="J76" s="344" t="str">
        <f>'Council Own'!C9</f>
        <v>&lt;List Requirement Here&gt;</v>
      </c>
      <c r="K76" s="257" t="str">
        <f>IF('Council Own'!Q9="A","A"," ")</f>
        <v xml:space="preserve"> </v>
      </c>
      <c r="L76" s="254"/>
      <c r="M76" s="247"/>
      <c r="N76" s="344" t="str">
        <f>'Council Own'!C57</f>
        <v>&lt;List Requirement Here&gt;</v>
      </c>
      <c r="O76" s="257" t="str">
        <f>IF('Council Own'!Q57="A","A"," ")</f>
        <v xml:space="preserve"> </v>
      </c>
      <c r="Q76" s="247"/>
      <c r="R76" s="344" t="str">
        <f>'Council Own'!C105</f>
        <v>&lt;List Requirement Here&gt;</v>
      </c>
      <c r="S76" s="257" t="str">
        <f>IF('Council Own'!Q105="A","A"," ")</f>
        <v xml:space="preserve"> </v>
      </c>
    </row>
    <row r="77" spans="1:19" x14ac:dyDescent="0.2">
      <c r="A77" s="485" t="str">
        <f>'Council Own'!B102</f>
        <v>&lt;&lt;List Badge Here&gt;&gt;</v>
      </c>
      <c r="B77" s="486"/>
      <c r="C77" s="252" t="str">
        <f>IF('Council Own'!Q124="C","C",IF('Council Own'!Q124="P","P",""))</f>
        <v/>
      </c>
      <c r="E77" s="471" t="str">
        <f>'Fun Patches'!C9</f>
        <v>&lt;LIST PATCH HERE&gt;</v>
      </c>
      <c r="F77" s="472"/>
      <c r="G77" s="257" t="str">
        <f>IF('Fun Patches'!Q9="A","A"," ")</f>
        <v xml:space="preserve"> </v>
      </c>
      <c r="H77" s="254"/>
      <c r="I77" s="247"/>
      <c r="J77" s="344" t="str">
        <f>'Council Own'!C10</f>
        <v>&lt;List Requirement Here&gt;</v>
      </c>
      <c r="K77" s="257" t="str">
        <f>IF('Council Own'!Q10="A","A"," ")</f>
        <v xml:space="preserve"> </v>
      </c>
      <c r="L77" s="254"/>
      <c r="M77" s="247"/>
      <c r="N77" s="344" t="str">
        <f>'Council Own'!C58</f>
        <v>&lt;List Requirement Here&gt;</v>
      </c>
      <c r="O77" s="257" t="str">
        <f>IF('Council Own'!Q58="A","A"," ")</f>
        <v xml:space="preserve"> </v>
      </c>
      <c r="Q77" s="247"/>
      <c r="R77" s="344" t="str">
        <f>'Council Own'!C106</f>
        <v>&lt;List Requirement Here&gt;</v>
      </c>
      <c r="S77" s="257" t="str">
        <f>IF('Council Own'!Q106="A","A"," ")</f>
        <v xml:space="preserve"> </v>
      </c>
    </row>
    <row r="78" spans="1:19" x14ac:dyDescent="0.2">
      <c r="A78" s="485" t="str">
        <f>'Council Own'!B126</f>
        <v>&lt;&lt;List Badge Here&gt;&gt;</v>
      </c>
      <c r="B78" s="486"/>
      <c r="C78" s="252" t="str">
        <f>IF('Council Own'!Q148="C","C",IF('Council Own'!Q148="P","P",""))</f>
        <v/>
      </c>
      <c r="E78" s="471" t="str">
        <f>'Fun Patches'!C10</f>
        <v>&lt;LIST PATCH HERE&gt;</v>
      </c>
      <c r="F78" s="472"/>
      <c r="G78" s="257" t="str">
        <f>IF('Fun Patches'!Q10="A","A"," ")</f>
        <v xml:space="preserve"> </v>
      </c>
      <c r="I78" s="247">
        <v>2</v>
      </c>
      <c r="J78" s="344" t="str">
        <f>'Council Own'!C11</f>
        <v>&lt;List Requirement Here&gt;</v>
      </c>
      <c r="K78" s="257" t="str">
        <f>IF('Council Own'!Q11="A","A"," ")</f>
        <v xml:space="preserve"> </v>
      </c>
      <c r="M78" s="247">
        <v>2</v>
      </c>
      <c r="N78" s="344" t="str">
        <f>'Council Own'!C59</f>
        <v>&lt;List Requirement Here&gt;</v>
      </c>
      <c r="O78" s="257" t="str">
        <f>IF('Council Own'!Q59="A","A"," ")</f>
        <v xml:space="preserve"> </v>
      </c>
      <c r="Q78" s="247">
        <v>2</v>
      </c>
      <c r="R78" s="344" t="str">
        <f>'Council Own'!C107</f>
        <v>&lt;List Requirement Here&gt;</v>
      </c>
      <c r="S78" s="257" t="str">
        <f>IF('Council Own'!Q107="A","A"," ")</f>
        <v xml:space="preserve"> </v>
      </c>
    </row>
    <row r="79" spans="1:19" x14ac:dyDescent="0.2">
      <c r="E79" s="471" t="str">
        <f>'Fun Patches'!C11</f>
        <v>&lt;LIST PATCH HERE&gt;</v>
      </c>
      <c r="F79" s="472"/>
      <c r="G79" s="257" t="str">
        <f>IF('Fun Patches'!Q11="A","A"," ")</f>
        <v xml:space="preserve"> </v>
      </c>
      <c r="I79" s="247"/>
      <c r="J79" s="344" t="str">
        <f>'Council Own'!C12</f>
        <v>&lt;List Requirement Here&gt;</v>
      </c>
      <c r="K79" s="257" t="str">
        <f>IF('Council Own'!Q12="A","A"," ")</f>
        <v xml:space="preserve"> </v>
      </c>
      <c r="M79" s="247"/>
      <c r="N79" s="344" t="str">
        <f>'Council Own'!C60</f>
        <v>&lt;List Requirement Here&gt;</v>
      </c>
      <c r="O79" s="257" t="str">
        <f>IF('Council Own'!Q60="A","A"," ")</f>
        <v xml:space="preserve"> </v>
      </c>
      <c r="Q79" s="247"/>
      <c r="R79" s="344" t="str">
        <f>'Council Own'!C108</f>
        <v>&lt;List Requirement Here&gt;</v>
      </c>
      <c r="S79" s="257" t="str">
        <f>IF('Council Own'!Q108="A","A"," ")</f>
        <v xml:space="preserve"> </v>
      </c>
    </row>
    <row r="80" spans="1:19" x14ac:dyDescent="0.2">
      <c r="E80" s="471" t="str">
        <f>'Fun Patches'!C12</f>
        <v>&lt;LIST PATCH HERE&gt;</v>
      </c>
      <c r="F80" s="472"/>
      <c r="G80" s="257" t="str">
        <f>IF('Fun Patches'!Q12="A","A"," ")</f>
        <v xml:space="preserve"> </v>
      </c>
      <c r="I80" s="247"/>
      <c r="J80" s="344" t="str">
        <f>'Council Own'!C13</f>
        <v>&lt;List Requirement Here&gt;</v>
      </c>
      <c r="K80" s="257" t="str">
        <f>IF('Council Own'!Q13="A","A"," ")</f>
        <v xml:space="preserve"> </v>
      </c>
      <c r="M80" s="247"/>
      <c r="N80" s="344" t="str">
        <f>'Council Own'!C61</f>
        <v>&lt;List Requirement Here&gt;</v>
      </c>
      <c r="O80" s="257" t="str">
        <f>IF('Council Own'!Q61="A","A"," ")</f>
        <v xml:space="preserve"> </v>
      </c>
      <c r="Q80" s="247"/>
      <c r="R80" s="344" t="str">
        <f>'Council Own'!C109</f>
        <v>&lt;List Requirement Here&gt;</v>
      </c>
      <c r="S80" s="257" t="str">
        <f>IF('Council Own'!Q109="A","A"," ")</f>
        <v xml:space="preserve"> </v>
      </c>
    </row>
    <row r="81" spans="1:22" x14ac:dyDescent="0.2">
      <c r="E81" s="471" t="str">
        <f>'Fun Patches'!C13</f>
        <v>&lt;LIST PATCH HERE&gt;</v>
      </c>
      <c r="F81" s="472"/>
      <c r="G81" s="257" t="str">
        <f>IF('Fun Patches'!Q13="A","A"," ")</f>
        <v xml:space="preserve"> </v>
      </c>
      <c r="I81" s="247"/>
      <c r="J81" s="344" t="str">
        <f>'Council Own'!C14</f>
        <v>&lt;List Requirement Here&gt;</v>
      </c>
      <c r="K81" s="257" t="str">
        <f>IF('Council Own'!Q14="A","A"," ")</f>
        <v xml:space="preserve"> </v>
      </c>
      <c r="M81" s="247"/>
      <c r="N81" s="344" t="str">
        <f>'Council Own'!C62</f>
        <v>&lt;List Requirement Here&gt;</v>
      </c>
      <c r="O81" s="257" t="str">
        <f>IF('Council Own'!Q62="A","A"," ")</f>
        <v xml:space="preserve"> </v>
      </c>
      <c r="Q81" s="247"/>
      <c r="R81" s="344" t="str">
        <f>'Council Own'!C110</f>
        <v>&lt;List Requirement Here&gt;</v>
      </c>
      <c r="S81" s="257" t="str">
        <f>IF('Council Own'!Q110="A","A"," ")</f>
        <v xml:space="preserve"> </v>
      </c>
    </row>
    <row r="82" spans="1:22" x14ac:dyDescent="0.2">
      <c r="E82" s="471" t="str">
        <f>'Fun Patches'!C14</f>
        <v>&lt;LIST PATCH HERE&gt;</v>
      </c>
      <c r="F82" s="472"/>
      <c r="G82" s="257" t="str">
        <f>IF('Fun Patches'!Q14="A","A"," ")</f>
        <v xml:space="preserve"> </v>
      </c>
      <c r="I82" s="247">
        <v>3</v>
      </c>
      <c r="J82" s="344" t="str">
        <f>'Council Own'!C15</f>
        <v>&lt;List Requirement Here&gt;</v>
      </c>
      <c r="K82" s="257" t="str">
        <f>IF('Council Own'!Q15="A","A"," ")</f>
        <v xml:space="preserve"> </v>
      </c>
      <c r="M82" s="247">
        <v>3</v>
      </c>
      <c r="N82" s="344" t="str">
        <f>'Council Own'!C63</f>
        <v>&lt;List Requirement Here&gt;</v>
      </c>
      <c r="O82" s="257" t="str">
        <f>IF('Council Own'!Q63="A","A"," ")</f>
        <v xml:space="preserve"> </v>
      </c>
      <c r="Q82" s="247">
        <v>3</v>
      </c>
      <c r="R82" s="344" t="str">
        <f>'Council Own'!C111</f>
        <v>&lt;List Requirement Here&gt;</v>
      </c>
      <c r="S82" s="257" t="str">
        <f>IF('Council Own'!Q111="A","A"," ")</f>
        <v xml:space="preserve"> </v>
      </c>
    </row>
    <row r="83" spans="1:22" x14ac:dyDescent="0.2">
      <c r="E83" s="471" t="str">
        <f>'Fun Patches'!C15</f>
        <v>&lt;LIST PATCH HERE&gt;</v>
      </c>
      <c r="F83" s="472"/>
      <c r="G83" s="257" t="str">
        <f>IF('Fun Patches'!Q15="A","A"," ")</f>
        <v xml:space="preserve"> </v>
      </c>
      <c r="I83" s="247"/>
      <c r="J83" s="344" t="str">
        <f>'Council Own'!C16</f>
        <v>&lt;List Requirement Here&gt;</v>
      </c>
      <c r="K83" s="257" t="str">
        <f>IF('Council Own'!Q16="A","A"," ")</f>
        <v xml:space="preserve"> </v>
      </c>
      <c r="M83" s="247"/>
      <c r="N83" s="344" t="str">
        <f>'Council Own'!C64</f>
        <v>&lt;List Requirement Here&gt;</v>
      </c>
      <c r="O83" s="257" t="str">
        <f>IF('Council Own'!Q64="A","A"," ")</f>
        <v xml:space="preserve"> </v>
      </c>
      <c r="Q83" s="247"/>
      <c r="R83" s="344" t="str">
        <f>'Council Own'!C112</f>
        <v>&lt;List Requirement Here&gt;</v>
      </c>
      <c r="S83" s="257" t="str">
        <f>IF('Council Own'!Q112="A","A"," ")</f>
        <v xml:space="preserve"> </v>
      </c>
    </row>
    <row r="84" spans="1:22" x14ac:dyDescent="0.2">
      <c r="E84" s="471" t="str">
        <f>'Fun Patches'!C16</f>
        <v>&lt;LIST PATCH HERE&gt;</v>
      </c>
      <c r="F84" s="472"/>
      <c r="G84" s="257" t="str">
        <f>IF('Fun Patches'!Q16="A","A"," ")</f>
        <v xml:space="preserve"> </v>
      </c>
      <c r="I84" s="247"/>
      <c r="J84" s="344" t="str">
        <f>'Council Own'!C17</f>
        <v>&lt;List Requirement Here&gt;</v>
      </c>
      <c r="K84" s="257" t="str">
        <f>IF('Council Own'!Q17="A","A"," ")</f>
        <v xml:space="preserve"> </v>
      </c>
      <c r="M84" s="247"/>
      <c r="N84" s="344" t="str">
        <f>'Council Own'!C65</f>
        <v>&lt;List Requirement Here&gt;</v>
      </c>
      <c r="O84" s="257" t="str">
        <f>IF('Council Own'!Q65="A","A"," ")</f>
        <v xml:space="preserve"> </v>
      </c>
      <c r="Q84" s="247"/>
      <c r="R84" s="344" t="str">
        <f>'Council Own'!C113</f>
        <v>&lt;List Requirement Here&gt;</v>
      </c>
      <c r="S84" s="257" t="str">
        <f>IF('Council Own'!Q113="A","A"," ")</f>
        <v xml:space="preserve"> </v>
      </c>
    </row>
    <row r="85" spans="1:22" x14ac:dyDescent="0.2">
      <c r="E85" s="471" t="str">
        <f>'Fun Patches'!C17</f>
        <v>&lt;LIST PATCH HERE&gt;</v>
      </c>
      <c r="F85" s="472"/>
      <c r="G85" s="250" t="str">
        <f>IF('Fun Patches'!Q17="A","A"," ")</f>
        <v xml:space="preserve"> </v>
      </c>
      <c r="I85" s="247"/>
      <c r="J85" s="344" t="str">
        <f>'Council Own'!C18</f>
        <v>&lt;List Requirement Here&gt;</v>
      </c>
      <c r="K85" s="257" t="str">
        <f>IF('Council Own'!Q18="A","A"," ")</f>
        <v xml:space="preserve"> </v>
      </c>
      <c r="M85" s="247"/>
      <c r="N85" s="344" t="str">
        <f>'Council Own'!C66</f>
        <v>&lt;List Requirement Here&gt;</v>
      </c>
      <c r="O85" s="257" t="str">
        <f>IF('Council Own'!Q66="A","A"," ")</f>
        <v xml:space="preserve"> </v>
      </c>
      <c r="Q85" s="247"/>
      <c r="R85" s="344" t="str">
        <f>'Council Own'!C114</f>
        <v>&lt;List Requirement Here&gt;</v>
      </c>
      <c r="S85" s="257" t="str">
        <f>IF('Council Own'!Q114="A","A"," ")</f>
        <v xml:space="preserve"> </v>
      </c>
    </row>
    <row r="86" spans="1:22" x14ac:dyDescent="0.2">
      <c r="A86" s="242"/>
      <c r="B86" s="243"/>
      <c r="C86" s="244"/>
      <c r="E86" s="471" t="str">
        <f>'Fun Patches'!C18</f>
        <v>&lt;LIST PATCH HERE&gt;</v>
      </c>
      <c r="F86" s="472"/>
      <c r="G86" s="257" t="str">
        <f>IF('Fun Patches'!Q18="A","A"," ")</f>
        <v xml:space="preserve"> </v>
      </c>
      <c r="I86" s="247">
        <v>4</v>
      </c>
      <c r="J86" s="344" t="str">
        <f>'Council Own'!C19</f>
        <v>&lt;List Requirement Here&gt;</v>
      </c>
      <c r="K86" s="257" t="str">
        <f>IF('Council Own'!Q19="A","A"," ")</f>
        <v xml:space="preserve"> </v>
      </c>
      <c r="M86" s="247">
        <v>4</v>
      </c>
      <c r="N86" s="344" t="str">
        <f>'Council Own'!C67</f>
        <v>&lt;List Requirement Here&gt;</v>
      </c>
      <c r="O86" s="257" t="str">
        <f>IF('Council Own'!Q67="A","A"," ")</f>
        <v xml:space="preserve"> </v>
      </c>
      <c r="Q86" s="247">
        <v>4</v>
      </c>
      <c r="R86" s="344" t="str">
        <f>'Council Own'!C115</f>
        <v>&lt;List Requirement Here&gt;</v>
      </c>
      <c r="S86" s="257" t="str">
        <f>IF('Council Own'!Q115="A","A"," ")</f>
        <v xml:space="preserve"> </v>
      </c>
    </row>
    <row r="87" spans="1:22" x14ac:dyDescent="0.2">
      <c r="E87" s="471" t="str">
        <f>'Fun Patches'!C19</f>
        <v>&lt;LIST PATCH HERE&gt;</v>
      </c>
      <c r="F87" s="472"/>
      <c r="G87" s="257" t="str">
        <f>IF('Fun Patches'!Q19="A","A"," ")</f>
        <v xml:space="preserve"> </v>
      </c>
      <c r="I87" s="247"/>
      <c r="J87" s="344" t="str">
        <f>'Council Own'!C20</f>
        <v>&lt;List Requirement Here&gt;</v>
      </c>
      <c r="K87" s="257" t="str">
        <f>IF('Council Own'!Q20="A","A"," ")</f>
        <v xml:space="preserve"> </v>
      </c>
      <c r="M87" s="247"/>
      <c r="N87" s="344" t="str">
        <f>'Council Own'!C68</f>
        <v>&lt;List Requirement Here&gt;</v>
      </c>
      <c r="O87" s="257" t="str">
        <f>IF('Council Own'!Q68="A","A"," ")</f>
        <v xml:space="preserve"> </v>
      </c>
      <c r="Q87" s="247"/>
      <c r="R87" s="344" t="str">
        <f>'Council Own'!C116</f>
        <v>&lt;List Requirement Here&gt;</v>
      </c>
      <c r="S87" s="257" t="str">
        <f>IF('Council Own'!Q116="A","A"," ")</f>
        <v xml:space="preserve"> </v>
      </c>
    </row>
    <row r="88" spans="1:22" x14ac:dyDescent="0.2">
      <c r="E88" s="471" t="str">
        <f>'Fun Patches'!C20</f>
        <v>&lt;LIST PATCH HERE&gt;</v>
      </c>
      <c r="F88" s="472"/>
      <c r="G88" s="257" t="str">
        <f>IF('Fun Patches'!Q20="A","A"," ")</f>
        <v xml:space="preserve"> </v>
      </c>
      <c r="I88" s="247"/>
      <c r="J88" s="344" t="str">
        <f>'Council Own'!C21</f>
        <v>&lt;List Requirement Here&gt;</v>
      </c>
      <c r="K88" s="257" t="str">
        <f>IF('Council Own'!Q21="A","A"," ")</f>
        <v xml:space="preserve"> </v>
      </c>
      <c r="M88" s="247"/>
      <c r="N88" s="344" t="str">
        <f>'Council Own'!C69</f>
        <v>&lt;List Requirement Here&gt;</v>
      </c>
      <c r="O88" s="257" t="str">
        <f>IF('Council Own'!Q69="A","A"," ")</f>
        <v xml:space="preserve"> </v>
      </c>
      <c r="Q88" s="247"/>
      <c r="R88" s="344" t="str">
        <f>'Council Own'!C117</f>
        <v>&lt;List Requirement Here&gt;</v>
      </c>
      <c r="S88" s="257" t="str">
        <f>IF('Council Own'!Q117="A","A"," ")</f>
        <v xml:space="preserve"> </v>
      </c>
    </row>
    <row r="89" spans="1:22" x14ac:dyDescent="0.2">
      <c r="E89" s="471" t="str">
        <f>'Fun Patches'!C21</f>
        <v>&lt;LIST PATCH HERE&gt;</v>
      </c>
      <c r="F89" s="472"/>
      <c r="G89" s="257" t="str">
        <f>IF('Fun Patches'!Q21="A","A"," ")</f>
        <v xml:space="preserve"> </v>
      </c>
      <c r="I89" s="247"/>
      <c r="J89" s="344" t="str">
        <f>'Council Own'!C22</f>
        <v>&lt;List Requirement Here&gt;</v>
      </c>
      <c r="K89" s="257" t="str">
        <f>IF('Council Own'!Q22="A","A"," ")</f>
        <v xml:space="preserve"> </v>
      </c>
      <c r="M89" s="247"/>
      <c r="N89" s="344" t="str">
        <f>'Council Own'!C70</f>
        <v>&lt;List Requirement Here&gt;</v>
      </c>
      <c r="O89" s="257" t="str">
        <f>IF('Council Own'!Q70="A","A"," ")</f>
        <v xml:space="preserve"> </v>
      </c>
      <c r="Q89" s="247"/>
      <c r="R89" s="344" t="str">
        <f>'Council Own'!C118</f>
        <v>&lt;List Requirement Here&gt;</v>
      </c>
      <c r="S89" s="257" t="str">
        <f>IF('Council Own'!Q118="A","A"," ")</f>
        <v xml:space="preserve"> </v>
      </c>
    </row>
    <row r="90" spans="1:22" x14ac:dyDescent="0.2">
      <c r="E90" s="471" t="str">
        <f>'Fun Patches'!C22</f>
        <v>&lt;LIST PATCH HERE&gt;</v>
      </c>
      <c r="F90" s="472"/>
      <c r="G90" s="257" t="str">
        <f>IF('Fun Patches'!Q22="A","A"," ")</f>
        <v xml:space="preserve"> </v>
      </c>
      <c r="I90" s="247">
        <v>5</v>
      </c>
      <c r="J90" s="344" t="str">
        <f>'Council Own'!C23</f>
        <v>&lt;List Requirement Here&gt;</v>
      </c>
      <c r="K90" s="257" t="str">
        <f>IF('Council Own'!Q23="A","A"," ")</f>
        <v xml:space="preserve"> </v>
      </c>
      <c r="M90" s="247">
        <v>5</v>
      </c>
      <c r="N90" s="344" t="str">
        <f>'Council Own'!C71</f>
        <v>&lt;List Requirement Here&gt;</v>
      </c>
      <c r="O90" s="257" t="str">
        <f>IF('Council Own'!Q71="A","A"," ")</f>
        <v xml:space="preserve"> </v>
      </c>
      <c r="Q90" s="247">
        <v>5</v>
      </c>
      <c r="R90" s="344" t="str">
        <f>'Council Own'!C119</f>
        <v>&lt;List Requirement Here&gt;</v>
      </c>
      <c r="S90" s="257" t="str">
        <f>IF('Council Own'!Q119="A","A"," ")</f>
        <v xml:space="preserve"> </v>
      </c>
    </row>
    <row r="91" spans="1:22" x14ac:dyDescent="0.2">
      <c r="E91" s="471" t="str">
        <f>'Fun Patches'!C23</f>
        <v>&lt;LIST PATCH HERE&gt;</v>
      </c>
      <c r="F91" s="472"/>
      <c r="G91" s="257" t="str">
        <f>IF('Fun Patches'!Q23="A","A"," ")</f>
        <v xml:space="preserve"> </v>
      </c>
      <c r="I91" s="247"/>
      <c r="J91" s="344" t="str">
        <f>'Council Own'!C24</f>
        <v>&lt;List Requirement Here&gt;</v>
      </c>
      <c r="K91" s="257" t="str">
        <f>IF('Council Own'!Q24="A","A"," ")</f>
        <v xml:space="preserve"> </v>
      </c>
      <c r="M91" s="247"/>
      <c r="N91" s="344" t="str">
        <f>'Council Own'!C72</f>
        <v>&lt;List Requirement Here&gt;</v>
      </c>
      <c r="O91" s="257" t="str">
        <f>IF('Council Own'!Q72="A","A"," ")</f>
        <v xml:space="preserve"> </v>
      </c>
      <c r="Q91" s="247"/>
      <c r="R91" s="344" t="str">
        <f>'Council Own'!C120</f>
        <v>&lt;List Requirement Here&gt;</v>
      </c>
      <c r="S91" s="257" t="str">
        <f>IF('Council Own'!Q120="A","A"," ")</f>
        <v xml:space="preserve"> </v>
      </c>
    </row>
    <row r="92" spans="1:22" x14ac:dyDescent="0.2">
      <c r="E92" s="471" t="str">
        <f>'Fun Patches'!C24</f>
        <v>&lt;LIST PATCH HERE&gt;</v>
      </c>
      <c r="F92" s="472"/>
      <c r="G92" s="257" t="str">
        <f>IF('Fun Patches'!Q24="A","A"," ")</f>
        <v xml:space="preserve"> </v>
      </c>
      <c r="I92" s="247"/>
      <c r="J92" s="344" t="str">
        <f>'Council Own'!C25</f>
        <v>&lt;List Requirement Here&gt;</v>
      </c>
      <c r="K92" s="257" t="str">
        <f>IF('Council Own'!Q25="A","A"," ")</f>
        <v xml:space="preserve"> </v>
      </c>
      <c r="M92" s="247"/>
      <c r="N92" s="344" t="str">
        <f>'Council Own'!C73</f>
        <v>&lt;List Requirement Here&gt;</v>
      </c>
      <c r="O92" s="257" t="str">
        <f>IF('Council Own'!Q73="A","A"," ")</f>
        <v xml:space="preserve"> </v>
      </c>
      <c r="Q92" s="247"/>
      <c r="R92" s="344" t="str">
        <f>'Council Own'!C121</f>
        <v>&lt;List Requirement Here&gt;</v>
      </c>
      <c r="S92" s="257" t="str">
        <f>IF('Council Own'!Q121="A","A"," ")</f>
        <v xml:space="preserve"> </v>
      </c>
    </row>
    <row r="93" spans="1:22" x14ac:dyDescent="0.2">
      <c r="E93" s="471" t="str">
        <f>'Fun Patches'!C25</f>
        <v>&lt;LIST PATCH HERE&gt;</v>
      </c>
      <c r="F93" s="472"/>
      <c r="G93" s="257" t="str">
        <f>IF('Fun Patches'!Q25="A","A"," ")</f>
        <v xml:space="preserve"> </v>
      </c>
      <c r="I93" s="247"/>
      <c r="J93" s="344" t="str">
        <f>'Council Own'!C26</f>
        <v>&lt;List Requirement Here&gt;</v>
      </c>
      <c r="K93" s="257" t="str">
        <f>IF('Council Own'!Q26="A","A"," ")</f>
        <v xml:space="preserve"> </v>
      </c>
      <c r="M93" s="247"/>
      <c r="N93" s="344" t="str">
        <f>'Council Own'!C74</f>
        <v>&lt;List Requirement Here&gt;</v>
      </c>
      <c r="O93" s="257" t="str">
        <f>IF('Council Own'!Q68="A","A"," ")</f>
        <v xml:space="preserve"> </v>
      </c>
      <c r="Q93" s="247"/>
      <c r="R93" s="344" t="str">
        <f>'Council Own'!C122</f>
        <v>&lt;List Requirement Here&gt;</v>
      </c>
      <c r="S93" s="257" t="str">
        <f>IF('Council Own'!Q122="A","A"," ")</f>
        <v xml:space="preserve"> </v>
      </c>
    </row>
    <row r="94" spans="1:22" x14ac:dyDescent="0.2">
      <c r="E94" s="471" t="str">
        <f>'Fun Patches'!C26</f>
        <v>&lt;LIST PATCH HERE&gt;</v>
      </c>
      <c r="F94" s="472"/>
      <c r="G94" s="257" t="str">
        <f>IF('Fun Patches'!Q26="A","A","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Patches'!Q27="A","A"," ")</f>
        <v xml:space="preserve"> </v>
      </c>
      <c r="I95" s="247">
        <v>1</v>
      </c>
      <c r="J95" s="344" t="str">
        <f>'Council Own'!C31</f>
        <v>&lt;List Requirement Here&gt;</v>
      </c>
      <c r="K95" s="257" t="str">
        <f>IF('Council Own'!Q31="A","A"," ")</f>
        <v xml:space="preserve"> </v>
      </c>
      <c r="M95" s="247">
        <v>1</v>
      </c>
      <c r="N95" s="344" t="str">
        <f>'Council Own'!C79</f>
        <v>&lt;List Requirement Here&gt;</v>
      </c>
      <c r="O95" s="257" t="str">
        <f>IF('Council Own'!Q79="A","A"," ")</f>
        <v xml:space="preserve"> </v>
      </c>
      <c r="Q95" s="247">
        <v>1</v>
      </c>
      <c r="R95" s="344" t="str">
        <f>'Council Own'!C127</f>
        <v>&lt;List Requirement Here&gt;</v>
      </c>
      <c r="S95" s="257" t="str">
        <f>IF('Council Own'!Q127="A","A"," ")</f>
        <v xml:space="preserve"> </v>
      </c>
    </row>
    <row r="96" spans="1:22" x14ac:dyDescent="0.2">
      <c r="E96" s="471" t="str">
        <f>'Fun Patches'!C28</f>
        <v>&lt;LIST PATCH HERE&gt;</v>
      </c>
      <c r="F96" s="472"/>
      <c r="G96" s="257" t="str">
        <f>IF('Fun Patches'!Q28="A","A"," ")</f>
        <v xml:space="preserve"> </v>
      </c>
      <c r="I96" s="247"/>
      <c r="J96" s="344" t="str">
        <f>'Council Own'!C32</f>
        <v>&lt;List Requirement Here&gt;</v>
      </c>
      <c r="K96" s="257" t="str">
        <f>IF('Council Own'!Q32="A","A"," ")</f>
        <v xml:space="preserve"> </v>
      </c>
      <c r="M96" s="247"/>
      <c r="N96" s="344" t="str">
        <f>'Council Own'!C80</f>
        <v>&lt;List Requirement Here&gt;</v>
      </c>
      <c r="O96" s="257" t="str">
        <f>IF('Council Own'!Q80="A","A"," ")</f>
        <v xml:space="preserve"> </v>
      </c>
      <c r="Q96" s="247"/>
      <c r="R96" s="344" t="str">
        <f>'Council Own'!C128</f>
        <v>&lt;List Requirement Here&gt;</v>
      </c>
      <c r="S96" s="257" t="str">
        <f>IF('Council Own'!Q128="A","A"," ")</f>
        <v xml:space="preserve"> </v>
      </c>
      <c r="U96" s="245"/>
      <c r="V96" s="245"/>
    </row>
    <row r="97" spans="1:23" x14ac:dyDescent="0.2">
      <c r="E97" s="471" t="str">
        <f>'Fun Patches'!C29</f>
        <v>&lt;LIST PATCH HERE&gt;</v>
      </c>
      <c r="F97" s="472"/>
      <c r="G97" s="257" t="str">
        <f>IF('Fun Patches'!Q29="A","A"," ")</f>
        <v xml:space="preserve"> </v>
      </c>
      <c r="I97" s="247"/>
      <c r="J97" s="344" t="str">
        <f>'Council Own'!C33</f>
        <v>&lt;List Requirement Here&gt;</v>
      </c>
      <c r="K97" s="257" t="str">
        <f>IF('Council Own'!Q33="A","A"," ")</f>
        <v xml:space="preserve"> </v>
      </c>
      <c r="M97" s="247"/>
      <c r="N97" s="344" t="str">
        <f>'Council Own'!C81</f>
        <v>&lt;List Requirement Here&gt;</v>
      </c>
      <c r="O97" s="257" t="str">
        <f>IF('Council Own'!Q81="A","A"," ")</f>
        <v xml:space="preserve"> </v>
      </c>
      <c r="Q97" s="247"/>
      <c r="R97" s="344" t="str">
        <f>'Council Own'!C129</f>
        <v>&lt;List Requirement Here&gt;</v>
      </c>
      <c r="S97" s="257" t="str">
        <f>IF('Council Own'!Q129="A","A"," ")</f>
        <v xml:space="preserve"> </v>
      </c>
      <c r="U97" s="245"/>
      <c r="V97" s="245"/>
    </row>
    <row r="98" spans="1:23" x14ac:dyDescent="0.2">
      <c r="A98" s="484" t="s">
        <v>75</v>
      </c>
      <c r="B98" s="484"/>
      <c r="C98" s="484"/>
      <c r="E98" s="471" t="str">
        <f>'Fun Patches'!C30</f>
        <v>&lt;LIST PATCH HERE&gt;</v>
      </c>
      <c r="F98" s="472"/>
      <c r="G98" s="257" t="str">
        <f>IF('Fun Patches'!Q30="A","A"," ")</f>
        <v xml:space="preserve"> </v>
      </c>
      <c r="I98" s="247"/>
      <c r="J98" s="344" t="str">
        <f>'Council Own'!C34</f>
        <v>&lt;List Requirement Here&gt;</v>
      </c>
      <c r="K98" s="257" t="str">
        <f>IF('Council Own'!Q34="A","A"," ")</f>
        <v xml:space="preserve"> </v>
      </c>
      <c r="M98" s="247"/>
      <c r="N98" s="344" t="str">
        <f>'Council Own'!C82</f>
        <v>&lt;List Requirement Here&gt;</v>
      </c>
      <c r="O98" s="257" t="str">
        <f>IF('Council Own'!Q82="A","A"," ")</f>
        <v xml:space="preserve"> </v>
      </c>
      <c r="Q98" s="247"/>
      <c r="R98" s="344" t="str">
        <f>'Council Own'!C130</f>
        <v>&lt;List Requirement Here&gt;</v>
      </c>
      <c r="S98" s="257" t="str">
        <f>IF('Council Own'!Q130="A","A"," ")</f>
        <v xml:space="preserve"> </v>
      </c>
      <c r="U98" s="245"/>
      <c r="V98" s="245"/>
    </row>
    <row r="99" spans="1:23" ht="14.25" customHeight="1" x14ac:dyDescent="0.2">
      <c r="A99" s="481" t="s">
        <v>72</v>
      </c>
      <c r="B99" s="482"/>
      <c r="C99" s="483"/>
      <c r="E99" s="471" t="str">
        <f>'Fun Patches'!C31</f>
        <v>&lt;LIST PATCH HERE&gt;</v>
      </c>
      <c r="F99" s="472"/>
      <c r="G99" s="257" t="str">
        <f>IF('Fun Patches'!Q31="A","A"," ")</f>
        <v xml:space="preserve"> </v>
      </c>
      <c r="I99" s="247">
        <v>2</v>
      </c>
      <c r="J99" s="344" t="str">
        <f>'Council Own'!C35</f>
        <v>&lt;List Requirement Here&gt;</v>
      </c>
      <c r="K99" s="257" t="str">
        <f>IF('Council Own'!Q35="A","A"," ")</f>
        <v xml:space="preserve"> </v>
      </c>
      <c r="M99" s="247">
        <v>2</v>
      </c>
      <c r="N99" s="344" t="str">
        <f>'Council Own'!C83</f>
        <v>&lt;List Requirement Here&gt;</v>
      </c>
      <c r="O99" s="257" t="str">
        <f>IF('Council Own'!Q83="A","A"," ")</f>
        <v xml:space="preserve"> </v>
      </c>
      <c r="Q99" s="247">
        <v>2</v>
      </c>
      <c r="R99" s="344" t="str">
        <f>'Council Own'!C131</f>
        <v>&lt;List Requirement Here&gt;</v>
      </c>
      <c r="S99" s="257" t="str">
        <f>IF('Council Own'!Q131="A","A"," ")</f>
        <v xml:space="preserve"> </v>
      </c>
      <c r="U99" s="245"/>
      <c r="V99" s="245"/>
    </row>
    <row r="100" spans="1:23" x14ac:dyDescent="0.2">
      <c r="A100" s="481" t="s">
        <v>73</v>
      </c>
      <c r="B100" s="482"/>
      <c r="C100" s="483"/>
      <c r="E100" s="471" t="str">
        <f>'Fun Patches'!C32</f>
        <v>&lt;LIST PATCH HERE&gt;</v>
      </c>
      <c r="F100" s="472"/>
      <c r="G100" s="257" t="str">
        <f>IF('Fun Patches'!Q32="A","A"," ")</f>
        <v xml:space="preserve"> </v>
      </c>
      <c r="I100" s="247"/>
      <c r="J100" s="344" t="str">
        <f>'Council Own'!C36</f>
        <v>&lt;List Requirement Here&gt;</v>
      </c>
      <c r="K100" s="257" t="str">
        <f>IF('Council Own'!Q36="A","A"," ")</f>
        <v xml:space="preserve"> </v>
      </c>
      <c r="M100" s="247"/>
      <c r="N100" s="344" t="str">
        <f>'Council Own'!C84</f>
        <v>&lt;List Requirement Here&gt;</v>
      </c>
      <c r="O100" s="257" t="str">
        <f>IF('Council Own'!Q84="A","A"," ")</f>
        <v xml:space="preserve"> </v>
      </c>
      <c r="Q100" s="247"/>
      <c r="R100" s="344" t="str">
        <f>'Council Own'!C132</f>
        <v>&lt;List Requirement Here&gt;</v>
      </c>
      <c r="S100" s="257" t="str">
        <f>IF('Council Own'!Q132="A","A"," ")</f>
        <v xml:space="preserve"> </v>
      </c>
      <c r="U100" s="337"/>
      <c r="V100" s="338"/>
      <c r="W100" s="341"/>
    </row>
    <row r="101" spans="1:23" x14ac:dyDescent="0.2">
      <c r="A101" s="468" t="s">
        <v>74</v>
      </c>
      <c r="B101" s="469"/>
      <c r="C101" s="470"/>
      <c r="E101" s="471" t="str">
        <f>'Fun Patches'!C33</f>
        <v>&lt;LIST PATCH HERE&gt;</v>
      </c>
      <c r="F101" s="472"/>
      <c r="G101" s="257" t="str">
        <f>IF('Fun Patches'!Q33="A","A"," ")</f>
        <v xml:space="preserve"> </v>
      </c>
      <c r="I101" s="247"/>
      <c r="J101" s="344" t="str">
        <f>'Council Own'!C37</f>
        <v>&lt;List Requirement Here&gt;</v>
      </c>
      <c r="K101" s="257" t="str">
        <f>IF('Council Own'!Q37="A","A"," ")</f>
        <v xml:space="preserve"> </v>
      </c>
      <c r="M101" s="247"/>
      <c r="N101" s="344" t="str">
        <f>'Council Own'!C85</f>
        <v>&lt;List Requirement Here&gt;</v>
      </c>
      <c r="O101" s="257" t="str">
        <f>IF('Council Own'!Q85="A","A"," ")</f>
        <v xml:space="preserve"> </v>
      </c>
      <c r="Q101" s="247"/>
      <c r="R101" s="344" t="str">
        <f>'Council Own'!C133</f>
        <v>&lt;List Requirement Here&gt;</v>
      </c>
      <c r="S101" s="257" t="str">
        <f>IF('Council Own'!Q133="A","A"," ")</f>
        <v xml:space="preserve"> </v>
      </c>
      <c r="U101" s="245"/>
      <c r="V101" s="245"/>
    </row>
    <row r="102" spans="1:23" x14ac:dyDescent="0.2">
      <c r="E102" s="471" t="str">
        <f>'Fun Patches'!C34</f>
        <v>&lt;LIST PATCH HERE&gt;</v>
      </c>
      <c r="F102" s="472"/>
      <c r="G102" s="257" t="str">
        <f>IF('Fun Patches'!Q34="A","A"," ")</f>
        <v xml:space="preserve"> </v>
      </c>
      <c r="I102" s="247"/>
      <c r="J102" s="344" t="str">
        <f>'Council Own'!C38</f>
        <v>&lt;List Requirement Here&gt;</v>
      </c>
      <c r="K102" s="257" t="str">
        <f>IF('Council Own'!Q38="A","A"," ")</f>
        <v xml:space="preserve"> </v>
      </c>
      <c r="M102" s="247"/>
      <c r="N102" s="344" t="str">
        <f>'Council Own'!C86</f>
        <v>&lt;List Requirement Here&gt;</v>
      </c>
      <c r="O102" s="257" t="str">
        <f>IF('Council Own'!Q86="A","A"," ")</f>
        <v xml:space="preserve"> </v>
      </c>
      <c r="Q102" s="247"/>
      <c r="R102" s="344" t="str">
        <f>'Council Own'!C134</f>
        <v>&lt;List Requirement Here&gt;</v>
      </c>
      <c r="S102" s="257" t="str">
        <f>IF('Council Own'!Q134="A","A"," ")</f>
        <v xml:space="preserve"> </v>
      </c>
      <c r="U102" s="245"/>
      <c r="V102" s="245"/>
    </row>
    <row r="103" spans="1:23" x14ac:dyDescent="0.2">
      <c r="E103" s="471" t="str">
        <f>'Fun Patches'!C35</f>
        <v>&lt;LIST PATCH HERE&gt;</v>
      </c>
      <c r="F103" s="472"/>
      <c r="G103" s="257" t="str">
        <f>IF('Fun Patches'!Q35="A","A"," ")</f>
        <v xml:space="preserve"> </v>
      </c>
      <c r="I103" s="247">
        <v>3</v>
      </c>
      <c r="J103" s="344" t="str">
        <f>'Council Own'!C39</f>
        <v>&lt;List Requirement Here&gt;</v>
      </c>
      <c r="K103" s="257" t="str">
        <f>IF('Council Own'!Q39="A","A"," ")</f>
        <v xml:space="preserve"> </v>
      </c>
      <c r="M103" s="247">
        <v>3</v>
      </c>
      <c r="N103" s="344" t="str">
        <f>'Council Own'!C87</f>
        <v>&lt;List Requirement Here&gt;</v>
      </c>
      <c r="O103" s="257" t="str">
        <f>IF('Council Own'!Q87="A","A"," ")</f>
        <v xml:space="preserve"> </v>
      </c>
      <c r="Q103" s="247">
        <v>3</v>
      </c>
      <c r="R103" s="344" t="str">
        <f>'Council Own'!C135</f>
        <v>&lt;List Requirement Here&gt;</v>
      </c>
      <c r="S103" s="257" t="str">
        <f>IF('Council Own'!Q135="A","A"," ")</f>
        <v xml:space="preserve"> </v>
      </c>
      <c r="U103" s="245"/>
      <c r="V103" s="245"/>
    </row>
    <row r="104" spans="1:23" x14ac:dyDescent="0.2">
      <c r="E104" s="471" t="str">
        <f>'Fun Patches'!C36</f>
        <v>&lt;LIST PATCH HERE&gt;</v>
      </c>
      <c r="F104" s="472"/>
      <c r="G104" s="257" t="str">
        <f>IF('Fun Patches'!Q36="A","A"," ")</f>
        <v xml:space="preserve"> </v>
      </c>
      <c r="I104" s="247"/>
      <c r="J104" s="344" t="str">
        <f>'Council Own'!C40</f>
        <v>&lt;List Requirement Here&gt;</v>
      </c>
      <c r="K104" s="257" t="str">
        <f>IF('Council Own'!Q40="A","A"," ")</f>
        <v xml:space="preserve"> </v>
      </c>
      <c r="M104" s="247"/>
      <c r="N104" s="344" t="str">
        <f>'Council Own'!C88</f>
        <v>&lt;List Requirement Here&gt;</v>
      </c>
      <c r="O104" s="257" t="str">
        <f>IF('Council Own'!Q88="A","A"," ")</f>
        <v xml:space="preserve"> </v>
      </c>
      <c r="Q104" s="247"/>
      <c r="R104" s="344" t="str">
        <f>'Council Own'!C136</f>
        <v>&lt;List Requirement Here&gt;</v>
      </c>
      <c r="S104" s="257" t="str">
        <f>IF('Council Own'!Q136="A","A"," ")</f>
        <v xml:space="preserve"> </v>
      </c>
      <c r="U104" s="245"/>
      <c r="V104" s="245"/>
    </row>
    <row r="105" spans="1:23" x14ac:dyDescent="0.2">
      <c r="E105" s="471" t="str">
        <f>'Fun Patches'!C37</f>
        <v>&lt;LIST PATCH HERE&gt;</v>
      </c>
      <c r="F105" s="472"/>
      <c r="G105" s="257" t="str">
        <f>IF('Fun Patches'!Q37="A","A"," ")</f>
        <v xml:space="preserve"> </v>
      </c>
      <c r="I105" s="247"/>
      <c r="J105" s="344" t="str">
        <f>'Council Own'!C41</f>
        <v>&lt;List Requirement Here&gt;</v>
      </c>
      <c r="K105" s="257" t="str">
        <f>IF('Council Own'!Q41="A","A"," ")</f>
        <v xml:space="preserve"> </v>
      </c>
      <c r="M105" s="247"/>
      <c r="N105" s="344" t="str">
        <f>'Council Own'!C89</f>
        <v>&lt;List Requirement Here&gt;</v>
      </c>
      <c r="O105" s="257" t="str">
        <f>IF('Council Own'!Q89="A","A"," ")</f>
        <v xml:space="preserve"> </v>
      </c>
      <c r="Q105" s="247"/>
      <c r="R105" s="344" t="str">
        <f>'Council Own'!C137</f>
        <v>&lt;List Requirement Here&gt;</v>
      </c>
      <c r="S105" s="257" t="str">
        <f>IF('Council Own'!Q137="A","A"," ")</f>
        <v xml:space="preserve"> </v>
      </c>
      <c r="U105" s="245"/>
      <c r="V105" s="245"/>
    </row>
    <row r="106" spans="1:23" x14ac:dyDescent="0.2">
      <c r="E106" s="471" t="str">
        <f>'Fun Patches'!C38</f>
        <v>&lt;LIST PATCH HERE&gt;</v>
      </c>
      <c r="F106" s="472"/>
      <c r="G106" s="257" t="str">
        <f>IF('Fun Patches'!Q38="A","A"," ")</f>
        <v xml:space="preserve"> </v>
      </c>
      <c r="I106" s="247"/>
      <c r="J106" s="344" t="str">
        <f>'Council Own'!C42</f>
        <v>&lt;List Requirement Here&gt;</v>
      </c>
      <c r="K106" s="257" t="str">
        <f>IF('Council Own'!Q42="A","A"," ")</f>
        <v xml:space="preserve"> </v>
      </c>
      <c r="M106" s="247"/>
      <c r="N106" s="344" t="str">
        <f>'Council Own'!C90</f>
        <v>&lt;List Requirement Here&gt;</v>
      </c>
      <c r="O106" s="257" t="str">
        <f>IF('Council Own'!Q90="A","A"," ")</f>
        <v xml:space="preserve"> </v>
      </c>
      <c r="Q106" s="247"/>
      <c r="R106" s="344" t="str">
        <f>'Council Own'!C138</f>
        <v>&lt;List Requirement Here&gt;</v>
      </c>
      <c r="S106" s="257" t="str">
        <f>IF('Council Own'!Q138="A","A"," ")</f>
        <v xml:space="preserve"> </v>
      </c>
      <c r="U106" s="245"/>
      <c r="V106" s="245"/>
    </row>
    <row r="107" spans="1:23" x14ac:dyDescent="0.2">
      <c r="E107" s="284"/>
      <c r="F107" s="263"/>
      <c r="G107" s="341"/>
      <c r="I107" s="247">
        <v>4</v>
      </c>
      <c r="J107" s="344" t="str">
        <f>'Council Own'!C43</f>
        <v>&lt;List Requirement Here&gt;</v>
      </c>
      <c r="K107" s="257" t="str">
        <f>IF('Council Own'!Q43="A","A"," ")</f>
        <v xml:space="preserve"> </v>
      </c>
      <c r="M107" s="247">
        <v>4</v>
      </c>
      <c r="N107" s="344" t="str">
        <f>'Council Own'!C91</f>
        <v>&lt;List Requirement Here&gt;</v>
      </c>
      <c r="O107" s="257" t="str">
        <f>IF('Council Own'!Q91="A","A"," ")</f>
        <v xml:space="preserve"> </v>
      </c>
      <c r="Q107" s="247">
        <v>4</v>
      </c>
      <c r="R107" s="344" t="str">
        <f>'Council Own'!C139</f>
        <v>&lt;List Requirement Here&gt;</v>
      </c>
      <c r="S107" s="257" t="str">
        <f>IF('Council Own'!Q139="A","A"," ")</f>
        <v xml:space="preserve"> </v>
      </c>
      <c r="U107" s="245"/>
      <c r="V107" s="245"/>
    </row>
    <row r="108" spans="1:23" x14ac:dyDescent="0.2">
      <c r="I108" s="247"/>
      <c r="J108" s="344" t="str">
        <f>'Council Own'!C44</f>
        <v>&lt;List Requirement Here&gt;</v>
      </c>
      <c r="K108" s="257" t="str">
        <f>IF('Council Own'!Q44="A","A"," ")</f>
        <v xml:space="preserve"> </v>
      </c>
      <c r="M108" s="247"/>
      <c r="N108" s="344" t="str">
        <f>'Council Own'!C92</f>
        <v>&lt;List Requirement Here&gt;</v>
      </c>
      <c r="O108" s="257" t="str">
        <f>IF('Council Own'!Q92="A","A"," ")</f>
        <v xml:space="preserve"> </v>
      </c>
      <c r="Q108" s="247"/>
      <c r="R108" s="344" t="str">
        <f>'Council Own'!C140</f>
        <v>&lt;List Requirement Here&gt;</v>
      </c>
      <c r="S108" s="257" t="str">
        <f>IF('Council Own'!Q140="A","A"," ")</f>
        <v xml:space="preserve"> </v>
      </c>
      <c r="U108" s="245"/>
      <c r="V108" s="245"/>
    </row>
    <row r="109" spans="1:23" x14ac:dyDescent="0.2">
      <c r="I109" s="247"/>
      <c r="J109" s="344" t="str">
        <f>'Council Own'!C45</f>
        <v>&lt;List Requirement Here&gt;</v>
      </c>
      <c r="K109" s="257" t="str">
        <f>IF('Council Own'!Q45="A","A"," ")</f>
        <v xml:space="preserve"> </v>
      </c>
      <c r="M109" s="247"/>
      <c r="N109" s="344" t="str">
        <f>'Council Own'!C93</f>
        <v>&lt;List Requirement Here&gt;</v>
      </c>
      <c r="O109" s="257" t="str">
        <f>IF('Council Own'!Q93="A","A"," ")</f>
        <v xml:space="preserve"> </v>
      </c>
      <c r="Q109" s="247"/>
      <c r="R109" s="344" t="str">
        <f>'Council Own'!C141</f>
        <v>&lt;List Requirement Here&gt;</v>
      </c>
      <c r="S109" s="257" t="str">
        <f>IF('Council Own'!Q141="A","A"," ")</f>
        <v xml:space="preserve"> </v>
      </c>
      <c r="U109" s="245"/>
      <c r="V109" s="245"/>
    </row>
    <row r="110" spans="1:23" x14ac:dyDescent="0.2">
      <c r="I110" s="247"/>
      <c r="J110" s="344" t="str">
        <f>'Council Own'!C46</f>
        <v>&lt;List Requirement Here&gt;</v>
      </c>
      <c r="K110" s="257" t="str">
        <f>IF('Council Own'!Q46="A","A"," ")</f>
        <v xml:space="preserve"> </v>
      </c>
      <c r="M110" s="247"/>
      <c r="N110" s="344" t="str">
        <f>'Council Own'!C94</f>
        <v>&lt;List Requirement Here&gt;</v>
      </c>
      <c r="O110" s="257" t="str">
        <f>IF('Council Own'!Q94="A","A"," ")</f>
        <v xml:space="preserve"> </v>
      </c>
      <c r="Q110" s="247"/>
      <c r="R110" s="344" t="str">
        <f>'Council Own'!C142</f>
        <v>&lt;List Requirement Here&gt;</v>
      </c>
      <c r="S110" s="257" t="str">
        <f>IF('Council Own'!Q142="A","A"," ")</f>
        <v xml:space="preserve"> </v>
      </c>
      <c r="U110" s="245"/>
      <c r="V110" s="245"/>
    </row>
    <row r="111" spans="1:23" x14ac:dyDescent="0.2">
      <c r="I111" s="247">
        <v>5</v>
      </c>
      <c r="J111" s="344" t="str">
        <f>'Council Own'!C47</f>
        <v>&lt;List Requirement Here&gt;</v>
      </c>
      <c r="K111" s="257" t="str">
        <f>IF('Council Own'!Q47="A","A"," ")</f>
        <v xml:space="preserve"> </v>
      </c>
      <c r="M111" s="247">
        <v>5</v>
      </c>
      <c r="N111" s="344" t="str">
        <f>'Council Own'!C95</f>
        <v>&lt;List Requirement Here&gt;</v>
      </c>
      <c r="O111" s="257" t="str">
        <f>IF('Council Own'!Q95="A","A"," ")</f>
        <v xml:space="preserve"> </v>
      </c>
      <c r="Q111" s="247">
        <v>5</v>
      </c>
      <c r="R111" s="344" t="str">
        <f>'Council Own'!C143</f>
        <v>&lt;List Requirement Here&gt;</v>
      </c>
      <c r="S111" s="257" t="str">
        <f>IF('Council Own'!Q143="A","A"," ")</f>
        <v xml:space="preserve"> </v>
      </c>
      <c r="U111" s="338"/>
      <c r="V111" s="338"/>
      <c r="W111" s="341"/>
    </row>
    <row r="112" spans="1:23" x14ac:dyDescent="0.2">
      <c r="I112" s="247"/>
      <c r="J112" s="344" t="str">
        <f>'Council Own'!C48</f>
        <v>&lt;List Requirement Here&gt;</v>
      </c>
      <c r="K112" s="257" t="str">
        <f>IF('Council Own'!Q48="A","A"," ")</f>
        <v xml:space="preserve"> </v>
      </c>
      <c r="M112" s="247"/>
      <c r="N112" s="344" t="str">
        <f>'Council Own'!C96</f>
        <v>&lt;List Requirement Here&gt;</v>
      </c>
      <c r="O112" s="257" t="str">
        <f>IF('Council Own'!Q96="A","A"," ")</f>
        <v xml:space="preserve"> </v>
      </c>
      <c r="Q112" s="247"/>
      <c r="R112" s="344" t="str">
        <f>'Council Own'!C144</f>
        <v>&lt;List Requirement Here&gt;</v>
      </c>
      <c r="S112" s="257" t="str">
        <f>IF('Council Own'!Q144="A","A"," ")</f>
        <v xml:space="preserve"> </v>
      </c>
      <c r="U112" s="245"/>
      <c r="V112" s="245"/>
    </row>
    <row r="113" spans="9:22" x14ac:dyDescent="0.2">
      <c r="I113" s="247"/>
      <c r="J113" s="344" t="str">
        <f>'Council Own'!C49</f>
        <v>&lt;List Requirement Here&gt;</v>
      </c>
      <c r="K113" s="257" t="str">
        <f>IF('Council Own'!Q49="A","A"," ")</f>
        <v xml:space="preserve"> </v>
      </c>
      <c r="M113" s="247"/>
      <c r="N113" s="344" t="str">
        <f>'Council Own'!C97</f>
        <v>&lt;List Requirement Here&gt;</v>
      </c>
      <c r="O113" s="257" t="str">
        <f>IF('Council Own'!Q97="A","A"," ")</f>
        <v xml:space="preserve"> </v>
      </c>
      <c r="Q113" s="247"/>
      <c r="R113" s="344" t="str">
        <f>'Council Own'!C145</f>
        <v>&lt;List Requirement Here&gt;</v>
      </c>
      <c r="S113" s="257" t="str">
        <f>IF('Council Own'!Q145="A","A"," ")</f>
        <v xml:space="preserve"> </v>
      </c>
      <c r="U113" s="245"/>
      <c r="V113" s="245"/>
    </row>
    <row r="114" spans="9:22" x14ac:dyDescent="0.2">
      <c r="I114" s="247"/>
      <c r="J114" s="344" t="str">
        <f>'Council Own'!C50</f>
        <v>&lt;List Requirement Here&gt;</v>
      </c>
      <c r="K114" s="257" t="str">
        <f>IF('Council Own'!Q50="A","A"," ")</f>
        <v xml:space="preserve"> </v>
      </c>
      <c r="M114" s="247"/>
      <c r="N114" s="344" t="str">
        <f>'Council Own'!C98</f>
        <v>&lt;List Requirement Here&gt;</v>
      </c>
      <c r="O114" s="257" t="str">
        <f>IF('Council Own'!Q98="A","A"," ")</f>
        <v xml:space="preserve"> </v>
      </c>
      <c r="Q114" s="247"/>
      <c r="R114" s="344" t="str">
        <f>'Council Own'!C146</f>
        <v>&lt;List Requirement Here&gt;</v>
      </c>
      <c r="S114" s="257" t="str">
        <f>IF('Council Own'!Q146="A","A","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sheetData>
  <sheetProtection password="9A15" sheet="1" objects="1" scenarios="1"/>
  <mergeCells count="113">
    <mergeCell ref="A3:B3"/>
    <mergeCell ref="Q3:R3"/>
    <mergeCell ref="A4:C4"/>
    <mergeCell ref="Q4:R4"/>
    <mergeCell ref="A5:B5"/>
    <mergeCell ref="Q5:R5"/>
    <mergeCell ref="A1:C1"/>
    <mergeCell ref="E1:G1"/>
    <mergeCell ref="I1:K1"/>
    <mergeCell ref="M1:O1"/>
    <mergeCell ref="Q1:S1"/>
    <mergeCell ref="E2:G2"/>
    <mergeCell ref="Q2:R2"/>
    <mergeCell ref="A9:B9"/>
    <mergeCell ref="Q9:R9"/>
    <mergeCell ref="A10:B10"/>
    <mergeCell ref="Q10:R10"/>
    <mergeCell ref="A11:B11"/>
    <mergeCell ref="Q11:R11"/>
    <mergeCell ref="A6:B6"/>
    <mergeCell ref="Q6:R6"/>
    <mergeCell ref="A7:B7"/>
    <mergeCell ref="Q7:R7"/>
    <mergeCell ref="A8:B8"/>
    <mergeCell ref="Q8:R8"/>
    <mergeCell ref="A15:B15"/>
    <mergeCell ref="Q15:R15"/>
    <mergeCell ref="A16:B16"/>
    <mergeCell ref="Q16:R16"/>
    <mergeCell ref="A17:B17"/>
    <mergeCell ref="Q17:R17"/>
    <mergeCell ref="A12:B12"/>
    <mergeCell ref="Q12:R12"/>
    <mergeCell ref="A13:C13"/>
    <mergeCell ref="Q13:R13"/>
    <mergeCell ref="A14:B14"/>
    <mergeCell ref="Q14:R14"/>
    <mergeCell ref="A21:C21"/>
    <mergeCell ref="Q21:R21"/>
    <mergeCell ref="A22:B22"/>
    <mergeCell ref="A23:B23"/>
    <mergeCell ref="E23:G23"/>
    <mergeCell ref="A24:C24"/>
    <mergeCell ref="A18:B18"/>
    <mergeCell ref="Q18:R18"/>
    <mergeCell ref="A19:B19"/>
    <mergeCell ref="Q19:R19"/>
    <mergeCell ref="A20:B20"/>
    <mergeCell ref="Q20:R20"/>
    <mergeCell ref="B34:C34"/>
    <mergeCell ref="Q34:R34"/>
    <mergeCell ref="B35:C35"/>
    <mergeCell ref="B42:C42"/>
    <mergeCell ref="Q42:R42"/>
    <mergeCell ref="B43:C43"/>
    <mergeCell ref="A25:B25"/>
    <mergeCell ref="A26:B26"/>
    <mergeCell ref="A28:C28"/>
    <mergeCell ref="Q28:R28"/>
    <mergeCell ref="B29:C29"/>
    <mergeCell ref="B30:C30"/>
    <mergeCell ref="A73:B73"/>
    <mergeCell ref="E73:F73"/>
    <mergeCell ref="A74:B74"/>
    <mergeCell ref="E74:F74"/>
    <mergeCell ref="A75:B75"/>
    <mergeCell ref="E75:F75"/>
    <mergeCell ref="E45:G45"/>
    <mergeCell ref="A49:C49"/>
    <mergeCell ref="Q55:S55"/>
    <mergeCell ref="A72:C72"/>
    <mergeCell ref="E72:G72"/>
    <mergeCell ref="I72:K72"/>
    <mergeCell ref="M72:O72"/>
    <mergeCell ref="Q72:S72"/>
    <mergeCell ref="E79:F79"/>
    <mergeCell ref="E80:F80"/>
    <mergeCell ref="E81:F81"/>
    <mergeCell ref="E82:F82"/>
    <mergeCell ref="E83:F83"/>
    <mergeCell ref="E84:F84"/>
    <mergeCell ref="A76:B76"/>
    <mergeCell ref="E76:F76"/>
    <mergeCell ref="A77:B77"/>
    <mergeCell ref="E77:F77"/>
    <mergeCell ref="A78:B78"/>
    <mergeCell ref="E78:F78"/>
    <mergeCell ref="E91:F91"/>
    <mergeCell ref="E92:F92"/>
    <mergeCell ref="E93:F93"/>
    <mergeCell ref="E94:F94"/>
    <mergeCell ref="E95:F95"/>
    <mergeCell ref="E96:F96"/>
    <mergeCell ref="E85:F85"/>
    <mergeCell ref="E86:F86"/>
    <mergeCell ref="E87:F87"/>
    <mergeCell ref="E88:F88"/>
    <mergeCell ref="E89:F89"/>
    <mergeCell ref="E90:F90"/>
    <mergeCell ref="E106:F106"/>
    <mergeCell ref="A101:C101"/>
    <mergeCell ref="E101:F101"/>
    <mergeCell ref="E102:F102"/>
    <mergeCell ref="E103:F103"/>
    <mergeCell ref="E104:F104"/>
    <mergeCell ref="E105:F105"/>
    <mergeCell ref="E97:F97"/>
    <mergeCell ref="A98:C98"/>
    <mergeCell ref="E98:F98"/>
    <mergeCell ref="A99:C99"/>
    <mergeCell ref="E99:F99"/>
    <mergeCell ref="A100:C100"/>
    <mergeCell ref="E100:F100"/>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21"/>
  <sheetViews>
    <sheetView workbookViewId="0">
      <selection activeCell="C11" sqref="C11"/>
    </sheetView>
  </sheetViews>
  <sheetFormatPr defaultRowHeight="12.75" x14ac:dyDescent="0.2"/>
  <cols>
    <col min="1" max="1" width="2.7109375" style="241" customWidth="1"/>
    <col min="2" max="2" width="30.7109375" style="241" customWidth="1"/>
    <col min="3" max="4" width="2.5703125" style="241" customWidth="1"/>
    <col min="5" max="5" width="2.7109375" style="241" bestFit="1" customWidth="1"/>
    <col min="6" max="6" width="30.28515625" style="241" customWidth="1"/>
    <col min="7" max="7" width="3" style="241" customWidth="1"/>
    <col min="8" max="8" width="3.140625" style="241" customWidth="1"/>
    <col min="9" max="9" width="2" style="241" customWidth="1"/>
    <col min="10" max="10" width="30.28515625" style="241" customWidth="1"/>
    <col min="11" max="11" width="3" style="241" customWidth="1"/>
    <col min="12" max="12" width="3.140625" style="241" customWidth="1"/>
    <col min="13" max="13" width="2" style="241" customWidth="1"/>
    <col min="14" max="14" width="30.28515625" style="241" customWidth="1"/>
    <col min="15" max="16" width="3" style="241" customWidth="1"/>
    <col min="17" max="17" width="2.7109375" style="241" customWidth="1"/>
    <col min="18" max="18" width="30.5703125" style="241" customWidth="1"/>
    <col min="19" max="19" width="2.7109375" style="241" customWidth="1"/>
    <col min="20" max="16384" width="9.140625" style="241"/>
  </cols>
  <sheetData>
    <row r="1" spans="1:21" ht="23.25" x14ac:dyDescent="0.35">
      <c r="A1" s="512" t="str">
        <f ca="1">MID(CELL("filename",A1),FIND(IF(ISERROR(FIND("]",CELL("filename",A1))),"$","]"),CELL("filename",A1))+1,256)</f>
        <v>Ambassador 15</v>
      </c>
      <c r="B1" s="512"/>
      <c r="C1" s="512"/>
      <c r="D1" s="265"/>
      <c r="E1" s="506" t="s">
        <v>15</v>
      </c>
      <c r="F1" s="506"/>
      <c r="G1" s="506"/>
      <c r="I1" s="506" t="s">
        <v>15</v>
      </c>
      <c r="J1" s="506"/>
      <c r="K1" s="506"/>
      <c r="M1" s="506" t="s">
        <v>15</v>
      </c>
      <c r="N1" s="506"/>
      <c r="O1" s="506"/>
      <c r="Q1" s="506" t="s">
        <v>135</v>
      </c>
      <c r="R1" s="506"/>
      <c r="S1" s="506"/>
      <c r="T1" s="239"/>
      <c r="U1" s="239"/>
    </row>
    <row r="2" spans="1:21" s="245" customFormat="1" ht="13.5" thickBot="1" x14ac:dyDescent="0.25">
      <c r="A2" s="242"/>
      <c r="B2" s="243"/>
      <c r="C2" s="244" t="s">
        <v>16</v>
      </c>
      <c r="D2" s="243"/>
      <c r="E2" s="492" t="str">
        <f>Badges!B6</f>
        <v>Photography</v>
      </c>
      <c r="F2" s="492"/>
      <c r="G2" s="492"/>
      <c r="H2" s="241"/>
      <c r="I2" s="247">
        <v>3</v>
      </c>
      <c r="J2" s="248" t="str">
        <f>Badges!C61</f>
        <v>Dig into national or state public policy</v>
      </c>
      <c r="K2" s="249"/>
      <c r="L2" s="241"/>
      <c r="M2" s="247">
        <v>3</v>
      </c>
      <c r="N2" s="248" t="str">
        <f>Badges!C130</f>
        <v>Share sisterhood around the world</v>
      </c>
      <c r="O2" s="249"/>
      <c r="P2" s="241"/>
      <c r="Q2" s="493" t="str">
        <f>'Age-Level'!B5</f>
        <v>Gold Torch Award</v>
      </c>
      <c r="R2" s="494"/>
      <c r="S2" s="251" t="str">
        <f>IF('Age-Level'!R8="C","C",IF('Age-Level'!R8="P","P",""))</f>
        <v/>
      </c>
      <c r="T2" s="239"/>
      <c r="U2" s="239"/>
    </row>
    <row r="3" spans="1:21" x14ac:dyDescent="0.2">
      <c r="A3" s="510" t="s">
        <v>132</v>
      </c>
      <c r="B3" s="511"/>
      <c r="C3" s="246">
        <f>INT(COUNTIF(C5:C12,"C"))+INT(COUNTIF(C14:C26,"C"))</f>
        <v>0</v>
      </c>
      <c r="E3" s="247">
        <v>1</v>
      </c>
      <c r="F3" s="248" t="str">
        <f>Badges!C7</f>
        <v>Expore the power of photography</v>
      </c>
      <c r="G3" s="249"/>
      <c r="I3" s="247"/>
      <c r="J3" s="248" t="str">
        <f>Badges!C62</f>
        <v>Track your issue</v>
      </c>
      <c r="K3" s="250" t="str">
        <f>IF(Badges!R62="A","A"," ")</f>
        <v xml:space="preserve"> </v>
      </c>
      <c r="M3" s="247"/>
      <c r="N3" s="248" t="str">
        <f>Badges!C131</f>
        <v>Explore an issue affecting girls and</v>
      </c>
      <c r="O3" s="250" t="str">
        <f>IF(Badges!R131="A","A"," ")</f>
        <v xml:space="preserve"> </v>
      </c>
      <c r="Q3" s="471" t="str">
        <f>'Age-Level'!B9</f>
        <v>Ambassador Community Service bar</v>
      </c>
      <c r="R3" s="472"/>
      <c r="S3" s="251" t="str">
        <f>IF('Age-Level'!R9="C","C",IF('Age-Level'!R9="P","P",""))</f>
        <v/>
      </c>
      <c r="T3" s="239"/>
      <c r="U3" s="239"/>
    </row>
    <row r="4" spans="1:21" x14ac:dyDescent="0.2">
      <c r="A4" s="500" t="str">
        <f>Summary!A3</f>
        <v>Legacy</v>
      </c>
      <c r="B4" s="500"/>
      <c r="C4" s="500"/>
      <c r="E4" s="247"/>
      <c r="F4" s="248" t="str">
        <f>Badges!C8</f>
        <v>Go to a photography exhibit</v>
      </c>
      <c r="G4" s="250" t="str">
        <f>IF(Badges!R8="A","A"," ")</f>
        <v xml:space="preserve"> </v>
      </c>
      <c r="I4" s="247"/>
      <c r="J4" s="248" t="str">
        <f>Badges!C63</f>
        <v>Talk to an interest gorup that promotes</v>
      </c>
      <c r="K4" s="250" t="str">
        <f>IF(Badges!R63="A","A"," ")</f>
        <v xml:space="preserve"> </v>
      </c>
      <c r="M4" s="247"/>
      <c r="N4" s="248" t="str">
        <f>Badges!C132</f>
        <v>Organize an event on women and STEM</v>
      </c>
      <c r="O4" s="250" t="str">
        <f>IF(Badges!R132="A","A"," ")</f>
        <v xml:space="preserve"> </v>
      </c>
      <c r="Q4" s="471" t="str">
        <f>'Age-Level'!B12</f>
        <v>Ambassador Service to Girl Scouting bar</v>
      </c>
      <c r="R4" s="472"/>
      <c r="S4" s="251" t="str">
        <f>IF('Age-Level'!R10="C","C",IF('Age-Level'!R10="P","P",""))</f>
        <v/>
      </c>
      <c r="T4" s="239"/>
      <c r="U4" s="239"/>
    </row>
    <row r="5" spans="1:21" x14ac:dyDescent="0.2">
      <c r="A5" s="501" t="str">
        <f>Summary!A4</f>
        <v>Photography</v>
      </c>
      <c r="B5" s="502"/>
      <c r="C5" s="252" t="str">
        <f>IF(Badges!R28="C","C",IF(Badges!R28="P","P",""))</f>
        <v/>
      </c>
      <c r="E5" s="247"/>
      <c r="F5" s="248" t="str">
        <f>Badges!C9</f>
        <v>Create a photography timeline.</v>
      </c>
      <c r="G5" s="250" t="str">
        <f>IF(Badges!R9="A","A"," ")</f>
        <v xml:space="preserve"> </v>
      </c>
      <c r="I5" s="247"/>
      <c r="J5" s="248" t="str">
        <f>Badges!C64</f>
        <v>Compare three different states' positions</v>
      </c>
      <c r="K5" s="250" t="str">
        <f>IF(Badges!R64="A","A"," ")</f>
        <v xml:space="preserve"> </v>
      </c>
      <c r="M5" s="247"/>
      <c r="N5" s="248" t="str">
        <f>Badges!C133</f>
        <v>Interview a global citizen</v>
      </c>
      <c r="O5" s="250" t="str">
        <f>IF(Badges!R133="A","A"," ")</f>
        <v xml:space="preserve"> </v>
      </c>
      <c r="Q5" s="471" t="str">
        <f>'Age-Level'!B15</f>
        <v>Ambassador Volunteer in Training</v>
      </c>
      <c r="R5" s="472"/>
      <c r="S5" s="251" t="str">
        <f>IF('Age-Level'!R19="C","C",IF('Age-Level'!R19="P","P",""))</f>
        <v/>
      </c>
      <c r="T5" s="239"/>
      <c r="U5" s="239"/>
    </row>
    <row r="6" spans="1:21" x14ac:dyDescent="0.2">
      <c r="A6" s="490" t="str">
        <f>Summary!A5</f>
        <v>Coaching</v>
      </c>
      <c r="B6" s="491"/>
      <c r="C6" s="252" t="str">
        <f>IF(Badges!R51="C","C",IF(Badges!R51="P","P",""))</f>
        <v/>
      </c>
      <c r="E6" s="247"/>
      <c r="F6" s="248" t="str">
        <f>Badges!C10</f>
        <v>Make sticky-note comics</v>
      </c>
      <c r="G6" s="250" t="str">
        <f>IF(Badges!R10="A","A"," ")</f>
        <v xml:space="preserve"> </v>
      </c>
      <c r="I6" s="247">
        <v>4</v>
      </c>
      <c r="J6" s="248" t="str">
        <f>Badges!C65</f>
        <v>Explore local or community policy</v>
      </c>
      <c r="K6" s="249"/>
      <c r="M6" s="247">
        <v>4</v>
      </c>
      <c r="N6" s="248" t="str">
        <f>Badges!C134</f>
        <v>Leave your wolrd better than you found it</v>
      </c>
      <c r="O6" s="249"/>
      <c r="Q6" s="471" t="str">
        <f>'Age-Level'!B20</f>
        <v>Journey Summit Pin</v>
      </c>
      <c r="R6" s="472"/>
      <c r="S6" s="251" t="str">
        <f>IF('Age-Level'!R21="C","C",IF('Age-Level'!R21="P","P",""))</f>
        <v/>
      </c>
      <c r="T6" s="239"/>
      <c r="U6" s="239"/>
    </row>
    <row r="7" spans="1:21" x14ac:dyDescent="0.2">
      <c r="A7" s="490" t="str">
        <f>Summary!A6</f>
        <v>Public Policy</v>
      </c>
      <c r="B7" s="491"/>
      <c r="C7" s="252" t="str">
        <f>IF(Badges!R74="C","C",IF(Badges!R74="P","P",""))</f>
        <v/>
      </c>
      <c r="E7" s="247">
        <v>2</v>
      </c>
      <c r="F7" s="248" t="str">
        <f>Badges!C11</f>
        <v>Focus on composition</v>
      </c>
      <c r="G7" s="249"/>
      <c r="I7" s="247"/>
      <c r="J7" s="248" t="str">
        <f>Badges!C66</f>
        <v>Attend a meeting</v>
      </c>
      <c r="K7" s="250" t="str">
        <f>IF(Badges!R66="A","A"," ")</f>
        <v xml:space="preserve"> </v>
      </c>
      <c r="M7" s="247"/>
      <c r="N7" s="248" t="str">
        <f>Badges!C135</f>
        <v xml:space="preserve">Find ideas to use your leaderhship </v>
      </c>
      <c r="O7" s="250" t="str">
        <f>IF(Badges!R135="A","A"," ")</f>
        <v xml:space="preserve"> </v>
      </c>
      <c r="Q7" s="471" t="str">
        <f>'Age-Level'!C23</f>
        <v>Cookie Rally (Year 1)</v>
      </c>
      <c r="R7" s="472"/>
      <c r="S7" s="257" t="str">
        <f>IF('Age-Level'!R23="A","A"," ")</f>
        <v xml:space="preserve"> </v>
      </c>
    </row>
    <row r="8" spans="1:21" x14ac:dyDescent="0.2">
      <c r="A8" s="490" t="str">
        <f>Summary!A7</f>
        <v>Dinner Party</v>
      </c>
      <c r="B8" s="491"/>
      <c r="C8" s="252" t="str">
        <f>IF(Badges!R97="C","C",IF(Badges!R97="P","P",""))</f>
        <v/>
      </c>
      <c r="E8" s="247"/>
      <c r="F8" s="248" t="str">
        <f>Badges!C12</f>
        <v>Capture a day in the life</v>
      </c>
      <c r="G8" s="250" t="str">
        <f>IF(Badges!R12="A","A"," ")</f>
        <v xml:space="preserve"> </v>
      </c>
      <c r="I8" s="247"/>
      <c r="J8" s="248" t="str">
        <f>Badges!C67</f>
        <v>Compare different local positions</v>
      </c>
      <c r="K8" s="250" t="str">
        <f>IF(Badges!R67="A","A"," ")</f>
        <v xml:space="preserve"> </v>
      </c>
      <c r="M8" s="247"/>
      <c r="N8" s="248" t="str">
        <f>Badges!C136</f>
        <v>Gather ideas to work for a healthy</v>
      </c>
      <c r="O8" s="250" t="str">
        <f>IF(Badges!R136="A","A"," ")</f>
        <v xml:space="preserve"> </v>
      </c>
      <c r="Q8" s="471" t="str">
        <f>'Age-Level'!C24</f>
        <v>Cookie Sales (Year 1)</v>
      </c>
      <c r="R8" s="472"/>
      <c r="S8" s="257" t="str">
        <f>IF('Age-Level'!R24="A","A"," ")</f>
        <v xml:space="preserve"> </v>
      </c>
    </row>
    <row r="9" spans="1:21" x14ac:dyDescent="0.2">
      <c r="A9" s="490" t="str">
        <f>Summary!A8</f>
        <v>Ambassador First Aid</v>
      </c>
      <c r="B9" s="491"/>
      <c r="C9" s="252" t="str">
        <f>IF(Badges!R120="C","C",IF(Badges!R120="P","P",""))</f>
        <v/>
      </c>
      <c r="E9" s="247"/>
      <c r="F9" s="248" t="str">
        <f>Badges!C13</f>
        <v>Photograph weather patterns</v>
      </c>
      <c r="G9" s="250" t="str">
        <f>IF(Badges!R13="A","A"," ")</f>
        <v xml:space="preserve"> </v>
      </c>
      <c r="I9" s="247"/>
      <c r="J9" s="248" t="str">
        <f>Badges!C68</f>
        <v>Visit your local legislator's office</v>
      </c>
      <c r="K9" s="250" t="str">
        <f>IF(Badges!R68="A","A"," ")</f>
        <v xml:space="preserve"> </v>
      </c>
      <c r="M9" s="247"/>
      <c r="N9" s="248" t="str">
        <f>Badges!C137</f>
        <v>Brainstorm idea for social change</v>
      </c>
      <c r="O9" s="250" t="str">
        <f>IF(Badges!R137="A","A"," ")</f>
        <v xml:space="preserve"> </v>
      </c>
      <c r="Q9" s="471" t="str">
        <f>'Age-Level'!C25</f>
        <v>Cookie Pin (Year 1)</v>
      </c>
      <c r="R9" s="472"/>
      <c r="S9" s="257" t="str">
        <f>IF('Age-Level'!R25="A","A"," ")</f>
        <v xml:space="preserve"> </v>
      </c>
    </row>
    <row r="10" spans="1:21" x14ac:dyDescent="0.2">
      <c r="A10" s="490" t="str">
        <f>Summary!A9</f>
        <v>Ambassador Girl Scout Way</v>
      </c>
      <c r="B10" s="491"/>
      <c r="C10" s="253" t="str">
        <f>IF(Badges!R143="C","C",IF(Badges!R143="P","P",""))</f>
        <v/>
      </c>
      <c r="E10" s="247"/>
      <c r="F10" s="248" t="str">
        <f>Badges!C14</f>
        <v>Take 5 photos form a different</v>
      </c>
      <c r="G10" s="250" t="str">
        <f>IF(Badges!R14="A","A"," ")</f>
        <v xml:space="preserve"> </v>
      </c>
      <c r="I10" s="247">
        <v>5</v>
      </c>
      <c r="J10" s="248" t="str">
        <f>Badges!C69</f>
        <v>See public policy creation in action</v>
      </c>
      <c r="K10" s="249"/>
      <c r="M10" s="247">
        <v>5</v>
      </c>
      <c r="N10" s="248" t="str">
        <f>Badges!C138</f>
        <v>Enjoy Girl Scout traditions!</v>
      </c>
      <c r="O10" s="249"/>
      <c r="Q10" s="471" t="str">
        <f>'Age-Level'!C26</f>
        <v>Cookie Rally (Year 2)</v>
      </c>
      <c r="R10" s="472"/>
      <c r="S10" s="257" t="str">
        <f>IF('Age-Level'!R26="A","A"," ")</f>
        <v xml:space="preserve"> </v>
      </c>
    </row>
    <row r="11" spans="1:21" x14ac:dyDescent="0.2">
      <c r="A11" s="509" t="str">
        <f>Summary!A10</f>
        <v>Water</v>
      </c>
      <c r="B11" s="491"/>
      <c r="C11" s="252" t="str">
        <f>IF(Badges!R166="C","C",IF(Badges!R166="P","P",""))</f>
        <v/>
      </c>
      <c r="E11" s="247">
        <v>3</v>
      </c>
      <c r="F11" s="248" t="str">
        <f>Badges!C15</f>
        <v>Focus on light</v>
      </c>
      <c r="G11" s="249"/>
      <c r="I11" s="247"/>
      <c r="J11" s="248" t="str">
        <f>Badges!C70</f>
        <v>Shadow a policy-maker</v>
      </c>
      <c r="K11" s="250" t="str">
        <f>IF(Badges!R70="A","A"," ")</f>
        <v xml:space="preserve"> </v>
      </c>
      <c r="M11" s="247"/>
      <c r="N11" s="248" t="str">
        <f>Badges!C139</f>
        <v>Pass down a tradition</v>
      </c>
      <c r="O11" s="250" t="str">
        <f>IF(Badges!R139="A","A"," ")</f>
        <v xml:space="preserve"> </v>
      </c>
      <c r="Q11" s="471" t="str">
        <f>'Age-Level'!C27</f>
        <v>Cookie Sales (Year 2)</v>
      </c>
      <c r="R11" s="472"/>
      <c r="S11" s="257" t="str">
        <f>IF('Age-Level'!R27="A","A"," ")</f>
        <v xml:space="preserve"> </v>
      </c>
    </row>
    <row r="12" spans="1:21" x14ac:dyDescent="0.2">
      <c r="A12" s="507"/>
      <c r="B12" s="507"/>
      <c r="C12" s="336"/>
      <c r="E12" s="247"/>
      <c r="F12" s="248" t="str">
        <f>Badges!C16</f>
        <v>Invite friends to a shoot day</v>
      </c>
      <c r="G12" s="250" t="str">
        <f>IF(Badges!R16="A","A"," ")</f>
        <v xml:space="preserve"> </v>
      </c>
      <c r="I12" s="247"/>
      <c r="J12" s="248" t="str">
        <f>Badges!C71</f>
        <v>Volunteer at an office</v>
      </c>
      <c r="K12" s="250" t="str">
        <f>IF(Badges!R71="A","A"," ")</f>
        <v xml:space="preserve"> </v>
      </c>
      <c r="M12" s="247"/>
      <c r="N12" s="248" t="str">
        <f>Badges!C140</f>
        <v>Start a Girl Scout tradition of your own</v>
      </c>
      <c r="O12" s="250" t="str">
        <f>IF(Badges!R140="A","A"," ")</f>
        <v xml:space="preserve"> </v>
      </c>
      <c r="Q12" s="471" t="str">
        <f>'Age-Level'!C28</f>
        <v>Cookie Pin (Year 2)</v>
      </c>
      <c r="R12" s="472"/>
      <c r="S12" s="257" t="str">
        <f>IF('Age-Level'!R28="A","A"," ")</f>
        <v xml:space="preserve"> </v>
      </c>
    </row>
    <row r="13" spans="1:21" x14ac:dyDescent="0.2">
      <c r="A13" s="500" t="str">
        <f>Summary!A3</f>
        <v>Legacy</v>
      </c>
      <c r="B13" s="500"/>
      <c r="C13" s="500"/>
      <c r="E13" s="247"/>
      <c r="F13" s="248" t="str">
        <f>Badges!C17</f>
        <v>Capture the same person or object</v>
      </c>
      <c r="G13" s="250" t="str">
        <f>IF(Badges!R17="A","A"," ")</f>
        <v xml:space="preserve"> </v>
      </c>
      <c r="I13" s="247"/>
      <c r="J13" s="248" t="str">
        <f>Badges!C72</f>
        <v>Interview a policy-maker</v>
      </c>
      <c r="K13" s="250" t="str">
        <f>IF(Badges!R72="A","A"," ")</f>
        <v xml:space="preserve"> </v>
      </c>
      <c r="M13" s="247"/>
      <c r="N13" s="248" t="str">
        <f>Badges!C141</f>
        <v>Share the Girl Scout way by example</v>
      </c>
      <c r="O13" s="250" t="str">
        <f>IF(Badges!R141="A","A"," ")</f>
        <v xml:space="preserve"> </v>
      </c>
      <c r="Q13" s="471" t="str">
        <f>'Age-Level'!C30</f>
        <v>Fall Sales (Year 1)</v>
      </c>
      <c r="R13" s="472"/>
      <c r="S13" s="252" t="str">
        <f>IF('Age-Level'!R30="A","A","")</f>
        <v/>
      </c>
    </row>
    <row r="14" spans="1:21" x14ac:dyDescent="0.2">
      <c r="A14" s="501" t="str">
        <f>Summary!A4</f>
        <v>Photography</v>
      </c>
      <c r="B14" s="502"/>
      <c r="C14" s="251" t="str">
        <f>IF(Badges!R28="C","C",IF(Badges!R28="P","P",""))</f>
        <v/>
      </c>
      <c r="E14" s="247"/>
      <c r="F14" s="248" t="str">
        <f>Badges!C18</f>
        <v>Grow your image</v>
      </c>
      <c r="G14" s="250" t="str">
        <f>IF(Badges!R18="A","A"," ")</f>
        <v xml:space="preserve"> </v>
      </c>
      <c r="I14" s="339" t="str">
        <f>Badges!B75</f>
        <v>Dinner Party</v>
      </c>
      <c r="J14" s="340"/>
      <c r="K14" s="340"/>
      <c r="M14" s="339" t="str">
        <f>Badges!B144</f>
        <v>Water</v>
      </c>
      <c r="N14" s="340"/>
      <c r="O14" s="340"/>
      <c r="Q14" s="471" t="str">
        <f>'Age-Level'!C31</f>
        <v>Fall Sales (Year 2)</v>
      </c>
      <c r="R14" s="472"/>
      <c r="S14" s="252" t="str">
        <f>IF('Age-Level'!R31="A","A","")</f>
        <v/>
      </c>
    </row>
    <row r="15" spans="1:21" x14ac:dyDescent="0.2">
      <c r="A15" s="490" t="str">
        <f>Summary!A5</f>
        <v>Coaching</v>
      </c>
      <c r="B15" s="491"/>
      <c r="C15" s="252" t="str">
        <f>IF(Badges!R51="C","C",IF(Badges!R51="P","P",""))</f>
        <v/>
      </c>
      <c r="E15" s="247">
        <v>4</v>
      </c>
      <c r="F15" s="248" t="str">
        <f>Badges!C19</f>
        <v>Focus on motion</v>
      </c>
      <c r="G15" s="249"/>
      <c r="I15" s="247">
        <v>1</v>
      </c>
      <c r="J15" s="248" t="str">
        <f>Badges!C76</f>
        <v>Create your menu</v>
      </c>
      <c r="K15" s="249"/>
      <c r="M15" s="247">
        <v>1</v>
      </c>
      <c r="N15" s="248" t="str">
        <f>Badges!C145</f>
        <v>Have fun reflecting on your relationship with water</v>
      </c>
      <c r="O15" s="249"/>
      <c r="Q15" s="471" t="str">
        <f>'Age-Level'!C33</f>
        <v>Thinking Day (Year 1)</v>
      </c>
      <c r="R15" s="472"/>
      <c r="S15" s="252" t="str">
        <f>IF('Age-Level'!R33="A","A","")</f>
        <v/>
      </c>
    </row>
    <row r="16" spans="1:21" x14ac:dyDescent="0.2">
      <c r="A16" s="490" t="str">
        <f>Summary!A6</f>
        <v>Public Policy</v>
      </c>
      <c r="B16" s="491"/>
      <c r="C16" s="252" t="str">
        <f>IF(Badges!R74="C","C",IF(Badges!R74="P","P",""))</f>
        <v/>
      </c>
      <c r="E16" s="247"/>
      <c r="F16" s="248" t="str">
        <f>Badges!C20</f>
        <v xml:space="preserve">Take photos of a group </v>
      </c>
      <c r="G16" s="250" t="str">
        <f>IF(Badges!R20="A","A"," ")</f>
        <v xml:space="preserve"> </v>
      </c>
      <c r="I16" s="247"/>
      <c r="J16" s="248" t="str">
        <f>Badges!C77</f>
        <v>Interview a caterer, event planner, chef</v>
      </c>
      <c r="K16" s="250" t="str">
        <f>IF(Badges!R77="A","A"," ")</f>
        <v xml:space="preserve"> </v>
      </c>
      <c r="M16" s="247"/>
      <c r="N16" s="248" t="str">
        <f>Badges!C146</f>
        <v>Visit water in its natural state</v>
      </c>
      <c r="O16" s="250" t="str">
        <f>IF(Badges!R146="A","A"," ")</f>
        <v xml:space="preserve"> </v>
      </c>
      <c r="Q16" s="471" t="str">
        <f>'Age-Level'!C34</f>
        <v>Thinking Day (Year 2)</v>
      </c>
      <c r="R16" s="472"/>
      <c r="S16" s="252" t="str">
        <f>IF('Age-Level'!R34="A","A","")</f>
        <v/>
      </c>
    </row>
    <row r="17" spans="1:19" x14ac:dyDescent="0.2">
      <c r="A17" s="490" t="str">
        <f>Summary!A7</f>
        <v>Dinner Party</v>
      </c>
      <c r="B17" s="491"/>
      <c r="C17" s="252" t="str">
        <f>IF(Badges!R97="C","C",IF(Badges!R97="P","P",""))</f>
        <v/>
      </c>
      <c r="E17" s="247"/>
      <c r="F17" s="248" t="str">
        <f>Badges!C21</f>
        <v>Take photos of faces in motion</v>
      </c>
      <c r="G17" s="250" t="str">
        <f>IF(Badges!R21="A","A"," ")</f>
        <v xml:space="preserve"> </v>
      </c>
      <c r="I17" s="247"/>
      <c r="J17" s="248" t="str">
        <f>Badges!C78</f>
        <v>Collect recipes from cooking shows</v>
      </c>
      <c r="K17" s="250" t="str">
        <f>IF(Badges!R78="A","A"," ")</f>
        <v xml:space="preserve"> </v>
      </c>
      <c r="M17" s="247"/>
      <c r="N17" s="248" t="str">
        <f>Badges!C147</f>
        <v>Try a new water skill</v>
      </c>
      <c r="O17" s="250" t="str">
        <f>IF(Badges!R147="A","A"," ")</f>
        <v xml:space="preserve"> </v>
      </c>
      <c r="Q17" s="471" t="str">
        <f>'Age-Level'!C36</f>
        <v>Global Action Award</v>
      </c>
      <c r="R17" s="472"/>
      <c r="S17" s="252" t="str">
        <f>IF('Age-Level'!R36="A","A","")</f>
        <v/>
      </c>
    </row>
    <row r="18" spans="1:19" x14ac:dyDescent="0.2">
      <c r="A18" s="490" t="str">
        <f>Summary!A8</f>
        <v>Ambassador First Aid</v>
      </c>
      <c r="B18" s="491"/>
      <c r="C18" s="252" t="str">
        <f>IF(Badges!R120="C","C",IF(Badges!R120="P","P",""))</f>
        <v/>
      </c>
      <c r="E18" s="247"/>
      <c r="F18" s="248" t="str">
        <f>Badges!C22</f>
        <v>Take photos of objects in motion</v>
      </c>
      <c r="G18" s="250" t="str">
        <f>IF(Badges!R22="A","A"," ")</f>
        <v xml:space="preserve"> </v>
      </c>
      <c r="I18" s="247"/>
      <c r="J18" s="248" t="str">
        <f>Badges!C79</f>
        <v>Build a men around your favorite</v>
      </c>
      <c r="K18" s="250" t="str">
        <f>IF(Badges!R79="A","A"," ")</f>
        <v xml:space="preserve"> </v>
      </c>
      <c r="M18" s="247"/>
      <c r="N18" s="248" t="str">
        <f>Badges!C148</f>
        <v>Enjoy a water activity you already know</v>
      </c>
      <c r="O18" s="250" t="str">
        <f>IF(Badges!R148="A","A"," ")</f>
        <v xml:space="preserve"> </v>
      </c>
      <c r="Q18" s="471" t="str">
        <f>'Age-Level'!C38</f>
        <v>International Friendship Recognition</v>
      </c>
      <c r="R18" s="472"/>
      <c r="S18" s="252" t="str">
        <f>IF('Age-Level'!R38="A","A","")</f>
        <v/>
      </c>
    </row>
    <row r="19" spans="1:19" x14ac:dyDescent="0.2">
      <c r="A19" s="490" t="str">
        <f>Summary!A9</f>
        <v>Ambassador Girl Scout Way</v>
      </c>
      <c r="B19" s="491"/>
      <c r="C19" s="252" t="str">
        <f>IF(Badges!R143="C","C",IF(Badges!R143="P","P",""))</f>
        <v/>
      </c>
      <c r="E19" s="247">
        <v>5</v>
      </c>
      <c r="F19" s="248" t="str">
        <f>Badges!C23</f>
        <v>Tell a story with photography</v>
      </c>
      <c r="G19" s="249"/>
      <c r="I19" s="247">
        <v>2</v>
      </c>
      <c r="J19" s="248" t="str">
        <f>Badges!C80</f>
        <v>Make a budget and shopping list</v>
      </c>
      <c r="K19" s="249"/>
      <c r="M19" s="247">
        <v>2</v>
      </c>
      <c r="N19" s="248" t="str">
        <f>Badges!C149</f>
        <v>Celebrate water art-and create your own</v>
      </c>
      <c r="O19" s="249"/>
      <c r="Q19" s="471" t="str">
        <f>'Age-Level'!C40</f>
        <v>Investiture</v>
      </c>
      <c r="R19" s="472"/>
      <c r="S19" s="252" t="str">
        <f>IF('Age-Level'!R40="A","A","")</f>
        <v/>
      </c>
    </row>
    <row r="20" spans="1:19" x14ac:dyDescent="0.2">
      <c r="A20" s="507" t="str">
        <f>Summary!A10</f>
        <v>Water</v>
      </c>
      <c r="B20" s="508"/>
      <c r="C20" s="253" t="str">
        <f>IF(Badges!R166="C","C",IF(Badges!R166="P","P",""))</f>
        <v/>
      </c>
      <c r="E20" s="247"/>
      <c r="F20" s="248" t="str">
        <f>Badges!C24</f>
        <v>Stage a photo exhibit</v>
      </c>
      <c r="G20" s="250" t="str">
        <f>IF(Badges!R24="A","A"," ")</f>
        <v xml:space="preserve"> </v>
      </c>
      <c r="I20" s="247"/>
      <c r="J20" s="248" t="str">
        <f>Badges!C81</f>
        <v>Camparison shop</v>
      </c>
      <c r="K20" s="250" t="str">
        <f>IF(Badges!R81="A","A"," ")</f>
        <v xml:space="preserve"> </v>
      </c>
      <c r="M20" s="247"/>
      <c r="N20" s="248" t="str">
        <f>Badges!C150</f>
        <v>Delve into water literature</v>
      </c>
      <c r="O20" s="250" t="str">
        <f>IF(Badges!R150="A","A"," ")</f>
        <v xml:space="preserve"> </v>
      </c>
      <c r="Q20" s="471" t="str">
        <f>'Age-Level'!C41</f>
        <v>Rededication (1st year)</v>
      </c>
      <c r="R20" s="472"/>
      <c r="S20" s="262" t="str">
        <f>IF('Age-Level'!R41="C","C","")</f>
        <v/>
      </c>
    </row>
    <row r="21" spans="1:19" x14ac:dyDescent="0.2">
      <c r="A21" s="500" t="str">
        <f>Summary!A11</f>
        <v>Financial Literacy</v>
      </c>
      <c r="B21" s="500"/>
      <c r="C21" s="500"/>
      <c r="E21" s="247"/>
      <c r="F21" s="248" t="str">
        <f>Badges!C25</f>
        <v>Make a digital slide show</v>
      </c>
      <c r="G21" s="250" t="str">
        <f>IF(Badges!R25="A","A"," ")</f>
        <v xml:space="preserve"> </v>
      </c>
      <c r="I21" s="247"/>
      <c r="J21" s="248" t="str">
        <f>Badges!C82</f>
        <v>Consult with a professional chef</v>
      </c>
      <c r="K21" s="250" t="str">
        <f>IF(Badges!R82="A","A"," ")</f>
        <v xml:space="preserve"> </v>
      </c>
      <c r="M21" s="247"/>
      <c r="N21" s="248" t="str">
        <f>Badges!C151</f>
        <v xml:space="preserve">Enjoy an exhibit or event that features </v>
      </c>
      <c r="O21" s="250" t="str">
        <f>IF(Badges!R151="A","A"," ")</f>
        <v xml:space="preserve"> </v>
      </c>
      <c r="Q21" s="471" t="str">
        <f>'Age-Level'!C42</f>
        <v>Rededication (2nd year)</v>
      </c>
      <c r="R21" s="472"/>
      <c r="S21" s="262" t="str">
        <f>IF('Age-Level'!R42="C","C","")</f>
        <v/>
      </c>
    </row>
    <row r="22" spans="1:19" x14ac:dyDescent="0.2">
      <c r="A22" s="501" t="str">
        <f>Summary!A12</f>
        <v>On My Own</v>
      </c>
      <c r="B22" s="502"/>
      <c r="C22" s="251" t="str">
        <f>IF(Badges!R190="C","C",IF(Badges!R190="P","P",""))</f>
        <v/>
      </c>
      <c r="E22" s="247"/>
      <c r="F22" s="248" t="str">
        <f>Badges!C26</f>
        <v>Create a photo album or scrapbook</v>
      </c>
      <c r="G22" s="250" t="str">
        <f>IF(Badges!R26="A","A"," ")</f>
        <v xml:space="preserve"> </v>
      </c>
      <c r="I22" s="247"/>
      <c r="J22" s="248" t="str">
        <f>Badges!C83</f>
        <v>Learn about alternative ways to shop</v>
      </c>
      <c r="K22" s="250" t="str">
        <f>IF(Badges!R83="A","A"," ")</f>
        <v xml:space="preserve"> </v>
      </c>
      <c r="M22" s="247"/>
      <c r="N22" s="248" t="str">
        <f>Badges!C152</f>
        <v>Create your own water composition</v>
      </c>
      <c r="O22" s="250" t="str">
        <f>IF(Badges!R152="A","A"," ")</f>
        <v xml:space="preserve"> </v>
      </c>
      <c r="Q22" s="342" t="str">
        <f>'Age-Level'!B43</f>
        <v>My Promise, My Faith (Year 1)</v>
      </c>
      <c r="R22" s="343"/>
      <c r="S22" s="262"/>
    </row>
    <row r="23" spans="1:19" x14ac:dyDescent="0.2">
      <c r="A23" s="490" t="str">
        <f>Summary!A13</f>
        <v>Good Credit</v>
      </c>
      <c r="B23" s="491"/>
      <c r="C23" s="251" t="str">
        <f>IF(Badges!R213="C","C",IF(Badges!R213="P","P",""))</f>
        <v/>
      </c>
      <c r="E23" s="492" t="str">
        <f>Badges!B29</f>
        <v>Coaching</v>
      </c>
      <c r="F23" s="492"/>
      <c r="G23" s="492"/>
      <c r="I23" s="247">
        <v>3</v>
      </c>
      <c r="J23" s="248" t="str">
        <f>Badges!C84</f>
        <v>Practice timing your courses</v>
      </c>
      <c r="K23" s="249"/>
      <c r="M23" s="247">
        <v>3</v>
      </c>
      <c r="N23" s="248" t="str">
        <f>Badges!C153</f>
        <v>Find out about water issues</v>
      </c>
      <c r="O23" s="249"/>
      <c r="Q23" s="268">
        <v>1</v>
      </c>
      <c r="R23" s="344" t="str">
        <f>'Age-Level'!C44</f>
        <v>Choose one line from the Law</v>
      </c>
      <c r="S23" s="262" t="str">
        <f>IF('Age-Level'!R44="A","A","")</f>
        <v/>
      </c>
    </row>
    <row r="24" spans="1:19" x14ac:dyDescent="0.2">
      <c r="A24" s="487" t="str">
        <f>Summary!A14</f>
        <v>Cookie Business</v>
      </c>
      <c r="B24" s="488"/>
      <c r="C24" s="489"/>
      <c r="D24" s="243"/>
      <c r="E24" s="247">
        <v>1</v>
      </c>
      <c r="F24" s="248" t="str">
        <f>Badges!C30</f>
        <v>Begin to outline your coaching strategy</v>
      </c>
      <c r="G24" s="249"/>
      <c r="I24" s="247"/>
      <c r="J24" s="248" t="str">
        <f>Badges!C85</f>
        <v>Get tips fromo food professionals</v>
      </c>
      <c r="K24" s="250" t="str">
        <f>IF(Badges!R85="A","A"," ")</f>
        <v xml:space="preserve"> </v>
      </c>
      <c r="M24" s="247"/>
      <c r="N24" s="248" t="str">
        <f>Badges!C154</f>
        <v>Visit a water facility and explore its</v>
      </c>
      <c r="O24" s="250" t="str">
        <f>IF(Badges!R154="A","A"," ")</f>
        <v xml:space="preserve"> </v>
      </c>
      <c r="Q24" s="267">
        <v>2</v>
      </c>
      <c r="R24" s="344" t="str">
        <f>'Age-Level'!C45</f>
        <v>Find a woman in your community</v>
      </c>
      <c r="S24" s="262" t="str">
        <f>IF('Age-Level'!R45="A","A","")</f>
        <v/>
      </c>
    </row>
    <row r="25" spans="1:19" x14ac:dyDescent="0.2">
      <c r="A25" s="490" t="str">
        <f>Summary!A15</f>
        <v>Research and Development</v>
      </c>
      <c r="B25" s="491"/>
      <c r="C25" s="252" t="str">
        <f>IF(Badges!R227="C","C",IF(Badges!R227="P","P",""))</f>
        <v/>
      </c>
      <c r="E25" s="247"/>
      <c r="F25" s="248" t="str">
        <f>Badges!C31</f>
        <v>Talk to a great coach</v>
      </c>
      <c r="G25" s="250" t="str">
        <f>IF(Badges!R31="A","A"," ")</f>
        <v xml:space="preserve"> </v>
      </c>
      <c r="I25" s="247"/>
      <c r="J25" s="248" t="str">
        <f>Badges!C86</f>
        <v>Make a menu timeline</v>
      </c>
      <c r="K25" s="250" t="str">
        <f>IF(Badges!R86="A","A"," ")</f>
        <v xml:space="preserve"> </v>
      </c>
      <c r="M25" s="247"/>
      <c r="N25" s="248" t="str">
        <f>Badges!C155</f>
        <v>Investigate endangered marine life</v>
      </c>
      <c r="O25" s="250" t="str">
        <f>IF(Badges!R155="A","A"," ")</f>
        <v xml:space="preserve"> </v>
      </c>
      <c r="Q25" s="267">
        <v>3</v>
      </c>
      <c r="R25" s="344" t="str">
        <f>'Age-Level'!C46</f>
        <v>Gather three inspirational quotes</v>
      </c>
      <c r="S25" s="262" t="str">
        <f>IF('Age-Level'!R46="A","A","")</f>
        <v/>
      </c>
    </row>
    <row r="26" spans="1:19" x14ac:dyDescent="0.2">
      <c r="A26" s="490" t="str">
        <f>Summary!A16</f>
        <v>P &amp; L</v>
      </c>
      <c r="B26" s="491"/>
      <c r="C26" s="252" t="str">
        <f>IF(Badges!R240="C","C",IF(Badges!R240="P","P",""))</f>
        <v/>
      </c>
      <c r="E26" s="247"/>
      <c r="F26" s="248" t="str">
        <f>Badges!C32</f>
        <v>Watch three sports documentaries</v>
      </c>
      <c r="G26" s="250" t="str">
        <f>IF(Badges!R32="A","A"," ")</f>
        <v xml:space="preserve"> </v>
      </c>
      <c r="I26" s="247"/>
      <c r="J26" s="248" t="str">
        <f>Badges!C87</f>
        <v>Prepare a test meal for family or friends</v>
      </c>
      <c r="K26" s="250" t="str">
        <f>IF(Badges!R87="A","A"," ")</f>
        <v xml:space="preserve"> </v>
      </c>
      <c r="M26" s="247"/>
      <c r="N26" s="248" t="str">
        <f>Badges!C156</f>
        <v>Investigate water as a hazard</v>
      </c>
      <c r="O26" s="250" t="str">
        <f>IF(Badges!R156="A","A"," ")</f>
        <v xml:space="preserve"> </v>
      </c>
      <c r="Q26" s="267">
        <v>4</v>
      </c>
      <c r="R26" s="344" t="str">
        <f>'Age-Level'!C47</f>
        <v>Make something to remind you</v>
      </c>
      <c r="S26" s="262" t="str">
        <f>IF('Age-Level'!R47="A","A","")</f>
        <v/>
      </c>
    </row>
    <row r="27" spans="1:19" x14ac:dyDescent="0.2">
      <c r="A27" s="346"/>
      <c r="B27" s="346"/>
      <c r="C27" s="266"/>
      <c r="E27" s="247"/>
      <c r="F27" s="248" t="str">
        <f>Badges!C33</f>
        <v>Attend a coaching clinic or seminar</v>
      </c>
      <c r="G27" s="250" t="str">
        <f>IF(Badges!R33="A","A"," ")</f>
        <v xml:space="preserve"> </v>
      </c>
      <c r="I27" s="247">
        <v>4</v>
      </c>
      <c r="J27" s="248" t="str">
        <f>Badges!C88</f>
        <v>Explore imaginative ways to present food</v>
      </c>
      <c r="K27" s="249"/>
      <c r="M27" s="247">
        <v>4</v>
      </c>
      <c r="N27" s="248" t="str">
        <f>Badges!C157</f>
        <v>Explore water solutions</v>
      </c>
      <c r="O27" s="249"/>
      <c r="Q27" s="267">
        <v>5</v>
      </c>
      <c r="R27" s="344" t="str">
        <f>'Age-Level'!C48</f>
        <v xml:space="preserve">Make a commitment to live what </v>
      </c>
      <c r="S27" s="262" t="str">
        <f>IF('Age-Level'!R48="A","A","")</f>
        <v/>
      </c>
    </row>
    <row r="28" spans="1:19" x14ac:dyDescent="0.2">
      <c r="A28" s="484" t="s">
        <v>84</v>
      </c>
      <c r="B28" s="484"/>
      <c r="C28" s="484"/>
      <c r="E28" s="247">
        <v>2</v>
      </c>
      <c r="F28" s="248" t="str">
        <f>Badges!C34</f>
        <v>Conduct a first assessment</v>
      </c>
      <c r="G28" s="249"/>
      <c r="I28" s="247"/>
      <c r="J28" s="248" t="str">
        <f>Badges!C89</f>
        <v>Expreiment with garnishes</v>
      </c>
      <c r="K28" s="250" t="str">
        <f>IF(Badges!R89="A","A"," ")</f>
        <v xml:space="preserve"> </v>
      </c>
      <c r="M28" s="247"/>
      <c r="N28" s="248" t="str">
        <f>Badges!C158</f>
        <v>Interview a water scientist</v>
      </c>
      <c r="O28" s="250" t="str">
        <f>IF(Badges!R158="A","A"," ")</f>
        <v xml:space="preserve"> </v>
      </c>
      <c r="Q28" s="471" t="str">
        <f>'Age-Level'!B50</f>
        <v>My Promise, My Faith (Year 2)</v>
      </c>
      <c r="R28" s="495"/>
      <c r="S28" s="262"/>
    </row>
    <row r="29" spans="1:19" x14ac:dyDescent="0.2">
      <c r="B29" s="503" t="str">
        <f>Journey!A5</f>
        <v>It's Your World -- Change It!</v>
      </c>
      <c r="C29" s="504"/>
      <c r="E29" s="247"/>
      <c r="F29" s="248" t="str">
        <f>Badges!C35</f>
        <v>Prepare individual questionaires</v>
      </c>
      <c r="G29" s="250" t="str">
        <f>IF(Badges!R35="A","A"," ")</f>
        <v xml:space="preserve"> </v>
      </c>
      <c r="I29" s="247"/>
      <c r="J29" s="248" t="str">
        <f>Badges!C90</f>
        <v>Present food in interesting shapes</v>
      </c>
      <c r="K29" s="250" t="str">
        <f>IF(Badges!R90="A","A"," ")</f>
        <v xml:space="preserve"> </v>
      </c>
      <c r="M29" s="247"/>
      <c r="N29" s="248" t="str">
        <f>Badges!C159</f>
        <v>Explore the world of hydroelectricity</v>
      </c>
      <c r="O29" s="250" t="str">
        <f>IF(Badges!R159="A","A"," ")</f>
        <v xml:space="preserve"> </v>
      </c>
      <c r="Q29" s="268">
        <v>1</v>
      </c>
      <c r="R29" s="344" t="str">
        <f>'Age-Level'!C51</f>
        <v>Choose one line from the Law</v>
      </c>
      <c r="S29" s="262" t="str">
        <f>IF('Age-Level'!R51="A","A","")</f>
        <v/>
      </c>
    </row>
    <row r="30" spans="1:19" x14ac:dyDescent="0.2">
      <c r="B30" s="477" t="str">
        <f>Journey!B7</f>
        <v>The Girl Scout Advocate Award</v>
      </c>
      <c r="C30" s="478"/>
      <c r="E30" s="247"/>
      <c r="F30" s="248" t="str">
        <f>Badges!C36</f>
        <v>Host an initial session</v>
      </c>
      <c r="G30" s="250" t="str">
        <f>IF(Badges!R36="A","A"," ")</f>
        <v xml:space="preserve"> </v>
      </c>
      <c r="I30" s="247"/>
      <c r="J30" s="248" t="str">
        <f>Badges!C91</f>
        <v>Use serving ware in unusual ways</v>
      </c>
      <c r="K30" s="250" t="str">
        <f>IF(Badges!R91="A","A"," ")</f>
        <v xml:space="preserve"> </v>
      </c>
      <c r="M30" s="247"/>
      <c r="N30" s="248" t="str">
        <f>Badges!C160</f>
        <v>Design your own water innovation</v>
      </c>
      <c r="O30" s="250" t="str">
        <f>IF(Badges!R160="A","A"," ")</f>
        <v xml:space="preserve"> </v>
      </c>
      <c r="Q30" s="267">
        <v>2</v>
      </c>
      <c r="R30" s="344" t="str">
        <f>'Age-Level'!C52</f>
        <v>Find a woman in your community</v>
      </c>
      <c r="S30" s="262" t="str">
        <f>IF('Age-Level'!R52="A","A","")</f>
        <v/>
      </c>
    </row>
    <row r="31" spans="1:19" x14ac:dyDescent="0.2">
      <c r="B31" s="256">
        <f>Journey!Q8</f>
        <v>0</v>
      </c>
      <c r="C31" s="252" t="str">
        <f>IF(Journey!R8="C","C",IF(Journey!R8="P","P",""))</f>
        <v/>
      </c>
      <c r="E31" s="247"/>
      <c r="F31" s="248" t="str">
        <f>Badges!C37</f>
        <v>Prepare a goal chart together</v>
      </c>
      <c r="G31" s="250" t="str">
        <f>IF(Badges!R37="A","A"," ")</f>
        <v xml:space="preserve"> </v>
      </c>
      <c r="I31" s="247">
        <v>5</v>
      </c>
      <c r="J31" s="248" t="str">
        <f>Badges!C92</f>
        <v>Host your party</v>
      </c>
      <c r="K31" s="249"/>
      <c r="M31" s="247">
        <v>5</v>
      </c>
      <c r="N31" s="248" t="str">
        <f>Badges!C161</f>
        <v>Educate and insipire others with a splash</v>
      </c>
      <c r="O31" s="249"/>
      <c r="Q31" s="267">
        <v>3</v>
      </c>
      <c r="R31" s="344" t="str">
        <f>'Age-Level'!C53</f>
        <v>Gather three inspirational quotes</v>
      </c>
      <c r="S31" s="262" t="str">
        <f>IF('Age-Level'!R53="A","A","")</f>
        <v/>
      </c>
    </row>
    <row r="32" spans="1:19" x14ac:dyDescent="0.2">
      <c r="B32" s="256">
        <f>Journey!Q9</f>
        <v>0</v>
      </c>
      <c r="C32" s="252" t="str">
        <f>IF(Journey!R9="C","C",IF(Journey!R9="P","P",""))</f>
        <v/>
      </c>
      <c r="E32" s="339" t="str">
        <f>Badges!B29</f>
        <v>Coaching</v>
      </c>
      <c r="F32" s="340"/>
      <c r="G32" s="340"/>
      <c r="I32" s="247"/>
      <c r="J32" s="248" t="str">
        <f>Badges!C93</f>
        <v>Decorate according to your menu theme</v>
      </c>
      <c r="K32" s="250" t="str">
        <f>IF(Badges!R93="A","A"," ")</f>
        <v xml:space="preserve"> </v>
      </c>
      <c r="M32" s="247"/>
      <c r="N32" s="248" t="str">
        <f>Badges!C162</f>
        <v>Celebrate water with younger Girl Scouts</v>
      </c>
      <c r="O32" s="250" t="str">
        <f>IF(Badges!R162="A","A"," ")</f>
        <v xml:space="preserve"> </v>
      </c>
      <c r="Q32" s="267">
        <v>4</v>
      </c>
      <c r="R32" s="344" t="str">
        <f>'Age-Level'!C54</f>
        <v>Make something to remind you</v>
      </c>
      <c r="S32" s="262" t="str">
        <f>IF('Age-Level'!R54="A","A","")</f>
        <v/>
      </c>
    </row>
    <row r="33" spans="1:19" x14ac:dyDescent="0.2">
      <c r="B33" s="256">
        <f>Journey!Q10</f>
        <v>0</v>
      </c>
      <c r="C33" s="252" t="str">
        <f>IF(Journey!R10="C","C",IF(Journey!R10="P","P",""))</f>
        <v/>
      </c>
      <c r="E33" s="247">
        <v>3</v>
      </c>
      <c r="F33" s="248" t="str">
        <f>Badges!C38</f>
        <v>Design your coaching plan</v>
      </c>
      <c r="G33" s="249"/>
      <c r="I33" s="247"/>
      <c r="J33" s="248" t="str">
        <f>Badges!C94</f>
        <v>Celebrate a special occasion</v>
      </c>
      <c r="K33" s="250" t="str">
        <f>IF(Badges!R94="A","A"," ")</f>
        <v xml:space="preserve"> </v>
      </c>
      <c r="M33" s="247"/>
      <c r="N33" s="248" t="str">
        <f>Badges!C163</f>
        <v>Share a water issue that matters to you</v>
      </c>
      <c r="O33" s="250" t="str">
        <f>IF(Badges!R163="A","A"," ")</f>
        <v xml:space="preserve"> </v>
      </c>
      <c r="Q33" s="267">
        <v>5</v>
      </c>
      <c r="R33" s="344" t="str">
        <f>'Age-Level'!C55</f>
        <v xml:space="preserve">Make a commitment to live what </v>
      </c>
      <c r="S33" s="364" t="str">
        <f>IF('Age-Level'!R55="A","A","")</f>
        <v/>
      </c>
    </row>
    <row r="34" spans="1:19" x14ac:dyDescent="0.2">
      <c r="A34" s="284"/>
      <c r="B34" s="473" t="str">
        <f>Journey!A14</f>
        <v>JUSTICE</v>
      </c>
      <c r="C34" s="474"/>
      <c r="E34" s="247"/>
      <c r="F34" s="248" t="str">
        <f>Badges!C39</f>
        <v xml:space="preserve">Design a special warm-up </v>
      </c>
      <c r="G34" s="250" t="str">
        <f>IF(Badges!R39="A","A"," ")</f>
        <v xml:space="preserve"> </v>
      </c>
      <c r="I34" s="247"/>
      <c r="J34" s="248" t="str">
        <f>Badges!C95</f>
        <v>Use food and fun to forge new friendships</v>
      </c>
      <c r="K34" s="250" t="str">
        <f>IF(Badges!R95="A","A"," ")</f>
        <v xml:space="preserve"> </v>
      </c>
      <c r="M34" s="247"/>
      <c r="N34" s="248" t="str">
        <f>Badges!C164</f>
        <v>Guide a group to a water place</v>
      </c>
      <c r="O34" s="250" t="str">
        <f>IF(Badges!R164="A","A"," ")</f>
        <v xml:space="preserve"> </v>
      </c>
      <c r="Q34" s="471" t="str">
        <f>'Age-Level'!B57</f>
        <v>Safety Award</v>
      </c>
      <c r="R34" s="472"/>
      <c r="S34" s="364"/>
    </row>
    <row r="35" spans="1:19" x14ac:dyDescent="0.2">
      <c r="A35" s="284"/>
      <c r="B35" s="479" t="str">
        <f>Journey!B15</f>
        <v>Sage Award</v>
      </c>
      <c r="C35" s="480"/>
      <c r="E35" s="247"/>
      <c r="F35" s="248" t="str">
        <f>Badges!C40</f>
        <v>Research and choose</v>
      </c>
      <c r="G35" s="250" t="str">
        <f>IF(Badges!R40="A","A"," ")</f>
        <v xml:space="preserve"> </v>
      </c>
      <c r="I35" s="339" t="str">
        <f>Badges!B98</f>
        <v>Ambassador First Aid</v>
      </c>
      <c r="J35" s="340"/>
      <c r="K35" s="340"/>
      <c r="M35" s="339" t="str">
        <f>Badges!B168</f>
        <v>On My Own</v>
      </c>
      <c r="N35" s="340"/>
      <c r="O35" s="340"/>
      <c r="Q35" s="268">
        <v>1</v>
      </c>
      <c r="R35" s="344" t="str">
        <f>'Age-Level'!C58</f>
        <v>Learn how to make a room safe for a</v>
      </c>
      <c r="S35" s="262" t="str">
        <f>IF('Age-Level'!R58="A","A","")</f>
        <v/>
      </c>
    </row>
    <row r="36" spans="1:19" x14ac:dyDescent="0.2">
      <c r="A36" s="284"/>
      <c r="B36" s="256">
        <f>Journey!Q16</f>
        <v>0</v>
      </c>
      <c r="C36" s="252" t="str">
        <f>IF(Journey!R16="C","C",IF(Journey!R16="P","P",""))</f>
        <v/>
      </c>
      <c r="E36" s="247"/>
      <c r="F36" s="248" t="str">
        <f>Badges!C41</f>
        <v>Open and close each session</v>
      </c>
      <c r="G36" s="250" t="str">
        <f>IF(Badges!R41="A","A"," ")</f>
        <v xml:space="preserve"> </v>
      </c>
      <c r="I36" s="247">
        <v>1</v>
      </c>
      <c r="J36" s="248" t="str">
        <f>Badges!C99</f>
        <v>Learn how to deal with medical emergencies in the winderness</v>
      </c>
      <c r="K36" s="249"/>
      <c r="M36" s="247">
        <v>1</v>
      </c>
      <c r="N36" s="248" t="str">
        <f>Badges!C169</f>
        <v>Plan for where you'll live</v>
      </c>
      <c r="O36" s="249"/>
      <c r="Q36" s="267">
        <v>2</v>
      </c>
      <c r="R36" s="344" t="str">
        <f>'Age-Level'!C59</f>
        <v>Find out about water safety</v>
      </c>
      <c r="S36" s="262" t="str">
        <f>IF('Age-Level'!R59="A","A","")</f>
        <v/>
      </c>
    </row>
    <row r="37" spans="1:19" x14ac:dyDescent="0.2">
      <c r="A37" s="284"/>
      <c r="B37" s="256">
        <f>Journey!Q17</f>
        <v>0</v>
      </c>
      <c r="C37" s="252" t="str">
        <f>IF(Journey!R17="C","C",IF(Journey!R17="P","P",""))</f>
        <v/>
      </c>
      <c r="E37" s="247">
        <v>4</v>
      </c>
      <c r="F37" s="248" t="str">
        <f>Badges!C42</f>
        <v>Put your plan in action</v>
      </c>
      <c r="G37" s="249"/>
      <c r="I37" s="247"/>
      <c r="J37" s="248" t="str">
        <f>Badges!C100</f>
        <v>Backcountry</v>
      </c>
      <c r="K37" s="250" t="str">
        <f>IF(Badges!R100="A","A"," ")</f>
        <v xml:space="preserve"> </v>
      </c>
      <c r="M37" s="247"/>
      <c r="N37" s="248" t="str">
        <f>Badges!C170</f>
        <v>Take a tour</v>
      </c>
      <c r="O37" s="250" t="str">
        <f>IF(Badges!R170="A","A"," ")</f>
        <v xml:space="preserve"> </v>
      </c>
      <c r="Q37" s="267">
        <v>3</v>
      </c>
      <c r="R37" s="344" t="str">
        <f>'Age-Level'!C60</f>
        <v>Teach a Daisy or Brownie what to do if</v>
      </c>
      <c r="S37" s="262" t="str">
        <f>IF('Age-Level'!R60="A","A","")</f>
        <v/>
      </c>
    </row>
    <row r="38" spans="1:19" x14ac:dyDescent="0.2">
      <c r="A38" s="284"/>
      <c r="B38" s="256">
        <f>Journey!Q18</f>
        <v>0</v>
      </c>
      <c r="C38" s="252" t="str">
        <f>IF(Journey!R18="C","C",IF(Journey!R18="P","P",""))</f>
        <v/>
      </c>
      <c r="E38" s="247"/>
      <c r="F38" s="248" t="str">
        <f>Badges!C43</f>
        <v>Add a morale-boosting time-out</v>
      </c>
      <c r="G38" s="250" t="str">
        <f>IF(Badges!R43="A","A"," ")</f>
        <v xml:space="preserve"> </v>
      </c>
      <c r="I38" s="247"/>
      <c r="J38" s="248" t="str">
        <f>Badges!C101</f>
        <v>Open water</v>
      </c>
      <c r="K38" s="250" t="str">
        <f>IF(Badges!R101="A","A"," ")</f>
        <v xml:space="preserve"> </v>
      </c>
      <c r="M38" s="247"/>
      <c r="N38" s="248" t="str">
        <f>Badges!C171</f>
        <v>Interview a new tenant or homeowner</v>
      </c>
      <c r="O38" s="250" t="str">
        <f>IF(Badges!R171="A","A"," ")</f>
        <v xml:space="preserve"> </v>
      </c>
      <c r="Q38" s="267">
        <v>4</v>
      </c>
      <c r="R38" s="344" t="str">
        <f>'Age-Level'!C61</f>
        <v>With your family, make sure you have</v>
      </c>
      <c r="S38" s="262" t="str">
        <f>IF('Age-Level'!R61="A","A","")</f>
        <v/>
      </c>
    </row>
    <row r="39" spans="1:19" x14ac:dyDescent="0.2">
      <c r="A39" s="284"/>
      <c r="B39" s="256">
        <f>Journey!Q19</f>
        <v>0</v>
      </c>
      <c r="C39" s="252" t="str">
        <f>IF(Journey!R19="C","C",IF(Journey!R19="P","P",""))</f>
        <v/>
      </c>
      <c r="E39" s="247"/>
      <c r="F39" s="248" t="str">
        <f>Badges!C44</f>
        <v>Ask your players to coach you!</v>
      </c>
      <c r="G39" s="250" t="str">
        <f>IF(Badges!R44="A","A"," ")</f>
        <v xml:space="preserve"> </v>
      </c>
      <c r="I39" s="247"/>
      <c r="J39" s="248" t="str">
        <f>Badges!C102</f>
        <v>Mountains</v>
      </c>
      <c r="K39" s="250" t="str">
        <f>IF(Badges!R102="A","A"," ")</f>
        <v xml:space="preserve"> </v>
      </c>
      <c r="M39" s="247"/>
      <c r="N39" s="248" t="str">
        <f>Badges!C172</f>
        <v>Be chart smart</v>
      </c>
      <c r="O39" s="250" t="str">
        <f>IF(Badges!R172="A","A"," ")</f>
        <v xml:space="preserve"> </v>
      </c>
      <c r="Q39" s="267">
        <v>5</v>
      </c>
      <c r="R39" s="344" t="str">
        <f>'Age-Level'!C62</f>
        <v>Discuss bullying with your Girl Scout</v>
      </c>
      <c r="S39" s="262" t="str">
        <f>IF('Age-Level'!R62="A","A","")</f>
        <v/>
      </c>
    </row>
    <row r="40" spans="1:19" x14ac:dyDescent="0.2">
      <c r="A40" s="284"/>
      <c r="B40" s="256">
        <f>Journey!Q20</f>
        <v>0</v>
      </c>
      <c r="C40" s="252" t="str">
        <f>IF(Journey!R20="C","C",IF(Journey!R20="P","P",""))</f>
        <v/>
      </c>
      <c r="E40" s="247"/>
      <c r="F40" s="248" t="str">
        <f>Badges!C45</f>
        <v xml:space="preserve">Bring in another coah to watch </v>
      </c>
      <c r="G40" s="250" t="str">
        <f>IF(Badges!R45="A","A"," ")</f>
        <v xml:space="preserve"> </v>
      </c>
      <c r="I40" s="247">
        <v>2</v>
      </c>
      <c r="J40" s="248" t="str">
        <f>Badges!C103</f>
        <v>Research careers that save lives in extreme conditions</v>
      </c>
      <c r="K40" s="249"/>
      <c r="M40" s="247">
        <v>2</v>
      </c>
      <c r="N40" s="248" t="str">
        <f>Badges!C173</f>
        <v>Plan for your daily needs</v>
      </c>
      <c r="O40" s="249"/>
    </row>
    <row r="41" spans="1:19" x14ac:dyDescent="0.2">
      <c r="A41" s="284"/>
      <c r="B41" s="256">
        <f>Journey!Q21</f>
        <v>0</v>
      </c>
      <c r="C41" s="252" t="str">
        <f>IF(Journey!R21="C","C",IF(Journey!R21="P","P",""))</f>
        <v/>
      </c>
      <c r="E41" s="247">
        <v>5</v>
      </c>
      <c r="F41" s="248" t="str">
        <f>Badges!C46</f>
        <v>Attend the big event</v>
      </c>
      <c r="G41" s="249"/>
      <c r="I41" s="247"/>
      <c r="J41" s="248" t="str">
        <f>Badges!C104</f>
        <v>Wilderness rescue</v>
      </c>
      <c r="K41" s="250" t="str">
        <f>IF(Badges!R104="A","A"," ")</f>
        <v xml:space="preserve"> </v>
      </c>
      <c r="M41" s="247"/>
      <c r="N41" s="248" t="str">
        <f>Badges!C174</f>
        <v>Focus on your finances</v>
      </c>
      <c r="O41" s="250" t="str">
        <f>IF(Badges!R174="A","A"," ")</f>
        <v xml:space="preserve"> </v>
      </c>
    </row>
    <row r="42" spans="1:19" x14ac:dyDescent="0.2">
      <c r="A42" s="254"/>
      <c r="B42" s="475" t="str">
        <f>Journey!A25</f>
        <v>BLISS: Live it! Give It!</v>
      </c>
      <c r="C42" s="476"/>
      <c r="E42" s="247"/>
      <c r="F42" s="248" t="str">
        <f>Badges!C47</f>
        <v>Meet with your players for a relaxing</v>
      </c>
      <c r="G42" s="250" t="str">
        <f>IF(Badges!R47="A","A"," ")</f>
        <v xml:space="preserve"> </v>
      </c>
      <c r="I42" s="247"/>
      <c r="J42" s="248" t="str">
        <f>Badges!C105</f>
        <v>Disaster preparedness</v>
      </c>
      <c r="K42" s="250" t="str">
        <f>IF(Badges!R105="A","A"," ")</f>
        <v xml:space="preserve"> </v>
      </c>
      <c r="M42" s="247"/>
      <c r="N42" s="248" t="str">
        <f>Badges!C175</f>
        <v>Shop talk</v>
      </c>
      <c r="O42" s="250" t="str">
        <f>IF(Badges!R175="A","A"," ")</f>
        <v xml:space="preserve"> </v>
      </c>
      <c r="Q42" s="505"/>
      <c r="R42" s="505"/>
      <c r="S42" s="240"/>
    </row>
    <row r="43" spans="1:19" x14ac:dyDescent="0.2">
      <c r="B43" s="477" t="str">
        <f>Journey!B26</f>
        <v>Dream Maker Award</v>
      </c>
      <c r="C43" s="478"/>
      <c r="E43" s="247"/>
      <c r="F43" s="248" t="str">
        <f>Badges!C48</f>
        <v>Host a celebration</v>
      </c>
      <c r="G43" s="250" t="str">
        <f>IF(Badges!R48="A","A"," ")</f>
        <v xml:space="preserve"> </v>
      </c>
      <c r="I43" s="247"/>
      <c r="J43" s="248" t="str">
        <f>Badges!C106</f>
        <v>Military medicine</v>
      </c>
      <c r="K43" s="250" t="str">
        <f>IF(Badges!R106="A","A"," ")</f>
        <v xml:space="preserve"> </v>
      </c>
      <c r="M43" s="247"/>
      <c r="N43" s="248" t="str">
        <f>Badges!C176</f>
        <v>Audit request</v>
      </c>
      <c r="O43" s="250" t="str">
        <f>IF(Badges!R176="A","A"," ")</f>
        <v xml:space="preserve"> </v>
      </c>
      <c r="Q43" s="267"/>
      <c r="R43" s="267"/>
      <c r="S43" s="240"/>
    </row>
    <row r="44" spans="1:19" x14ac:dyDescent="0.2">
      <c r="B44" s="256">
        <f>Journey!Q27</f>
        <v>0</v>
      </c>
      <c r="C44" s="252" t="str">
        <f>IF(Journey!R27="C","C",IF(Journey!R27="P","P",""))</f>
        <v/>
      </c>
      <c r="E44" s="247"/>
      <c r="F44" s="248" t="str">
        <f>Badges!C49</f>
        <v>Make a "trading card" for each athlete</v>
      </c>
      <c r="G44" s="250" t="str">
        <f>IF(Badges!R49="A","A"," ")</f>
        <v xml:space="preserve"> </v>
      </c>
      <c r="I44" s="247">
        <v>3</v>
      </c>
      <c r="J44" s="248" t="str">
        <f>Badges!C107</f>
        <v>Find out how to care for a critically injured person</v>
      </c>
      <c r="K44" s="249"/>
      <c r="M44" s="247">
        <v>3</v>
      </c>
      <c r="N44" s="248" t="str">
        <f>Badges!C177</f>
        <v>Plan for having fun</v>
      </c>
      <c r="O44" s="249"/>
      <c r="Q44" s="267"/>
      <c r="R44" s="267"/>
      <c r="S44" s="240"/>
    </row>
    <row r="45" spans="1:19" x14ac:dyDescent="0.2">
      <c r="B45" s="256">
        <f>Journey!Q28</f>
        <v>0</v>
      </c>
      <c r="C45" s="252" t="str">
        <f>IF(Journey!R28="C","C",IF(Journey!R28="P","P",""))</f>
        <v/>
      </c>
      <c r="E45" s="492" t="str">
        <f>Badges!B52</f>
        <v>Public Policy</v>
      </c>
      <c r="F45" s="492"/>
      <c r="G45" s="492"/>
      <c r="I45" s="247"/>
      <c r="J45" s="248" t="str">
        <f>Badges!C108</f>
        <v>Take a wilderness first aid course</v>
      </c>
      <c r="K45" s="250" t="str">
        <f>IF(Badges!R108="A","A"," ")</f>
        <v xml:space="preserve"> </v>
      </c>
      <c r="M45" s="247"/>
      <c r="N45" s="248" t="str">
        <f>Badges!C178</f>
        <v>Hooray for hobbies!</v>
      </c>
      <c r="O45" s="250" t="str">
        <f>IF(Badges!R178="A","A"," ")</f>
        <v xml:space="preserve"> </v>
      </c>
      <c r="Q45" s="267"/>
      <c r="R45" s="267"/>
      <c r="S45" s="240"/>
    </row>
    <row r="46" spans="1:19" x14ac:dyDescent="0.2">
      <c r="B46" s="256">
        <f>Journey!Q29</f>
        <v>0</v>
      </c>
      <c r="C46" s="252" t="str">
        <f>IF(Journey!R29="C","C",IF(Journey!R29="P","P",""))</f>
        <v/>
      </c>
      <c r="E46" s="247">
        <v>1</v>
      </c>
      <c r="F46" s="248" t="str">
        <f>Badges!C53</f>
        <v>Find out how activitists advocate for change</v>
      </c>
      <c r="G46" s="249" t="s">
        <v>26</v>
      </c>
      <c r="I46" s="247"/>
      <c r="J46" s="248" t="str">
        <f>Badges!C109</f>
        <v>Interview a doctor, nurse, EMT, or first</v>
      </c>
      <c r="K46" s="250" t="str">
        <f>IF(Badges!R109="A","A"," ")</f>
        <v xml:space="preserve"> </v>
      </c>
      <c r="M46" s="247"/>
      <c r="N46" s="248" t="str">
        <f>Badges!C179</f>
        <v>Treat yourself</v>
      </c>
      <c r="O46" s="250" t="str">
        <f>IF(Badges!R179="A","A"," ")</f>
        <v xml:space="preserve"> </v>
      </c>
      <c r="Q46" s="267"/>
      <c r="R46" s="267"/>
      <c r="S46" s="240"/>
    </row>
    <row r="47" spans="1:19" x14ac:dyDescent="0.2">
      <c r="B47" s="256">
        <f>Journey!Q30</f>
        <v>0</v>
      </c>
      <c r="C47" s="252" t="str">
        <f>IF(Journey!R30="C","C",IF(Journey!R30="P","P",""))</f>
        <v/>
      </c>
      <c r="E47" s="247"/>
      <c r="F47" s="248" t="str">
        <f>Badges!C54</f>
        <v>Interview an activist</v>
      </c>
      <c r="G47" s="250" t="str">
        <f>IF(Badges!R54="A","A"," ")</f>
        <v xml:space="preserve"> </v>
      </c>
      <c r="I47" s="247"/>
      <c r="J47" s="248" t="str">
        <f>Badges!C110</f>
        <v xml:space="preserve">Discover how to use what's on hand in </v>
      </c>
      <c r="K47" s="250" t="str">
        <f>IF(Badges!R110="A","A"," ")</f>
        <v xml:space="preserve"> </v>
      </c>
      <c r="M47" s="247"/>
      <c r="N47" s="248" t="str">
        <f>Badges!C180</f>
        <v>Class act</v>
      </c>
      <c r="O47" s="250" t="str">
        <f>IF(Badges!R180="A","A"," ")</f>
        <v xml:space="preserve"> </v>
      </c>
      <c r="Q47" s="267"/>
      <c r="R47" s="267"/>
      <c r="S47" s="240"/>
    </row>
    <row r="48" spans="1:19" x14ac:dyDescent="0.2">
      <c r="B48" s="264"/>
      <c r="C48" s="264"/>
      <c r="E48" s="247"/>
      <c r="F48" s="248" t="str">
        <f>Badges!C55</f>
        <v>Watch a documentary or movie</v>
      </c>
      <c r="G48" s="250" t="str">
        <f>IF(Badges!R55="A","A"," ")</f>
        <v xml:space="preserve"> </v>
      </c>
      <c r="I48" s="339" t="str">
        <f>Badges!B98</f>
        <v>Ambassador First Aid</v>
      </c>
      <c r="J48" s="340"/>
      <c r="K48" s="340"/>
      <c r="M48" s="247">
        <v>4</v>
      </c>
      <c r="N48" s="248" t="str">
        <f>Badges!C181</f>
        <v>Plan for the unexpected</v>
      </c>
      <c r="O48" s="249"/>
    </row>
    <row r="49" spans="1:19" x14ac:dyDescent="0.2">
      <c r="A49" s="484" t="s">
        <v>316</v>
      </c>
      <c r="B49" s="484"/>
      <c r="C49" s="484"/>
      <c r="E49" s="247"/>
      <c r="F49" s="248" t="str">
        <f>Badges!C56</f>
        <v xml:space="preserve">Read about women who change the </v>
      </c>
      <c r="G49" s="250" t="str">
        <f>IF(Badges!R56="A","A"," ")</f>
        <v xml:space="preserve"> </v>
      </c>
      <c r="I49" s="247">
        <v>4</v>
      </c>
      <c r="J49" s="248" t="str">
        <f>Badges!C111</f>
        <v>Know how to move an injured person</v>
      </c>
      <c r="K49" s="249"/>
      <c r="M49" s="247"/>
      <c r="N49" s="248" t="str">
        <f>Badges!C182</f>
        <v>Interview your network</v>
      </c>
      <c r="O49" s="250" t="str">
        <f>IF(Badges!R182="A","A"," ")</f>
        <v xml:space="preserve"> </v>
      </c>
    </row>
    <row r="50" spans="1:19" x14ac:dyDescent="0.2">
      <c r="A50" s="259"/>
      <c r="B50" s="345" t="str">
        <f>Bridging!B6</f>
        <v>Pass It On!</v>
      </c>
      <c r="C50" s="251" t="str">
        <f>IF(Bridging!R10="C","C",IF(Bridging!R10="P","P",""))</f>
        <v/>
      </c>
      <c r="E50" s="247">
        <v>2</v>
      </c>
      <c r="F50" s="248" t="str">
        <f>Badges!C57</f>
        <v>Engage as a global citizen</v>
      </c>
      <c r="G50" s="249"/>
      <c r="I50" s="247"/>
      <c r="J50" s="248" t="str">
        <f>Badges!C112</f>
        <v>Visit a medical school</v>
      </c>
      <c r="K50" s="250" t="str">
        <f>IF(Badges!R112="A","A"," ")</f>
        <v xml:space="preserve"> </v>
      </c>
      <c r="M50" s="247"/>
      <c r="N50" s="248" t="str">
        <f>Badges!C183</f>
        <v>Interview a Financial guru</v>
      </c>
      <c r="O50" s="250" t="str">
        <f>IF(Badges!R183="A","A"," ")</f>
        <v xml:space="preserve"> </v>
      </c>
    </row>
    <row r="51" spans="1:19" x14ac:dyDescent="0.2">
      <c r="A51" s="259"/>
      <c r="B51" s="260" t="str">
        <f>Bridging!B11</f>
        <v>Look Ahead!</v>
      </c>
      <c r="C51" s="251" t="str">
        <f>IF(Bridging!R15="C","C",IF(Bridging!R15="P","P",""))</f>
        <v/>
      </c>
      <c r="E51" s="247"/>
      <c r="F51" s="248" t="str">
        <f>Badges!C58</f>
        <v>Compare laws</v>
      </c>
      <c r="G51" s="250" t="str">
        <f>IF(Badges!R58="A","A"," ")</f>
        <v xml:space="preserve"> </v>
      </c>
      <c r="I51" s="247"/>
      <c r="J51" s="248" t="str">
        <f>Badges!C113</f>
        <v>Take a wilderness first aid course</v>
      </c>
      <c r="K51" s="250" t="str">
        <f>IF(Badges!R113="A","A"," ")</f>
        <v xml:space="preserve"> </v>
      </c>
      <c r="M51" s="247"/>
      <c r="N51" s="248" t="str">
        <f>Badges!C184</f>
        <v>Interview an insurance expert</v>
      </c>
      <c r="O51" s="250" t="str">
        <f>IF(Badges!R184="A","A"," ")</f>
        <v xml:space="preserve"> </v>
      </c>
    </row>
    <row r="52" spans="1:19" x14ac:dyDescent="0.2">
      <c r="A52" s="259"/>
      <c r="B52" s="344" t="str">
        <f>Bridging!C16</f>
        <v>Plan a Ceremony</v>
      </c>
      <c r="C52" s="251" t="str">
        <f>IF(Bridging!R17="C","C",IF(Bridging!R17="P","P",""))</f>
        <v/>
      </c>
      <c r="E52" s="247"/>
      <c r="F52" s="248" t="str">
        <f>Badges!C59</f>
        <v xml:space="preserve">Track a public-policy issue being </v>
      </c>
      <c r="G52" s="250" t="str">
        <f>IF(Badges!R59="A","A"," ")</f>
        <v xml:space="preserve"> </v>
      </c>
      <c r="I52" s="247"/>
      <c r="J52" s="248" t="str">
        <f>Badges!C114</f>
        <v>Organize a mock emergency drill</v>
      </c>
      <c r="K52" s="250" t="str">
        <f>IF(Badges!R114="A","A"," ")</f>
        <v xml:space="preserve"> </v>
      </c>
      <c r="M52" s="339" t="str">
        <f>Badges!B168</f>
        <v>On My Own</v>
      </c>
      <c r="N52" s="340"/>
      <c r="O52" s="340"/>
    </row>
    <row r="53" spans="1:19" x14ac:dyDescent="0.2">
      <c r="B53" s="261" t="s">
        <v>134</v>
      </c>
      <c r="C53" s="251" t="str">
        <f>IF(Bridging!R18="C","C",IF(Bridging!R18="P","P",""))</f>
        <v/>
      </c>
      <c r="E53" s="247"/>
      <c r="F53" s="248" t="str">
        <f>Badges!C60</f>
        <v>Explore an international NGO</v>
      </c>
      <c r="G53" s="250" t="str">
        <f>IF(Badges!R60="A","A"," ")</f>
        <v xml:space="preserve"> </v>
      </c>
      <c r="I53" s="247">
        <v>5</v>
      </c>
      <c r="J53" s="248" t="str">
        <f>Badges!C115</f>
        <v>Explore real-life examples for handling wilderness emergencies</v>
      </c>
      <c r="K53" s="249"/>
      <c r="M53" s="247">
        <v>5</v>
      </c>
      <c r="N53" s="248" t="str">
        <f>Badges!C185</f>
        <v>Plan for sharing with others</v>
      </c>
      <c r="O53" s="249"/>
    </row>
    <row r="54" spans="1:19" x14ac:dyDescent="0.2">
      <c r="B54" s="255"/>
      <c r="C54" s="341"/>
      <c r="I54" s="247"/>
      <c r="J54" s="248" t="str">
        <f>Badges!C116</f>
        <v>Explore wilderness survival</v>
      </c>
      <c r="K54" s="250" t="str">
        <f>IF(Badges!R116="A","A"," ")</f>
        <v xml:space="preserve"> </v>
      </c>
      <c r="M54" s="247"/>
      <c r="N54" s="248" t="str">
        <f>Badges!C186</f>
        <v>Plan for presents</v>
      </c>
      <c r="O54" s="250" t="str">
        <f>IF(Badges!R186="A","A"," ")</f>
        <v xml:space="preserve"> </v>
      </c>
      <c r="Q54" s="267"/>
      <c r="R54" s="267"/>
      <c r="S54" s="240"/>
    </row>
    <row r="55" spans="1:19" x14ac:dyDescent="0.2">
      <c r="I55" s="247"/>
      <c r="J55" s="248" t="str">
        <f>Badges!C117</f>
        <v>Investigate extreme first aid</v>
      </c>
      <c r="K55" s="250" t="str">
        <f>IF(Badges!R117="A","A"," ")</f>
        <v xml:space="preserve"> </v>
      </c>
      <c r="M55" s="247"/>
      <c r="N55" s="248" t="str">
        <f>Badges!C187</f>
        <v>Budget for your time</v>
      </c>
      <c r="O55" s="250" t="str">
        <f>IF(Badges!R187="A","A"," ")</f>
        <v xml:space="preserve"> </v>
      </c>
      <c r="Q55" s="496"/>
      <c r="R55" s="496"/>
      <c r="S55" s="496"/>
    </row>
    <row r="56" spans="1:19" x14ac:dyDescent="0.2">
      <c r="I56" s="247"/>
      <c r="J56" s="248" t="str">
        <f>Badges!C118</f>
        <v>Interview an everyday hero</v>
      </c>
      <c r="K56" s="250" t="str">
        <f>IF(Badges!R118="A","A"," ")</f>
        <v xml:space="preserve"> </v>
      </c>
      <c r="M56" s="247"/>
      <c r="N56" s="248" t="str">
        <f>Badges!C188</f>
        <v>Charity starts… with a budget</v>
      </c>
      <c r="O56" s="250" t="str">
        <f>IF(Badges!R188="A","A"," ")</f>
        <v xml:space="preserve"> </v>
      </c>
    </row>
    <row r="57" spans="1:19" x14ac:dyDescent="0.2">
      <c r="I57" s="339" t="str">
        <f>Badges!B121</f>
        <v>Ambassador Girl Scout Way</v>
      </c>
      <c r="J57" s="340"/>
      <c r="K57" s="340"/>
      <c r="M57" s="339" t="str">
        <f>Badges!B215</f>
        <v>Research and Development</v>
      </c>
      <c r="N57" s="340"/>
      <c r="O57" s="340"/>
    </row>
    <row r="58" spans="1:19" x14ac:dyDescent="0.2">
      <c r="I58" s="247">
        <v>1</v>
      </c>
      <c r="J58" s="248" t="str">
        <f>Badges!C122</f>
        <v>Use song to bring people together or to spread a message</v>
      </c>
      <c r="K58" s="249"/>
      <c r="M58" s="247">
        <v>1</v>
      </c>
      <c r="N58" s="248" t="str">
        <f>Badges!C216</f>
        <v>Analyze sales trends</v>
      </c>
      <c r="O58" s="249"/>
    </row>
    <row r="59" spans="1:19" x14ac:dyDescent="0.2">
      <c r="I59" s="247"/>
      <c r="J59" s="248" t="str">
        <f>Badges!C123</f>
        <v>Use music to move people to action</v>
      </c>
      <c r="K59" s="250" t="str">
        <f>IF(Badges!R123="A","A"," ")</f>
        <v xml:space="preserve"> </v>
      </c>
      <c r="M59" s="247"/>
      <c r="N59" s="248" t="str">
        <f>Badges!C217</f>
        <v>Invest some R&amp;D</v>
      </c>
      <c r="O59" s="250" t="str">
        <f>IF(Badges!R217="A","A"," ")</f>
        <v xml:space="preserve"> </v>
      </c>
    </row>
    <row r="60" spans="1:19" x14ac:dyDescent="0.2">
      <c r="I60" s="247"/>
      <c r="J60" s="248" t="str">
        <f>Badges!C124</f>
        <v xml:space="preserve">Ogranize a songfest for younger </v>
      </c>
      <c r="K60" s="250" t="str">
        <f>IF(Badges!R124="A","A"," ")</f>
        <v xml:space="preserve"> </v>
      </c>
      <c r="M60" s="247">
        <v>2</v>
      </c>
      <c r="N60" s="248" t="str">
        <f>Badges!C218</f>
        <v>Reasearch how other companies innovate</v>
      </c>
      <c r="O60" s="249"/>
    </row>
    <row r="61" spans="1:19" x14ac:dyDescent="0.2">
      <c r="I61" s="247"/>
      <c r="J61" s="248" t="str">
        <f>Badges!C125</f>
        <v>Bring generations together in song</v>
      </c>
      <c r="K61" s="250" t="str">
        <f>IF(Badges!R125="A","A"," ")</f>
        <v xml:space="preserve"> </v>
      </c>
      <c r="M61" s="247"/>
      <c r="N61" s="248" t="str">
        <f>Badges!C219</f>
        <v>Find at least three other companies</v>
      </c>
      <c r="O61" s="250" t="str">
        <f>IF(Badges!R219="A","A"," ")</f>
        <v xml:space="preserve"> </v>
      </c>
    </row>
    <row r="62" spans="1:19" x14ac:dyDescent="0.2">
      <c r="I62" s="247">
        <v>2</v>
      </c>
      <c r="J62" s="248" t="str">
        <f>Badges!C126</f>
        <v>Celebrate World Thinking Day</v>
      </c>
      <c r="K62" s="249"/>
      <c r="M62" s="247">
        <v>3</v>
      </c>
      <c r="N62" s="248" t="str">
        <f>Badges!C218</f>
        <v>Reasearch how other companies innovate</v>
      </c>
      <c r="O62" s="249"/>
    </row>
    <row r="63" spans="1:19" x14ac:dyDescent="0.2">
      <c r="I63" s="247"/>
      <c r="J63" s="248" t="str">
        <f>Badges!C127</f>
        <v>Follow in the steps of female leaders</v>
      </c>
      <c r="K63" s="250" t="str">
        <f>IF(Badges!R127="A","A"," ")</f>
        <v xml:space="preserve"> </v>
      </c>
      <c r="M63" s="247"/>
      <c r="N63" s="248" t="str">
        <f>Badges!C221</f>
        <v>Developing a new product</v>
      </c>
      <c r="O63" s="250" t="str">
        <f>IF(Badges!R221="A","A"," ")</f>
        <v xml:space="preserve"> </v>
      </c>
    </row>
    <row r="64" spans="1:19" x14ac:dyDescent="0.2">
      <c r="I64" s="247"/>
      <c r="J64" s="248" t="str">
        <f>Badges!C128</f>
        <v>Make World Thinking Day cards</v>
      </c>
      <c r="K64" s="250" t="str">
        <f>IF(Badges!R128="A","A"," ")</f>
        <v xml:space="preserve"> </v>
      </c>
      <c r="M64" s="247">
        <v>4</v>
      </c>
      <c r="N64" s="248" t="str">
        <f>Badges!C222</f>
        <v>Expolore possible projects during your cookie sale</v>
      </c>
      <c r="O64" s="249"/>
    </row>
    <row r="65" spans="1:19" x14ac:dyDescent="0.2">
      <c r="I65" s="247"/>
      <c r="J65" s="248" t="str">
        <f>Badges!C129</f>
        <v>Earn their Word Thinking Day award</v>
      </c>
      <c r="K65" s="250" t="str">
        <f>IF(Badges!R129="A","A"," ")</f>
        <v xml:space="preserve"> </v>
      </c>
      <c r="M65" s="247"/>
      <c r="N65" s="248" t="str">
        <f>Badges!C223</f>
        <v>If you're considering serveral</v>
      </c>
      <c r="O65" s="250" t="str">
        <f>IF(Badges!R223="A","A"," ")</f>
        <v xml:space="preserve"> </v>
      </c>
    </row>
    <row r="66" spans="1:19" x14ac:dyDescent="0.2">
      <c r="M66" s="247">
        <v>5</v>
      </c>
      <c r="N66" s="248" t="str">
        <f>Badges!C220</f>
        <v>Find out how companies use R&amp;D to improve their products</v>
      </c>
      <c r="O66" s="249"/>
    </row>
    <row r="67" spans="1:19" x14ac:dyDescent="0.2">
      <c r="M67" s="247"/>
      <c r="N67" s="248" t="str">
        <f>Badges!C225</f>
        <v xml:space="preserve">R&amp;D can be more </v>
      </c>
      <c r="O67" s="250" t="str">
        <f>IF(Badges!R225="A","A"," ")</f>
        <v xml:space="preserve"> </v>
      </c>
    </row>
    <row r="70" spans="1:19" x14ac:dyDescent="0.2">
      <c r="F70" s="254"/>
      <c r="J70" s="254"/>
    </row>
    <row r="71" spans="1:19" x14ac:dyDescent="0.2">
      <c r="E71" s="284"/>
      <c r="F71" s="263"/>
      <c r="G71" s="341"/>
      <c r="H71" s="254"/>
      <c r="I71" s="284"/>
      <c r="J71" s="263"/>
      <c r="K71" s="341"/>
      <c r="L71" s="254"/>
      <c r="M71" s="254"/>
    </row>
    <row r="72" spans="1:19" x14ac:dyDescent="0.2">
      <c r="A72" s="487" t="s">
        <v>133</v>
      </c>
      <c r="B72" s="488"/>
      <c r="C72" s="489"/>
      <c r="E72" s="484" t="s">
        <v>56</v>
      </c>
      <c r="F72" s="484"/>
      <c r="G72" s="484"/>
      <c r="H72" s="254"/>
      <c r="I72" s="500" t="s">
        <v>133</v>
      </c>
      <c r="J72" s="500"/>
      <c r="K72" s="500"/>
      <c r="L72" s="254"/>
      <c r="M72" s="497" t="s">
        <v>133</v>
      </c>
      <c r="N72" s="498"/>
      <c r="O72" s="499"/>
      <c r="Q72" s="497" t="s">
        <v>133</v>
      </c>
      <c r="R72" s="498"/>
      <c r="S72" s="499"/>
    </row>
    <row r="73" spans="1:19" x14ac:dyDescent="0.2">
      <c r="A73" s="485" t="str">
        <f>'Council Own'!B6</f>
        <v>&lt;&lt;List Badge Here&gt;&gt;</v>
      </c>
      <c r="B73" s="486"/>
      <c r="C73" s="252" t="str">
        <f>IF('Council Own'!R28="C","C",IF('Council Own'!R28="P","P",""))</f>
        <v/>
      </c>
      <c r="E73" s="493" t="str">
        <f>'Fun Patches'!C5</f>
        <v>&lt;LIST PATCH HERE&gt;</v>
      </c>
      <c r="F73" s="494"/>
      <c r="G73" s="250" t="str">
        <f>IF('Fun Patches'!R5="A","A"," ")</f>
        <v xml:space="preserve"> </v>
      </c>
      <c r="H73" s="254"/>
      <c r="I73" s="258" t="str">
        <f>'Council Own'!B6</f>
        <v>&lt;&lt;List Badge Here&gt;&gt;</v>
      </c>
      <c r="J73" s="258"/>
      <c r="K73" s="258"/>
      <c r="L73" s="254"/>
      <c r="M73" s="258" t="str">
        <f>'Council Own'!B54</f>
        <v>&lt;&lt;List Badge Here&gt;&gt;</v>
      </c>
      <c r="N73" s="258"/>
      <c r="O73" s="258"/>
      <c r="Q73" s="258" t="str">
        <f>'Council Own'!B102</f>
        <v>&lt;&lt;List Badge Here&gt;&gt;</v>
      </c>
      <c r="R73" s="258"/>
      <c r="S73" s="258"/>
    </row>
    <row r="74" spans="1:19" x14ac:dyDescent="0.2">
      <c r="A74" s="485" t="str">
        <f>'Council Own'!B30</f>
        <v>&lt;&lt;List Badge Here&gt;&gt;</v>
      </c>
      <c r="B74" s="486"/>
      <c r="C74" s="252" t="str">
        <f>IF('Council Own'!R52="C","C",IF('Council Own'!R52="P","P",""))</f>
        <v/>
      </c>
      <c r="E74" s="471" t="str">
        <f>'Fun Patches'!C6</f>
        <v>&lt;LIST PATCH HERE&gt;</v>
      </c>
      <c r="F74" s="472"/>
      <c r="G74" s="257" t="str">
        <f>IF('Fun Patches'!R6="A","A"," ")</f>
        <v xml:space="preserve"> </v>
      </c>
      <c r="H74" s="254"/>
      <c r="I74" s="247">
        <v>1</v>
      </c>
      <c r="J74" s="344" t="str">
        <f>'Council Own'!C7</f>
        <v>&lt;List Requirement Here&gt;</v>
      </c>
      <c r="K74" s="257" t="str">
        <f>IF('Council Own'!R7="A","A"," ")</f>
        <v xml:space="preserve"> </v>
      </c>
      <c r="L74" s="254"/>
      <c r="M74" s="247">
        <v>1</v>
      </c>
      <c r="N74" s="344" t="str">
        <f>'Council Own'!C55</f>
        <v>&lt;List Requirement Here&gt;</v>
      </c>
      <c r="O74" s="257" t="str">
        <f>IF('Council Own'!R55="A","A"," ")</f>
        <v xml:space="preserve"> </v>
      </c>
      <c r="Q74" s="247">
        <v>1</v>
      </c>
      <c r="R74" s="344" t="str">
        <f>'Council Own'!C103</f>
        <v>&lt;List Requirement Here&gt;</v>
      </c>
      <c r="S74" s="257" t="str">
        <f>IF('Council Own'!R103="A","A"," ")</f>
        <v xml:space="preserve"> </v>
      </c>
    </row>
    <row r="75" spans="1:19" x14ac:dyDescent="0.2">
      <c r="A75" s="485" t="str">
        <f>'Council Own'!B54</f>
        <v>&lt;&lt;List Badge Here&gt;&gt;</v>
      </c>
      <c r="B75" s="486"/>
      <c r="C75" s="252" t="str">
        <f>IF('Council Own'!R76="C","C",IF('Council Own'!R76="P","P",""))</f>
        <v/>
      </c>
      <c r="E75" s="471" t="str">
        <f>'Fun Patches'!C7</f>
        <v>&lt;LIST PATCH HERE&gt;</v>
      </c>
      <c r="F75" s="472"/>
      <c r="G75" s="257" t="str">
        <f>IF('Fun Patches'!R7="A","A"," ")</f>
        <v xml:space="preserve"> </v>
      </c>
      <c r="H75" s="254"/>
      <c r="I75" s="247"/>
      <c r="J75" s="344" t="str">
        <f>'Council Own'!C8</f>
        <v>&lt;List Requirement Here&gt;</v>
      </c>
      <c r="K75" s="257" t="str">
        <f>IF('Council Own'!R8="A","A"," ")</f>
        <v xml:space="preserve"> </v>
      </c>
      <c r="L75" s="254"/>
      <c r="M75" s="247"/>
      <c r="N75" s="344" t="str">
        <f>'Council Own'!C56</f>
        <v>&lt;List Requirement Here&gt;</v>
      </c>
      <c r="O75" s="257" t="str">
        <f>IF('Council Own'!R56="A","A"," ")</f>
        <v xml:space="preserve"> </v>
      </c>
      <c r="Q75" s="247"/>
      <c r="R75" s="344" t="str">
        <f>'Council Own'!C104</f>
        <v>&lt;List Requirement Here&gt;</v>
      </c>
      <c r="S75" s="257" t="str">
        <f>IF('Council Own'!R104="A","A"," ")</f>
        <v xml:space="preserve"> </v>
      </c>
    </row>
    <row r="76" spans="1:19" x14ac:dyDescent="0.2">
      <c r="A76" s="485" t="str">
        <f>'Council Own'!B78</f>
        <v>&lt;&lt;List Badge Here&gt;&gt;</v>
      </c>
      <c r="B76" s="486"/>
      <c r="C76" s="252" t="str">
        <f>IF('Council Own'!R100="C","C",IF('Council Own'!R100="P","P",""))</f>
        <v/>
      </c>
      <c r="E76" s="471" t="str">
        <f>'Fun Patches'!C8</f>
        <v>&lt;LIST PATCH HERE&gt;</v>
      </c>
      <c r="F76" s="472"/>
      <c r="G76" s="257" t="str">
        <f>IF('Fun Patches'!R8="A","A"," ")</f>
        <v xml:space="preserve"> </v>
      </c>
      <c r="H76" s="254"/>
      <c r="I76" s="247"/>
      <c r="J76" s="344" t="str">
        <f>'Council Own'!C9</f>
        <v>&lt;List Requirement Here&gt;</v>
      </c>
      <c r="K76" s="257" t="str">
        <f>IF('Council Own'!R9="A","A"," ")</f>
        <v xml:space="preserve"> </v>
      </c>
      <c r="L76" s="254"/>
      <c r="M76" s="247"/>
      <c r="N76" s="344" t="str">
        <f>'Council Own'!C57</f>
        <v>&lt;List Requirement Here&gt;</v>
      </c>
      <c r="O76" s="257" t="str">
        <f>IF('Council Own'!R57="A","A"," ")</f>
        <v xml:space="preserve"> </v>
      </c>
      <c r="Q76" s="247"/>
      <c r="R76" s="344" t="str">
        <f>'Council Own'!C105</f>
        <v>&lt;List Requirement Here&gt;</v>
      </c>
      <c r="S76" s="257" t="str">
        <f>IF('Council Own'!R105="A","A"," ")</f>
        <v xml:space="preserve"> </v>
      </c>
    </row>
    <row r="77" spans="1:19" x14ac:dyDescent="0.2">
      <c r="A77" s="485" t="str">
        <f>'Council Own'!B102</f>
        <v>&lt;&lt;List Badge Here&gt;&gt;</v>
      </c>
      <c r="B77" s="486"/>
      <c r="C77" s="252" t="str">
        <f>IF('Council Own'!R124="C","C",IF('Council Own'!R124="P","P",""))</f>
        <v/>
      </c>
      <c r="E77" s="471" t="str">
        <f>'Fun Patches'!C9</f>
        <v>&lt;LIST PATCH HERE&gt;</v>
      </c>
      <c r="F77" s="472"/>
      <c r="G77" s="257" t="str">
        <f>IF('Fun Patches'!R9="A","A"," ")</f>
        <v xml:space="preserve"> </v>
      </c>
      <c r="H77" s="254"/>
      <c r="I77" s="247"/>
      <c r="J77" s="344" t="str">
        <f>'Council Own'!C10</f>
        <v>&lt;List Requirement Here&gt;</v>
      </c>
      <c r="K77" s="257" t="str">
        <f>IF('Council Own'!R10="A","A"," ")</f>
        <v xml:space="preserve"> </v>
      </c>
      <c r="L77" s="254"/>
      <c r="M77" s="247"/>
      <c r="N77" s="344" t="str">
        <f>'Council Own'!C58</f>
        <v>&lt;List Requirement Here&gt;</v>
      </c>
      <c r="O77" s="257" t="str">
        <f>IF('Council Own'!R58="A","A"," ")</f>
        <v xml:space="preserve"> </v>
      </c>
      <c r="Q77" s="247"/>
      <c r="R77" s="344" t="str">
        <f>'Council Own'!C106</f>
        <v>&lt;List Requirement Here&gt;</v>
      </c>
      <c r="S77" s="257" t="str">
        <f>IF('Council Own'!R106="A","A"," ")</f>
        <v xml:space="preserve"> </v>
      </c>
    </row>
    <row r="78" spans="1:19" x14ac:dyDescent="0.2">
      <c r="A78" s="485" t="str">
        <f>'Council Own'!B126</f>
        <v>&lt;&lt;List Badge Here&gt;&gt;</v>
      </c>
      <c r="B78" s="486"/>
      <c r="C78" s="252" t="str">
        <f>IF('Council Own'!R148="C","C",IF('Council Own'!R148="P","P",""))</f>
        <v/>
      </c>
      <c r="E78" s="471" t="str">
        <f>'Fun Patches'!C10</f>
        <v>&lt;LIST PATCH HERE&gt;</v>
      </c>
      <c r="F78" s="472"/>
      <c r="G78" s="257" t="str">
        <f>IF('Fun Patches'!R10="A","A"," ")</f>
        <v xml:space="preserve"> </v>
      </c>
      <c r="I78" s="247">
        <v>2</v>
      </c>
      <c r="J78" s="344" t="str">
        <f>'Council Own'!C11</f>
        <v>&lt;List Requirement Here&gt;</v>
      </c>
      <c r="K78" s="257" t="str">
        <f>IF('Council Own'!R11="A","A"," ")</f>
        <v xml:space="preserve"> </v>
      </c>
      <c r="M78" s="247">
        <v>2</v>
      </c>
      <c r="N78" s="344" t="str">
        <f>'Council Own'!C59</f>
        <v>&lt;List Requirement Here&gt;</v>
      </c>
      <c r="O78" s="257" t="str">
        <f>IF('Council Own'!R59="A","A"," ")</f>
        <v xml:space="preserve"> </v>
      </c>
      <c r="Q78" s="247">
        <v>2</v>
      </c>
      <c r="R78" s="344" t="str">
        <f>'Council Own'!C107</f>
        <v>&lt;List Requirement Here&gt;</v>
      </c>
      <c r="S78" s="257" t="str">
        <f>IF('Council Own'!R107="A","A"," ")</f>
        <v xml:space="preserve"> </v>
      </c>
    </row>
    <row r="79" spans="1:19" x14ac:dyDescent="0.2">
      <c r="E79" s="471" t="str">
        <f>'Fun Patches'!C11</f>
        <v>&lt;LIST PATCH HERE&gt;</v>
      </c>
      <c r="F79" s="472"/>
      <c r="G79" s="257" t="str">
        <f>IF('Fun Patches'!R11="A","A"," ")</f>
        <v xml:space="preserve"> </v>
      </c>
      <c r="I79" s="247"/>
      <c r="J79" s="344" t="str">
        <f>'Council Own'!C12</f>
        <v>&lt;List Requirement Here&gt;</v>
      </c>
      <c r="K79" s="257" t="str">
        <f>IF('Council Own'!R12="A","A"," ")</f>
        <v xml:space="preserve"> </v>
      </c>
      <c r="M79" s="247"/>
      <c r="N79" s="344" t="str">
        <f>'Council Own'!C60</f>
        <v>&lt;List Requirement Here&gt;</v>
      </c>
      <c r="O79" s="257" t="str">
        <f>IF('Council Own'!R60="A","A"," ")</f>
        <v xml:space="preserve"> </v>
      </c>
      <c r="Q79" s="247"/>
      <c r="R79" s="344" t="str">
        <f>'Council Own'!C108</f>
        <v>&lt;List Requirement Here&gt;</v>
      </c>
      <c r="S79" s="257" t="str">
        <f>IF('Council Own'!R108="A","A"," ")</f>
        <v xml:space="preserve"> </v>
      </c>
    </row>
    <row r="80" spans="1:19" x14ac:dyDescent="0.2">
      <c r="E80" s="471" t="str">
        <f>'Fun Patches'!C12</f>
        <v>&lt;LIST PATCH HERE&gt;</v>
      </c>
      <c r="F80" s="472"/>
      <c r="G80" s="257" t="str">
        <f>IF('Fun Patches'!R12="A","A"," ")</f>
        <v xml:space="preserve"> </v>
      </c>
      <c r="I80" s="247"/>
      <c r="J80" s="344" t="str">
        <f>'Council Own'!C13</f>
        <v>&lt;List Requirement Here&gt;</v>
      </c>
      <c r="K80" s="257" t="str">
        <f>IF('Council Own'!R13="A","A"," ")</f>
        <v xml:space="preserve"> </v>
      </c>
      <c r="M80" s="247"/>
      <c r="N80" s="344" t="str">
        <f>'Council Own'!C61</f>
        <v>&lt;List Requirement Here&gt;</v>
      </c>
      <c r="O80" s="257" t="str">
        <f>IF('Council Own'!R61="A","A"," ")</f>
        <v xml:space="preserve"> </v>
      </c>
      <c r="Q80" s="247"/>
      <c r="R80" s="344" t="str">
        <f>'Council Own'!C109</f>
        <v>&lt;List Requirement Here&gt;</v>
      </c>
      <c r="S80" s="257" t="str">
        <f>IF('Council Own'!R109="A","A"," ")</f>
        <v xml:space="preserve"> </v>
      </c>
    </row>
    <row r="81" spans="1:22" x14ac:dyDescent="0.2">
      <c r="E81" s="471" t="str">
        <f>'Fun Patches'!C13</f>
        <v>&lt;LIST PATCH HERE&gt;</v>
      </c>
      <c r="F81" s="472"/>
      <c r="G81" s="257" t="str">
        <f>IF('Fun Patches'!R13="A","A"," ")</f>
        <v xml:space="preserve"> </v>
      </c>
      <c r="I81" s="247"/>
      <c r="J81" s="344" t="str">
        <f>'Council Own'!C14</f>
        <v>&lt;List Requirement Here&gt;</v>
      </c>
      <c r="K81" s="257" t="str">
        <f>IF('Council Own'!R14="A","A"," ")</f>
        <v xml:space="preserve"> </v>
      </c>
      <c r="M81" s="247"/>
      <c r="N81" s="344" t="str">
        <f>'Council Own'!C62</f>
        <v>&lt;List Requirement Here&gt;</v>
      </c>
      <c r="O81" s="257" t="str">
        <f>IF('Council Own'!R62="A","A"," ")</f>
        <v xml:space="preserve"> </v>
      </c>
      <c r="Q81" s="247"/>
      <c r="R81" s="344" t="str">
        <f>'Council Own'!C110</f>
        <v>&lt;List Requirement Here&gt;</v>
      </c>
      <c r="S81" s="257" t="str">
        <f>IF('Council Own'!R110="A","A"," ")</f>
        <v xml:space="preserve"> </v>
      </c>
    </row>
    <row r="82" spans="1:22" x14ac:dyDescent="0.2">
      <c r="E82" s="471" t="str">
        <f>'Fun Patches'!C14</f>
        <v>&lt;LIST PATCH HERE&gt;</v>
      </c>
      <c r="F82" s="472"/>
      <c r="G82" s="257" t="str">
        <f>IF('Fun Patches'!R14="A","A"," ")</f>
        <v xml:space="preserve"> </v>
      </c>
      <c r="I82" s="247">
        <v>3</v>
      </c>
      <c r="J82" s="344" t="str">
        <f>'Council Own'!C15</f>
        <v>&lt;List Requirement Here&gt;</v>
      </c>
      <c r="K82" s="257" t="str">
        <f>IF('Council Own'!R15="A","A"," ")</f>
        <v xml:space="preserve"> </v>
      </c>
      <c r="M82" s="247">
        <v>3</v>
      </c>
      <c r="N82" s="344" t="str">
        <f>'Council Own'!C63</f>
        <v>&lt;List Requirement Here&gt;</v>
      </c>
      <c r="O82" s="257" t="str">
        <f>IF('Council Own'!R63="A","A"," ")</f>
        <v xml:space="preserve"> </v>
      </c>
      <c r="Q82" s="247">
        <v>3</v>
      </c>
      <c r="R82" s="344" t="str">
        <f>'Council Own'!C111</f>
        <v>&lt;List Requirement Here&gt;</v>
      </c>
      <c r="S82" s="257" t="str">
        <f>IF('Council Own'!R111="A","A"," ")</f>
        <v xml:space="preserve"> </v>
      </c>
    </row>
    <row r="83" spans="1:22" x14ac:dyDescent="0.2">
      <c r="E83" s="471" t="str">
        <f>'Fun Patches'!C15</f>
        <v>&lt;LIST PATCH HERE&gt;</v>
      </c>
      <c r="F83" s="472"/>
      <c r="G83" s="257" t="str">
        <f>IF('Fun Patches'!R15="A","A"," ")</f>
        <v xml:space="preserve"> </v>
      </c>
      <c r="I83" s="247"/>
      <c r="J83" s="344" t="str">
        <f>'Council Own'!C16</f>
        <v>&lt;List Requirement Here&gt;</v>
      </c>
      <c r="K83" s="257" t="str">
        <f>IF('Council Own'!R16="A","A"," ")</f>
        <v xml:space="preserve"> </v>
      </c>
      <c r="M83" s="247"/>
      <c r="N83" s="344" t="str">
        <f>'Council Own'!C64</f>
        <v>&lt;List Requirement Here&gt;</v>
      </c>
      <c r="O83" s="257" t="str">
        <f>IF('Council Own'!R64="A","A"," ")</f>
        <v xml:space="preserve"> </v>
      </c>
      <c r="Q83" s="247"/>
      <c r="R83" s="344" t="str">
        <f>'Council Own'!C112</f>
        <v>&lt;List Requirement Here&gt;</v>
      </c>
      <c r="S83" s="257" t="str">
        <f>IF('Council Own'!R112="A","A"," ")</f>
        <v xml:space="preserve"> </v>
      </c>
    </row>
    <row r="84" spans="1:22" x14ac:dyDescent="0.2">
      <c r="E84" s="471" t="str">
        <f>'Fun Patches'!C16</f>
        <v>&lt;LIST PATCH HERE&gt;</v>
      </c>
      <c r="F84" s="472"/>
      <c r="G84" s="257" t="str">
        <f>IF('Fun Patches'!R16="A","A"," ")</f>
        <v xml:space="preserve"> </v>
      </c>
      <c r="I84" s="247"/>
      <c r="J84" s="344" t="str">
        <f>'Council Own'!C17</f>
        <v>&lt;List Requirement Here&gt;</v>
      </c>
      <c r="K84" s="257" t="str">
        <f>IF('Council Own'!R17="A","A"," ")</f>
        <v xml:space="preserve"> </v>
      </c>
      <c r="M84" s="247"/>
      <c r="N84" s="344" t="str">
        <f>'Council Own'!C65</f>
        <v>&lt;List Requirement Here&gt;</v>
      </c>
      <c r="O84" s="257" t="str">
        <f>IF('Council Own'!R65="A","A"," ")</f>
        <v xml:space="preserve"> </v>
      </c>
      <c r="Q84" s="247"/>
      <c r="R84" s="344" t="str">
        <f>'Council Own'!C113</f>
        <v>&lt;List Requirement Here&gt;</v>
      </c>
      <c r="S84" s="257" t="str">
        <f>IF('Council Own'!R113="A","A"," ")</f>
        <v xml:space="preserve"> </v>
      </c>
    </row>
    <row r="85" spans="1:22" x14ac:dyDescent="0.2">
      <c r="E85" s="471" t="str">
        <f>'Fun Patches'!C17</f>
        <v>&lt;LIST PATCH HERE&gt;</v>
      </c>
      <c r="F85" s="472"/>
      <c r="G85" s="250" t="str">
        <f>IF('Fun Patches'!R17="A","A"," ")</f>
        <v xml:space="preserve"> </v>
      </c>
      <c r="I85" s="247"/>
      <c r="J85" s="344" t="str">
        <f>'Council Own'!C18</f>
        <v>&lt;List Requirement Here&gt;</v>
      </c>
      <c r="K85" s="257" t="str">
        <f>IF('Council Own'!R18="A","A"," ")</f>
        <v xml:space="preserve"> </v>
      </c>
      <c r="M85" s="247"/>
      <c r="N85" s="344" t="str">
        <f>'Council Own'!C66</f>
        <v>&lt;List Requirement Here&gt;</v>
      </c>
      <c r="O85" s="257" t="str">
        <f>IF('Council Own'!R66="A","A"," ")</f>
        <v xml:space="preserve"> </v>
      </c>
      <c r="Q85" s="247"/>
      <c r="R85" s="344" t="str">
        <f>'Council Own'!C114</f>
        <v>&lt;List Requirement Here&gt;</v>
      </c>
      <c r="S85" s="257" t="str">
        <f>IF('Council Own'!R114="A","A"," ")</f>
        <v xml:space="preserve"> </v>
      </c>
    </row>
    <row r="86" spans="1:22" x14ac:dyDescent="0.2">
      <c r="A86" s="242"/>
      <c r="B86" s="243"/>
      <c r="C86" s="244"/>
      <c r="E86" s="471" t="str">
        <f>'Fun Patches'!C18</f>
        <v>&lt;LIST PATCH HERE&gt;</v>
      </c>
      <c r="F86" s="472"/>
      <c r="G86" s="257" t="str">
        <f>IF('Fun Patches'!R18="A","A"," ")</f>
        <v xml:space="preserve"> </v>
      </c>
      <c r="I86" s="247">
        <v>4</v>
      </c>
      <c r="J86" s="344" t="str">
        <f>'Council Own'!C19</f>
        <v>&lt;List Requirement Here&gt;</v>
      </c>
      <c r="K86" s="257" t="str">
        <f>IF('Council Own'!R19="A","A"," ")</f>
        <v xml:space="preserve"> </v>
      </c>
      <c r="M86" s="247">
        <v>4</v>
      </c>
      <c r="N86" s="344" t="str">
        <f>'Council Own'!C67</f>
        <v>&lt;List Requirement Here&gt;</v>
      </c>
      <c r="O86" s="257" t="str">
        <f>IF('Council Own'!R67="A","A"," ")</f>
        <v xml:space="preserve"> </v>
      </c>
      <c r="Q86" s="247">
        <v>4</v>
      </c>
      <c r="R86" s="344" t="str">
        <f>'Council Own'!C115</f>
        <v>&lt;List Requirement Here&gt;</v>
      </c>
      <c r="S86" s="257" t="str">
        <f>IF('Council Own'!R115="A","A"," ")</f>
        <v xml:space="preserve"> </v>
      </c>
    </row>
    <row r="87" spans="1:22" x14ac:dyDescent="0.2">
      <c r="E87" s="471" t="str">
        <f>'Fun Patches'!C19</f>
        <v>&lt;LIST PATCH HERE&gt;</v>
      </c>
      <c r="F87" s="472"/>
      <c r="G87" s="257" t="str">
        <f>IF('Fun Patches'!R19="A","A"," ")</f>
        <v xml:space="preserve"> </v>
      </c>
      <c r="I87" s="247"/>
      <c r="J87" s="344" t="str">
        <f>'Council Own'!C20</f>
        <v>&lt;List Requirement Here&gt;</v>
      </c>
      <c r="K87" s="257" t="str">
        <f>IF('Council Own'!R20="A","A"," ")</f>
        <v xml:space="preserve"> </v>
      </c>
      <c r="M87" s="247"/>
      <c r="N87" s="344" t="str">
        <f>'Council Own'!C68</f>
        <v>&lt;List Requirement Here&gt;</v>
      </c>
      <c r="O87" s="257" t="str">
        <f>IF('Council Own'!R68="A","A"," ")</f>
        <v xml:space="preserve"> </v>
      </c>
      <c r="Q87" s="247"/>
      <c r="R87" s="344" t="str">
        <f>'Council Own'!C116</f>
        <v>&lt;List Requirement Here&gt;</v>
      </c>
      <c r="S87" s="257" t="str">
        <f>IF('Council Own'!R116="A","A"," ")</f>
        <v xml:space="preserve"> </v>
      </c>
    </row>
    <row r="88" spans="1:22" x14ac:dyDescent="0.2">
      <c r="E88" s="471" t="str">
        <f>'Fun Patches'!C20</f>
        <v>&lt;LIST PATCH HERE&gt;</v>
      </c>
      <c r="F88" s="472"/>
      <c r="G88" s="257" t="str">
        <f>IF('Fun Patches'!R20="A","A"," ")</f>
        <v xml:space="preserve"> </v>
      </c>
      <c r="I88" s="247"/>
      <c r="J88" s="344" t="str">
        <f>'Council Own'!C21</f>
        <v>&lt;List Requirement Here&gt;</v>
      </c>
      <c r="K88" s="257" t="str">
        <f>IF('Council Own'!R21="A","A"," ")</f>
        <v xml:space="preserve"> </v>
      </c>
      <c r="M88" s="247"/>
      <c r="N88" s="344" t="str">
        <f>'Council Own'!C69</f>
        <v>&lt;List Requirement Here&gt;</v>
      </c>
      <c r="O88" s="257" t="str">
        <f>IF('Council Own'!R69="A","A"," ")</f>
        <v xml:space="preserve"> </v>
      </c>
      <c r="Q88" s="247"/>
      <c r="R88" s="344" t="str">
        <f>'Council Own'!C117</f>
        <v>&lt;List Requirement Here&gt;</v>
      </c>
      <c r="S88" s="257" t="str">
        <f>IF('Council Own'!R117="A","A"," ")</f>
        <v xml:space="preserve"> </v>
      </c>
    </row>
    <row r="89" spans="1:22" x14ac:dyDescent="0.2">
      <c r="E89" s="471" t="str">
        <f>'Fun Patches'!C21</f>
        <v>&lt;LIST PATCH HERE&gt;</v>
      </c>
      <c r="F89" s="472"/>
      <c r="G89" s="257" t="str">
        <f>IF('Fun Patches'!R21="A","A"," ")</f>
        <v xml:space="preserve"> </v>
      </c>
      <c r="I89" s="247"/>
      <c r="J89" s="344" t="str">
        <f>'Council Own'!C22</f>
        <v>&lt;List Requirement Here&gt;</v>
      </c>
      <c r="K89" s="257" t="str">
        <f>IF('Council Own'!R22="A","A"," ")</f>
        <v xml:space="preserve"> </v>
      </c>
      <c r="M89" s="247"/>
      <c r="N89" s="344" t="str">
        <f>'Council Own'!C70</f>
        <v>&lt;List Requirement Here&gt;</v>
      </c>
      <c r="O89" s="257" t="str">
        <f>IF('Council Own'!R70="A","A"," ")</f>
        <v xml:space="preserve"> </v>
      </c>
      <c r="Q89" s="247"/>
      <c r="R89" s="344" t="str">
        <f>'Council Own'!C118</f>
        <v>&lt;List Requirement Here&gt;</v>
      </c>
      <c r="S89" s="257" t="str">
        <f>IF('Council Own'!R118="A","A"," ")</f>
        <v xml:space="preserve"> </v>
      </c>
    </row>
    <row r="90" spans="1:22" x14ac:dyDescent="0.2">
      <c r="E90" s="471" t="str">
        <f>'Fun Patches'!C22</f>
        <v>&lt;LIST PATCH HERE&gt;</v>
      </c>
      <c r="F90" s="472"/>
      <c r="G90" s="257" t="str">
        <f>IF('Fun Patches'!R22="A","A"," ")</f>
        <v xml:space="preserve"> </v>
      </c>
      <c r="I90" s="247">
        <v>5</v>
      </c>
      <c r="J90" s="344" t="str">
        <f>'Council Own'!C23</f>
        <v>&lt;List Requirement Here&gt;</v>
      </c>
      <c r="K90" s="257" t="str">
        <f>IF('Council Own'!R23="A","A"," ")</f>
        <v xml:space="preserve"> </v>
      </c>
      <c r="M90" s="247">
        <v>5</v>
      </c>
      <c r="N90" s="344" t="str">
        <f>'Council Own'!C71</f>
        <v>&lt;List Requirement Here&gt;</v>
      </c>
      <c r="O90" s="257" t="str">
        <f>IF('Council Own'!R71="A","A"," ")</f>
        <v xml:space="preserve"> </v>
      </c>
      <c r="Q90" s="247">
        <v>5</v>
      </c>
      <c r="R90" s="344" t="str">
        <f>'Council Own'!C119</f>
        <v>&lt;List Requirement Here&gt;</v>
      </c>
      <c r="S90" s="257" t="str">
        <f>IF('Council Own'!R119="A","A"," ")</f>
        <v xml:space="preserve"> </v>
      </c>
    </row>
    <row r="91" spans="1:22" x14ac:dyDescent="0.2">
      <c r="E91" s="471" t="str">
        <f>'Fun Patches'!C23</f>
        <v>&lt;LIST PATCH HERE&gt;</v>
      </c>
      <c r="F91" s="472"/>
      <c r="G91" s="257" t="str">
        <f>IF('Fun Patches'!R23="A","A"," ")</f>
        <v xml:space="preserve"> </v>
      </c>
      <c r="I91" s="247"/>
      <c r="J91" s="344" t="str">
        <f>'Council Own'!C24</f>
        <v>&lt;List Requirement Here&gt;</v>
      </c>
      <c r="K91" s="257" t="str">
        <f>IF('Council Own'!R24="A","A"," ")</f>
        <v xml:space="preserve"> </v>
      </c>
      <c r="M91" s="247"/>
      <c r="N91" s="344" t="str">
        <f>'Council Own'!C72</f>
        <v>&lt;List Requirement Here&gt;</v>
      </c>
      <c r="O91" s="257" t="str">
        <f>IF('Council Own'!R72="A","A"," ")</f>
        <v xml:space="preserve"> </v>
      </c>
      <c r="Q91" s="247"/>
      <c r="R91" s="344" t="str">
        <f>'Council Own'!C120</f>
        <v>&lt;List Requirement Here&gt;</v>
      </c>
      <c r="S91" s="257" t="str">
        <f>IF('Council Own'!R120="A","A"," ")</f>
        <v xml:space="preserve"> </v>
      </c>
    </row>
    <row r="92" spans="1:22" x14ac:dyDescent="0.2">
      <c r="E92" s="471" t="str">
        <f>'Fun Patches'!C24</f>
        <v>&lt;LIST PATCH HERE&gt;</v>
      </c>
      <c r="F92" s="472"/>
      <c r="G92" s="257" t="str">
        <f>IF('Fun Patches'!R24="A","A"," ")</f>
        <v xml:space="preserve"> </v>
      </c>
      <c r="I92" s="247"/>
      <c r="J92" s="344" t="str">
        <f>'Council Own'!C25</f>
        <v>&lt;List Requirement Here&gt;</v>
      </c>
      <c r="K92" s="257" t="str">
        <f>IF('Council Own'!R25="A","A"," ")</f>
        <v xml:space="preserve"> </v>
      </c>
      <c r="M92" s="247"/>
      <c r="N92" s="344" t="str">
        <f>'Council Own'!C73</f>
        <v>&lt;List Requirement Here&gt;</v>
      </c>
      <c r="O92" s="257" t="str">
        <f>IF('Council Own'!R73="A","A"," ")</f>
        <v xml:space="preserve"> </v>
      </c>
      <c r="Q92" s="247"/>
      <c r="R92" s="344" t="str">
        <f>'Council Own'!C121</f>
        <v>&lt;List Requirement Here&gt;</v>
      </c>
      <c r="S92" s="257" t="str">
        <f>IF('Council Own'!R121="A","A"," ")</f>
        <v xml:space="preserve"> </v>
      </c>
    </row>
    <row r="93" spans="1:22" x14ac:dyDescent="0.2">
      <c r="E93" s="471" t="str">
        <f>'Fun Patches'!C25</f>
        <v>&lt;LIST PATCH HERE&gt;</v>
      </c>
      <c r="F93" s="472"/>
      <c r="G93" s="257" t="str">
        <f>IF('Fun Patches'!R25="A","A"," ")</f>
        <v xml:space="preserve"> </v>
      </c>
      <c r="I93" s="247"/>
      <c r="J93" s="344" t="str">
        <f>'Council Own'!C26</f>
        <v>&lt;List Requirement Here&gt;</v>
      </c>
      <c r="K93" s="257" t="str">
        <f>IF('Council Own'!R26="A","A"," ")</f>
        <v xml:space="preserve"> </v>
      </c>
      <c r="M93" s="247"/>
      <c r="N93" s="344" t="str">
        <f>'Council Own'!C74</f>
        <v>&lt;List Requirement Here&gt;</v>
      </c>
      <c r="O93" s="257" t="str">
        <f>IF('Council Own'!R68="A","A"," ")</f>
        <v xml:space="preserve"> </v>
      </c>
      <c r="Q93" s="247"/>
      <c r="R93" s="344" t="str">
        <f>'Council Own'!C122</f>
        <v>&lt;List Requirement Here&gt;</v>
      </c>
      <c r="S93" s="257" t="str">
        <f>IF('Council Own'!R122="A","A"," ")</f>
        <v xml:space="preserve"> </v>
      </c>
    </row>
    <row r="94" spans="1:22" x14ac:dyDescent="0.2">
      <c r="E94" s="471" t="str">
        <f>'Fun Patches'!C26</f>
        <v>&lt;LIST PATCH HERE&gt;</v>
      </c>
      <c r="F94" s="472"/>
      <c r="G94" s="257" t="str">
        <f>IF('Fun Patches'!R26="A","A"," ")</f>
        <v xml:space="preserve"> </v>
      </c>
      <c r="I94" s="258" t="str">
        <f>'Council Own'!B30</f>
        <v>&lt;&lt;List Badge Here&gt;&gt;</v>
      </c>
      <c r="J94" s="258"/>
      <c r="K94" s="258"/>
      <c r="M94" s="258" t="str">
        <f>'Council Own'!B78</f>
        <v>&lt;&lt;List Badge Here&gt;&gt;</v>
      </c>
      <c r="N94" s="258"/>
      <c r="O94" s="258"/>
      <c r="Q94" s="258" t="str">
        <f>'Council Own'!B126</f>
        <v>&lt;&lt;List Badge Here&gt;&gt;</v>
      </c>
      <c r="R94" s="258"/>
      <c r="S94" s="258"/>
    </row>
    <row r="95" spans="1:22" x14ac:dyDescent="0.2">
      <c r="E95" s="471" t="str">
        <f>'Fun Patches'!C27</f>
        <v>&lt;LIST PATCH HERE&gt;</v>
      </c>
      <c r="F95" s="472"/>
      <c r="G95" s="257" t="str">
        <f>IF('Fun Patches'!R27="A","A"," ")</f>
        <v xml:space="preserve"> </v>
      </c>
      <c r="I95" s="247">
        <v>1</v>
      </c>
      <c r="J95" s="344" t="str">
        <f>'Council Own'!C31</f>
        <v>&lt;List Requirement Here&gt;</v>
      </c>
      <c r="K95" s="257" t="str">
        <f>IF('Council Own'!R31="A","A"," ")</f>
        <v xml:space="preserve"> </v>
      </c>
      <c r="M95" s="247">
        <v>1</v>
      </c>
      <c r="N95" s="344" t="str">
        <f>'Council Own'!C79</f>
        <v>&lt;List Requirement Here&gt;</v>
      </c>
      <c r="O95" s="257" t="str">
        <f>IF('Council Own'!R79="A","A"," ")</f>
        <v xml:space="preserve"> </v>
      </c>
      <c r="Q95" s="247">
        <v>1</v>
      </c>
      <c r="R95" s="344" t="str">
        <f>'Council Own'!C127</f>
        <v>&lt;List Requirement Here&gt;</v>
      </c>
      <c r="S95" s="257" t="str">
        <f>IF('Council Own'!R127="A","A"," ")</f>
        <v xml:space="preserve"> </v>
      </c>
    </row>
    <row r="96" spans="1:22" x14ac:dyDescent="0.2">
      <c r="E96" s="471" t="str">
        <f>'Fun Patches'!C28</f>
        <v>&lt;LIST PATCH HERE&gt;</v>
      </c>
      <c r="F96" s="472"/>
      <c r="G96" s="257" t="str">
        <f>IF('Fun Patches'!R28="A","A"," ")</f>
        <v xml:space="preserve"> </v>
      </c>
      <c r="I96" s="247"/>
      <c r="J96" s="344" t="str">
        <f>'Council Own'!C32</f>
        <v>&lt;List Requirement Here&gt;</v>
      </c>
      <c r="K96" s="257" t="str">
        <f>IF('Council Own'!R32="A","A"," ")</f>
        <v xml:space="preserve"> </v>
      </c>
      <c r="M96" s="247"/>
      <c r="N96" s="344" t="str">
        <f>'Council Own'!C80</f>
        <v>&lt;List Requirement Here&gt;</v>
      </c>
      <c r="O96" s="257" t="str">
        <f>IF('Council Own'!R80="A","A"," ")</f>
        <v xml:space="preserve"> </v>
      </c>
      <c r="Q96" s="247"/>
      <c r="R96" s="344" t="str">
        <f>'Council Own'!C128</f>
        <v>&lt;List Requirement Here&gt;</v>
      </c>
      <c r="S96" s="257" t="str">
        <f>IF('Council Own'!R128="A","A"," ")</f>
        <v xml:space="preserve"> </v>
      </c>
      <c r="U96" s="245"/>
      <c r="V96" s="245"/>
    </row>
    <row r="97" spans="1:23" x14ac:dyDescent="0.2">
      <c r="E97" s="471" t="str">
        <f>'Fun Patches'!C29</f>
        <v>&lt;LIST PATCH HERE&gt;</v>
      </c>
      <c r="F97" s="472"/>
      <c r="G97" s="257" t="str">
        <f>IF('Fun Patches'!R29="A","A"," ")</f>
        <v xml:space="preserve"> </v>
      </c>
      <c r="I97" s="247"/>
      <c r="J97" s="344" t="str">
        <f>'Council Own'!C33</f>
        <v>&lt;List Requirement Here&gt;</v>
      </c>
      <c r="K97" s="257" t="str">
        <f>IF('Council Own'!R33="A","A"," ")</f>
        <v xml:space="preserve"> </v>
      </c>
      <c r="M97" s="247"/>
      <c r="N97" s="344" t="str">
        <f>'Council Own'!C81</f>
        <v>&lt;List Requirement Here&gt;</v>
      </c>
      <c r="O97" s="257" t="str">
        <f>IF('Council Own'!R81="A","A"," ")</f>
        <v xml:space="preserve"> </v>
      </c>
      <c r="Q97" s="247"/>
      <c r="R97" s="344" t="str">
        <f>'Council Own'!C129</f>
        <v>&lt;List Requirement Here&gt;</v>
      </c>
      <c r="S97" s="257" t="str">
        <f>IF('Council Own'!R129="A","A"," ")</f>
        <v xml:space="preserve"> </v>
      </c>
      <c r="U97" s="245"/>
      <c r="V97" s="245"/>
    </row>
    <row r="98" spans="1:23" x14ac:dyDescent="0.2">
      <c r="A98" s="484" t="s">
        <v>75</v>
      </c>
      <c r="B98" s="484"/>
      <c r="C98" s="484"/>
      <c r="E98" s="471" t="str">
        <f>'Fun Patches'!C30</f>
        <v>&lt;LIST PATCH HERE&gt;</v>
      </c>
      <c r="F98" s="472"/>
      <c r="G98" s="257" t="str">
        <f>IF('Fun Patches'!R30="A","A"," ")</f>
        <v xml:space="preserve"> </v>
      </c>
      <c r="I98" s="247"/>
      <c r="J98" s="344" t="str">
        <f>'Council Own'!C34</f>
        <v>&lt;List Requirement Here&gt;</v>
      </c>
      <c r="K98" s="257" t="str">
        <f>IF('Council Own'!R34="A","A"," ")</f>
        <v xml:space="preserve"> </v>
      </c>
      <c r="M98" s="247"/>
      <c r="N98" s="344" t="str">
        <f>'Council Own'!C82</f>
        <v>&lt;List Requirement Here&gt;</v>
      </c>
      <c r="O98" s="257" t="str">
        <f>IF('Council Own'!R82="A","A"," ")</f>
        <v xml:space="preserve"> </v>
      </c>
      <c r="Q98" s="247"/>
      <c r="R98" s="344" t="str">
        <f>'Council Own'!C130</f>
        <v>&lt;List Requirement Here&gt;</v>
      </c>
      <c r="S98" s="257" t="str">
        <f>IF('Council Own'!R130="A","A"," ")</f>
        <v xml:space="preserve"> </v>
      </c>
      <c r="U98" s="245"/>
      <c r="V98" s="245"/>
    </row>
    <row r="99" spans="1:23" ht="14.25" customHeight="1" x14ac:dyDescent="0.2">
      <c r="A99" s="481" t="s">
        <v>72</v>
      </c>
      <c r="B99" s="482"/>
      <c r="C99" s="483"/>
      <c r="E99" s="471" t="str">
        <f>'Fun Patches'!C31</f>
        <v>&lt;LIST PATCH HERE&gt;</v>
      </c>
      <c r="F99" s="472"/>
      <c r="G99" s="257" t="str">
        <f>IF('Fun Patches'!R31="A","A"," ")</f>
        <v xml:space="preserve"> </v>
      </c>
      <c r="I99" s="247">
        <v>2</v>
      </c>
      <c r="J99" s="344" t="str">
        <f>'Council Own'!C35</f>
        <v>&lt;List Requirement Here&gt;</v>
      </c>
      <c r="K99" s="257" t="str">
        <f>IF('Council Own'!R35="A","A"," ")</f>
        <v xml:space="preserve"> </v>
      </c>
      <c r="M99" s="247">
        <v>2</v>
      </c>
      <c r="N99" s="344" t="str">
        <f>'Council Own'!C83</f>
        <v>&lt;List Requirement Here&gt;</v>
      </c>
      <c r="O99" s="257" t="str">
        <f>IF('Council Own'!R83="A","A"," ")</f>
        <v xml:space="preserve"> </v>
      </c>
      <c r="Q99" s="247">
        <v>2</v>
      </c>
      <c r="R99" s="344" t="str">
        <f>'Council Own'!C131</f>
        <v>&lt;List Requirement Here&gt;</v>
      </c>
      <c r="S99" s="257" t="str">
        <f>IF('Council Own'!R131="A","A"," ")</f>
        <v xml:space="preserve"> </v>
      </c>
      <c r="U99" s="245"/>
      <c r="V99" s="245"/>
    </row>
    <row r="100" spans="1:23" x14ac:dyDescent="0.2">
      <c r="A100" s="481" t="s">
        <v>73</v>
      </c>
      <c r="B100" s="482"/>
      <c r="C100" s="483"/>
      <c r="E100" s="471" t="str">
        <f>'Fun Patches'!C32</f>
        <v>&lt;LIST PATCH HERE&gt;</v>
      </c>
      <c r="F100" s="472"/>
      <c r="G100" s="257" t="str">
        <f>IF('Fun Patches'!R32="A","A"," ")</f>
        <v xml:space="preserve"> </v>
      </c>
      <c r="I100" s="247"/>
      <c r="J100" s="344" t="str">
        <f>'Council Own'!C36</f>
        <v>&lt;List Requirement Here&gt;</v>
      </c>
      <c r="K100" s="257" t="str">
        <f>IF('Council Own'!R36="A","A"," ")</f>
        <v xml:space="preserve"> </v>
      </c>
      <c r="M100" s="247"/>
      <c r="N100" s="344" t="str">
        <f>'Council Own'!C84</f>
        <v>&lt;List Requirement Here&gt;</v>
      </c>
      <c r="O100" s="257" t="str">
        <f>IF('Council Own'!R84="A","A"," ")</f>
        <v xml:space="preserve"> </v>
      </c>
      <c r="Q100" s="247"/>
      <c r="R100" s="344" t="str">
        <f>'Council Own'!C132</f>
        <v>&lt;List Requirement Here&gt;</v>
      </c>
      <c r="S100" s="257" t="str">
        <f>IF('Council Own'!R132="A","A"," ")</f>
        <v xml:space="preserve"> </v>
      </c>
      <c r="U100" s="337"/>
      <c r="V100" s="338"/>
      <c r="W100" s="341"/>
    </row>
    <row r="101" spans="1:23" x14ac:dyDescent="0.2">
      <c r="A101" s="468" t="s">
        <v>74</v>
      </c>
      <c r="B101" s="469"/>
      <c r="C101" s="470"/>
      <c r="E101" s="471" t="str">
        <f>'Fun Patches'!C33</f>
        <v>&lt;LIST PATCH HERE&gt;</v>
      </c>
      <c r="F101" s="472"/>
      <c r="G101" s="257" t="str">
        <f>IF('Fun Patches'!R33="A","A"," ")</f>
        <v xml:space="preserve"> </v>
      </c>
      <c r="I101" s="247"/>
      <c r="J101" s="344" t="str">
        <f>'Council Own'!C37</f>
        <v>&lt;List Requirement Here&gt;</v>
      </c>
      <c r="K101" s="257" t="str">
        <f>IF('Council Own'!R37="A","A"," ")</f>
        <v xml:space="preserve"> </v>
      </c>
      <c r="M101" s="247"/>
      <c r="N101" s="344" t="str">
        <f>'Council Own'!C85</f>
        <v>&lt;List Requirement Here&gt;</v>
      </c>
      <c r="O101" s="257" t="str">
        <f>IF('Council Own'!R85="A","A"," ")</f>
        <v xml:space="preserve"> </v>
      </c>
      <c r="Q101" s="247"/>
      <c r="R101" s="344" t="str">
        <f>'Council Own'!C133</f>
        <v>&lt;List Requirement Here&gt;</v>
      </c>
      <c r="S101" s="257" t="str">
        <f>IF('Council Own'!R133="A","A"," ")</f>
        <v xml:space="preserve"> </v>
      </c>
      <c r="U101" s="245"/>
      <c r="V101" s="245"/>
    </row>
    <row r="102" spans="1:23" x14ac:dyDescent="0.2">
      <c r="E102" s="471" t="str">
        <f>'Fun Patches'!C34</f>
        <v>&lt;LIST PATCH HERE&gt;</v>
      </c>
      <c r="F102" s="472"/>
      <c r="G102" s="257" t="str">
        <f>IF('Fun Patches'!R34="A","A"," ")</f>
        <v xml:space="preserve"> </v>
      </c>
      <c r="I102" s="247"/>
      <c r="J102" s="344" t="str">
        <f>'Council Own'!C38</f>
        <v>&lt;List Requirement Here&gt;</v>
      </c>
      <c r="K102" s="257" t="str">
        <f>IF('Council Own'!R38="A","A"," ")</f>
        <v xml:space="preserve"> </v>
      </c>
      <c r="M102" s="247"/>
      <c r="N102" s="344" t="str">
        <f>'Council Own'!C86</f>
        <v>&lt;List Requirement Here&gt;</v>
      </c>
      <c r="O102" s="257" t="str">
        <f>IF('Council Own'!R86="A","A"," ")</f>
        <v xml:space="preserve"> </v>
      </c>
      <c r="Q102" s="247"/>
      <c r="R102" s="344" t="str">
        <f>'Council Own'!C134</f>
        <v>&lt;List Requirement Here&gt;</v>
      </c>
      <c r="S102" s="257" t="str">
        <f>IF('Council Own'!R134="A","A"," ")</f>
        <v xml:space="preserve"> </v>
      </c>
      <c r="U102" s="245"/>
      <c r="V102" s="245"/>
    </row>
    <row r="103" spans="1:23" x14ac:dyDescent="0.2">
      <c r="E103" s="471" t="str">
        <f>'Fun Patches'!C35</f>
        <v>&lt;LIST PATCH HERE&gt;</v>
      </c>
      <c r="F103" s="472"/>
      <c r="G103" s="257" t="str">
        <f>IF('Fun Patches'!R35="A","A"," ")</f>
        <v xml:space="preserve"> </v>
      </c>
      <c r="I103" s="247">
        <v>3</v>
      </c>
      <c r="J103" s="344" t="str">
        <f>'Council Own'!C39</f>
        <v>&lt;List Requirement Here&gt;</v>
      </c>
      <c r="K103" s="257" t="str">
        <f>IF('Council Own'!R39="A","A"," ")</f>
        <v xml:space="preserve"> </v>
      </c>
      <c r="M103" s="247">
        <v>3</v>
      </c>
      <c r="N103" s="344" t="str">
        <f>'Council Own'!C87</f>
        <v>&lt;List Requirement Here&gt;</v>
      </c>
      <c r="O103" s="257" t="str">
        <f>IF('Council Own'!R87="A","A"," ")</f>
        <v xml:space="preserve"> </v>
      </c>
      <c r="Q103" s="247">
        <v>3</v>
      </c>
      <c r="R103" s="344" t="str">
        <f>'Council Own'!C135</f>
        <v>&lt;List Requirement Here&gt;</v>
      </c>
      <c r="S103" s="257" t="str">
        <f>IF('Council Own'!R135="A","A"," ")</f>
        <v xml:space="preserve"> </v>
      </c>
      <c r="U103" s="245"/>
      <c r="V103" s="245"/>
    </row>
    <row r="104" spans="1:23" x14ac:dyDescent="0.2">
      <c r="E104" s="471" t="str">
        <f>'Fun Patches'!C36</f>
        <v>&lt;LIST PATCH HERE&gt;</v>
      </c>
      <c r="F104" s="472"/>
      <c r="G104" s="257" t="str">
        <f>IF('Fun Patches'!R36="A","A"," ")</f>
        <v xml:space="preserve"> </v>
      </c>
      <c r="I104" s="247"/>
      <c r="J104" s="344" t="str">
        <f>'Council Own'!C40</f>
        <v>&lt;List Requirement Here&gt;</v>
      </c>
      <c r="K104" s="257" t="str">
        <f>IF('Council Own'!R40="A","A"," ")</f>
        <v xml:space="preserve"> </v>
      </c>
      <c r="M104" s="247"/>
      <c r="N104" s="344" t="str">
        <f>'Council Own'!C88</f>
        <v>&lt;List Requirement Here&gt;</v>
      </c>
      <c r="O104" s="257" t="str">
        <f>IF('Council Own'!R88="A","A"," ")</f>
        <v xml:space="preserve"> </v>
      </c>
      <c r="Q104" s="247"/>
      <c r="R104" s="344" t="str">
        <f>'Council Own'!C136</f>
        <v>&lt;List Requirement Here&gt;</v>
      </c>
      <c r="S104" s="257" t="str">
        <f>IF('Council Own'!R136="A","A"," ")</f>
        <v xml:space="preserve"> </v>
      </c>
      <c r="U104" s="245"/>
      <c r="V104" s="245"/>
    </row>
    <row r="105" spans="1:23" x14ac:dyDescent="0.2">
      <c r="E105" s="471" t="str">
        <f>'Fun Patches'!C37</f>
        <v>&lt;LIST PATCH HERE&gt;</v>
      </c>
      <c r="F105" s="472"/>
      <c r="G105" s="257" t="str">
        <f>IF('Fun Patches'!R37="A","A"," ")</f>
        <v xml:space="preserve"> </v>
      </c>
      <c r="I105" s="247"/>
      <c r="J105" s="344" t="str">
        <f>'Council Own'!C41</f>
        <v>&lt;List Requirement Here&gt;</v>
      </c>
      <c r="K105" s="257" t="str">
        <f>IF('Council Own'!R41="A","A"," ")</f>
        <v xml:space="preserve"> </v>
      </c>
      <c r="M105" s="247"/>
      <c r="N105" s="344" t="str">
        <f>'Council Own'!C89</f>
        <v>&lt;List Requirement Here&gt;</v>
      </c>
      <c r="O105" s="257" t="str">
        <f>IF('Council Own'!R89="A","A"," ")</f>
        <v xml:space="preserve"> </v>
      </c>
      <c r="Q105" s="247"/>
      <c r="R105" s="344" t="str">
        <f>'Council Own'!C137</f>
        <v>&lt;List Requirement Here&gt;</v>
      </c>
      <c r="S105" s="257" t="str">
        <f>IF('Council Own'!R137="A","A"," ")</f>
        <v xml:space="preserve"> </v>
      </c>
      <c r="U105" s="245"/>
      <c r="V105" s="245"/>
    </row>
    <row r="106" spans="1:23" x14ac:dyDescent="0.2">
      <c r="E106" s="471" t="str">
        <f>'Fun Patches'!C38</f>
        <v>&lt;LIST PATCH HERE&gt;</v>
      </c>
      <c r="F106" s="472"/>
      <c r="G106" s="257" t="str">
        <f>IF('Fun Patches'!R38="A","A"," ")</f>
        <v xml:space="preserve"> </v>
      </c>
      <c r="I106" s="247"/>
      <c r="J106" s="344" t="str">
        <f>'Council Own'!C42</f>
        <v>&lt;List Requirement Here&gt;</v>
      </c>
      <c r="K106" s="257" t="str">
        <f>IF('Council Own'!R42="A","A"," ")</f>
        <v xml:space="preserve"> </v>
      </c>
      <c r="M106" s="247"/>
      <c r="N106" s="344" t="str">
        <f>'Council Own'!C90</f>
        <v>&lt;List Requirement Here&gt;</v>
      </c>
      <c r="O106" s="257" t="str">
        <f>IF('Council Own'!R90="A","A"," ")</f>
        <v xml:space="preserve"> </v>
      </c>
      <c r="Q106" s="247"/>
      <c r="R106" s="344" t="str">
        <f>'Council Own'!C138</f>
        <v>&lt;List Requirement Here&gt;</v>
      </c>
      <c r="S106" s="257" t="str">
        <f>IF('Council Own'!R138="A","A"," ")</f>
        <v xml:space="preserve"> </v>
      </c>
      <c r="U106" s="245"/>
      <c r="V106" s="245"/>
    </row>
    <row r="107" spans="1:23" x14ac:dyDescent="0.2">
      <c r="E107" s="284"/>
      <c r="F107" s="263"/>
      <c r="G107" s="341"/>
      <c r="I107" s="247">
        <v>4</v>
      </c>
      <c r="J107" s="344" t="str">
        <f>'Council Own'!C43</f>
        <v>&lt;List Requirement Here&gt;</v>
      </c>
      <c r="K107" s="257" t="str">
        <f>IF('Council Own'!R43="A","A"," ")</f>
        <v xml:space="preserve"> </v>
      </c>
      <c r="M107" s="247">
        <v>4</v>
      </c>
      <c r="N107" s="344" t="str">
        <f>'Council Own'!C91</f>
        <v>&lt;List Requirement Here&gt;</v>
      </c>
      <c r="O107" s="257" t="str">
        <f>IF('Council Own'!R91="A","A"," ")</f>
        <v xml:space="preserve"> </v>
      </c>
      <c r="Q107" s="247">
        <v>4</v>
      </c>
      <c r="R107" s="344" t="str">
        <f>'Council Own'!C139</f>
        <v>&lt;List Requirement Here&gt;</v>
      </c>
      <c r="S107" s="257" t="str">
        <f>IF('Council Own'!R139="A","A"," ")</f>
        <v xml:space="preserve"> </v>
      </c>
      <c r="U107" s="245"/>
      <c r="V107" s="245"/>
    </row>
    <row r="108" spans="1:23" x14ac:dyDescent="0.2">
      <c r="I108" s="247"/>
      <c r="J108" s="344" t="str">
        <f>'Council Own'!C44</f>
        <v>&lt;List Requirement Here&gt;</v>
      </c>
      <c r="K108" s="257" t="str">
        <f>IF('Council Own'!R44="A","A"," ")</f>
        <v xml:space="preserve"> </v>
      </c>
      <c r="M108" s="247"/>
      <c r="N108" s="344" t="str">
        <f>'Council Own'!C92</f>
        <v>&lt;List Requirement Here&gt;</v>
      </c>
      <c r="O108" s="257" t="str">
        <f>IF('Council Own'!R92="A","A"," ")</f>
        <v xml:space="preserve"> </v>
      </c>
      <c r="Q108" s="247"/>
      <c r="R108" s="344" t="str">
        <f>'Council Own'!C140</f>
        <v>&lt;List Requirement Here&gt;</v>
      </c>
      <c r="S108" s="257" t="str">
        <f>IF('Council Own'!R140="A","A"," ")</f>
        <v xml:space="preserve"> </v>
      </c>
      <c r="U108" s="245"/>
      <c r="V108" s="245"/>
    </row>
    <row r="109" spans="1:23" x14ac:dyDescent="0.2">
      <c r="I109" s="247"/>
      <c r="J109" s="344" t="str">
        <f>'Council Own'!C45</f>
        <v>&lt;List Requirement Here&gt;</v>
      </c>
      <c r="K109" s="257" t="str">
        <f>IF('Council Own'!R45="A","A"," ")</f>
        <v xml:space="preserve"> </v>
      </c>
      <c r="M109" s="247"/>
      <c r="N109" s="344" t="str">
        <f>'Council Own'!C93</f>
        <v>&lt;List Requirement Here&gt;</v>
      </c>
      <c r="O109" s="257" t="str">
        <f>IF('Council Own'!R93="A","A"," ")</f>
        <v xml:space="preserve"> </v>
      </c>
      <c r="Q109" s="247"/>
      <c r="R109" s="344" t="str">
        <f>'Council Own'!C141</f>
        <v>&lt;List Requirement Here&gt;</v>
      </c>
      <c r="S109" s="257" t="str">
        <f>IF('Council Own'!R141="A","A"," ")</f>
        <v xml:space="preserve"> </v>
      </c>
      <c r="U109" s="245"/>
      <c r="V109" s="245"/>
    </row>
    <row r="110" spans="1:23" x14ac:dyDescent="0.2">
      <c r="I110" s="247"/>
      <c r="J110" s="344" t="str">
        <f>'Council Own'!C46</f>
        <v>&lt;List Requirement Here&gt;</v>
      </c>
      <c r="K110" s="257" t="str">
        <f>IF('Council Own'!R46="A","A"," ")</f>
        <v xml:space="preserve"> </v>
      </c>
      <c r="M110" s="247"/>
      <c r="N110" s="344" t="str">
        <f>'Council Own'!C94</f>
        <v>&lt;List Requirement Here&gt;</v>
      </c>
      <c r="O110" s="257" t="str">
        <f>IF('Council Own'!R94="A","A"," ")</f>
        <v xml:space="preserve"> </v>
      </c>
      <c r="Q110" s="247"/>
      <c r="R110" s="344" t="str">
        <f>'Council Own'!C142</f>
        <v>&lt;List Requirement Here&gt;</v>
      </c>
      <c r="S110" s="257" t="str">
        <f>IF('Council Own'!R142="A","A"," ")</f>
        <v xml:space="preserve"> </v>
      </c>
      <c r="U110" s="245"/>
      <c r="V110" s="245"/>
    </row>
    <row r="111" spans="1:23" x14ac:dyDescent="0.2">
      <c r="I111" s="247">
        <v>5</v>
      </c>
      <c r="J111" s="344" t="str">
        <f>'Council Own'!C47</f>
        <v>&lt;List Requirement Here&gt;</v>
      </c>
      <c r="K111" s="257" t="str">
        <f>IF('Council Own'!R47="A","A"," ")</f>
        <v xml:space="preserve"> </v>
      </c>
      <c r="M111" s="247">
        <v>5</v>
      </c>
      <c r="N111" s="344" t="str">
        <f>'Council Own'!C95</f>
        <v>&lt;List Requirement Here&gt;</v>
      </c>
      <c r="O111" s="257" t="str">
        <f>IF('Council Own'!R95="A","A"," ")</f>
        <v xml:space="preserve"> </v>
      </c>
      <c r="Q111" s="247">
        <v>5</v>
      </c>
      <c r="R111" s="344" t="str">
        <f>'Council Own'!C143</f>
        <v>&lt;List Requirement Here&gt;</v>
      </c>
      <c r="S111" s="257" t="str">
        <f>IF('Council Own'!R143="A","A"," ")</f>
        <v xml:space="preserve"> </v>
      </c>
      <c r="U111" s="338"/>
      <c r="V111" s="338"/>
      <c r="W111" s="341"/>
    </row>
    <row r="112" spans="1:23" x14ac:dyDescent="0.2">
      <c r="I112" s="247"/>
      <c r="J112" s="344" t="str">
        <f>'Council Own'!C48</f>
        <v>&lt;List Requirement Here&gt;</v>
      </c>
      <c r="K112" s="257" t="str">
        <f>IF('Council Own'!R48="A","A"," ")</f>
        <v xml:space="preserve"> </v>
      </c>
      <c r="M112" s="247"/>
      <c r="N112" s="344" t="str">
        <f>'Council Own'!C96</f>
        <v>&lt;List Requirement Here&gt;</v>
      </c>
      <c r="O112" s="257" t="str">
        <f>IF('Council Own'!R96="A","A"," ")</f>
        <v xml:space="preserve"> </v>
      </c>
      <c r="Q112" s="247"/>
      <c r="R112" s="344" t="str">
        <f>'Council Own'!C144</f>
        <v>&lt;List Requirement Here&gt;</v>
      </c>
      <c r="S112" s="257" t="str">
        <f>IF('Council Own'!R144="A","A"," ")</f>
        <v xml:space="preserve"> </v>
      </c>
      <c r="U112" s="245"/>
      <c r="V112" s="245"/>
    </row>
    <row r="113" spans="9:22" x14ac:dyDescent="0.2">
      <c r="I113" s="247"/>
      <c r="J113" s="344" t="str">
        <f>'Council Own'!C49</f>
        <v>&lt;List Requirement Here&gt;</v>
      </c>
      <c r="K113" s="257" t="str">
        <f>IF('Council Own'!R49="A","A"," ")</f>
        <v xml:space="preserve"> </v>
      </c>
      <c r="M113" s="247"/>
      <c r="N113" s="344" t="str">
        <f>'Council Own'!C97</f>
        <v>&lt;List Requirement Here&gt;</v>
      </c>
      <c r="O113" s="257" t="str">
        <f>IF('Council Own'!R97="A","A"," ")</f>
        <v xml:space="preserve"> </v>
      </c>
      <c r="Q113" s="247"/>
      <c r="R113" s="344" t="str">
        <f>'Council Own'!C145</f>
        <v>&lt;List Requirement Here&gt;</v>
      </c>
      <c r="S113" s="257" t="str">
        <f>IF('Council Own'!R145="A","A"," ")</f>
        <v xml:space="preserve"> </v>
      </c>
      <c r="U113" s="245"/>
      <c r="V113" s="245"/>
    </row>
    <row r="114" spans="9:22" x14ac:dyDescent="0.2">
      <c r="I114" s="247"/>
      <c r="J114" s="344" t="str">
        <f>'Council Own'!C50</f>
        <v>&lt;List Requirement Here&gt;</v>
      </c>
      <c r="K114" s="257" t="str">
        <f>IF('Council Own'!R50="A","A"," ")</f>
        <v xml:space="preserve"> </v>
      </c>
      <c r="M114" s="247"/>
      <c r="N114" s="344" t="str">
        <f>'Council Own'!C98</f>
        <v>&lt;List Requirement Here&gt;</v>
      </c>
      <c r="O114" s="257" t="str">
        <f>IF('Council Own'!R98="A","A"," ")</f>
        <v xml:space="preserve"> </v>
      </c>
      <c r="Q114" s="247"/>
      <c r="R114" s="344" t="str">
        <f>'Council Own'!C146</f>
        <v>&lt;List Requirement Here&gt;</v>
      </c>
      <c r="S114" s="257" t="str">
        <f>IF('Council Own'!R146="A","A"," ")</f>
        <v xml:space="preserve"> </v>
      </c>
      <c r="U114" s="245"/>
      <c r="V114" s="245"/>
    </row>
    <row r="115" spans="9:22" x14ac:dyDescent="0.2">
      <c r="I115" s="284"/>
      <c r="J115" s="263"/>
      <c r="K115" s="341"/>
      <c r="U115" s="245"/>
      <c r="V115" s="245"/>
    </row>
    <row r="116" spans="9:22" x14ac:dyDescent="0.2">
      <c r="I116" s="284"/>
      <c r="J116" s="263"/>
      <c r="K116" s="341"/>
      <c r="U116" s="245"/>
      <c r="V116" s="245"/>
    </row>
    <row r="117" spans="9:22" x14ac:dyDescent="0.2">
      <c r="I117" s="284"/>
      <c r="J117" s="263"/>
      <c r="K117" s="341"/>
    </row>
    <row r="118" spans="9:22" x14ac:dyDescent="0.2">
      <c r="I118" s="284"/>
      <c r="J118" s="263"/>
      <c r="K118" s="341"/>
    </row>
    <row r="119" spans="9:22" x14ac:dyDescent="0.2">
      <c r="I119" s="284"/>
      <c r="J119" s="263"/>
      <c r="K119" s="341"/>
    </row>
    <row r="120" spans="9:22" x14ac:dyDescent="0.2">
      <c r="I120" s="284"/>
      <c r="J120" s="263"/>
      <c r="K120" s="341"/>
    </row>
    <row r="121" spans="9:22" x14ac:dyDescent="0.2">
      <c r="J121" s="254"/>
      <c r="K121" s="254"/>
    </row>
  </sheetData>
  <sheetProtection password="9A15" sheet="1" objects="1" scenarios="1"/>
  <mergeCells count="113">
    <mergeCell ref="A3:B3"/>
    <mergeCell ref="Q3:R3"/>
    <mergeCell ref="A4:C4"/>
    <mergeCell ref="Q4:R4"/>
    <mergeCell ref="A5:B5"/>
    <mergeCell ref="Q5:R5"/>
    <mergeCell ref="A1:C1"/>
    <mergeCell ref="E1:G1"/>
    <mergeCell ref="I1:K1"/>
    <mergeCell ref="M1:O1"/>
    <mergeCell ref="Q1:S1"/>
    <mergeCell ref="E2:G2"/>
    <mergeCell ref="Q2:R2"/>
    <mergeCell ref="A9:B9"/>
    <mergeCell ref="Q9:R9"/>
    <mergeCell ref="A10:B10"/>
    <mergeCell ref="Q10:R10"/>
    <mergeCell ref="A11:B11"/>
    <mergeCell ref="Q11:R11"/>
    <mergeCell ref="A6:B6"/>
    <mergeCell ref="Q6:R6"/>
    <mergeCell ref="A7:B7"/>
    <mergeCell ref="Q7:R7"/>
    <mergeCell ref="A8:B8"/>
    <mergeCell ref="Q8:R8"/>
    <mergeCell ref="A15:B15"/>
    <mergeCell ref="Q15:R15"/>
    <mergeCell ref="A16:B16"/>
    <mergeCell ref="Q16:R16"/>
    <mergeCell ref="A17:B17"/>
    <mergeCell ref="Q17:R17"/>
    <mergeCell ref="A12:B12"/>
    <mergeCell ref="Q12:R12"/>
    <mergeCell ref="A13:C13"/>
    <mergeCell ref="Q13:R13"/>
    <mergeCell ref="A14:B14"/>
    <mergeCell ref="Q14:R14"/>
    <mergeCell ref="A21:C21"/>
    <mergeCell ref="Q21:R21"/>
    <mergeCell ref="A22:B22"/>
    <mergeCell ref="A23:B23"/>
    <mergeCell ref="E23:G23"/>
    <mergeCell ref="A24:C24"/>
    <mergeCell ref="A18:B18"/>
    <mergeCell ref="Q18:R18"/>
    <mergeCell ref="A19:B19"/>
    <mergeCell ref="Q19:R19"/>
    <mergeCell ref="A20:B20"/>
    <mergeCell ref="Q20:R20"/>
    <mergeCell ref="B34:C34"/>
    <mergeCell ref="Q34:R34"/>
    <mergeCell ref="B35:C35"/>
    <mergeCell ref="B42:C42"/>
    <mergeCell ref="Q42:R42"/>
    <mergeCell ref="B43:C43"/>
    <mergeCell ref="A25:B25"/>
    <mergeCell ref="A26:B26"/>
    <mergeCell ref="A28:C28"/>
    <mergeCell ref="Q28:R28"/>
    <mergeCell ref="B29:C29"/>
    <mergeCell ref="B30:C30"/>
    <mergeCell ref="A73:B73"/>
    <mergeCell ref="E73:F73"/>
    <mergeCell ref="A74:B74"/>
    <mergeCell ref="E74:F74"/>
    <mergeCell ref="A75:B75"/>
    <mergeCell ref="E75:F75"/>
    <mergeCell ref="E45:G45"/>
    <mergeCell ref="A49:C49"/>
    <mergeCell ref="Q55:S55"/>
    <mergeCell ref="A72:C72"/>
    <mergeCell ref="E72:G72"/>
    <mergeCell ref="I72:K72"/>
    <mergeCell ref="M72:O72"/>
    <mergeCell ref="Q72:S72"/>
    <mergeCell ref="E79:F79"/>
    <mergeCell ref="E80:F80"/>
    <mergeCell ref="E81:F81"/>
    <mergeCell ref="E82:F82"/>
    <mergeCell ref="E83:F83"/>
    <mergeCell ref="E84:F84"/>
    <mergeCell ref="A76:B76"/>
    <mergeCell ref="E76:F76"/>
    <mergeCell ref="A77:B77"/>
    <mergeCell ref="E77:F77"/>
    <mergeCell ref="A78:B78"/>
    <mergeCell ref="E78:F78"/>
    <mergeCell ref="E91:F91"/>
    <mergeCell ref="E92:F92"/>
    <mergeCell ref="E93:F93"/>
    <mergeCell ref="E94:F94"/>
    <mergeCell ref="E95:F95"/>
    <mergeCell ref="E96:F96"/>
    <mergeCell ref="E85:F85"/>
    <mergeCell ref="E86:F86"/>
    <mergeCell ref="E87:F87"/>
    <mergeCell ref="E88:F88"/>
    <mergeCell ref="E89:F89"/>
    <mergeCell ref="E90:F90"/>
    <mergeCell ref="E106:F106"/>
    <mergeCell ref="A101:C101"/>
    <mergeCell ref="E101:F101"/>
    <mergeCell ref="E102:F102"/>
    <mergeCell ref="E103:F103"/>
    <mergeCell ref="E104:F104"/>
    <mergeCell ref="E105:F105"/>
    <mergeCell ref="E97:F97"/>
    <mergeCell ref="A98:C98"/>
    <mergeCell ref="E98:F98"/>
    <mergeCell ref="A99:C99"/>
    <mergeCell ref="E99:F99"/>
    <mergeCell ref="A100:C100"/>
    <mergeCell ref="E100:F10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18</vt:i4>
      </vt:variant>
    </vt:vector>
  </HeadingPairs>
  <TitlesOfParts>
    <vt:vector size="47" baseType="lpstr">
      <vt:lpstr>Instructions</vt:lpstr>
      <vt:lpstr>Parent Contact Info</vt:lpstr>
      <vt:lpstr>Registration</vt:lpstr>
      <vt:lpstr>Dues</vt:lpstr>
      <vt:lpstr>Attendance</vt:lpstr>
      <vt:lpstr>Badges</vt:lpstr>
      <vt:lpstr>Journey</vt:lpstr>
      <vt:lpstr>Council Own</vt:lpstr>
      <vt:lpstr>Age-Level</vt:lpstr>
      <vt:lpstr>Bridging</vt:lpstr>
      <vt:lpstr>Gold</vt:lpstr>
      <vt:lpstr>Fun Patches</vt:lpstr>
      <vt:lpstr>Summary</vt:lpstr>
      <vt:lpstr>Order</vt:lpstr>
      <vt:lpstr>Ambassador 1</vt:lpstr>
      <vt:lpstr>Ambassador 2</vt:lpstr>
      <vt:lpstr>Ambassador 3</vt:lpstr>
      <vt:lpstr>Ambassador 4</vt:lpstr>
      <vt:lpstr>Ambassador 5</vt:lpstr>
      <vt:lpstr>Ambassador 6</vt:lpstr>
      <vt:lpstr>Ambassador 7</vt:lpstr>
      <vt:lpstr>Ambassador 8</vt:lpstr>
      <vt:lpstr>Ambassador 9</vt:lpstr>
      <vt:lpstr>Ambassador 10</vt:lpstr>
      <vt:lpstr>Ambassador 11</vt:lpstr>
      <vt:lpstr>Ambassador 12</vt:lpstr>
      <vt:lpstr>Ambassador 13</vt:lpstr>
      <vt:lpstr>Ambassador 14</vt:lpstr>
      <vt:lpstr>Ambassador 15</vt:lpstr>
      <vt:lpstr>'Ambassador 1'!Print_Area</vt:lpstr>
      <vt:lpstr>'Ambassador 10'!Print_Area</vt:lpstr>
      <vt:lpstr>'Ambassador 2'!Print_Area</vt:lpstr>
      <vt:lpstr>'Ambassador 3'!Print_Area</vt:lpstr>
      <vt:lpstr>'Ambassador 4'!Print_Area</vt:lpstr>
      <vt:lpstr>'Ambassador 5'!Print_Area</vt:lpstr>
      <vt:lpstr>'Ambassador 6'!Print_Area</vt:lpstr>
      <vt:lpstr>'Ambassador 7'!Print_Area</vt:lpstr>
      <vt:lpstr>'Ambassador 8'!Print_Area</vt:lpstr>
      <vt:lpstr>'Ambassador 9'!Print_Area</vt:lpstr>
      <vt:lpstr>'Council Own'!Print_Area</vt:lpstr>
      <vt:lpstr>Instructions!Print_Area</vt:lpstr>
      <vt:lpstr>'Age-Level'!Print_Titles</vt:lpstr>
      <vt:lpstr>Attendance!Print_Titles</vt:lpstr>
      <vt:lpstr>'Council Own'!Print_Titles</vt:lpstr>
      <vt:lpstr>'Fun Patches'!Print_Titles</vt:lpstr>
      <vt:lpstr>Journey!Print_Titles</vt:lpstr>
      <vt:lpstr>Registration!Print_Titles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Cadette</dc:title>
  <dc:subject>track cadette achievements</dc:subject>
  <dc:creator>Audra Edmunds</dc:creator>
  <cp:lastModifiedBy>Eck, Matt</cp:lastModifiedBy>
  <cp:lastPrinted>2012-08-24T14:47:02Z</cp:lastPrinted>
  <dcterms:created xsi:type="dcterms:W3CDTF">2005-02-08T13:28:44Z</dcterms:created>
  <dcterms:modified xsi:type="dcterms:W3CDTF">2015-11-03T16:51:26Z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1312780968</vt:i4>
  </property>
  <property fmtid="{D5CDD505-2E9C-101B-9397-08002B2CF9AE}" pid="3" name="_EmailSubject">
    <vt:lpwstr>Juniors</vt:lpwstr>
  </property>
  <property fmtid="{D5CDD505-2E9C-101B-9397-08002B2CF9AE}" pid="4" name="_AuthorEmail">
    <vt:lpwstr>frank.steele@comcast.net</vt:lpwstr>
  </property>
  <property fmtid="{D5CDD505-2E9C-101B-9397-08002B2CF9AE}" pid="5" name="_AuthorEmailDisplayName">
    <vt:lpwstr>Frank Steele</vt:lpwstr>
  </property>
  <property fmtid="{D5CDD505-2E9C-101B-9397-08002B2CF9AE}" pid="6" name="_PreviousAdHocReviewCycleID">
    <vt:i4>1445548412</vt:i4>
  </property>
  <property fmtid="{D5CDD505-2E9C-101B-9397-08002B2CF9AE}" pid="7" name="_ReviewingToolsShownOnce">
    <vt:lpwstr/>
  </property>
</Properties>
</file>